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BrainStation\03AdvancedExcel\"/>
    </mc:Choice>
  </mc:AlternateContent>
  <xr:revisionPtr revIDLastSave="0" documentId="13_ncr:9_{F34E3FB7-4FD4-44C1-8485-FABADA5A8B2A}" xr6:coauthVersionLast="47" xr6:coauthVersionMax="47" xr10:uidLastSave="{00000000-0000-0000-0000-000000000000}"/>
  <bookViews>
    <workbookView xWindow="-108" yWindow="-108" windowWidth="23256" windowHeight="12456" firstSheet="1" activeTab="3" xr2:uid="{0C547A54-D3C5-4C75-B7D2-1D3B5410D28A}"/>
  </bookViews>
  <sheets>
    <sheet name="Advanced Excel Lab - Data" sheetId="1" r:id="rId1"/>
    <sheet name="Sheet4" sheetId="5" r:id="rId2"/>
    <sheet name="Sheet5" sheetId="6" r:id="rId3"/>
    <sheet name="Advanced Excel Lab - Data (2)" sheetId="2" r:id="rId4"/>
    <sheet name="Cost Table" sheetId="4" r:id="rId5"/>
    <sheet name="Answers" sheetId="3" r:id="rId6"/>
  </sheets>
  <calcPr calcId="0"/>
  <pivotCaches>
    <pivotCache cacheId="5" r:id="rId7"/>
    <pivotCache cacheId="16" r:id="rId8"/>
  </pivotCaches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2" i="2"/>
</calcChain>
</file>

<file path=xl/sharedStrings.xml><?xml version="1.0" encoding="utf-8"?>
<sst xmlns="http://schemas.openxmlformats.org/spreadsheetml/2006/main" count="457" uniqueCount="90">
  <si>
    <t>OrderDate</t>
  </si>
  <si>
    <t>Region</t>
  </si>
  <si>
    <t>Name of Rep for Sale (Last, First)</t>
  </si>
  <si>
    <t>Item (Class and Title)</t>
  </si>
  <si>
    <t xml:space="preserve"> Unit Cost (Unit Sale Price)</t>
  </si>
  <si>
    <t>Units Sold in Order</t>
  </si>
  <si>
    <t>East</t>
  </si>
  <si>
    <t>Jones Smith</t>
  </si>
  <si>
    <t>001 Pencil</t>
  </si>
  <si>
    <t>Central</t>
  </si>
  <si>
    <t>Kivell williams</t>
  </si>
  <si>
    <t>011 Binder</t>
  </si>
  <si>
    <t>JARDINE BILLIAN</t>
  </si>
  <si>
    <t>Gill Jacobson</t>
  </si>
  <si>
    <t>003 Pen</t>
  </si>
  <si>
    <t>West</t>
  </si>
  <si>
    <t>Sorvino Vitoni</t>
  </si>
  <si>
    <t>Andrews Kris</t>
  </si>
  <si>
    <t>Jardine Billian</t>
  </si>
  <si>
    <t>Thomspon Rivers</t>
  </si>
  <si>
    <t>EAST</t>
  </si>
  <si>
    <t>Morgan John</t>
  </si>
  <si>
    <t>Easte</t>
  </si>
  <si>
    <t>Howard Kip</t>
  </si>
  <si>
    <t>Parent Nance</t>
  </si>
  <si>
    <t>Eastt</t>
  </si>
  <si>
    <t>Jones Frances</t>
  </si>
  <si>
    <t>Smith Abraham</t>
  </si>
  <si>
    <t>011 Desk</t>
  </si>
  <si>
    <t>006 Pen Set</t>
  </si>
  <si>
    <t>Kivell Williams</t>
  </si>
  <si>
    <t>Item</t>
  </si>
  <si>
    <t>Title</t>
  </si>
  <si>
    <t>001</t>
  </si>
  <si>
    <t xml:space="preserve"> Pencil</t>
  </si>
  <si>
    <t>011</t>
  </si>
  <si>
    <t xml:space="preserve"> Binder</t>
  </si>
  <si>
    <t>003</t>
  </si>
  <si>
    <t xml:space="preserve"> Pen</t>
  </si>
  <si>
    <t xml:space="preserve"> Desk</t>
  </si>
  <si>
    <t>006</t>
  </si>
  <si>
    <t xml:space="preserve"> Pen Set</t>
  </si>
  <si>
    <t>Static Cost</t>
  </si>
  <si>
    <t>Cost per unit</t>
  </si>
  <si>
    <t>Steps,</t>
  </si>
  <si>
    <t>Create new sheet with data</t>
  </si>
  <si>
    <t>Remove Duplicates</t>
  </si>
  <si>
    <t>First_Name</t>
  </si>
  <si>
    <t>Last_Name</t>
  </si>
  <si>
    <t>Jones</t>
  </si>
  <si>
    <t>Smith</t>
  </si>
  <si>
    <t>Kivell</t>
  </si>
  <si>
    <t>williams</t>
  </si>
  <si>
    <t>JARDINE</t>
  </si>
  <si>
    <t>BILLIAN</t>
  </si>
  <si>
    <t>Gill</t>
  </si>
  <si>
    <t>Jacobson</t>
  </si>
  <si>
    <t>Sorvino</t>
  </si>
  <si>
    <t>Vitoni</t>
  </si>
  <si>
    <t>Andrews</t>
  </si>
  <si>
    <t>Kris</t>
  </si>
  <si>
    <t>Jardine</t>
  </si>
  <si>
    <t>Billian</t>
  </si>
  <si>
    <t>Thomspon</t>
  </si>
  <si>
    <t>Rivers</t>
  </si>
  <si>
    <t>Morgan</t>
  </si>
  <si>
    <t>John</t>
  </si>
  <si>
    <t>Howard</t>
  </si>
  <si>
    <t>Kip</t>
  </si>
  <si>
    <t>Parent</t>
  </si>
  <si>
    <t>Nance</t>
  </si>
  <si>
    <t>Frances</t>
  </si>
  <si>
    <t>Abraham</t>
  </si>
  <si>
    <t>Williams</t>
  </si>
  <si>
    <t>Total Revenu</t>
  </si>
  <si>
    <t>Total Cost of Sale</t>
  </si>
  <si>
    <t>2nd Way Vlookup</t>
  </si>
  <si>
    <t>Order Year</t>
  </si>
  <si>
    <t>Row Labels</t>
  </si>
  <si>
    <t>(blank)</t>
  </si>
  <si>
    <t>Grand Total</t>
  </si>
  <si>
    <t>Count of OrderDate</t>
  </si>
  <si>
    <t>Sales made in 2022 and 2023</t>
  </si>
  <si>
    <t>Kivell Williams Central sales</t>
  </si>
  <si>
    <t>22,21</t>
  </si>
  <si>
    <t>profit earned by jones smith in 2022?</t>
  </si>
  <si>
    <t>Total profit for the order feb 26, 2022, and also what is a region</t>
  </si>
  <si>
    <t>??</t>
  </si>
  <si>
    <t>Sum of Total Cost of Sale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</si>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</sst>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m Shaikh" refreshedDate="45910.823371296297" createdVersion="8" refreshedVersion="8" minRefreshableVersion="3" recordCount="44" xr:uid="{33D0C169-4215-45AF-BCF5-60225DEC7B8C}">
  <cacheSource type="worksheet">
    <worksheetSource ref="A1:M1048576" sheet="Advanced Excel Lab - Data (2)"/>
  </cacheSource>
  <cacheFields count="13">
    <cacheField name="Order Year" numFmtId="0">
      <sharedItems containsString="0" containsBlank="1" containsNumber="1" containsInteger="1" minValue="2022" maxValue="2023" count="3">
        <n v="2022"/>
        <n v="2023"/>
        <m/>
      </sharedItems>
    </cacheField>
    <cacheField name="OrderDate" numFmtId="0">
      <sharedItems containsNonDate="0" containsDate="1" containsString="0" containsBlank="1" minDate="2022-01-06T00:00:00" maxDate="2023-12-22T00:00:00"/>
    </cacheField>
    <cacheField name="Region" numFmtId="0">
      <sharedItems containsBlank="1"/>
    </cacheField>
    <cacheField name="Name of Rep for Sale (Last, First)" numFmtId="0">
      <sharedItems containsBlank="1" count="13">
        <s v="Jones Smith"/>
        <s v="Kivell williams"/>
        <s v="JARDINE BILLIAN"/>
        <s v="Gill Jacobson"/>
        <s v="Sorvino Vitoni"/>
        <s v="Andrews Kris"/>
        <s v="Thomspon Rivers"/>
        <s v="Morgan John"/>
        <s v="Howard Kip"/>
        <s v="Parent Nance"/>
        <s v="Jones Frances"/>
        <s v="Smith Abraham"/>
        <m/>
      </sharedItems>
    </cacheField>
    <cacheField name="First_Name" numFmtId="0">
      <sharedItems containsBlank="1" count="12">
        <s v="Jones"/>
        <s v="Kivell"/>
        <s v="JARDINE"/>
        <s v="Gill"/>
        <s v="Sorvino"/>
        <s v="Andrews"/>
        <s v="Thomspon"/>
        <s v="Morgan"/>
        <s v="Howard"/>
        <s v="Parent"/>
        <s v="Smith"/>
        <m/>
      </sharedItems>
    </cacheField>
    <cacheField name="Last_Name" numFmtId="0">
      <sharedItems containsBlank="1"/>
    </cacheField>
    <cacheField name="Item" numFmtId="0">
      <sharedItems containsBlank="1"/>
    </cacheField>
    <cacheField name="Title" numFmtId="0">
      <sharedItems containsBlank="1"/>
    </cacheField>
    <cacheField name=" Unit Cost (Unit Sale Price)" numFmtId="164">
      <sharedItems containsString="0" containsBlank="1" containsNumber="1" minValue="1.29" maxValue="275"/>
    </cacheField>
    <cacheField name="Units Sold in Order" numFmtId="0">
      <sharedItems containsString="0" containsBlank="1" containsNumber="1" containsInteger="1" minValue="2" maxValue="96"/>
    </cacheField>
    <cacheField name="Total Revenu" numFmtId="0">
      <sharedItems containsString="0" containsBlank="1" containsNumber="1" minValue="9.0300000000000011" maxValue="1879.06"/>
    </cacheField>
    <cacheField name="Total Cost of Sale" numFmtId="0">
      <sharedItems containsString="0" containsBlank="1" containsNumber="1" minValue="30.54" maxValue="64.400000000000006"/>
    </cacheField>
    <cacheField name="2nd Way Vlooku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m Shaikh" refreshedDate="45910.8297662037" createdVersion="8" refreshedVersion="8" minRefreshableVersion="3" recordCount="43" xr:uid="{1969B28B-E4F5-49FF-848C-054BF2AE327B}">
  <cacheSource type="worksheet">
    <worksheetSource ref="A1:M44" sheet="Advanced Excel Lab - Data (2)"/>
  </cacheSource>
  <cacheFields count="13">
    <cacheField name="Order Year" numFmtId="0">
      <sharedItems containsSemiMixedTypes="0" containsString="0" containsNumber="1" containsInteger="1" minValue="2022" maxValue="2023"/>
    </cacheField>
    <cacheField name="OrderDate" numFmtId="14">
      <sharedItems containsSemiMixedTypes="0" containsNonDate="0" containsDate="1" containsString="0" minDate="2022-01-06T00:00:00" maxDate="2023-12-22T00:00:00"/>
    </cacheField>
    <cacheField name="Region" numFmtId="0">
      <sharedItems count="5">
        <s v="East"/>
        <s v="Central"/>
        <s v="West"/>
        <s v="Easte" u="1"/>
        <s v="Eastt" u="1"/>
      </sharedItems>
    </cacheField>
    <cacheField name="Name of Rep for Sale (Last, First)" numFmtId="0">
      <sharedItems/>
    </cacheField>
    <cacheField name="First_Name" numFmtId="0">
      <sharedItems/>
    </cacheField>
    <cacheField name="Last_Name" numFmtId="0">
      <sharedItems/>
    </cacheField>
    <cacheField name="Item" numFmtId="0">
      <sharedItems/>
    </cacheField>
    <cacheField name="Title" numFmtId="0">
      <sharedItems count="5">
        <s v=" Pencil"/>
        <s v=" Binder"/>
        <s v=" Pen"/>
        <s v=" Desk"/>
        <s v=" Pen Set"/>
      </sharedItems>
    </cacheField>
    <cacheField name=" Unit Cost (Unit Sale Price)" numFmtId="164">
      <sharedItems containsSemiMixedTypes="0" containsString="0" containsNumber="1" minValue="1.29" maxValue="275"/>
    </cacheField>
    <cacheField name="Units Sold in Order" numFmtId="0">
      <sharedItems containsSemiMixedTypes="0" containsString="0" containsNumber="1" containsInteger="1" minValue="2" maxValue="96"/>
    </cacheField>
    <cacheField name="Total Revenu" numFmtId="164">
      <sharedItems containsSemiMixedTypes="0" containsString="0" containsNumber="1" minValue="9.0300000000000011" maxValue="1879.06"/>
    </cacheField>
    <cacheField name="Total Cost of Sale" numFmtId="0">
      <sharedItems containsSemiMixedTypes="0" containsString="0" containsNumber="1" minValue="30.54" maxValue="64.400000000000006"/>
    </cacheField>
    <cacheField name="2nd Way Vlooku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d v="2022-01-06T00:00:00"/>
    <s v="East"/>
    <x v="0"/>
    <x v="0"/>
    <s v="Smith"/>
    <s v="001"/>
    <s v=" Pencil"/>
    <n v="1.99"/>
    <n v="95"/>
    <n v="189.05"/>
    <n v="64.25"/>
    <m/>
  </r>
  <r>
    <x v="0"/>
    <d v="2022-01-23T00:00:00"/>
    <s v="Central"/>
    <x v="1"/>
    <x v="1"/>
    <s v="williams"/>
    <s v="011"/>
    <s v=" Binder"/>
    <n v="19.989999999999998"/>
    <n v="50"/>
    <n v="999.49999999999989"/>
    <n v="49"/>
    <m/>
  </r>
  <r>
    <x v="0"/>
    <d v="2022-02-09T00:00:00"/>
    <s v="Central"/>
    <x v="2"/>
    <x v="2"/>
    <s v="BILLIAN"/>
    <s v="001"/>
    <s v=" Pencil"/>
    <n v="4.99"/>
    <n v="36"/>
    <n v="179.64000000000001"/>
    <n v="46.48"/>
    <m/>
  </r>
  <r>
    <x v="0"/>
    <d v="2022-02-26T00:00:00"/>
    <s v="Central"/>
    <x v="3"/>
    <x v="3"/>
    <s v="Jacobson"/>
    <s v="003"/>
    <s v=" Pen"/>
    <n v="19.989999999999998"/>
    <n v="27"/>
    <n v="539.7299999999999"/>
    <n v="44.86"/>
    <m/>
  </r>
  <r>
    <x v="0"/>
    <d v="2022-03-15T00:00:00"/>
    <s v="West"/>
    <x v="4"/>
    <x v="4"/>
    <s v="Vitoni"/>
    <s v="001"/>
    <s v=" Pencil"/>
    <n v="2.99"/>
    <n v="56"/>
    <n v="167.44"/>
    <n v="40.08"/>
    <m/>
  </r>
  <r>
    <x v="0"/>
    <d v="2022-04-01T00:00:00"/>
    <s v="East"/>
    <x v="0"/>
    <x v="0"/>
    <s v="Smith"/>
    <s v="011"/>
    <s v=" Binder"/>
    <n v="4.99"/>
    <n v="60"/>
    <n v="299.40000000000003"/>
    <n v="59"/>
    <m/>
  </r>
  <r>
    <x v="0"/>
    <d v="2022-04-18T00:00:00"/>
    <s v="Central"/>
    <x v="5"/>
    <x v="5"/>
    <s v="Kris"/>
    <s v="001"/>
    <s v=" Pencil"/>
    <n v="1.99"/>
    <n v="75"/>
    <n v="149.25"/>
    <n v="53.5"/>
    <m/>
  </r>
  <r>
    <x v="0"/>
    <d v="2022-05-05T00:00:00"/>
    <s v="Central"/>
    <x v="2"/>
    <x v="2"/>
    <s v="BILLIAN"/>
    <s v="001"/>
    <s v=" Pencil"/>
    <n v="4.99"/>
    <n v="90"/>
    <n v="449.1"/>
    <n v="56.2"/>
    <m/>
  </r>
  <r>
    <x v="0"/>
    <d v="2022-05-22T00:00:00"/>
    <s v="West"/>
    <x v="6"/>
    <x v="6"/>
    <s v="Rivers"/>
    <s v="001"/>
    <s v=" Pencil"/>
    <n v="1.99"/>
    <n v="32"/>
    <n v="63.68"/>
    <n v="35.76"/>
    <m/>
  </r>
  <r>
    <x v="0"/>
    <d v="2022-06-08T00:00:00"/>
    <s v="East"/>
    <x v="0"/>
    <x v="0"/>
    <s v="Smith"/>
    <s v="011"/>
    <s v=" Binder"/>
    <n v="8.99"/>
    <n v="60"/>
    <n v="539.4"/>
    <n v="59"/>
    <m/>
  </r>
  <r>
    <x v="0"/>
    <d v="2022-06-25T00:00:00"/>
    <s v="Central"/>
    <x v="7"/>
    <x v="7"/>
    <s v="John"/>
    <s v="001"/>
    <s v=" Pencil"/>
    <n v="4.99"/>
    <n v="90"/>
    <n v="449.1"/>
    <n v="56.2"/>
    <m/>
  </r>
  <r>
    <x v="0"/>
    <d v="2022-07-12T00:00:00"/>
    <s v="Easte"/>
    <x v="8"/>
    <x v="8"/>
    <s v="Kip"/>
    <s v="011"/>
    <s v=" Binder"/>
    <n v="1.99"/>
    <n v="29"/>
    <n v="57.71"/>
    <n v="45.22"/>
    <m/>
  </r>
  <r>
    <x v="0"/>
    <d v="2022-07-29T00:00:00"/>
    <s v="East"/>
    <x v="9"/>
    <x v="9"/>
    <s v="Nance"/>
    <s v="011"/>
    <s v=" Binder"/>
    <n v="19.989999999999998"/>
    <n v="81"/>
    <n v="1619.1899999999998"/>
    <n v="62.15"/>
    <m/>
  </r>
  <r>
    <x v="0"/>
    <d v="2022-08-15T00:00:00"/>
    <s v="Eastt"/>
    <x v="10"/>
    <x v="0"/>
    <s v="Frances"/>
    <s v="001"/>
    <s v=" Pencil"/>
    <n v="4.99"/>
    <n v="35"/>
    <n v="174.65"/>
    <n v="46.3"/>
    <m/>
  </r>
  <r>
    <x v="0"/>
    <d v="2022-09-01T00:00:00"/>
    <s v="Central"/>
    <x v="11"/>
    <x v="10"/>
    <s v="Abraham"/>
    <s v="011"/>
    <s v=" Desk"/>
    <n v="125"/>
    <n v="2"/>
    <n v="250"/>
    <n v="40.36"/>
    <m/>
  </r>
  <r>
    <x v="0"/>
    <d v="2022-09-18T00:00:00"/>
    <s v="East"/>
    <x v="0"/>
    <x v="0"/>
    <s v="Smith"/>
    <s v="006"/>
    <s v=" Pen Set"/>
    <n v="15.99"/>
    <n v="16"/>
    <n v="255.84"/>
    <n v="52.4"/>
    <m/>
  </r>
  <r>
    <x v="0"/>
    <d v="2022-10-05T00:00:00"/>
    <s v="Central"/>
    <x v="7"/>
    <x v="7"/>
    <s v="John"/>
    <s v="011"/>
    <s v=" Binder"/>
    <n v="8.99"/>
    <n v="28"/>
    <n v="251.72"/>
    <n v="45.04"/>
    <m/>
  </r>
  <r>
    <x v="0"/>
    <d v="2022-10-22T00:00:00"/>
    <s v="East"/>
    <x v="0"/>
    <x v="0"/>
    <s v="Smith"/>
    <s v="003"/>
    <s v=" Pen"/>
    <n v="8.99"/>
    <n v="64"/>
    <n v="575.36"/>
    <n v="59.6"/>
    <m/>
  </r>
  <r>
    <x v="0"/>
    <d v="2022-11-08T00:00:00"/>
    <s v="East"/>
    <x v="9"/>
    <x v="9"/>
    <s v="Nance"/>
    <s v="003"/>
    <s v=" Pen"/>
    <n v="19.989999999999998"/>
    <n v="15"/>
    <n v="299.84999999999997"/>
    <n v="52.25"/>
    <m/>
  </r>
  <r>
    <x v="0"/>
    <d v="2022-11-25T00:00:00"/>
    <s v="East"/>
    <x v="1"/>
    <x v="1"/>
    <s v="williams"/>
    <s v="006"/>
    <s v=" Pen Set"/>
    <n v="4.99"/>
    <n v="96"/>
    <n v="479.04"/>
    <n v="64.400000000000006"/>
    <m/>
  </r>
  <r>
    <x v="0"/>
    <d v="2022-12-12T00:00:00"/>
    <s v="Central"/>
    <x v="11"/>
    <x v="10"/>
    <s v="Abraham"/>
    <s v="001"/>
    <s v=" Pencil"/>
    <n v="1.29"/>
    <n v="67"/>
    <n v="86.43"/>
    <n v="52.06"/>
    <m/>
  </r>
  <r>
    <x v="0"/>
    <d v="2022-12-29T00:00:00"/>
    <s v="East"/>
    <x v="9"/>
    <x v="9"/>
    <s v="Nance"/>
    <s v="006"/>
    <s v=" Pen Set"/>
    <n v="15.99"/>
    <n v="74"/>
    <n v="1183.26"/>
    <n v="61.1"/>
    <m/>
  </r>
  <r>
    <x v="1"/>
    <d v="2023-01-15T00:00:00"/>
    <s v="Central"/>
    <x v="3"/>
    <x v="3"/>
    <s v="Jacobson"/>
    <s v="011"/>
    <s v=" Binder"/>
    <n v="8.99"/>
    <n v="46"/>
    <n v="413.54"/>
    <n v="48.28"/>
    <m/>
  </r>
  <r>
    <x v="1"/>
    <d v="2023-02-01T00:00:00"/>
    <s v="Central"/>
    <x v="11"/>
    <x v="10"/>
    <s v="Abraham"/>
    <s v="011"/>
    <s v=" Binder"/>
    <n v="15"/>
    <n v="87"/>
    <n v="1305"/>
    <n v="55.66"/>
    <m/>
  </r>
  <r>
    <x v="1"/>
    <d v="2023-02-18T00:00:00"/>
    <s v="East"/>
    <x v="0"/>
    <x v="0"/>
    <s v="Smith"/>
    <s v="011"/>
    <s v=" Binder"/>
    <n v="4.99"/>
    <n v="4"/>
    <n v="19.96"/>
    <n v="50.6"/>
    <m/>
  </r>
  <r>
    <x v="1"/>
    <d v="2023-03-07T00:00:00"/>
    <s v="West"/>
    <x v="4"/>
    <x v="4"/>
    <s v="Vitoni"/>
    <s v="011"/>
    <s v=" Binder"/>
    <n v="19.989999999999998"/>
    <n v="7"/>
    <n v="139.92999999999998"/>
    <n v="31.26"/>
    <m/>
  </r>
  <r>
    <x v="1"/>
    <d v="2023-03-24T00:00:00"/>
    <s v="Central"/>
    <x v="2"/>
    <x v="2"/>
    <s v="BILLIAN"/>
    <s v="006"/>
    <s v=" Pen Set"/>
    <n v="4.99"/>
    <n v="50"/>
    <n v="249.5"/>
    <n v="49"/>
    <m/>
  </r>
  <r>
    <x v="1"/>
    <d v="2023-04-10T00:00:00"/>
    <s v="Central"/>
    <x v="5"/>
    <x v="5"/>
    <s v="Kris"/>
    <s v="001"/>
    <s v=" Pencil"/>
    <n v="1.99"/>
    <n v="66"/>
    <n v="131.34"/>
    <n v="51.879999999999995"/>
    <m/>
  </r>
  <r>
    <x v="1"/>
    <d v="2023-04-27T00:00:00"/>
    <s v="East"/>
    <x v="8"/>
    <x v="8"/>
    <s v="Kip"/>
    <s v="003"/>
    <s v=" Pen"/>
    <n v="4.99"/>
    <n v="96"/>
    <n v="479.04"/>
    <n v="64.400000000000006"/>
    <m/>
  </r>
  <r>
    <x v="1"/>
    <d v="2023-05-14T00:00:00"/>
    <s v="Central"/>
    <x v="3"/>
    <x v="3"/>
    <s v="Jacobson"/>
    <s v="001"/>
    <s v=" Pencil"/>
    <n v="1.29"/>
    <n v="53"/>
    <n v="68.37"/>
    <n v="49.54"/>
    <m/>
  </r>
  <r>
    <x v="1"/>
    <d v="2023-05-31T00:00:00"/>
    <s v="Central"/>
    <x v="3"/>
    <x v="3"/>
    <s v="Jacobson"/>
    <s v="011"/>
    <s v=" Binder"/>
    <n v="8.99"/>
    <n v="80"/>
    <n v="719.2"/>
    <n v="54.4"/>
    <m/>
  </r>
  <r>
    <x v="1"/>
    <d v="2023-06-17T00:00:00"/>
    <s v="Central"/>
    <x v="1"/>
    <x v="1"/>
    <s v="williams"/>
    <s v="011"/>
    <s v=" Desk"/>
    <n v="125"/>
    <n v="5"/>
    <n v="625"/>
    <n v="40.9"/>
    <m/>
  </r>
  <r>
    <x v="1"/>
    <d v="2023-07-04T00:00:00"/>
    <s v="East"/>
    <x v="0"/>
    <x v="0"/>
    <s v="Smith"/>
    <s v="006"/>
    <s v=" Pen Set"/>
    <n v="4.99"/>
    <n v="62"/>
    <n v="309.38"/>
    <n v="59.3"/>
    <m/>
  </r>
  <r>
    <x v="1"/>
    <d v="2023-07-21T00:00:00"/>
    <s v="Central"/>
    <x v="7"/>
    <x v="7"/>
    <s v="John"/>
    <s v="006"/>
    <s v=" Pen Set"/>
    <n v="12.49"/>
    <n v="55"/>
    <n v="686.95"/>
    <n v="49.9"/>
    <m/>
  </r>
  <r>
    <x v="1"/>
    <d v="2023-08-07T00:00:00"/>
    <s v="Central"/>
    <x v="1"/>
    <x v="1"/>
    <s v="williams"/>
    <s v="006"/>
    <s v=" Pen Set"/>
    <n v="23.95"/>
    <n v="42"/>
    <n v="1005.9"/>
    <n v="47.56"/>
    <m/>
  </r>
  <r>
    <x v="1"/>
    <d v="2023-08-24T00:00:00"/>
    <s v="West"/>
    <x v="4"/>
    <x v="4"/>
    <s v="Vitoni"/>
    <s v="011"/>
    <s v=" Desk"/>
    <n v="275"/>
    <n v="3"/>
    <n v="825"/>
    <n v="30.54"/>
    <m/>
  </r>
  <r>
    <x v="1"/>
    <d v="2023-09-10T00:00:00"/>
    <s v="Central"/>
    <x v="3"/>
    <x v="3"/>
    <s v="Jacobson"/>
    <s v="001"/>
    <s v=" Pencil"/>
    <n v="1.29"/>
    <n v="7"/>
    <n v="9.0300000000000011"/>
    <n v="41.26"/>
    <m/>
  </r>
  <r>
    <x v="1"/>
    <d v="2023-09-27T00:00:00"/>
    <s v="West"/>
    <x v="4"/>
    <x v="4"/>
    <s v="Vitoni"/>
    <s v="003"/>
    <s v=" Pen"/>
    <n v="1.99"/>
    <n v="76"/>
    <n v="151.24"/>
    <n v="43.68"/>
    <m/>
  </r>
  <r>
    <x v="1"/>
    <d v="2023-10-14T00:00:00"/>
    <s v="West"/>
    <x v="6"/>
    <x v="6"/>
    <s v="Rivers"/>
    <s v="011"/>
    <s v=" Binder"/>
    <n v="19.989999999999998"/>
    <n v="57"/>
    <n v="1139.4299999999998"/>
    <n v="40.26"/>
    <m/>
  </r>
  <r>
    <x v="1"/>
    <d v="2023-10-31T00:00:00"/>
    <s v="Central"/>
    <x v="5"/>
    <x v="5"/>
    <s v="Kris"/>
    <s v="001"/>
    <s v=" Pencil"/>
    <n v="1.29"/>
    <n v="14"/>
    <n v="18.060000000000002"/>
    <n v="42.52"/>
    <m/>
  </r>
  <r>
    <x v="1"/>
    <d v="2023-11-17T00:00:00"/>
    <s v="Central"/>
    <x v="2"/>
    <x v="2"/>
    <s v="BILLIAN"/>
    <s v="011"/>
    <s v=" Binder"/>
    <n v="4.99"/>
    <n v="11"/>
    <n v="54.89"/>
    <n v="41.98"/>
    <m/>
  </r>
  <r>
    <x v="1"/>
    <d v="2023-12-04T00:00:00"/>
    <s v="Central"/>
    <x v="2"/>
    <x v="2"/>
    <s v="BILLIAN"/>
    <s v="011"/>
    <s v=" Binder"/>
    <n v="19.989999999999998"/>
    <n v="94"/>
    <n v="1879.06"/>
    <n v="56.92"/>
    <m/>
  </r>
  <r>
    <x v="1"/>
    <d v="2023-12-21T00:00:00"/>
    <s v="Central"/>
    <x v="5"/>
    <x v="5"/>
    <s v="Kris"/>
    <s v="011"/>
    <s v=" Binder"/>
    <n v="4.99"/>
    <n v="28"/>
    <n v="139.72"/>
    <n v="45.04"/>
    <m/>
  </r>
  <r>
    <x v="2"/>
    <m/>
    <m/>
    <x v="12"/>
    <x v="11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2"/>
    <d v="2022-01-06T00:00:00"/>
    <x v="0"/>
    <s v="Jones Smith"/>
    <s v="Jones"/>
    <s v="Smith"/>
    <s v="001"/>
    <x v="0"/>
    <n v="1.99"/>
    <n v="95"/>
    <n v="189.05"/>
    <n v="64.25"/>
    <m/>
  </r>
  <r>
    <n v="2022"/>
    <d v="2022-01-23T00:00:00"/>
    <x v="1"/>
    <s v="Kivell williams"/>
    <s v="Kivell"/>
    <s v="williams"/>
    <s v="011"/>
    <x v="1"/>
    <n v="19.989999999999998"/>
    <n v="50"/>
    <n v="999.49999999999989"/>
    <n v="49"/>
    <m/>
  </r>
  <r>
    <n v="2022"/>
    <d v="2022-02-09T00:00:00"/>
    <x v="1"/>
    <s v="JARDINE BILLIAN"/>
    <s v="JARDINE"/>
    <s v="BILLIAN"/>
    <s v="001"/>
    <x v="0"/>
    <n v="4.99"/>
    <n v="36"/>
    <n v="179.64000000000001"/>
    <n v="46.48"/>
    <m/>
  </r>
  <r>
    <n v="2022"/>
    <d v="2022-02-26T00:00:00"/>
    <x v="1"/>
    <s v="Gill Jacobson"/>
    <s v="Gill"/>
    <s v="Jacobson"/>
    <s v="003"/>
    <x v="2"/>
    <n v="19.989999999999998"/>
    <n v="27"/>
    <n v="539.7299999999999"/>
    <n v="44.86"/>
    <m/>
  </r>
  <r>
    <n v="2022"/>
    <d v="2022-03-15T00:00:00"/>
    <x v="2"/>
    <s v="Sorvino Vitoni"/>
    <s v="Sorvino"/>
    <s v="Vitoni"/>
    <s v="001"/>
    <x v="0"/>
    <n v="2.99"/>
    <n v="56"/>
    <n v="167.44"/>
    <n v="40.08"/>
    <m/>
  </r>
  <r>
    <n v="2022"/>
    <d v="2022-04-01T00:00:00"/>
    <x v="0"/>
    <s v="Jones Smith"/>
    <s v="Jones"/>
    <s v="Smith"/>
    <s v="011"/>
    <x v="1"/>
    <n v="4.99"/>
    <n v="60"/>
    <n v="299.40000000000003"/>
    <n v="59"/>
    <m/>
  </r>
  <r>
    <n v="2022"/>
    <d v="2022-04-18T00:00:00"/>
    <x v="1"/>
    <s v="Andrews Kris"/>
    <s v="Andrews"/>
    <s v="Kris"/>
    <s v="001"/>
    <x v="0"/>
    <n v="1.99"/>
    <n v="75"/>
    <n v="149.25"/>
    <n v="53.5"/>
    <m/>
  </r>
  <r>
    <n v="2022"/>
    <d v="2022-05-05T00:00:00"/>
    <x v="1"/>
    <s v="JARDINE BILLIAN"/>
    <s v="JARDINE"/>
    <s v="BILLIAN"/>
    <s v="001"/>
    <x v="0"/>
    <n v="4.99"/>
    <n v="90"/>
    <n v="449.1"/>
    <n v="56.2"/>
    <m/>
  </r>
  <r>
    <n v="2022"/>
    <d v="2022-05-22T00:00:00"/>
    <x v="2"/>
    <s v="Thomspon Rivers"/>
    <s v="Thomspon"/>
    <s v="Rivers"/>
    <s v="001"/>
    <x v="0"/>
    <n v="1.99"/>
    <n v="32"/>
    <n v="63.68"/>
    <n v="35.76"/>
    <m/>
  </r>
  <r>
    <n v="2022"/>
    <d v="2022-06-08T00:00:00"/>
    <x v="0"/>
    <s v="Jones Smith"/>
    <s v="Jones"/>
    <s v="Smith"/>
    <s v="011"/>
    <x v="1"/>
    <n v="8.99"/>
    <n v="60"/>
    <n v="539.4"/>
    <n v="59"/>
    <m/>
  </r>
  <r>
    <n v="2022"/>
    <d v="2022-06-25T00:00:00"/>
    <x v="1"/>
    <s v="Morgan John"/>
    <s v="Morgan"/>
    <s v="John"/>
    <s v="001"/>
    <x v="0"/>
    <n v="4.99"/>
    <n v="90"/>
    <n v="449.1"/>
    <n v="56.2"/>
    <m/>
  </r>
  <r>
    <n v="2022"/>
    <d v="2022-07-12T00:00:00"/>
    <x v="0"/>
    <s v="Howard Kip"/>
    <s v="Howard"/>
    <s v="Kip"/>
    <s v="011"/>
    <x v="1"/>
    <n v="1.99"/>
    <n v="29"/>
    <n v="57.71"/>
    <n v="54.35"/>
    <m/>
  </r>
  <r>
    <n v="2022"/>
    <d v="2022-07-29T00:00:00"/>
    <x v="0"/>
    <s v="Parent Nance"/>
    <s v="Parent"/>
    <s v="Nance"/>
    <s v="011"/>
    <x v="1"/>
    <n v="19.989999999999998"/>
    <n v="81"/>
    <n v="1619.1899999999998"/>
    <n v="62.15"/>
    <m/>
  </r>
  <r>
    <n v="2022"/>
    <d v="2022-08-15T00:00:00"/>
    <x v="0"/>
    <s v="Jones Frances"/>
    <s v="Jones"/>
    <s v="Frances"/>
    <s v="001"/>
    <x v="0"/>
    <n v="4.99"/>
    <n v="35"/>
    <n v="174.65"/>
    <n v="55.25"/>
    <m/>
  </r>
  <r>
    <n v="2022"/>
    <d v="2022-09-01T00:00:00"/>
    <x v="1"/>
    <s v="Smith Abraham"/>
    <s v="Smith"/>
    <s v="Abraham"/>
    <s v="011"/>
    <x v="3"/>
    <n v="125"/>
    <n v="2"/>
    <n v="250"/>
    <n v="40.36"/>
    <m/>
  </r>
  <r>
    <n v="2022"/>
    <d v="2022-09-18T00:00:00"/>
    <x v="0"/>
    <s v="Jones Smith"/>
    <s v="Jones"/>
    <s v="Smith"/>
    <s v="006"/>
    <x v="4"/>
    <n v="15.99"/>
    <n v="16"/>
    <n v="255.84"/>
    <n v="52.4"/>
    <m/>
  </r>
  <r>
    <n v="2022"/>
    <d v="2022-10-05T00:00:00"/>
    <x v="1"/>
    <s v="Morgan John"/>
    <s v="Morgan"/>
    <s v="John"/>
    <s v="011"/>
    <x v="1"/>
    <n v="8.99"/>
    <n v="28"/>
    <n v="251.72"/>
    <n v="45.04"/>
    <m/>
  </r>
  <r>
    <n v="2022"/>
    <d v="2022-10-22T00:00:00"/>
    <x v="0"/>
    <s v="Jones Smith"/>
    <s v="Jones"/>
    <s v="Smith"/>
    <s v="003"/>
    <x v="2"/>
    <n v="8.99"/>
    <n v="64"/>
    <n v="575.36"/>
    <n v="59.6"/>
    <m/>
  </r>
  <r>
    <n v="2022"/>
    <d v="2022-11-08T00:00:00"/>
    <x v="0"/>
    <s v="Parent Nance"/>
    <s v="Parent"/>
    <s v="Nance"/>
    <s v="003"/>
    <x v="2"/>
    <n v="19.989999999999998"/>
    <n v="15"/>
    <n v="299.84999999999997"/>
    <n v="52.25"/>
    <m/>
  </r>
  <r>
    <n v="2022"/>
    <d v="2022-11-25T00:00:00"/>
    <x v="0"/>
    <s v="Kivell williams"/>
    <s v="Kivell"/>
    <s v="williams"/>
    <s v="006"/>
    <x v="4"/>
    <n v="4.99"/>
    <n v="96"/>
    <n v="479.04"/>
    <n v="64.400000000000006"/>
    <m/>
  </r>
  <r>
    <n v="2022"/>
    <d v="2022-12-12T00:00:00"/>
    <x v="1"/>
    <s v="Smith Abraham"/>
    <s v="Smith"/>
    <s v="Abraham"/>
    <s v="001"/>
    <x v="0"/>
    <n v="1.29"/>
    <n v="67"/>
    <n v="86.43"/>
    <n v="52.06"/>
    <m/>
  </r>
  <r>
    <n v="2022"/>
    <d v="2022-12-29T00:00:00"/>
    <x v="0"/>
    <s v="Parent Nance"/>
    <s v="Parent"/>
    <s v="Nance"/>
    <s v="006"/>
    <x v="4"/>
    <n v="15.99"/>
    <n v="74"/>
    <n v="1183.26"/>
    <n v="61.1"/>
    <m/>
  </r>
  <r>
    <n v="2023"/>
    <d v="2023-01-15T00:00:00"/>
    <x v="1"/>
    <s v="Gill Jacobson"/>
    <s v="Gill"/>
    <s v="Jacobson"/>
    <s v="011"/>
    <x v="1"/>
    <n v="8.99"/>
    <n v="46"/>
    <n v="413.54"/>
    <n v="48.28"/>
    <m/>
  </r>
  <r>
    <n v="2023"/>
    <d v="2023-02-01T00:00:00"/>
    <x v="1"/>
    <s v="Smith Abraham"/>
    <s v="Smith"/>
    <s v="Abraham"/>
    <s v="011"/>
    <x v="1"/>
    <n v="15"/>
    <n v="87"/>
    <n v="1305"/>
    <n v="55.66"/>
    <m/>
  </r>
  <r>
    <n v="2023"/>
    <d v="2023-02-18T00:00:00"/>
    <x v="0"/>
    <s v="Jones Smith"/>
    <s v="Jones"/>
    <s v="Smith"/>
    <s v="011"/>
    <x v="1"/>
    <n v="4.99"/>
    <n v="4"/>
    <n v="19.96"/>
    <n v="50.6"/>
    <m/>
  </r>
  <r>
    <n v="2023"/>
    <d v="2023-03-07T00:00:00"/>
    <x v="2"/>
    <s v="Sorvino Vitoni"/>
    <s v="Sorvino"/>
    <s v="Vitoni"/>
    <s v="011"/>
    <x v="1"/>
    <n v="19.989999999999998"/>
    <n v="7"/>
    <n v="139.92999999999998"/>
    <n v="31.26"/>
    <m/>
  </r>
  <r>
    <n v="2023"/>
    <d v="2023-03-24T00:00:00"/>
    <x v="1"/>
    <s v="JARDINE BILLIAN"/>
    <s v="JARDINE"/>
    <s v="BILLIAN"/>
    <s v="006"/>
    <x v="4"/>
    <n v="4.99"/>
    <n v="50"/>
    <n v="249.5"/>
    <n v="49"/>
    <m/>
  </r>
  <r>
    <n v="2023"/>
    <d v="2023-04-10T00:00:00"/>
    <x v="1"/>
    <s v="Andrews Kris"/>
    <s v="Andrews"/>
    <s v="Kris"/>
    <s v="001"/>
    <x v="0"/>
    <n v="1.99"/>
    <n v="66"/>
    <n v="131.34"/>
    <n v="51.879999999999995"/>
    <m/>
  </r>
  <r>
    <n v="2023"/>
    <d v="2023-04-27T00:00:00"/>
    <x v="0"/>
    <s v="Howard Kip"/>
    <s v="Howard"/>
    <s v="Kip"/>
    <s v="003"/>
    <x v="2"/>
    <n v="4.99"/>
    <n v="96"/>
    <n v="479.04"/>
    <n v="64.400000000000006"/>
    <m/>
  </r>
  <r>
    <n v="2023"/>
    <d v="2023-05-14T00:00:00"/>
    <x v="1"/>
    <s v="Gill Jacobson"/>
    <s v="Gill"/>
    <s v="Jacobson"/>
    <s v="001"/>
    <x v="0"/>
    <n v="1.29"/>
    <n v="53"/>
    <n v="68.37"/>
    <n v="49.54"/>
    <m/>
  </r>
  <r>
    <n v="2023"/>
    <d v="2023-05-31T00:00:00"/>
    <x v="1"/>
    <s v="Gill Jacobson"/>
    <s v="Gill"/>
    <s v="Jacobson"/>
    <s v="011"/>
    <x v="1"/>
    <n v="8.99"/>
    <n v="80"/>
    <n v="719.2"/>
    <n v="54.4"/>
    <m/>
  </r>
  <r>
    <n v="2023"/>
    <d v="2023-06-17T00:00:00"/>
    <x v="1"/>
    <s v="Kivell williams"/>
    <s v="Kivell"/>
    <s v="williams"/>
    <s v="011"/>
    <x v="3"/>
    <n v="125"/>
    <n v="5"/>
    <n v="625"/>
    <n v="40.9"/>
    <m/>
  </r>
  <r>
    <n v="2023"/>
    <d v="2023-07-04T00:00:00"/>
    <x v="0"/>
    <s v="Jones Smith"/>
    <s v="Jones"/>
    <s v="Smith"/>
    <s v="006"/>
    <x v="4"/>
    <n v="4.99"/>
    <n v="62"/>
    <n v="309.38"/>
    <n v="59.3"/>
    <m/>
  </r>
  <r>
    <n v="2023"/>
    <d v="2023-07-21T00:00:00"/>
    <x v="1"/>
    <s v="Morgan John"/>
    <s v="Morgan"/>
    <s v="John"/>
    <s v="006"/>
    <x v="4"/>
    <n v="12.49"/>
    <n v="55"/>
    <n v="686.95"/>
    <n v="49.9"/>
    <m/>
  </r>
  <r>
    <n v="2023"/>
    <d v="2023-08-07T00:00:00"/>
    <x v="1"/>
    <s v="Kivell williams"/>
    <s v="Kivell"/>
    <s v="williams"/>
    <s v="006"/>
    <x v="4"/>
    <n v="23.95"/>
    <n v="42"/>
    <n v="1005.9"/>
    <n v="47.56"/>
    <m/>
  </r>
  <r>
    <n v="2023"/>
    <d v="2023-08-24T00:00:00"/>
    <x v="2"/>
    <s v="Sorvino Vitoni"/>
    <s v="Sorvino"/>
    <s v="Vitoni"/>
    <s v="011"/>
    <x v="3"/>
    <n v="275"/>
    <n v="3"/>
    <n v="825"/>
    <n v="30.54"/>
    <m/>
  </r>
  <r>
    <n v="2023"/>
    <d v="2023-09-10T00:00:00"/>
    <x v="1"/>
    <s v="Gill Jacobson"/>
    <s v="Gill"/>
    <s v="Jacobson"/>
    <s v="001"/>
    <x v="0"/>
    <n v="1.29"/>
    <n v="7"/>
    <n v="9.0300000000000011"/>
    <n v="41.26"/>
    <m/>
  </r>
  <r>
    <n v="2023"/>
    <d v="2023-09-27T00:00:00"/>
    <x v="2"/>
    <s v="Sorvino Vitoni"/>
    <s v="Sorvino"/>
    <s v="Vitoni"/>
    <s v="003"/>
    <x v="2"/>
    <n v="1.99"/>
    <n v="76"/>
    <n v="151.24"/>
    <n v="43.68"/>
    <m/>
  </r>
  <r>
    <n v="2023"/>
    <d v="2023-10-14T00:00:00"/>
    <x v="2"/>
    <s v="Thomspon Rivers"/>
    <s v="Thomspon"/>
    <s v="Rivers"/>
    <s v="011"/>
    <x v="1"/>
    <n v="19.989999999999998"/>
    <n v="57"/>
    <n v="1139.4299999999998"/>
    <n v="40.26"/>
    <m/>
  </r>
  <r>
    <n v="2023"/>
    <d v="2023-10-31T00:00:00"/>
    <x v="1"/>
    <s v="Andrews Kris"/>
    <s v="Andrews"/>
    <s v="Kris"/>
    <s v="001"/>
    <x v="0"/>
    <n v="1.29"/>
    <n v="14"/>
    <n v="18.060000000000002"/>
    <n v="42.52"/>
    <m/>
  </r>
  <r>
    <n v="2023"/>
    <d v="2023-11-17T00:00:00"/>
    <x v="1"/>
    <s v="JARDINE BILLIAN"/>
    <s v="JARDINE"/>
    <s v="BILLIAN"/>
    <s v="011"/>
    <x v="1"/>
    <n v="4.99"/>
    <n v="11"/>
    <n v="54.89"/>
    <n v="41.98"/>
    <m/>
  </r>
  <r>
    <n v="2023"/>
    <d v="2023-12-04T00:00:00"/>
    <x v="1"/>
    <s v="JARDINE BILLIAN"/>
    <s v="JARDINE"/>
    <s v="BILLIAN"/>
    <s v="011"/>
    <x v="1"/>
    <n v="19.989999999999998"/>
    <n v="94"/>
    <n v="1879.06"/>
    <n v="56.92"/>
    <m/>
  </r>
  <r>
    <n v="2023"/>
    <d v="2023-12-21T00:00:00"/>
    <x v="1"/>
    <s v="Andrews Kris"/>
    <s v="Andrews"/>
    <s v="Kris"/>
    <s v="011"/>
    <x v="1"/>
    <n v="4.99"/>
    <n v="28"/>
    <n v="139.72"/>
    <n v="45.0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B61B8-89E4-460B-B07E-944A49A718A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85E2B-5B4E-4B6B-B7DB-A2CC95150F51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1" firstDataRow="2" firstDataCol="1"/>
  <pivotFields count="13">
    <pivotField showAll="0"/>
    <pivotField numFmtId="14" showAll="0"/>
    <pivotField axis="axisRow" showAll="0">
      <items count="6">
        <item x="1"/>
        <item x="0"/>
        <item m="1" x="3"/>
        <item m="1" x="4"/>
        <item x="2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numFmtId="164" showAll="0"/>
    <pivotField showAll="0"/>
    <pivotField numFmtId="164" showAll="0"/>
    <pivotField dataField="1" showAll="0"/>
    <pivotField showAll="0"/>
  </pivotFields>
  <rowFields count="1">
    <field x="2"/>
  </rowFields>
  <rowItems count="4">
    <i>
      <x/>
    </i>
    <i>
      <x v="1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Cost of Sal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B27F5-8EEC-4EAC-9EA5-3AC384F00BA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F19" firstHeaderRow="1" firstDataRow="1" firstDataCol="1" rowPageCount="1" colPageCount="1"/>
  <pivotFields count="13"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axis="axisPage" showAll="0">
      <items count="14">
        <item x="5"/>
        <item x="3"/>
        <item x="8"/>
        <item x="2"/>
        <item x="10"/>
        <item x="0"/>
        <item x="1"/>
        <item x="7"/>
        <item x="9"/>
        <item x="11"/>
        <item x="4"/>
        <item x="6"/>
        <item x="12"/>
        <item t="default"/>
      </items>
    </pivotField>
    <pivotField showAll="0">
      <items count="13">
        <item x="5"/>
        <item x="3"/>
        <item x="8"/>
        <item x="2"/>
        <item x="0"/>
        <item x="1"/>
        <item x="7"/>
        <item x="9"/>
        <item x="10"/>
        <item x="4"/>
        <item x="6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3" item="5" hier="-1"/>
  </pageFields>
  <dataFields count="1">
    <dataField name="Count of Order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94D4F-8842-472B-B438-5605544B07B8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8:J11" firstHeaderRow="1" firstDataRow="1" firstDataCol="1" rowPageCount="1" colPageCount="1"/>
  <pivotFields count="13"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axis="axisPage" showAll="0">
      <items count="13">
        <item x="5"/>
        <item x="3"/>
        <item x="8"/>
        <item x="2"/>
        <item x="0"/>
        <item x="1"/>
        <item x="7"/>
        <item x="9"/>
        <item x="10"/>
        <item x="4"/>
        <item x="6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4" item="5" hier="-1"/>
  </pageFields>
  <dataFields count="1">
    <dataField name="Count of Order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42A8A-78FB-4E68-BE85-12D4ECB97B4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8:F12" firstHeaderRow="1" firstDataRow="1" firstDataCol="1"/>
  <pivotFields count="13"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A01-E341-4B79-A07D-057462230C8B}">
  <dimension ref="A1:F45"/>
  <sheetViews>
    <sheetView workbookViewId="0">
      <selection activeCell="E1" sqref="E1:F1048576"/>
    </sheetView>
  </sheetViews>
  <sheetFormatPr defaultRowHeight="14.4" x14ac:dyDescent="0.3"/>
  <cols>
    <col min="1" max="1" width="10.33203125" bestFit="1" customWidth="1"/>
    <col min="2" max="2" width="6.88671875" bestFit="1" customWidth="1"/>
    <col min="3" max="3" width="27.21875" bestFit="1" customWidth="1"/>
    <col min="4" max="4" width="17.6640625" bestFit="1" customWidth="1"/>
    <col min="5" max="5" width="21.88671875" bestFit="1" customWidth="1"/>
    <col min="6" max="6" width="15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44567</v>
      </c>
      <c r="B2" t="s">
        <v>6</v>
      </c>
      <c r="C2" t="s">
        <v>7</v>
      </c>
      <c r="D2" t="s">
        <v>8</v>
      </c>
      <c r="E2">
        <v>1.99</v>
      </c>
      <c r="F2">
        <v>95</v>
      </c>
    </row>
    <row r="3" spans="1:6" x14ac:dyDescent="0.3">
      <c r="A3" s="1">
        <v>44584</v>
      </c>
      <c r="B3" t="s">
        <v>9</v>
      </c>
      <c r="C3" t="s">
        <v>10</v>
      </c>
      <c r="D3" t="s">
        <v>11</v>
      </c>
      <c r="E3">
        <v>19.989999999999998</v>
      </c>
      <c r="F3">
        <v>50</v>
      </c>
    </row>
    <row r="4" spans="1:6" x14ac:dyDescent="0.3">
      <c r="A4" s="1">
        <v>44601</v>
      </c>
      <c r="B4" t="s">
        <v>9</v>
      </c>
      <c r="C4" t="s">
        <v>12</v>
      </c>
      <c r="D4" t="s">
        <v>8</v>
      </c>
      <c r="E4">
        <v>4.99</v>
      </c>
      <c r="F4">
        <v>36</v>
      </c>
    </row>
    <row r="5" spans="1:6" x14ac:dyDescent="0.3">
      <c r="A5" s="1">
        <v>44618</v>
      </c>
      <c r="B5" t="s">
        <v>9</v>
      </c>
      <c r="C5" t="s">
        <v>13</v>
      </c>
      <c r="D5" t="s">
        <v>14</v>
      </c>
      <c r="E5">
        <v>19.989999999999998</v>
      </c>
      <c r="F5">
        <v>27</v>
      </c>
    </row>
    <row r="6" spans="1:6" x14ac:dyDescent="0.3">
      <c r="A6" s="1">
        <v>44635</v>
      </c>
      <c r="B6" t="s">
        <v>15</v>
      </c>
      <c r="C6" t="s">
        <v>16</v>
      </c>
      <c r="D6" t="s">
        <v>8</v>
      </c>
      <c r="E6">
        <v>2.99</v>
      </c>
      <c r="F6">
        <v>56</v>
      </c>
    </row>
    <row r="7" spans="1:6" x14ac:dyDescent="0.3">
      <c r="A7" s="1">
        <v>44652</v>
      </c>
      <c r="B7" t="s">
        <v>6</v>
      </c>
      <c r="C7" t="s">
        <v>7</v>
      </c>
      <c r="D7" t="s">
        <v>11</v>
      </c>
      <c r="E7">
        <v>4.99</v>
      </c>
      <c r="F7">
        <v>60</v>
      </c>
    </row>
    <row r="8" spans="1:6" x14ac:dyDescent="0.3">
      <c r="A8" s="1">
        <v>44669</v>
      </c>
      <c r="B8" t="s">
        <v>9</v>
      </c>
      <c r="C8" t="s">
        <v>17</v>
      </c>
      <c r="D8" t="s">
        <v>8</v>
      </c>
      <c r="E8">
        <v>1.99</v>
      </c>
      <c r="F8">
        <v>75</v>
      </c>
    </row>
    <row r="9" spans="1:6" x14ac:dyDescent="0.3">
      <c r="A9" s="1">
        <v>44686</v>
      </c>
      <c r="B9" t="s">
        <v>9</v>
      </c>
      <c r="C9" t="s">
        <v>18</v>
      </c>
      <c r="D9" t="s">
        <v>8</v>
      </c>
      <c r="E9">
        <v>4.99</v>
      </c>
      <c r="F9">
        <v>90</v>
      </c>
    </row>
    <row r="10" spans="1:6" x14ac:dyDescent="0.3">
      <c r="A10" s="1">
        <v>44703</v>
      </c>
      <c r="B10" t="s">
        <v>15</v>
      </c>
      <c r="C10" t="s">
        <v>19</v>
      </c>
      <c r="D10" t="s">
        <v>8</v>
      </c>
      <c r="E10">
        <v>1.99</v>
      </c>
      <c r="F10">
        <v>32</v>
      </c>
    </row>
    <row r="11" spans="1:6" x14ac:dyDescent="0.3">
      <c r="A11" s="1">
        <v>44720</v>
      </c>
      <c r="B11" t="s">
        <v>20</v>
      </c>
      <c r="C11" t="s">
        <v>7</v>
      </c>
      <c r="D11" t="s">
        <v>11</v>
      </c>
      <c r="E11">
        <v>8.99</v>
      </c>
      <c r="F11">
        <v>60</v>
      </c>
    </row>
    <row r="12" spans="1:6" x14ac:dyDescent="0.3">
      <c r="A12" s="1">
        <v>44737</v>
      </c>
      <c r="B12" t="s">
        <v>9</v>
      </c>
      <c r="C12" t="s">
        <v>21</v>
      </c>
      <c r="D12" t="s">
        <v>8</v>
      </c>
      <c r="E12">
        <v>4.99</v>
      </c>
      <c r="F12">
        <v>90</v>
      </c>
    </row>
    <row r="13" spans="1:6" x14ac:dyDescent="0.3">
      <c r="A13" s="1">
        <v>44754</v>
      </c>
      <c r="B13" t="s">
        <v>22</v>
      </c>
      <c r="C13" t="s">
        <v>23</v>
      </c>
      <c r="D13" t="s">
        <v>11</v>
      </c>
      <c r="E13">
        <v>1.99</v>
      </c>
      <c r="F13">
        <v>29</v>
      </c>
    </row>
    <row r="14" spans="1:6" x14ac:dyDescent="0.3">
      <c r="A14" s="1">
        <v>44771</v>
      </c>
      <c r="B14" t="s">
        <v>20</v>
      </c>
      <c r="C14" t="s">
        <v>24</v>
      </c>
      <c r="D14" t="s">
        <v>11</v>
      </c>
      <c r="E14">
        <v>19.989999999999998</v>
      </c>
      <c r="F14">
        <v>81</v>
      </c>
    </row>
    <row r="15" spans="1:6" x14ac:dyDescent="0.3">
      <c r="A15" s="1">
        <v>44788</v>
      </c>
      <c r="B15" t="s">
        <v>25</v>
      </c>
      <c r="C15" t="s">
        <v>26</v>
      </c>
      <c r="D15" t="s">
        <v>8</v>
      </c>
      <c r="E15">
        <v>4.99</v>
      </c>
      <c r="F15">
        <v>35</v>
      </c>
    </row>
    <row r="16" spans="1:6" x14ac:dyDescent="0.3">
      <c r="A16" s="1">
        <v>44805</v>
      </c>
      <c r="B16" t="s">
        <v>9</v>
      </c>
      <c r="C16" t="s">
        <v>27</v>
      </c>
      <c r="D16" t="s">
        <v>28</v>
      </c>
      <c r="E16">
        <v>125</v>
      </c>
      <c r="F16">
        <v>2</v>
      </c>
    </row>
    <row r="17" spans="1:6" x14ac:dyDescent="0.3">
      <c r="A17" s="1">
        <v>44822</v>
      </c>
      <c r="B17" t="s">
        <v>6</v>
      </c>
      <c r="C17" t="s">
        <v>7</v>
      </c>
      <c r="D17" t="s">
        <v>29</v>
      </c>
      <c r="E17">
        <v>15.99</v>
      </c>
      <c r="F17">
        <v>16</v>
      </c>
    </row>
    <row r="18" spans="1:6" x14ac:dyDescent="0.3">
      <c r="A18" s="1">
        <v>44839</v>
      </c>
      <c r="B18" t="s">
        <v>9</v>
      </c>
      <c r="C18" t="s">
        <v>21</v>
      </c>
      <c r="D18" t="s">
        <v>11</v>
      </c>
      <c r="E18">
        <v>8.99</v>
      </c>
      <c r="F18">
        <v>28</v>
      </c>
    </row>
    <row r="19" spans="1:6" x14ac:dyDescent="0.3">
      <c r="A19" s="1">
        <v>44856</v>
      </c>
      <c r="B19" t="s">
        <v>6</v>
      </c>
      <c r="C19" t="s">
        <v>7</v>
      </c>
      <c r="D19" t="s">
        <v>14</v>
      </c>
      <c r="E19">
        <v>8.99</v>
      </c>
      <c r="F19">
        <v>64</v>
      </c>
    </row>
    <row r="20" spans="1:6" x14ac:dyDescent="0.3">
      <c r="A20" s="1">
        <v>44873</v>
      </c>
      <c r="B20" t="s">
        <v>6</v>
      </c>
      <c r="C20" t="s">
        <v>24</v>
      </c>
      <c r="D20" t="s">
        <v>14</v>
      </c>
      <c r="E20">
        <v>19.989999999999998</v>
      </c>
      <c r="F20">
        <v>15</v>
      </c>
    </row>
    <row r="21" spans="1:6" x14ac:dyDescent="0.3">
      <c r="A21" s="1">
        <v>44890</v>
      </c>
      <c r="B21" t="s">
        <v>6</v>
      </c>
      <c r="C21" t="s">
        <v>30</v>
      </c>
      <c r="D21" t="s">
        <v>29</v>
      </c>
      <c r="E21">
        <v>4.99</v>
      </c>
      <c r="F21">
        <v>96</v>
      </c>
    </row>
    <row r="22" spans="1:6" x14ac:dyDescent="0.3">
      <c r="A22" s="1">
        <v>44907</v>
      </c>
      <c r="B22" t="s">
        <v>9</v>
      </c>
      <c r="C22" t="s">
        <v>27</v>
      </c>
      <c r="D22" t="s">
        <v>8</v>
      </c>
      <c r="E22">
        <v>1.29</v>
      </c>
      <c r="F22">
        <v>67</v>
      </c>
    </row>
    <row r="23" spans="1:6" x14ac:dyDescent="0.3">
      <c r="A23" s="1">
        <v>44924</v>
      </c>
      <c r="B23" t="s">
        <v>6</v>
      </c>
      <c r="C23" t="s">
        <v>24</v>
      </c>
      <c r="D23" t="s">
        <v>29</v>
      </c>
      <c r="E23">
        <v>15.99</v>
      </c>
      <c r="F23">
        <v>74</v>
      </c>
    </row>
    <row r="24" spans="1:6" x14ac:dyDescent="0.3">
      <c r="A24" s="1">
        <v>44941</v>
      </c>
      <c r="B24" t="s">
        <v>9</v>
      </c>
      <c r="C24" t="s">
        <v>13</v>
      </c>
      <c r="D24" t="s">
        <v>11</v>
      </c>
      <c r="E24">
        <v>8.99</v>
      </c>
      <c r="F24">
        <v>46</v>
      </c>
    </row>
    <row r="25" spans="1:6" x14ac:dyDescent="0.3">
      <c r="A25" s="1">
        <v>44958</v>
      </c>
      <c r="B25" t="s">
        <v>9</v>
      </c>
      <c r="C25" t="s">
        <v>27</v>
      </c>
      <c r="D25" t="s">
        <v>11</v>
      </c>
      <c r="E25">
        <v>15</v>
      </c>
      <c r="F25">
        <v>87</v>
      </c>
    </row>
    <row r="26" spans="1:6" x14ac:dyDescent="0.3">
      <c r="A26" s="1">
        <v>44975</v>
      </c>
      <c r="B26" t="s">
        <v>6</v>
      </c>
      <c r="C26" t="s">
        <v>7</v>
      </c>
      <c r="D26" t="s">
        <v>11</v>
      </c>
      <c r="E26">
        <v>4.99</v>
      </c>
      <c r="F26">
        <v>4</v>
      </c>
    </row>
    <row r="27" spans="1:6" x14ac:dyDescent="0.3">
      <c r="A27" s="1">
        <v>44992</v>
      </c>
      <c r="B27" t="s">
        <v>15</v>
      </c>
      <c r="C27" t="s">
        <v>16</v>
      </c>
      <c r="D27" t="s">
        <v>11</v>
      </c>
      <c r="E27">
        <v>19.989999999999998</v>
      </c>
      <c r="F27">
        <v>7</v>
      </c>
    </row>
    <row r="28" spans="1:6" x14ac:dyDescent="0.3">
      <c r="A28" s="1">
        <v>45009</v>
      </c>
      <c r="B28" t="s">
        <v>9</v>
      </c>
      <c r="C28" t="s">
        <v>18</v>
      </c>
      <c r="D28" t="s">
        <v>29</v>
      </c>
      <c r="E28">
        <v>4.99</v>
      </c>
      <c r="F28">
        <v>50</v>
      </c>
    </row>
    <row r="29" spans="1:6" x14ac:dyDescent="0.3">
      <c r="A29" s="1">
        <v>45026</v>
      </c>
      <c r="B29" t="s">
        <v>9</v>
      </c>
      <c r="C29" t="s">
        <v>17</v>
      </c>
      <c r="D29" t="s">
        <v>8</v>
      </c>
      <c r="E29">
        <v>1.99</v>
      </c>
      <c r="F29">
        <v>66</v>
      </c>
    </row>
    <row r="30" spans="1:6" x14ac:dyDescent="0.3">
      <c r="A30" s="1">
        <v>45043</v>
      </c>
      <c r="B30" t="s">
        <v>6</v>
      </c>
      <c r="C30" t="s">
        <v>23</v>
      </c>
      <c r="D30" t="s">
        <v>14</v>
      </c>
      <c r="E30">
        <v>4.99</v>
      </c>
      <c r="F30">
        <v>96</v>
      </c>
    </row>
    <row r="31" spans="1:6" x14ac:dyDescent="0.3">
      <c r="A31" s="1">
        <v>45060</v>
      </c>
      <c r="B31" t="s">
        <v>9</v>
      </c>
      <c r="C31" t="s">
        <v>13</v>
      </c>
      <c r="D31" t="s">
        <v>8</v>
      </c>
      <c r="E31">
        <v>1.29</v>
      </c>
      <c r="F31">
        <v>53</v>
      </c>
    </row>
    <row r="32" spans="1:6" x14ac:dyDescent="0.3">
      <c r="A32" s="1">
        <v>45077</v>
      </c>
      <c r="B32" t="s">
        <v>9</v>
      </c>
      <c r="C32" t="s">
        <v>13</v>
      </c>
      <c r="D32" t="s">
        <v>11</v>
      </c>
      <c r="E32">
        <v>8.99</v>
      </c>
      <c r="F32">
        <v>80</v>
      </c>
    </row>
    <row r="33" spans="1:6" x14ac:dyDescent="0.3">
      <c r="A33" s="1">
        <v>45094</v>
      </c>
      <c r="B33" t="s">
        <v>9</v>
      </c>
      <c r="C33" t="s">
        <v>30</v>
      </c>
      <c r="D33" t="s">
        <v>28</v>
      </c>
      <c r="E33">
        <v>125</v>
      </c>
      <c r="F33">
        <v>5</v>
      </c>
    </row>
    <row r="34" spans="1:6" x14ac:dyDescent="0.3">
      <c r="A34" s="1">
        <v>45111</v>
      </c>
      <c r="B34" t="s">
        <v>6</v>
      </c>
      <c r="C34" t="s">
        <v>7</v>
      </c>
      <c r="D34" t="s">
        <v>29</v>
      </c>
      <c r="E34">
        <v>4.99</v>
      </c>
      <c r="F34">
        <v>62</v>
      </c>
    </row>
    <row r="35" spans="1:6" x14ac:dyDescent="0.3">
      <c r="A35" s="1">
        <v>45128</v>
      </c>
      <c r="B35" t="s">
        <v>9</v>
      </c>
      <c r="C35" t="s">
        <v>21</v>
      </c>
      <c r="D35" t="s">
        <v>29</v>
      </c>
      <c r="E35">
        <v>12.49</v>
      </c>
      <c r="F35">
        <v>55</v>
      </c>
    </row>
    <row r="36" spans="1:6" x14ac:dyDescent="0.3">
      <c r="A36" s="1">
        <v>45145</v>
      </c>
      <c r="B36" t="s">
        <v>9</v>
      </c>
      <c r="C36" t="s">
        <v>30</v>
      </c>
      <c r="D36" t="s">
        <v>29</v>
      </c>
      <c r="E36">
        <v>23.95</v>
      </c>
      <c r="F36">
        <v>42</v>
      </c>
    </row>
    <row r="37" spans="1:6" x14ac:dyDescent="0.3">
      <c r="A37" s="1">
        <v>45162</v>
      </c>
      <c r="B37" t="s">
        <v>15</v>
      </c>
      <c r="C37" t="s">
        <v>16</v>
      </c>
      <c r="D37" t="s">
        <v>28</v>
      </c>
      <c r="E37">
        <v>275</v>
      </c>
      <c r="F37">
        <v>3</v>
      </c>
    </row>
    <row r="38" spans="1:6" x14ac:dyDescent="0.3">
      <c r="A38" s="1">
        <v>45179</v>
      </c>
      <c r="B38" t="s">
        <v>9</v>
      </c>
      <c r="C38" t="s">
        <v>13</v>
      </c>
      <c r="D38" t="s">
        <v>8</v>
      </c>
      <c r="E38">
        <v>1.29</v>
      </c>
      <c r="F38">
        <v>7</v>
      </c>
    </row>
    <row r="39" spans="1:6" x14ac:dyDescent="0.3">
      <c r="A39" s="1">
        <v>45196</v>
      </c>
      <c r="B39" t="s">
        <v>15</v>
      </c>
      <c r="C39" t="s">
        <v>16</v>
      </c>
      <c r="D39" t="s">
        <v>14</v>
      </c>
      <c r="E39">
        <v>1.99</v>
      </c>
      <c r="F39">
        <v>76</v>
      </c>
    </row>
    <row r="40" spans="1:6" x14ac:dyDescent="0.3">
      <c r="A40" s="1">
        <v>44822</v>
      </c>
      <c r="B40" t="s">
        <v>6</v>
      </c>
      <c r="C40" t="s">
        <v>7</v>
      </c>
      <c r="D40" t="s">
        <v>29</v>
      </c>
      <c r="E40">
        <v>15.99</v>
      </c>
      <c r="F40">
        <v>16</v>
      </c>
    </row>
    <row r="41" spans="1:6" x14ac:dyDescent="0.3">
      <c r="A41" s="1">
        <v>45213</v>
      </c>
      <c r="B41" t="s">
        <v>15</v>
      </c>
      <c r="C41" t="s">
        <v>19</v>
      </c>
      <c r="D41" t="s">
        <v>11</v>
      </c>
      <c r="E41">
        <v>19.989999999999998</v>
      </c>
      <c r="F41">
        <v>57</v>
      </c>
    </row>
    <row r="42" spans="1:6" x14ac:dyDescent="0.3">
      <c r="A42" s="1">
        <v>45230</v>
      </c>
      <c r="B42" t="s">
        <v>9</v>
      </c>
      <c r="C42" t="s">
        <v>17</v>
      </c>
      <c r="D42" t="s">
        <v>8</v>
      </c>
      <c r="E42">
        <v>1.29</v>
      </c>
      <c r="F42">
        <v>14</v>
      </c>
    </row>
    <row r="43" spans="1:6" x14ac:dyDescent="0.3">
      <c r="A43" s="1">
        <v>45247</v>
      </c>
      <c r="B43" t="s">
        <v>9</v>
      </c>
      <c r="C43" t="s">
        <v>18</v>
      </c>
      <c r="D43" t="s">
        <v>11</v>
      </c>
      <c r="E43">
        <v>4.99</v>
      </c>
      <c r="F43">
        <v>11</v>
      </c>
    </row>
    <row r="44" spans="1:6" x14ac:dyDescent="0.3">
      <c r="A44" s="1">
        <v>45264</v>
      </c>
      <c r="B44" t="s">
        <v>9</v>
      </c>
      <c r="C44" t="s">
        <v>18</v>
      </c>
      <c r="D44" t="s">
        <v>11</v>
      </c>
      <c r="E44">
        <v>19.989999999999998</v>
      </c>
      <c r="F44">
        <v>94</v>
      </c>
    </row>
    <row r="45" spans="1:6" x14ac:dyDescent="0.3">
      <c r="A45" s="1">
        <v>45281</v>
      </c>
      <c r="B45" t="s">
        <v>9</v>
      </c>
      <c r="C45" t="s">
        <v>17</v>
      </c>
      <c r="D45" t="s">
        <v>11</v>
      </c>
      <c r="E45">
        <v>4.99</v>
      </c>
      <c r="F4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211E-E4A4-43E0-A585-D1E951DB722A}">
  <dimension ref="A3:B7"/>
  <sheetViews>
    <sheetView workbookViewId="0">
      <selection activeCell="A3" sqref="A3:B7"/>
    </sheetView>
  </sheetViews>
  <sheetFormatPr defaultRowHeight="14.4" x14ac:dyDescent="0.3"/>
  <cols>
    <col min="1" max="1" width="12.44140625" bestFit="1" customWidth="1"/>
    <col min="2" max="2" width="16.88671875" bestFit="1" customWidth="1"/>
  </cols>
  <sheetData>
    <row r="3" spans="1:2" x14ac:dyDescent="0.3">
      <c r="A3" s="6" t="s">
        <v>78</v>
      </c>
      <c r="B3" t="s">
        <v>81</v>
      </c>
    </row>
    <row r="4" spans="1:2" x14ac:dyDescent="0.3">
      <c r="A4" s="7">
        <v>2022</v>
      </c>
      <c r="B4" s="2">
        <v>22</v>
      </c>
    </row>
    <row r="5" spans="1:2" x14ac:dyDescent="0.3">
      <c r="A5" s="7">
        <v>2023</v>
      </c>
      <c r="B5" s="2">
        <v>21</v>
      </c>
    </row>
    <row r="6" spans="1:2" x14ac:dyDescent="0.3">
      <c r="A6" s="7" t="s">
        <v>79</v>
      </c>
      <c r="B6" s="2"/>
    </row>
    <row r="7" spans="1:2" x14ac:dyDescent="0.3">
      <c r="A7" s="7" t="s">
        <v>80</v>
      </c>
      <c r="B7" s="2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3B59-230D-4367-85F5-405999F08C30}">
  <dimension ref="A3:G8"/>
  <sheetViews>
    <sheetView workbookViewId="0">
      <selection activeCell="A3" sqref="A3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6" bestFit="1" customWidth="1"/>
    <col min="4" max="4" width="7" bestFit="1" customWidth="1"/>
    <col min="5" max="5" width="7.5546875" bestFit="1" customWidth="1"/>
    <col min="6" max="6" width="7" bestFit="1" customWidth="1"/>
    <col min="7" max="7" width="10.5546875" bestFit="1" customWidth="1"/>
  </cols>
  <sheetData>
    <row r="3" spans="1:7" x14ac:dyDescent="0.3">
      <c r="A3" s="6" t="s">
        <v>88</v>
      </c>
      <c r="B3" s="6" t="s">
        <v>89</v>
      </c>
    </row>
    <row r="4" spans="1:7" x14ac:dyDescent="0.3">
      <c r="A4" s="6" t="s">
        <v>78</v>
      </c>
      <c r="B4" t="s">
        <v>36</v>
      </c>
      <c r="C4" t="s">
        <v>39</v>
      </c>
      <c r="D4" t="s">
        <v>38</v>
      </c>
      <c r="E4" t="s">
        <v>41</v>
      </c>
      <c r="F4" t="s">
        <v>34</v>
      </c>
      <c r="G4" t="s">
        <v>80</v>
      </c>
    </row>
    <row r="5" spans="1:7" x14ac:dyDescent="0.3">
      <c r="A5" s="7" t="s">
        <v>9</v>
      </c>
      <c r="B5" s="2">
        <v>396.32000000000005</v>
      </c>
      <c r="C5" s="2">
        <v>81.259999999999991</v>
      </c>
      <c r="D5" s="2">
        <v>44.86</v>
      </c>
      <c r="E5" s="2">
        <v>146.46</v>
      </c>
      <c r="F5" s="2">
        <v>449.64</v>
      </c>
      <c r="G5" s="2">
        <v>1118.54</v>
      </c>
    </row>
    <row r="6" spans="1:7" x14ac:dyDescent="0.3">
      <c r="A6" s="7" t="s">
        <v>6</v>
      </c>
      <c r="B6" s="2">
        <v>285.10000000000002</v>
      </c>
      <c r="C6" s="2"/>
      <c r="D6" s="2">
        <v>176.25</v>
      </c>
      <c r="E6" s="2">
        <v>237.2</v>
      </c>
      <c r="F6" s="2">
        <v>119.5</v>
      </c>
      <c r="G6" s="2">
        <v>818.05</v>
      </c>
    </row>
    <row r="7" spans="1:7" x14ac:dyDescent="0.3">
      <c r="A7" s="7" t="s">
        <v>15</v>
      </c>
      <c r="B7" s="2">
        <v>71.52</v>
      </c>
      <c r="C7" s="2">
        <v>30.54</v>
      </c>
      <c r="D7" s="2">
        <v>43.68</v>
      </c>
      <c r="E7" s="2"/>
      <c r="F7" s="2">
        <v>75.84</v>
      </c>
      <c r="G7" s="2">
        <v>221.58</v>
      </c>
    </row>
    <row r="8" spans="1:7" x14ac:dyDescent="0.3">
      <c r="A8" s="7" t="s">
        <v>80</v>
      </c>
      <c r="B8" s="2">
        <v>752.94</v>
      </c>
      <c r="C8" s="2">
        <v>111.79999999999998</v>
      </c>
      <c r="D8" s="2">
        <v>264.79000000000002</v>
      </c>
      <c r="E8" s="2">
        <v>383.65999999999997</v>
      </c>
      <c r="F8" s="2">
        <v>644.98</v>
      </c>
      <c r="G8" s="2">
        <v>2158.17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4F52-4024-4210-B750-5E5A85004340}">
  <dimension ref="A1:M44"/>
  <sheetViews>
    <sheetView tabSelected="1" workbookViewId="0">
      <selection activeCell="E22" sqref="E22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6.88671875" bestFit="1" customWidth="1"/>
    <col min="4" max="4" width="27.21875" bestFit="1" customWidth="1"/>
    <col min="5" max="5" width="10.21875" bestFit="1" customWidth="1"/>
    <col min="6" max="6" width="10" bestFit="1" customWidth="1"/>
    <col min="7" max="7" width="4.5546875" bestFit="1" customWidth="1"/>
    <col min="8" max="8" width="7.33203125" bestFit="1" customWidth="1"/>
    <col min="9" max="9" width="23.21875" style="3" bestFit="1" customWidth="1"/>
    <col min="10" max="10" width="15.77734375" bestFit="1" customWidth="1"/>
    <col min="11" max="11" width="11.109375" bestFit="1" customWidth="1"/>
    <col min="12" max="13" width="14.6640625" bestFit="1" customWidth="1"/>
  </cols>
  <sheetData>
    <row r="1" spans="1:13" x14ac:dyDescent="0.3">
      <c r="A1" t="s">
        <v>77</v>
      </c>
      <c r="B1" t="s">
        <v>0</v>
      </c>
      <c r="C1" t="s">
        <v>1</v>
      </c>
      <c r="D1" t="s">
        <v>2</v>
      </c>
      <c r="E1" t="s">
        <v>47</v>
      </c>
      <c r="F1" t="s">
        <v>48</v>
      </c>
      <c r="G1" t="s">
        <v>31</v>
      </c>
      <c r="H1" t="s">
        <v>32</v>
      </c>
      <c r="I1" s="3" t="s">
        <v>4</v>
      </c>
      <c r="J1" t="s">
        <v>5</v>
      </c>
      <c r="K1" t="s">
        <v>74</v>
      </c>
      <c r="L1" t="s">
        <v>75</v>
      </c>
      <c r="M1" t="s">
        <v>76</v>
      </c>
    </row>
    <row r="2" spans="1:13" x14ac:dyDescent="0.3">
      <c r="A2">
        <f>YEAR(B2)</f>
        <v>2022</v>
      </c>
      <c r="B2" s="1">
        <v>44567</v>
      </c>
      <c r="C2" t="s">
        <v>6</v>
      </c>
      <c r="D2" t="s">
        <v>7</v>
      </c>
      <c r="E2" t="s">
        <v>49</v>
      </c>
      <c r="F2" t="s">
        <v>50</v>
      </c>
      <c r="G2" t="s">
        <v>33</v>
      </c>
      <c r="H2" t="s">
        <v>34</v>
      </c>
      <c r="I2" s="3">
        <v>1.99</v>
      </c>
      <c r="J2">
        <v>95</v>
      </c>
      <c r="K2" s="3">
        <f>I2*J2</f>
        <v>189.05</v>
      </c>
      <c r="L2">
        <f>IF(C2="East",(50+(0.15*J2)),IF(C2="West",(30+(0.18*J2)),(40+(0.18*J2))))</f>
        <v>64.25</v>
      </c>
    </row>
    <row r="3" spans="1:13" x14ac:dyDescent="0.3">
      <c r="A3">
        <f t="shared" ref="A3:A44" si="0">YEAR(B3)</f>
        <v>2022</v>
      </c>
      <c r="B3" s="1">
        <v>44584</v>
      </c>
      <c r="C3" t="s">
        <v>9</v>
      </c>
      <c r="D3" t="s">
        <v>10</v>
      </c>
      <c r="E3" t="s">
        <v>51</v>
      </c>
      <c r="F3" t="s">
        <v>52</v>
      </c>
      <c r="G3" t="s">
        <v>35</v>
      </c>
      <c r="H3" t="s">
        <v>36</v>
      </c>
      <c r="I3" s="3">
        <v>19.989999999999998</v>
      </c>
      <c r="J3">
        <v>50</v>
      </c>
      <c r="K3" s="3">
        <f t="shared" ref="K3:K44" si="1">I3*J3</f>
        <v>999.49999999999989</v>
      </c>
      <c r="L3">
        <f t="shared" ref="L3:L44" si="2">IF(C3="East",(50+(0.15*J3)),IF(C3="West",(30+(0.18*J3)),(40+(0.18*J3))))</f>
        <v>49</v>
      </c>
    </row>
    <row r="4" spans="1:13" x14ac:dyDescent="0.3">
      <c r="A4">
        <f t="shared" si="0"/>
        <v>2022</v>
      </c>
      <c r="B4" s="1">
        <v>44601</v>
      </c>
      <c r="C4" t="s">
        <v>9</v>
      </c>
      <c r="D4" t="s">
        <v>12</v>
      </c>
      <c r="E4" t="s">
        <v>53</v>
      </c>
      <c r="F4" t="s">
        <v>54</v>
      </c>
      <c r="G4" t="s">
        <v>33</v>
      </c>
      <c r="H4" t="s">
        <v>34</v>
      </c>
      <c r="I4" s="3">
        <v>4.99</v>
      </c>
      <c r="J4">
        <v>36</v>
      </c>
      <c r="K4" s="3">
        <f t="shared" si="1"/>
        <v>179.64000000000001</v>
      </c>
      <c r="L4">
        <f t="shared" si="2"/>
        <v>46.48</v>
      </c>
    </row>
    <row r="5" spans="1:13" x14ac:dyDescent="0.3">
      <c r="A5">
        <f t="shared" si="0"/>
        <v>2022</v>
      </c>
      <c r="B5" s="1">
        <v>44618</v>
      </c>
      <c r="C5" t="s">
        <v>9</v>
      </c>
      <c r="D5" t="s">
        <v>13</v>
      </c>
      <c r="E5" t="s">
        <v>55</v>
      </c>
      <c r="F5" t="s">
        <v>56</v>
      </c>
      <c r="G5" t="s">
        <v>37</v>
      </c>
      <c r="H5" t="s">
        <v>38</v>
      </c>
      <c r="I5" s="3">
        <v>19.989999999999998</v>
      </c>
      <c r="J5">
        <v>27</v>
      </c>
      <c r="K5" s="3">
        <f t="shared" si="1"/>
        <v>539.7299999999999</v>
      </c>
      <c r="L5">
        <f t="shared" si="2"/>
        <v>44.86</v>
      </c>
    </row>
    <row r="6" spans="1:13" x14ac:dyDescent="0.3">
      <c r="A6">
        <f t="shared" si="0"/>
        <v>2022</v>
      </c>
      <c r="B6" s="1">
        <v>44635</v>
      </c>
      <c r="C6" t="s">
        <v>15</v>
      </c>
      <c r="D6" t="s">
        <v>16</v>
      </c>
      <c r="E6" t="s">
        <v>57</v>
      </c>
      <c r="F6" t="s">
        <v>58</v>
      </c>
      <c r="G6" t="s">
        <v>33</v>
      </c>
      <c r="H6" t="s">
        <v>34</v>
      </c>
      <c r="I6" s="3">
        <v>2.99</v>
      </c>
      <c r="J6">
        <v>56</v>
      </c>
      <c r="K6" s="3">
        <f t="shared" si="1"/>
        <v>167.44</v>
      </c>
      <c r="L6">
        <f t="shared" si="2"/>
        <v>40.08</v>
      </c>
    </row>
    <row r="7" spans="1:13" x14ac:dyDescent="0.3">
      <c r="A7">
        <f t="shared" si="0"/>
        <v>2022</v>
      </c>
      <c r="B7" s="1">
        <v>44652</v>
      </c>
      <c r="C7" t="s">
        <v>6</v>
      </c>
      <c r="D7" t="s">
        <v>7</v>
      </c>
      <c r="E7" t="s">
        <v>49</v>
      </c>
      <c r="F7" t="s">
        <v>50</v>
      </c>
      <c r="G7" t="s">
        <v>35</v>
      </c>
      <c r="H7" t="s">
        <v>36</v>
      </c>
      <c r="I7" s="3">
        <v>4.99</v>
      </c>
      <c r="J7">
        <v>60</v>
      </c>
      <c r="K7" s="3">
        <f t="shared" si="1"/>
        <v>299.40000000000003</v>
      </c>
      <c r="L7">
        <f t="shared" si="2"/>
        <v>59</v>
      </c>
    </row>
    <row r="8" spans="1:13" x14ac:dyDescent="0.3">
      <c r="A8">
        <f t="shared" si="0"/>
        <v>2022</v>
      </c>
      <c r="B8" s="1">
        <v>44669</v>
      </c>
      <c r="C8" t="s">
        <v>9</v>
      </c>
      <c r="D8" t="s">
        <v>17</v>
      </c>
      <c r="E8" t="s">
        <v>59</v>
      </c>
      <c r="F8" t="s">
        <v>60</v>
      </c>
      <c r="G8" t="s">
        <v>33</v>
      </c>
      <c r="H8" t="s">
        <v>34</v>
      </c>
      <c r="I8" s="3">
        <v>1.99</v>
      </c>
      <c r="J8">
        <v>75</v>
      </c>
      <c r="K8" s="3">
        <f t="shared" si="1"/>
        <v>149.25</v>
      </c>
      <c r="L8">
        <f t="shared" si="2"/>
        <v>53.5</v>
      </c>
    </row>
    <row r="9" spans="1:13" x14ac:dyDescent="0.3">
      <c r="A9">
        <f t="shared" si="0"/>
        <v>2022</v>
      </c>
      <c r="B9" s="1">
        <v>44686</v>
      </c>
      <c r="C9" t="s">
        <v>9</v>
      </c>
      <c r="D9" t="s">
        <v>18</v>
      </c>
      <c r="E9" t="s">
        <v>61</v>
      </c>
      <c r="F9" t="s">
        <v>62</v>
      </c>
      <c r="G9" t="s">
        <v>33</v>
      </c>
      <c r="H9" t="s">
        <v>34</v>
      </c>
      <c r="I9" s="3">
        <v>4.99</v>
      </c>
      <c r="J9">
        <v>90</v>
      </c>
      <c r="K9" s="3">
        <f t="shared" si="1"/>
        <v>449.1</v>
      </c>
      <c r="L9">
        <f t="shared" si="2"/>
        <v>56.2</v>
      </c>
    </row>
    <row r="10" spans="1:13" x14ac:dyDescent="0.3">
      <c r="A10">
        <f t="shared" si="0"/>
        <v>2022</v>
      </c>
      <c r="B10" s="1">
        <v>44703</v>
      </c>
      <c r="C10" t="s">
        <v>15</v>
      </c>
      <c r="D10" t="s">
        <v>19</v>
      </c>
      <c r="E10" t="s">
        <v>63</v>
      </c>
      <c r="F10" t="s">
        <v>64</v>
      </c>
      <c r="G10" t="s">
        <v>33</v>
      </c>
      <c r="H10" t="s">
        <v>34</v>
      </c>
      <c r="I10" s="3">
        <v>1.99</v>
      </c>
      <c r="J10">
        <v>32</v>
      </c>
      <c r="K10" s="3">
        <f t="shared" si="1"/>
        <v>63.68</v>
      </c>
      <c r="L10">
        <f t="shared" si="2"/>
        <v>35.76</v>
      </c>
    </row>
    <row r="11" spans="1:13" x14ac:dyDescent="0.3">
      <c r="A11">
        <f t="shared" si="0"/>
        <v>2022</v>
      </c>
      <c r="B11" s="1">
        <v>44720</v>
      </c>
      <c r="C11" t="s">
        <v>20</v>
      </c>
      <c r="D11" t="s">
        <v>7</v>
      </c>
      <c r="E11" t="s">
        <v>49</v>
      </c>
      <c r="F11" t="s">
        <v>50</v>
      </c>
      <c r="G11" t="s">
        <v>35</v>
      </c>
      <c r="H11" t="s">
        <v>36</v>
      </c>
      <c r="I11" s="3">
        <v>8.99</v>
      </c>
      <c r="J11">
        <v>60</v>
      </c>
      <c r="K11" s="3">
        <f t="shared" si="1"/>
        <v>539.4</v>
      </c>
      <c r="L11">
        <f t="shared" si="2"/>
        <v>59</v>
      </c>
    </row>
    <row r="12" spans="1:13" x14ac:dyDescent="0.3">
      <c r="A12">
        <f t="shared" si="0"/>
        <v>2022</v>
      </c>
      <c r="B12" s="1">
        <v>44737</v>
      </c>
      <c r="C12" t="s">
        <v>9</v>
      </c>
      <c r="D12" t="s">
        <v>21</v>
      </c>
      <c r="E12" t="s">
        <v>65</v>
      </c>
      <c r="F12" t="s">
        <v>66</v>
      </c>
      <c r="G12" t="s">
        <v>33</v>
      </c>
      <c r="H12" t="s">
        <v>34</v>
      </c>
      <c r="I12" s="3">
        <v>4.99</v>
      </c>
      <c r="J12">
        <v>90</v>
      </c>
      <c r="K12" s="3">
        <f t="shared" si="1"/>
        <v>449.1</v>
      </c>
      <c r="L12">
        <f t="shared" si="2"/>
        <v>56.2</v>
      </c>
    </row>
    <row r="13" spans="1:13" x14ac:dyDescent="0.3">
      <c r="A13">
        <f t="shared" si="0"/>
        <v>2022</v>
      </c>
      <c r="B13" s="1">
        <v>44754</v>
      </c>
      <c r="C13" s="4" t="s">
        <v>6</v>
      </c>
      <c r="D13" s="4" t="s">
        <v>23</v>
      </c>
      <c r="E13" s="4" t="s">
        <v>67</v>
      </c>
      <c r="F13" s="4" t="s">
        <v>68</v>
      </c>
      <c r="G13" s="4" t="s">
        <v>35</v>
      </c>
      <c r="H13" s="4" t="s">
        <v>36</v>
      </c>
      <c r="I13" s="5">
        <v>1.99</v>
      </c>
      <c r="J13" s="4">
        <v>29</v>
      </c>
      <c r="K13" s="5">
        <f t="shared" si="1"/>
        <v>57.71</v>
      </c>
      <c r="L13" s="4">
        <f t="shared" si="2"/>
        <v>54.35</v>
      </c>
    </row>
    <row r="14" spans="1:13" x14ac:dyDescent="0.3">
      <c r="A14">
        <f t="shared" si="0"/>
        <v>2022</v>
      </c>
      <c r="B14" s="1">
        <v>44771</v>
      </c>
      <c r="C14" t="s">
        <v>20</v>
      </c>
      <c r="D14" t="s">
        <v>24</v>
      </c>
      <c r="E14" t="s">
        <v>69</v>
      </c>
      <c r="F14" t="s">
        <v>70</v>
      </c>
      <c r="G14" t="s">
        <v>35</v>
      </c>
      <c r="H14" t="s">
        <v>36</v>
      </c>
      <c r="I14" s="3">
        <v>19.989999999999998</v>
      </c>
      <c r="J14">
        <v>81</v>
      </c>
      <c r="K14" s="3">
        <f t="shared" si="1"/>
        <v>1619.1899999999998</v>
      </c>
      <c r="L14">
        <f t="shared" si="2"/>
        <v>62.15</v>
      </c>
    </row>
    <row r="15" spans="1:13" x14ac:dyDescent="0.3">
      <c r="A15">
        <f t="shared" si="0"/>
        <v>2022</v>
      </c>
      <c r="B15" s="1">
        <v>44788</v>
      </c>
      <c r="C15" s="4" t="s">
        <v>6</v>
      </c>
      <c r="D15" s="4" t="s">
        <v>26</v>
      </c>
      <c r="E15" s="4" t="s">
        <v>49</v>
      </c>
      <c r="F15" s="4" t="s">
        <v>71</v>
      </c>
      <c r="G15" s="4" t="s">
        <v>33</v>
      </c>
      <c r="H15" s="4" t="s">
        <v>34</v>
      </c>
      <c r="I15" s="5">
        <v>4.99</v>
      </c>
      <c r="J15" s="4">
        <v>35</v>
      </c>
      <c r="K15" s="5">
        <f t="shared" si="1"/>
        <v>174.65</v>
      </c>
      <c r="L15" s="4">
        <f t="shared" si="2"/>
        <v>55.25</v>
      </c>
    </row>
    <row r="16" spans="1:13" x14ac:dyDescent="0.3">
      <c r="A16">
        <f t="shared" si="0"/>
        <v>2022</v>
      </c>
      <c r="B16" s="1">
        <v>44805</v>
      </c>
      <c r="C16" t="s">
        <v>9</v>
      </c>
      <c r="D16" t="s">
        <v>27</v>
      </c>
      <c r="E16" t="s">
        <v>50</v>
      </c>
      <c r="F16" t="s">
        <v>72</v>
      </c>
      <c r="G16" t="s">
        <v>35</v>
      </c>
      <c r="H16" t="s">
        <v>39</v>
      </c>
      <c r="I16" s="3">
        <v>125</v>
      </c>
      <c r="J16">
        <v>2</v>
      </c>
      <c r="K16" s="3">
        <f t="shared" si="1"/>
        <v>250</v>
      </c>
      <c r="L16">
        <f t="shared" si="2"/>
        <v>40.36</v>
      </c>
    </row>
    <row r="17" spans="1:12" x14ac:dyDescent="0.3">
      <c r="A17">
        <f t="shared" si="0"/>
        <v>2022</v>
      </c>
      <c r="B17" s="1">
        <v>44822</v>
      </c>
      <c r="C17" t="s">
        <v>6</v>
      </c>
      <c r="D17" t="s">
        <v>7</v>
      </c>
      <c r="E17" t="s">
        <v>49</v>
      </c>
      <c r="F17" t="s">
        <v>50</v>
      </c>
      <c r="G17" t="s">
        <v>40</v>
      </c>
      <c r="H17" t="s">
        <v>41</v>
      </c>
      <c r="I17" s="3">
        <v>15.99</v>
      </c>
      <c r="J17">
        <v>16</v>
      </c>
      <c r="K17" s="3">
        <f t="shared" si="1"/>
        <v>255.84</v>
      </c>
      <c r="L17">
        <f t="shared" si="2"/>
        <v>52.4</v>
      </c>
    </row>
    <row r="18" spans="1:12" x14ac:dyDescent="0.3">
      <c r="A18">
        <f t="shared" si="0"/>
        <v>2022</v>
      </c>
      <c r="B18" s="1">
        <v>44839</v>
      </c>
      <c r="C18" t="s">
        <v>9</v>
      </c>
      <c r="D18" t="s">
        <v>21</v>
      </c>
      <c r="E18" t="s">
        <v>65</v>
      </c>
      <c r="F18" t="s">
        <v>66</v>
      </c>
      <c r="G18" t="s">
        <v>35</v>
      </c>
      <c r="H18" t="s">
        <v>36</v>
      </c>
      <c r="I18" s="3">
        <v>8.99</v>
      </c>
      <c r="J18">
        <v>28</v>
      </c>
      <c r="K18" s="3">
        <f t="shared" si="1"/>
        <v>251.72</v>
      </c>
      <c r="L18">
        <f t="shared" si="2"/>
        <v>45.04</v>
      </c>
    </row>
    <row r="19" spans="1:12" x14ac:dyDescent="0.3">
      <c r="A19">
        <f t="shared" si="0"/>
        <v>2022</v>
      </c>
      <c r="B19" s="1">
        <v>44856</v>
      </c>
      <c r="C19" t="s">
        <v>6</v>
      </c>
      <c r="D19" t="s">
        <v>7</v>
      </c>
      <c r="E19" t="s">
        <v>49</v>
      </c>
      <c r="F19" t="s">
        <v>50</v>
      </c>
      <c r="G19" t="s">
        <v>37</v>
      </c>
      <c r="H19" t="s">
        <v>38</v>
      </c>
      <c r="I19" s="3">
        <v>8.99</v>
      </c>
      <c r="J19">
        <v>64</v>
      </c>
      <c r="K19" s="3">
        <f t="shared" si="1"/>
        <v>575.36</v>
      </c>
      <c r="L19">
        <f t="shared" si="2"/>
        <v>59.6</v>
      </c>
    </row>
    <row r="20" spans="1:12" x14ac:dyDescent="0.3">
      <c r="A20">
        <f t="shared" si="0"/>
        <v>2022</v>
      </c>
      <c r="B20" s="1">
        <v>44873</v>
      </c>
      <c r="C20" t="s">
        <v>6</v>
      </c>
      <c r="D20" t="s">
        <v>24</v>
      </c>
      <c r="E20" t="s">
        <v>69</v>
      </c>
      <c r="F20" t="s">
        <v>70</v>
      </c>
      <c r="G20" t="s">
        <v>37</v>
      </c>
      <c r="H20" t="s">
        <v>38</v>
      </c>
      <c r="I20" s="3">
        <v>19.989999999999998</v>
      </c>
      <c r="J20">
        <v>15</v>
      </c>
      <c r="K20" s="3">
        <f t="shared" si="1"/>
        <v>299.84999999999997</v>
      </c>
      <c r="L20">
        <f t="shared" si="2"/>
        <v>52.25</v>
      </c>
    </row>
    <row r="21" spans="1:12" x14ac:dyDescent="0.3">
      <c r="A21">
        <f t="shared" si="0"/>
        <v>2022</v>
      </c>
      <c r="B21" s="1">
        <v>44890</v>
      </c>
      <c r="C21" t="s">
        <v>6</v>
      </c>
      <c r="D21" t="s">
        <v>30</v>
      </c>
      <c r="E21" t="s">
        <v>51</v>
      </c>
      <c r="F21" t="s">
        <v>73</v>
      </c>
      <c r="G21" t="s">
        <v>40</v>
      </c>
      <c r="H21" t="s">
        <v>41</v>
      </c>
      <c r="I21" s="3">
        <v>4.99</v>
      </c>
      <c r="J21">
        <v>96</v>
      </c>
      <c r="K21" s="3">
        <f t="shared" si="1"/>
        <v>479.04</v>
      </c>
      <c r="L21">
        <f t="shared" si="2"/>
        <v>64.400000000000006</v>
      </c>
    </row>
    <row r="22" spans="1:12" x14ac:dyDescent="0.3">
      <c r="A22">
        <f t="shared" si="0"/>
        <v>2022</v>
      </c>
      <c r="B22" s="1">
        <v>44907</v>
      </c>
      <c r="C22" t="s">
        <v>9</v>
      </c>
      <c r="D22" t="s">
        <v>27</v>
      </c>
      <c r="E22" t="s">
        <v>50</v>
      </c>
      <c r="F22" t="s">
        <v>72</v>
      </c>
      <c r="G22" t="s">
        <v>33</v>
      </c>
      <c r="H22" t="s">
        <v>34</v>
      </c>
      <c r="I22" s="3">
        <v>1.29</v>
      </c>
      <c r="J22">
        <v>67</v>
      </c>
      <c r="K22" s="3">
        <f t="shared" si="1"/>
        <v>86.43</v>
      </c>
      <c r="L22">
        <f t="shared" si="2"/>
        <v>52.06</v>
      </c>
    </row>
    <row r="23" spans="1:12" x14ac:dyDescent="0.3">
      <c r="A23">
        <f t="shared" si="0"/>
        <v>2022</v>
      </c>
      <c r="B23" s="1">
        <v>44924</v>
      </c>
      <c r="C23" t="s">
        <v>6</v>
      </c>
      <c r="D23" t="s">
        <v>24</v>
      </c>
      <c r="E23" t="s">
        <v>69</v>
      </c>
      <c r="F23" t="s">
        <v>70</v>
      </c>
      <c r="G23" t="s">
        <v>40</v>
      </c>
      <c r="H23" t="s">
        <v>41</v>
      </c>
      <c r="I23" s="3">
        <v>15.99</v>
      </c>
      <c r="J23">
        <v>74</v>
      </c>
      <c r="K23" s="3">
        <f t="shared" si="1"/>
        <v>1183.26</v>
      </c>
      <c r="L23">
        <f t="shared" si="2"/>
        <v>61.1</v>
      </c>
    </row>
    <row r="24" spans="1:12" x14ac:dyDescent="0.3">
      <c r="A24">
        <f t="shared" si="0"/>
        <v>2023</v>
      </c>
      <c r="B24" s="1">
        <v>44941</v>
      </c>
      <c r="C24" t="s">
        <v>9</v>
      </c>
      <c r="D24" t="s">
        <v>13</v>
      </c>
      <c r="E24" t="s">
        <v>55</v>
      </c>
      <c r="F24" t="s">
        <v>56</v>
      </c>
      <c r="G24" t="s">
        <v>35</v>
      </c>
      <c r="H24" t="s">
        <v>36</v>
      </c>
      <c r="I24" s="3">
        <v>8.99</v>
      </c>
      <c r="J24">
        <v>46</v>
      </c>
      <c r="K24" s="3">
        <f t="shared" si="1"/>
        <v>413.54</v>
      </c>
      <c r="L24">
        <f t="shared" si="2"/>
        <v>48.28</v>
      </c>
    </row>
    <row r="25" spans="1:12" x14ac:dyDescent="0.3">
      <c r="A25">
        <f t="shared" si="0"/>
        <v>2023</v>
      </c>
      <c r="B25" s="1">
        <v>44958</v>
      </c>
      <c r="C25" t="s">
        <v>9</v>
      </c>
      <c r="D25" t="s">
        <v>27</v>
      </c>
      <c r="E25" t="s">
        <v>50</v>
      </c>
      <c r="F25" t="s">
        <v>72</v>
      </c>
      <c r="G25" t="s">
        <v>35</v>
      </c>
      <c r="H25" t="s">
        <v>36</v>
      </c>
      <c r="I25" s="3">
        <v>15</v>
      </c>
      <c r="J25">
        <v>87</v>
      </c>
      <c r="K25" s="3">
        <f t="shared" si="1"/>
        <v>1305</v>
      </c>
      <c r="L25">
        <f t="shared" si="2"/>
        <v>55.66</v>
      </c>
    </row>
    <row r="26" spans="1:12" x14ac:dyDescent="0.3">
      <c r="A26">
        <f t="shared" si="0"/>
        <v>2023</v>
      </c>
      <c r="B26" s="1">
        <v>44975</v>
      </c>
      <c r="C26" t="s">
        <v>6</v>
      </c>
      <c r="D26" t="s">
        <v>7</v>
      </c>
      <c r="E26" t="s">
        <v>49</v>
      </c>
      <c r="F26" t="s">
        <v>50</v>
      </c>
      <c r="G26" t="s">
        <v>35</v>
      </c>
      <c r="H26" t="s">
        <v>36</v>
      </c>
      <c r="I26" s="3">
        <v>4.99</v>
      </c>
      <c r="J26">
        <v>4</v>
      </c>
      <c r="K26" s="3">
        <f t="shared" si="1"/>
        <v>19.96</v>
      </c>
      <c r="L26">
        <f t="shared" si="2"/>
        <v>50.6</v>
      </c>
    </row>
    <row r="27" spans="1:12" x14ac:dyDescent="0.3">
      <c r="A27">
        <f t="shared" si="0"/>
        <v>2023</v>
      </c>
      <c r="B27" s="1">
        <v>44992</v>
      </c>
      <c r="C27" t="s">
        <v>15</v>
      </c>
      <c r="D27" t="s">
        <v>16</v>
      </c>
      <c r="E27" t="s">
        <v>57</v>
      </c>
      <c r="F27" t="s">
        <v>58</v>
      </c>
      <c r="G27" t="s">
        <v>35</v>
      </c>
      <c r="H27" t="s">
        <v>36</v>
      </c>
      <c r="I27" s="3">
        <v>19.989999999999998</v>
      </c>
      <c r="J27">
        <v>7</v>
      </c>
      <c r="K27" s="3">
        <f t="shared" si="1"/>
        <v>139.92999999999998</v>
      </c>
      <c r="L27">
        <f t="shared" si="2"/>
        <v>31.26</v>
      </c>
    </row>
    <row r="28" spans="1:12" x14ac:dyDescent="0.3">
      <c r="A28">
        <f t="shared" si="0"/>
        <v>2023</v>
      </c>
      <c r="B28" s="1">
        <v>45009</v>
      </c>
      <c r="C28" t="s">
        <v>9</v>
      </c>
      <c r="D28" t="s">
        <v>18</v>
      </c>
      <c r="E28" t="s">
        <v>61</v>
      </c>
      <c r="F28" t="s">
        <v>62</v>
      </c>
      <c r="G28" t="s">
        <v>40</v>
      </c>
      <c r="H28" t="s">
        <v>41</v>
      </c>
      <c r="I28" s="3">
        <v>4.99</v>
      </c>
      <c r="J28">
        <v>50</v>
      </c>
      <c r="K28" s="3">
        <f t="shared" si="1"/>
        <v>249.5</v>
      </c>
      <c r="L28">
        <f t="shared" si="2"/>
        <v>49</v>
      </c>
    </row>
    <row r="29" spans="1:12" x14ac:dyDescent="0.3">
      <c r="A29">
        <f t="shared" si="0"/>
        <v>2023</v>
      </c>
      <c r="B29" s="1">
        <v>45026</v>
      </c>
      <c r="C29" t="s">
        <v>9</v>
      </c>
      <c r="D29" t="s">
        <v>17</v>
      </c>
      <c r="E29" t="s">
        <v>59</v>
      </c>
      <c r="F29" t="s">
        <v>60</v>
      </c>
      <c r="G29" t="s">
        <v>33</v>
      </c>
      <c r="H29" t="s">
        <v>34</v>
      </c>
      <c r="I29" s="3">
        <v>1.99</v>
      </c>
      <c r="J29">
        <v>66</v>
      </c>
      <c r="K29" s="3">
        <f t="shared" si="1"/>
        <v>131.34</v>
      </c>
      <c r="L29">
        <f t="shared" si="2"/>
        <v>51.879999999999995</v>
      </c>
    </row>
    <row r="30" spans="1:12" x14ac:dyDescent="0.3">
      <c r="A30">
        <f t="shared" si="0"/>
        <v>2023</v>
      </c>
      <c r="B30" s="1">
        <v>45043</v>
      </c>
      <c r="C30" t="s">
        <v>6</v>
      </c>
      <c r="D30" t="s">
        <v>23</v>
      </c>
      <c r="E30" t="s">
        <v>67</v>
      </c>
      <c r="F30" t="s">
        <v>68</v>
      </c>
      <c r="G30" t="s">
        <v>37</v>
      </c>
      <c r="H30" t="s">
        <v>38</v>
      </c>
      <c r="I30" s="3">
        <v>4.99</v>
      </c>
      <c r="J30">
        <v>96</v>
      </c>
      <c r="K30" s="3">
        <f t="shared" si="1"/>
        <v>479.04</v>
      </c>
      <c r="L30">
        <f t="shared" si="2"/>
        <v>64.400000000000006</v>
      </c>
    </row>
    <row r="31" spans="1:12" x14ac:dyDescent="0.3">
      <c r="A31">
        <f t="shared" si="0"/>
        <v>2023</v>
      </c>
      <c r="B31" s="1">
        <v>45060</v>
      </c>
      <c r="C31" t="s">
        <v>9</v>
      </c>
      <c r="D31" t="s">
        <v>13</v>
      </c>
      <c r="E31" t="s">
        <v>55</v>
      </c>
      <c r="F31" t="s">
        <v>56</v>
      </c>
      <c r="G31" t="s">
        <v>33</v>
      </c>
      <c r="H31" t="s">
        <v>34</v>
      </c>
      <c r="I31" s="3">
        <v>1.29</v>
      </c>
      <c r="J31">
        <v>53</v>
      </c>
      <c r="K31" s="3">
        <f t="shared" si="1"/>
        <v>68.37</v>
      </c>
      <c r="L31">
        <f t="shared" si="2"/>
        <v>49.54</v>
      </c>
    </row>
    <row r="32" spans="1:12" x14ac:dyDescent="0.3">
      <c r="A32">
        <f t="shared" si="0"/>
        <v>2023</v>
      </c>
      <c r="B32" s="1">
        <v>45077</v>
      </c>
      <c r="C32" t="s">
        <v>9</v>
      </c>
      <c r="D32" t="s">
        <v>13</v>
      </c>
      <c r="E32" t="s">
        <v>55</v>
      </c>
      <c r="F32" t="s">
        <v>56</v>
      </c>
      <c r="G32" t="s">
        <v>35</v>
      </c>
      <c r="H32" t="s">
        <v>36</v>
      </c>
      <c r="I32" s="3">
        <v>8.99</v>
      </c>
      <c r="J32">
        <v>80</v>
      </c>
      <c r="K32" s="3">
        <f t="shared" si="1"/>
        <v>719.2</v>
      </c>
      <c r="L32">
        <f t="shared" si="2"/>
        <v>54.4</v>
      </c>
    </row>
    <row r="33" spans="1:12" x14ac:dyDescent="0.3">
      <c r="A33">
        <f t="shared" si="0"/>
        <v>2023</v>
      </c>
      <c r="B33" s="1">
        <v>45094</v>
      </c>
      <c r="C33" t="s">
        <v>9</v>
      </c>
      <c r="D33" t="s">
        <v>30</v>
      </c>
      <c r="E33" t="s">
        <v>51</v>
      </c>
      <c r="F33" t="s">
        <v>73</v>
      </c>
      <c r="G33" t="s">
        <v>35</v>
      </c>
      <c r="H33" t="s">
        <v>39</v>
      </c>
      <c r="I33" s="3">
        <v>125</v>
      </c>
      <c r="J33">
        <v>5</v>
      </c>
      <c r="K33" s="3">
        <f t="shared" si="1"/>
        <v>625</v>
      </c>
      <c r="L33">
        <f t="shared" si="2"/>
        <v>40.9</v>
      </c>
    </row>
    <row r="34" spans="1:12" x14ac:dyDescent="0.3">
      <c r="A34">
        <f t="shared" si="0"/>
        <v>2023</v>
      </c>
      <c r="B34" s="1">
        <v>45111</v>
      </c>
      <c r="C34" t="s">
        <v>6</v>
      </c>
      <c r="D34" t="s">
        <v>7</v>
      </c>
      <c r="E34" t="s">
        <v>49</v>
      </c>
      <c r="F34" t="s">
        <v>50</v>
      </c>
      <c r="G34" t="s">
        <v>40</v>
      </c>
      <c r="H34" t="s">
        <v>41</v>
      </c>
      <c r="I34" s="3">
        <v>4.99</v>
      </c>
      <c r="J34">
        <v>62</v>
      </c>
      <c r="K34" s="3">
        <f t="shared" si="1"/>
        <v>309.38</v>
      </c>
      <c r="L34">
        <f t="shared" si="2"/>
        <v>59.3</v>
      </c>
    </row>
    <row r="35" spans="1:12" x14ac:dyDescent="0.3">
      <c r="A35">
        <f t="shared" si="0"/>
        <v>2023</v>
      </c>
      <c r="B35" s="1">
        <v>45128</v>
      </c>
      <c r="C35" t="s">
        <v>9</v>
      </c>
      <c r="D35" t="s">
        <v>21</v>
      </c>
      <c r="E35" t="s">
        <v>65</v>
      </c>
      <c r="F35" t="s">
        <v>66</v>
      </c>
      <c r="G35" t="s">
        <v>40</v>
      </c>
      <c r="H35" t="s">
        <v>41</v>
      </c>
      <c r="I35" s="3">
        <v>12.49</v>
      </c>
      <c r="J35">
        <v>55</v>
      </c>
      <c r="K35" s="3">
        <f t="shared" si="1"/>
        <v>686.95</v>
      </c>
      <c r="L35">
        <f t="shared" si="2"/>
        <v>49.9</v>
      </c>
    </row>
    <row r="36" spans="1:12" x14ac:dyDescent="0.3">
      <c r="A36">
        <f t="shared" si="0"/>
        <v>2023</v>
      </c>
      <c r="B36" s="1">
        <v>45145</v>
      </c>
      <c r="C36" t="s">
        <v>9</v>
      </c>
      <c r="D36" t="s">
        <v>30</v>
      </c>
      <c r="E36" t="s">
        <v>51</v>
      </c>
      <c r="F36" t="s">
        <v>73</v>
      </c>
      <c r="G36" t="s">
        <v>40</v>
      </c>
      <c r="H36" t="s">
        <v>41</v>
      </c>
      <c r="I36" s="3">
        <v>23.95</v>
      </c>
      <c r="J36">
        <v>42</v>
      </c>
      <c r="K36" s="3">
        <f t="shared" si="1"/>
        <v>1005.9</v>
      </c>
      <c r="L36">
        <f t="shared" si="2"/>
        <v>47.56</v>
      </c>
    </row>
    <row r="37" spans="1:12" x14ac:dyDescent="0.3">
      <c r="A37">
        <f t="shared" si="0"/>
        <v>2023</v>
      </c>
      <c r="B37" s="1">
        <v>45162</v>
      </c>
      <c r="C37" t="s">
        <v>15</v>
      </c>
      <c r="D37" t="s">
        <v>16</v>
      </c>
      <c r="E37" t="s">
        <v>57</v>
      </c>
      <c r="F37" t="s">
        <v>58</v>
      </c>
      <c r="G37" t="s">
        <v>35</v>
      </c>
      <c r="H37" t="s">
        <v>39</v>
      </c>
      <c r="I37" s="3">
        <v>275</v>
      </c>
      <c r="J37">
        <v>3</v>
      </c>
      <c r="K37" s="3">
        <f t="shared" si="1"/>
        <v>825</v>
      </c>
      <c r="L37">
        <f t="shared" si="2"/>
        <v>30.54</v>
      </c>
    </row>
    <row r="38" spans="1:12" x14ac:dyDescent="0.3">
      <c r="A38">
        <f t="shared" si="0"/>
        <v>2023</v>
      </c>
      <c r="B38" s="1">
        <v>45179</v>
      </c>
      <c r="C38" t="s">
        <v>9</v>
      </c>
      <c r="D38" t="s">
        <v>13</v>
      </c>
      <c r="E38" t="s">
        <v>55</v>
      </c>
      <c r="F38" t="s">
        <v>56</v>
      </c>
      <c r="G38" t="s">
        <v>33</v>
      </c>
      <c r="H38" t="s">
        <v>34</v>
      </c>
      <c r="I38" s="3">
        <v>1.29</v>
      </c>
      <c r="J38">
        <v>7</v>
      </c>
      <c r="K38" s="3">
        <f t="shared" si="1"/>
        <v>9.0300000000000011</v>
      </c>
      <c r="L38">
        <f t="shared" si="2"/>
        <v>41.26</v>
      </c>
    </row>
    <row r="39" spans="1:12" x14ac:dyDescent="0.3">
      <c r="A39">
        <f t="shared" si="0"/>
        <v>2023</v>
      </c>
      <c r="B39" s="1">
        <v>45196</v>
      </c>
      <c r="C39" t="s">
        <v>15</v>
      </c>
      <c r="D39" t="s">
        <v>16</v>
      </c>
      <c r="E39" t="s">
        <v>57</v>
      </c>
      <c r="F39" t="s">
        <v>58</v>
      </c>
      <c r="G39" t="s">
        <v>37</v>
      </c>
      <c r="H39" t="s">
        <v>38</v>
      </c>
      <c r="I39" s="3">
        <v>1.99</v>
      </c>
      <c r="J39">
        <v>76</v>
      </c>
      <c r="K39" s="3">
        <f t="shared" si="1"/>
        <v>151.24</v>
      </c>
      <c r="L39">
        <f t="shared" si="2"/>
        <v>43.68</v>
      </c>
    </row>
    <row r="40" spans="1:12" x14ac:dyDescent="0.3">
      <c r="A40">
        <f t="shared" si="0"/>
        <v>2023</v>
      </c>
      <c r="B40" s="1">
        <v>45213</v>
      </c>
      <c r="C40" t="s">
        <v>15</v>
      </c>
      <c r="D40" t="s">
        <v>19</v>
      </c>
      <c r="E40" t="s">
        <v>63</v>
      </c>
      <c r="F40" t="s">
        <v>64</v>
      </c>
      <c r="G40" t="s">
        <v>35</v>
      </c>
      <c r="H40" t="s">
        <v>36</v>
      </c>
      <c r="I40" s="3">
        <v>19.989999999999998</v>
      </c>
      <c r="J40">
        <v>57</v>
      </c>
      <c r="K40" s="3">
        <f t="shared" si="1"/>
        <v>1139.4299999999998</v>
      </c>
      <c r="L40">
        <f t="shared" si="2"/>
        <v>40.26</v>
      </c>
    </row>
    <row r="41" spans="1:12" x14ac:dyDescent="0.3">
      <c r="A41">
        <f t="shared" si="0"/>
        <v>2023</v>
      </c>
      <c r="B41" s="1">
        <v>45230</v>
      </c>
      <c r="C41" t="s">
        <v>9</v>
      </c>
      <c r="D41" t="s">
        <v>17</v>
      </c>
      <c r="E41" t="s">
        <v>59</v>
      </c>
      <c r="F41" t="s">
        <v>60</v>
      </c>
      <c r="G41" t="s">
        <v>33</v>
      </c>
      <c r="H41" t="s">
        <v>34</v>
      </c>
      <c r="I41" s="3">
        <v>1.29</v>
      </c>
      <c r="J41">
        <v>14</v>
      </c>
      <c r="K41" s="3">
        <f t="shared" si="1"/>
        <v>18.060000000000002</v>
      </c>
      <c r="L41">
        <f t="shared" si="2"/>
        <v>42.52</v>
      </c>
    </row>
    <row r="42" spans="1:12" x14ac:dyDescent="0.3">
      <c r="A42">
        <f t="shared" si="0"/>
        <v>2023</v>
      </c>
      <c r="B42" s="1">
        <v>45247</v>
      </c>
      <c r="C42" t="s">
        <v>9</v>
      </c>
      <c r="D42" t="s">
        <v>18</v>
      </c>
      <c r="E42" t="s">
        <v>61</v>
      </c>
      <c r="F42" t="s">
        <v>62</v>
      </c>
      <c r="G42" t="s">
        <v>35</v>
      </c>
      <c r="H42" t="s">
        <v>36</v>
      </c>
      <c r="I42" s="3">
        <v>4.99</v>
      </c>
      <c r="J42">
        <v>11</v>
      </c>
      <c r="K42" s="3">
        <f t="shared" si="1"/>
        <v>54.89</v>
      </c>
      <c r="L42">
        <f t="shared" si="2"/>
        <v>41.98</v>
      </c>
    </row>
    <row r="43" spans="1:12" x14ac:dyDescent="0.3">
      <c r="A43">
        <f t="shared" si="0"/>
        <v>2023</v>
      </c>
      <c r="B43" s="1">
        <v>45264</v>
      </c>
      <c r="C43" t="s">
        <v>9</v>
      </c>
      <c r="D43" t="s">
        <v>18</v>
      </c>
      <c r="E43" t="s">
        <v>61</v>
      </c>
      <c r="F43" t="s">
        <v>62</v>
      </c>
      <c r="G43" t="s">
        <v>35</v>
      </c>
      <c r="H43" t="s">
        <v>36</v>
      </c>
      <c r="I43" s="3">
        <v>19.989999999999998</v>
      </c>
      <c r="J43">
        <v>94</v>
      </c>
      <c r="K43" s="3">
        <f t="shared" si="1"/>
        <v>1879.06</v>
      </c>
      <c r="L43">
        <f t="shared" si="2"/>
        <v>56.92</v>
      </c>
    </row>
    <row r="44" spans="1:12" x14ac:dyDescent="0.3">
      <c r="A44">
        <f t="shared" si="0"/>
        <v>2023</v>
      </c>
      <c r="B44" s="1">
        <v>45281</v>
      </c>
      <c r="C44" t="s">
        <v>9</v>
      </c>
      <c r="D44" t="s">
        <v>17</v>
      </c>
      <c r="E44" t="s">
        <v>59</v>
      </c>
      <c r="F44" t="s">
        <v>60</v>
      </c>
      <c r="G44" t="s">
        <v>35</v>
      </c>
      <c r="H44" t="s">
        <v>36</v>
      </c>
      <c r="I44" s="3">
        <v>4.99</v>
      </c>
      <c r="J44">
        <v>28</v>
      </c>
      <c r="K44" s="3">
        <f t="shared" si="1"/>
        <v>139.72</v>
      </c>
      <c r="L44">
        <f t="shared" si="2"/>
        <v>45.04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AFDC-69EA-45BB-94C8-17827F8FCDF1}">
  <dimension ref="A1:C8"/>
  <sheetViews>
    <sheetView workbookViewId="0">
      <selection activeCell="A9" sqref="A9"/>
    </sheetView>
  </sheetViews>
  <sheetFormatPr defaultRowHeight="14.4" x14ac:dyDescent="0.3"/>
  <sheetData>
    <row r="1" spans="1:3" x14ac:dyDescent="0.3">
      <c r="A1" t="s">
        <v>1</v>
      </c>
      <c r="B1" t="s">
        <v>42</v>
      </c>
      <c r="C1" t="s">
        <v>43</v>
      </c>
    </row>
    <row r="2" spans="1:3" x14ac:dyDescent="0.3">
      <c r="A2" t="s">
        <v>6</v>
      </c>
      <c r="B2">
        <v>50</v>
      </c>
      <c r="C2">
        <v>0.15</v>
      </c>
    </row>
    <row r="3" spans="1:3" x14ac:dyDescent="0.3">
      <c r="A3" t="s">
        <v>15</v>
      </c>
      <c r="B3">
        <v>30</v>
      </c>
      <c r="C3">
        <v>0.18</v>
      </c>
    </row>
    <row r="4" spans="1:3" x14ac:dyDescent="0.3">
      <c r="A4" t="s">
        <v>9</v>
      </c>
      <c r="B4">
        <v>40</v>
      </c>
      <c r="C4">
        <v>0.18</v>
      </c>
    </row>
    <row r="6" spans="1:3" x14ac:dyDescent="0.3">
      <c r="A6" t="s">
        <v>44</v>
      </c>
    </row>
    <row r="7" spans="1:3" x14ac:dyDescent="0.3">
      <c r="A7" t="s">
        <v>45</v>
      </c>
    </row>
    <row r="8" spans="1:3" x14ac:dyDescent="0.3">
      <c r="A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2FA0-491A-4447-A8DA-CE7C87F99879}">
  <dimension ref="A2:J19"/>
  <sheetViews>
    <sheetView workbookViewId="0">
      <selection activeCell="D5" sqref="D5"/>
    </sheetView>
  </sheetViews>
  <sheetFormatPr defaultRowHeight="14.4" x14ac:dyDescent="0.3"/>
  <cols>
    <col min="1" max="1" width="50.88671875" bestFit="1" customWidth="1"/>
    <col min="5" max="5" width="27.21875" bestFit="1" customWidth="1"/>
    <col min="6" max="6" width="16.88671875" bestFit="1" customWidth="1"/>
    <col min="9" max="9" width="12.44140625" bestFit="1" customWidth="1"/>
    <col min="10" max="10" width="16.88671875" bestFit="1" customWidth="1"/>
  </cols>
  <sheetData>
    <row r="2" spans="1:10" x14ac:dyDescent="0.3">
      <c r="A2" t="s">
        <v>82</v>
      </c>
      <c r="B2" t="s">
        <v>84</v>
      </c>
    </row>
    <row r="3" spans="1:10" x14ac:dyDescent="0.3">
      <c r="A3" t="s">
        <v>83</v>
      </c>
      <c r="B3" t="s">
        <v>87</v>
      </c>
    </row>
    <row r="4" spans="1:10" x14ac:dyDescent="0.3">
      <c r="A4" t="s">
        <v>85</v>
      </c>
      <c r="B4" t="s">
        <v>87</v>
      </c>
    </row>
    <row r="5" spans="1:10" x14ac:dyDescent="0.3">
      <c r="A5" t="s">
        <v>86</v>
      </c>
      <c r="B5" t="s">
        <v>87</v>
      </c>
    </row>
    <row r="6" spans="1:10" x14ac:dyDescent="0.3">
      <c r="I6" s="6" t="s">
        <v>47</v>
      </c>
      <c r="J6" t="s">
        <v>51</v>
      </c>
    </row>
    <row r="8" spans="1:10" x14ac:dyDescent="0.3">
      <c r="E8" s="6" t="s">
        <v>78</v>
      </c>
      <c r="F8" t="s">
        <v>81</v>
      </c>
      <c r="I8" s="6" t="s">
        <v>78</v>
      </c>
      <c r="J8" t="s">
        <v>81</v>
      </c>
    </row>
    <row r="9" spans="1:10" x14ac:dyDescent="0.3">
      <c r="E9" s="7">
        <v>2022</v>
      </c>
      <c r="F9" s="2">
        <v>22</v>
      </c>
      <c r="I9" s="7">
        <v>2022</v>
      </c>
      <c r="J9" s="2">
        <v>2</v>
      </c>
    </row>
    <row r="10" spans="1:10" x14ac:dyDescent="0.3">
      <c r="E10" s="7">
        <v>2023</v>
      </c>
      <c r="F10" s="2">
        <v>21</v>
      </c>
      <c r="I10" s="7">
        <v>2023</v>
      </c>
      <c r="J10" s="2">
        <v>2</v>
      </c>
    </row>
    <row r="11" spans="1:10" x14ac:dyDescent="0.3">
      <c r="E11" s="7" t="s">
        <v>79</v>
      </c>
      <c r="F11" s="2"/>
      <c r="I11" s="7" t="s">
        <v>80</v>
      </c>
      <c r="J11" s="2">
        <v>4</v>
      </c>
    </row>
    <row r="12" spans="1:10" x14ac:dyDescent="0.3">
      <c r="E12" s="7" t="s">
        <v>80</v>
      </c>
      <c r="F12" s="2">
        <v>43</v>
      </c>
    </row>
    <row r="14" spans="1:10" x14ac:dyDescent="0.3">
      <c r="E14" s="6" t="s">
        <v>2</v>
      </c>
      <c r="F14" t="s">
        <v>7</v>
      </c>
    </row>
    <row r="16" spans="1:10" x14ac:dyDescent="0.3">
      <c r="E16" s="6" t="s">
        <v>78</v>
      </c>
      <c r="F16" t="s">
        <v>81</v>
      </c>
    </row>
    <row r="17" spans="5:6" x14ac:dyDescent="0.3">
      <c r="E17" s="7">
        <v>2022</v>
      </c>
      <c r="F17" s="2">
        <v>5</v>
      </c>
    </row>
    <row r="18" spans="5:6" x14ac:dyDescent="0.3">
      <c r="E18" s="7">
        <v>2023</v>
      </c>
      <c r="F18" s="2">
        <v>2</v>
      </c>
    </row>
    <row r="19" spans="5:6" x14ac:dyDescent="0.3">
      <c r="E19" s="7" t="s">
        <v>80</v>
      </c>
      <c r="F1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Advanced Excel Lab - Data</vt:lpstr>
      <vt:lpstr>Sheet4</vt:lpstr>
      <vt:lpstr>Sheet5</vt:lpstr>
      <vt:lpstr>Advanced Excel Lab - Data (2)</vt:lpstr>
      <vt:lpstr>Cost Table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Shaikh</dc:creator>
  <cp:lastModifiedBy>Aleem Shaikh</cp:lastModifiedBy>
  <dcterms:created xsi:type="dcterms:W3CDTF">2025-09-11T02:14:14Z</dcterms:created>
  <dcterms:modified xsi:type="dcterms:W3CDTF">2025-09-11T03:22:11Z</dcterms:modified>
</cp:coreProperties>
</file>