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BrainStation\00Keystone Project\"/>
    </mc:Choice>
  </mc:AlternateContent>
  <xr:revisionPtr revIDLastSave="0" documentId="13_ncr:1_{42E6C1DE-AE6D-4164-804C-564223D910B3}" xr6:coauthVersionLast="47" xr6:coauthVersionMax="47" xr10:uidLastSave="{00000000-0000-0000-0000-000000000000}"/>
  <bookViews>
    <workbookView xWindow="-120" yWindow="-120" windowWidth="29040" windowHeight="15720" activeTab="5" xr2:uid="{2392D444-170F-4F20-BB57-EC2597BFB74F}"/>
  </bookViews>
  <sheets>
    <sheet name="Hp1" sheetId="1" r:id="rId1"/>
    <sheet name="Hp2" sheetId="2" r:id="rId2"/>
    <sheet name="Hp3" sheetId="3" r:id="rId3"/>
    <sheet name="Hp4" sheetId="4" r:id="rId4"/>
    <sheet name="hp5" sheetId="6" r:id="rId5"/>
    <sheet name="hp7" sheetId="7" r:id="rId6"/>
  </sheets>
  <definedNames>
    <definedName name="_xlchart.v1.0" hidden="1">'Hp3'!$F$2:$H$11</definedName>
    <definedName name="_xlchart.v1.1" hidden="1">'Hp3'!$I$1</definedName>
    <definedName name="_xlchart.v1.2" hidden="1">'Hp3'!$I$2:$I$11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G3" i="4"/>
  <c r="G2" i="4"/>
</calcChain>
</file>

<file path=xl/sharedStrings.xml><?xml version="1.0" encoding="utf-8"?>
<sst xmlns="http://schemas.openxmlformats.org/spreadsheetml/2006/main" count="378" uniqueCount="84">
  <si>
    <t>18-25</t>
  </si>
  <si>
    <t>26-35</t>
  </si>
  <si>
    <t>36-45</t>
  </si>
  <si>
    <t>46-55</t>
  </si>
  <si>
    <t>56-65</t>
  </si>
  <si>
    <t>66+</t>
  </si>
  <si>
    <t>Age_Group</t>
  </si>
  <si>
    <t>Total_purchase_amount</t>
  </si>
  <si>
    <t>Customer_subscription</t>
  </si>
  <si>
    <t>Avg_purchase_count</t>
  </si>
  <si>
    <t>Unsubscribed</t>
  </si>
  <si>
    <t>Subcribed</t>
  </si>
  <si>
    <t>product_item</t>
  </si>
  <si>
    <t>Female</t>
  </si>
  <si>
    <t>Clothing</t>
  </si>
  <si>
    <t>Jeans</t>
  </si>
  <si>
    <t>Accessories</t>
  </si>
  <si>
    <t>Gloves</t>
  </si>
  <si>
    <t>Backpack</t>
  </si>
  <si>
    <t>Footwear</t>
  </si>
  <si>
    <t>Sneakers</t>
  </si>
  <si>
    <t>Scarf</t>
  </si>
  <si>
    <t>T-shirt</t>
  </si>
  <si>
    <t>Outerwear</t>
  </si>
  <si>
    <t>Coat</t>
  </si>
  <si>
    <t>Pants</t>
  </si>
  <si>
    <t>Shoes</t>
  </si>
  <si>
    <t>Shorts</t>
  </si>
  <si>
    <t>Skirt</t>
  </si>
  <si>
    <t>Boots</t>
  </si>
  <si>
    <t>Sweater</t>
  </si>
  <si>
    <t>Hoodie</t>
  </si>
  <si>
    <t>Hat</t>
  </si>
  <si>
    <t>Jewelry</t>
  </si>
  <si>
    <t>Dress</t>
  </si>
  <si>
    <t>Jacket</t>
  </si>
  <si>
    <t>Belt</t>
  </si>
  <si>
    <t>Sunglasses</t>
  </si>
  <si>
    <t>Socks</t>
  </si>
  <si>
    <t>Handbag</t>
  </si>
  <si>
    <t>Sandals</t>
  </si>
  <si>
    <t>Shirt</t>
  </si>
  <si>
    <t>Blouse</t>
  </si>
  <si>
    <t>Male</t>
  </si>
  <si>
    <t>Customer_gender</t>
  </si>
  <si>
    <t>Product_category</t>
  </si>
  <si>
    <t>Product_item</t>
  </si>
  <si>
    <t>Purchase_count</t>
  </si>
  <si>
    <t>Purchase Preference</t>
  </si>
  <si>
    <t># product_category</t>
  </si>
  <si>
    <t>Fall</t>
  </si>
  <si>
    <t>Spring</t>
  </si>
  <si>
    <t>Summer</t>
  </si>
  <si>
    <t>Winter</t>
  </si>
  <si>
    <t>Product_season</t>
  </si>
  <si>
    <t>Month</t>
  </si>
  <si>
    <t>Purchases</t>
  </si>
  <si>
    <t>Seasons</t>
  </si>
  <si>
    <t>Total_Purchase</t>
  </si>
  <si>
    <t>Product_rating</t>
  </si>
  <si>
    <t>Avg_spend</t>
  </si>
  <si>
    <t>Shipping Type</t>
  </si>
  <si>
    <t>Free Shipping</t>
  </si>
  <si>
    <t>Standard</t>
  </si>
  <si>
    <t>Store Pickup</t>
  </si>
  <si>
    <t>Next Day Air</t>
  </si>
  <si>
    <t>Express</t>
  </si>
  <si>
    <t>2-Day Shipping</t>
  </si>
  <si>
    <t>Purchase_shipping_type</t>
  </si>
  <si>
    <t>Months</t>
  </si>
  <si>
    <t>Sep</t>
  </si>
  <si>
    <t>Oct</t>
  </si>
  <si>
    <t>Nov</t>
  </si>
  <si>
    <t>Dec</t>
  </si>
  <si>
    <t>Mar</t>
  </si>
  <si>
    <t>Apr</t>
  </si>
  <si>
    <t>May</t>
  </si>
  <si>
    <t>Jun</t>
  </si>
  <si>
    <t>Jul</t>
  </si>
  <si>
    <t>Aug</t>
  </si>
  <si>
    <t>Jan</t>
  </si>
  <si>
    <t>Feb</t>
  </si>
  <si>
    <t>Purhcase Count</t>
  </si>
  <si>
    <t>Updated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</si>
</sst>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4" borderId="0" xfId="0" applyFont="1" applyFill="1"/>
    <xf numFmtId="0" fontId="0" fillId="3" borderId="4" xfId="0" applyFill="1" applyBorder="1"/>
    <xf numFmtId="0" fontId="0" fillId="0" borderId="4" xfId="0" applyBorder="1"/>
    <xf numFmtId="1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/>
    <xf numFmtId="0" fontId="1" fillId="4" borderId="0" xfId="0" applyFont="1" applyFill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16">
    <dxf>
      <numFmt numFmtId="1" formatCode="0"/>
    </dxf>
    <dxf>
      <numFmt numFmtId="1" formatCode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4" formatCode="_-&quot;$&quot;* #,##0_-;\-&quot;$&quot;* #,##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Vs. Total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'Hp1'!$B$1</c:f>
              <c:strCache>
                <c:ptCount val="1"/>
                <c:pt idx="0">
                  <c:v>Total_purchase_amount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11D-4B37-B32A-427F0088C4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'Hp1'!$A$2:$A$7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66+</c:v>
                </c:pt>
              </c:strCache>
            </c:strRef>
          </c:cat>
          <c:val>
            <c:numRef>
              <c:f>'Hp1'!$B$2:$B$7</c:f>
              <c:numCache>
                <c:formatCode>_-"$"* #,##0_-;\-"$"* #,##0_-;_-"$"* "-"??_-;_-@_-</c:formatCode>
                <c:ptCount val="6"/>
                <c:pt idx="0">
                  <c:v>34630</c:v>
                </c:pt>
                <c:pt idx="1">
                  <c:v>44342</c:v>
                </c:pt>
                <c:pt idx="2">
                  <c:v>43234</c:v>
                </c:pt>
                <c:pt idx="3">
                  <c:v>45619</c:v>
                </c:pt>
                <c:pt idx="4">
                  <c:v>44352</c:v>
                </c:pt>
                <c:pt idx="5">
                  <c:v>20904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1-490E-82E9-30946398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7646320"/>
        <c:axId val="1627640080"/>
      </c:barChart>
      <c:catAx>
        <c:axId val="1627646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Age Groups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40080"/>
        <c:crosses val="autoZero"/>
        <c:auto val="1"/>
        <c:lblAlgn val="ctr"/>
        <c:lblOffset val="100"/>
        <c:noMultiLvlLbl val="0"/>
      </c:catAx>
      <c:valAx>
        <c:axId val="16276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6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</a:t>
            </a:r>
            <a:r>
              <a:rPr lang="en-US" baseline="0"/>
              <a:t> Purchase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'Hp2'!$B$1</c:f>
              <c:strCache>
                <c:ptCount val="1"/>
                <c:pt idx="0">
                  <c:v>Avg_purchase_count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B-40D1-B571-B63840D5B1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CB-40D1-B571-B63840D5B16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'Hp2'!$A$2:$A$3</c:f>
              <c:strCache>
                <c:ptCount val="2"/>
                <c:pt idx="0">
                  <c:v>Subcribed</c:v>
                </c:pt>
                <c:pt idx="1">
                  <c:v>Unsubscribed</c:v>
                </c:pt>
              </c:strCache>
            </c:strRef>
          </c:cat>
          <c:val>
            <c:numRef>
              <c:f>'Hp2'!$B$2:$B$3</c:f>
              <c:numCache>
                <c:formatCode>General</c:formatCode>
                <c:ptCount val="2"/>
                <c:pt idx="0">
                  <c:v>26.084499999999998</c:v>
                </c:pt>
                <c:pt idx="1">
                  <c:v>25.080400000000001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7-46B4-9890-75E99E397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2C-4488-8C0E-F631D28A32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2C-4488-8C0E-F631D28A32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2C-4488-8C0E-F631D28A32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A2C-4488-8C0E-F631D28A32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A2C-4488-8C0E-F631D28A32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'Hp3'!$F$2:$H$6</c:f>
              <c:multiLvlStrCache>
                <c:ptCount val="5"/>
                <c:lvl>
                  <c:pt idx="0">
                    <c:v>Blouse</c:v>
                  </c:pt>
                  <c:pt idx="1">
                    <c:v>Sandals</c:v>
                  </c:pt>
                  <c:pt idx="2">
                    <c:v>Shirt</c:v>
                  </c:pt>
                  <c:pt idx="3">
                    <c:v>Socks</c:v>
                  </c:pt>
                  <c:pt idx="4">
                    <c:v>Handbag</c:v>
                  </c:pt>
                </c:lvl>
                <c:lvl>
                  <c:pt idx="0">
                    <c:v>Clothing</c:v>
                  </c:pt>
                  <c:pt idx="1">
                    <c:v>Footwear</c:v>
                  </c:pt>
                  <c:pt idx="2">
                    <c:v>Clothing</c:v>
                  </c:pt>
                  <c:pt idx="3">
                    <c:v>Clothing</c:v>
                  </c:pt>
                  <c:pt idx="4">
                    <c:v>Accessories</c:v>
                  </c:pt>
                </c:lvl>
                <c:lvl>
                  <c:pt idx="0">
                    <c:v>Female</c:v>
                  </c:pt>
                  <c:pt idx="1">
                    <c:v>Female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Female</c:v>
                  </c:pt>
                </c:lvl>
              </c:multiLvlStrCache>
            </c:multiLvlStrRef>
          </c:cat>
          <c:val>
            <c:numRef>
              <c:f>'Hp3'!$I$2:$I$6</c:f>
              <c:numCache>
                <c:formatCode>General</c:formatCode>
                <c:ptCount val="5"/>
                <c:pt idx="0">
                  <c:v>66</c:v>
                </c:pt>
                <c:pt idx="1">
                  <c:v>59</c:v>
                </c:pt>
                <c:pt idx="2">
                  <c:v>59</c:v>
                </c:pt>
                <c:pt idx="3">
                  <c:v>58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D-42EA-B42E-1901DD49E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3-4FF8-971D-9C32E79CA3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3-4FF8-971D-9C32E79CA3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3-4FF8-971D-9C32E79CA3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3-4FF8-971D-9C32E79CA3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3-4FF8-971D-9C32E79CA3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'Hp3'!$F$7:$H$11</c:f>
              <c:multiLvlStrCache>
                <c:ptCount val="5"/>
                <c:lvl>
                  <c:pt idx="0">
                    <c:v>Pants</c:v>
                  </c:pt>
                  <c:pt idx="1">
                    <c:v>Jewelry</c:v>
                  </c:pt>
                  <c:pt idx="2">
                    <c:v>Dress</c:v>
                  </c:pt>
                  <c:pt idx="3">
                    <c:v>Coat</c:v>
                  </c:pt>
                  <c:pt idx="4">
                    <c:v>Sweater</c:v>
                  </c:pt>
                </c:lvl>
                <c:lvl>
                  <c:pt idx="0">
                    <c:v>Clothing</c:v>
                  </c:pt>
                  <c:pt idx="1">
                    <c:v>Accessories</c:v>
                  </c:pt>
                  <c:pt idx="2">
                    <c:v>Clothing</c:v>
                  </c:pt>
                  <c:pt idx="3">
                    <c:v>Outerwear</c:v>
                  </c:pt>
                  <c:pt idx="4">
                    <c:v>Clothing</c:v>
                  </c:pt>
                </c:lvl>
                <c:lvl>
                  <c:pt idx="0">
                    <c:v>Male</c:v>
                  </c:pt>
                  <c:pt idx="1">
                    <c:v>Male</c:v>
                  </c:pt>
                  <c:pt idx="2">
                    <c:v>Male</c:v>
                  </c:pt>
                  <c:pt idx="3">
                    <c:v>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'Hp3'!$I$7:$I$11</c:f>
              <c:numCache>
                <c:formatCode>General</c:formatCode>
                <c:ptCount val="5"/>
                <c:pt idx="0">
                  <c:v>123</c:v>
                </c:pt>
                <c:pt idx="1">
                  <c:v>119</c:v>
                </c:pt>
                <c:pt idx="2">
                  <c:v>114</c:v>
                </c:pt>
                <c:pt idx="3">
                  <c:v>114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0-421F-84BB-17216E7E8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Female</a:t>
            </a:r>
            <a:r>
              <a:rPr lang="en-US" baseline="0"/>
              <a:t> Purchase Count per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'Hp3'!$C$56</c:f>
              <c:strCache>
                <c:ptCount val="1"/>
                <c:pt idx="0">
                  <c:v>Purchase_count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97-49D9-9C69-5A80DE92A5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97-49D9-9C69-5A80DE92A5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97-49D9-9C69-5A80DE92A5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197-49D9-9C69-5A80DE92A5D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'Hp3'!$B$57:$B$60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'Hp3'!$C$57:$C$60</c:f>
              <c:numCache>
                <c:formatCode>General</c:formatCode>
                <c:ptCount val="4"/>
                <c:pt idx="0">
                  <c:v>556</c:v>
                </c:pt>
                <c:pt idx="1">
                  <c:v>392</c:v>
                </c:pt>
                <c:pt idx="2">
                  <c:v>199</c:v>
                </c:pt>
                <c:pt idx="3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9-4D94-BBAB-C6711349D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Male</a:t>
            </a:r>
            <a:r>
              <a:rPr lang="en-CA" baseline="0"/>
              <a:t> Purchase Count per Category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821-420A-945F-BAE3D0C651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821-420A-945F-BAE3D0C651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821-420A-945F-BAE3D0C651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821-420A-945F-BAE3D0C651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'Hp3'!$B$61:$B$64</c:f>
              <c:strCache>
                <c:ptCount val="4"/>
                <c:pt idx="0">
                  <c:v>Clothing</c:v>
                </c:pt>
                <c:pt idx="1">
                  <c:v>Accessories</c:v>
                </c:pt>
                <c:pt idx="2">
                  <c:v>Footwear</c:v>
                </c:pt>
                <c:pt idx="3">
                  <c:v>Outerwear</c:v>
                </c:pt>
              </c:strCache>
            </c:strRef>
          </c:cat>
          <c:val>
            <c:numRef>
              <c:f>'Hp3'!$C$61:$C$64</c:f>
              <c:numCache>
                <c:formatCode>General</c:formatCode>
                <c:ptCount val="4"/>
                <c:pt idx="0">
                  <c:v>1181</c:v>
                </c:pt>
                <c:pt idx="1">
                  <c:v>848</c:v>
                </c:pt>
                <c:pt idx="2">
                  <c:v>400</c:v>
                </c:pt>
                <c:pt idx="3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8-4B6F-83F5-FF47CC7B3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'Hp4'!$G$1</c:f>
              <c:strCache>
                <c:ptCount val="1"/>
                <c:pt idx="0">
                  <c:v>Total_Purchase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'Hp4'!$F$2:$F$5</c:f>
              <c:strCache>
                <c:ptCount val="4"/>
                <c:pt idx="0">
                  <c:v>Fall</c:v>
                </c:pt>
                <c:pt idx="1">
                  <c:v>Winter</c:v>
                </c:pt>
                <c:pt idx="2">
                  <c:v>Spring</c:v>
                </c:pt>
                <c:pt idx="3">
                  <c:v>Summer</c:v>
                </c:pt>
              </c:strCache>
            </c:strRef>
          </c:cat>
          <c:val>
            <c:numRef>
              <c:f>'Hp4'!$G$2:$G$5</c:f>
              <c:numCache>
                <c:formatCode>General</c:formatCode>
                <c:ptCount val="4"/>
                <c:pt idx="0">
                  <c:v>975</c:v>
                </c:pt>
                <c:pt idx="1">
                  <c:v>971</c:v>
                </c:pt>
                <c:pt idx="2">
                  <c:v>999</c:v>
                </c:pt>
                <c:pt idx="3">
                  <c:v>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2-4953-B766-61857C181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2987504"/>
        <c:axId val="1812985104"/>
      </c:barChart>
      <c:catAx>
        <c:axId val="181298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Seasons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5104"/>
        <c:crosses val="autoZero"/>
        <c:auto val="1"/>
        <c:lblAlgn val="ctr"/>
        <c:lblOffset val="100"/>
        <c:noMultiLvlLbl val="0"/>
      </c:catAx>
      <c:valAx>
        <c:axId val="181298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 Purchase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> Purchase Count per Seasons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'Hp4'!$E$19:$F$30</c:f>
              <c:multiLvlStrCache>
                <c:ptCount val="12"/>
                <c:lvl>
                  <c:pt idx="0">
                    <c:v>Sep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</c:lvl>
                <c:lvl>
                  <c:pt idx="0">
                    <c:v>Fall</c:v>
                  </c:pt>
                  <c:pt idx="3">
                    <c:v>Winter</c:v>
                  </c:pt>
                  <c:pt idx="6">
                    <c:v>Spring</c:v>
                  </c:pt>
                  <c:pt idx="9">
                    <c:v>Summer</c:v>
                  </c:pt>
                </c:lvl>
              </c:multiLvlStrCache>
            </c:multiLvlStrRef>
          </c:cat>
          <c:val>
            <c:numRef>
              <c:f>'Hp4'!$G$19:$G$30</c:f>
              <c:numCache>
                <c:formatCode>General</c:formatCode>
                <c:ptCount val="12"/>
                <c:pt idx="0">
                  <c:v>315</c:v>
                </c:pt>
                <c:pt idx="1">
                  <c:v>338</c:v>
                </c:pt>
                <c:pt idx="2">
                  <c:v>322</c:v>
                </c:pt>
                <c:pt idx="3">
                  <c:v>329</c:v>
                </c:pt>
                <c:pt idx="4">
                  <c:v>319</c:v>
                </c:pt>
                <c:pt idx="5">
                  <c:v>323</c:v>
                </c:pt>
                <c:pt idx="6">
                  <c:v>311</c:v>
                </c:pt>
                <c:pt idx="7">
                  <c:v>338</c:v>
                </c:pt>
                <c:pt idx="8">
                  <c:v>350</c:v>
                </c:pt>
                <c:pt idx="9">
                  <c:v>303</c:v>
                </c:pt>
                <c:pt idx="10">
                  <c:v>344</c:v>
                </c:pt>
                <c:pt idx="11">
                  <c:v>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7-4CBF-A82F-7F0F5D47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9330096"/>
        <c:axId val="1599332496"/>
      </c:lineChart>
      <c:catAx>
        <c:axId val="159933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Seasons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32496"/>
        <c:crosses val="autoZero"/>
        <c:auto val="1"/>
        <c:lblAlgn val="ctr"/>
        <c:lblOffset val="100"/>
        <c:noMultiLvlLbl val="0"/>
      </c:catAx>
      <c:valAx>
        <c:axId val="1599332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Purchase Count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2723024205307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30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Product Rating Vs</a:t>
            </a:r>
            <a:r>
              <a:rPr lang="en-CA" baseline="0"/>
              <a:t> Number of Purchase / Average Spend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'hp5'!$B$1</c:f>
              <c:strCache>
                <c:ptCount val="1"/>
                <c:pt idx="0">
                  <c:v>Purchase_count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'hp5'!$A$2:$A$27</c:f>
              <c:numCache>
                <c:formatCode>General</c:formatCode>
                <c:ptCount val="2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4.0999999999999996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4.5999999999999996</c:v>
                </c:pt>
                <c:pt idx="22">
                  <c:v>4.7</c:v>
                </c:pt>
                <c:pt idx="23">
                  <c:v>4.8</c:v>
                </c:pt>
                <c:pt idx="24">
                  <c:v>4.9000000000000004</c:v>
                </c:pt>
                <c:pt idx="25">
                  <c:v>5</c:v>
                </c:pt>
              </c:numCache>
            </c:numRef>
          </c:cat>
          <c:val>
            <c:numRef>
              <c:f>'hp5'!$B$2:$B$27</c:f>
              <c:numCache>
                <c:formatCode>General</c:formatCode>
                <c:ptCount val="26"/>
                <c:pt idx="0">
                  <c:v>66</c:v>
                </c:pt>
                <c:pt idx="1">
                  <c:v>159</c:v>
                </c:pt>
                <c:pt idx="2">
                  <c:v>154</c:v>
                </c:pt>
                <c:pt idx="3">
                  <c:v>136</c:v>
                </c:pt>
                <c:pt idx="4">
                  <c:v>170</c:v>
                </c:pt>
                <c:pt idx="5">
                  <c:v>162</c:v>
                </c:pt>
                <c:pt idx="6">
                  <c:v>157</c:v>
                </c:pt>
                <c:pt idx="7">
                  <c:v>152</c:v>
                </c:pt>
                <c:pt idx="8">
                  <c:v>152</c:v>
                </c:pt>
                <c:pt idx="9">
                  <c:v>182</c:v>
                </c:pt>
                <c:pt idx="10">
                  <c:v>156</c:v>
                </c:pt>
                <c:pt idx="11">
                  <c:v>149</c:v>
                </c:pt>
                <c:pt idx="12">
                  <c:v>156</c:v>
                </c:pt>
                <c:pt idx="13">
                  <c:v>142</c:v>
                </c:pt>
                <c:pt idx="14">
                  <c:v>163</c:v>
                </c:pt>
                <c:pt idx="15">
                  <c:v>181</c:v>
                </c:pt>
                <c:pt idx="16">
                  <c:v>148</c:v>
                </c:pt>
                <c:pt idx="17">
                  <c:v>171</c:v>
                </c:pt>
                <c:pt idx="18">
                  <c:v>147</c:v>
                </c:pt>
                <c:pt idx="19">
                  <c:v>158</c:v>
                </c:pt>
                <c:pt idx="20">
                  <c:v>139</c:v>
                </c:pt>
                <c:pt idx="21">
                  <c:v>174</c:v>
                </c:pt>
                <c:pt idx="22">
                  <c:v>148</c:v>
                </c:pt>
                <c:pt idx="23">
                  <c:v>144</c:v>
                </c:pt>
                <c:pt idx="24">
                  <c:v>166</c:v>
                </c:pt>
                <c:pt idx="25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38-4175-81C8-3A4BAAAEF9F3}"/>
            </c:ext>
          </c:extLst>
        </c:ser>
        <c:ser>
          <c:idx val="1"/>
          <c:order val="1"/>
          <c:tx>
            <c:strRef>
              <c:f>'hp5'!$C$1</c:f>
              <c:strCache>
                <c:ptCount val="1"/>
                <c:pt idx="0">
                  <c:v>Avg_spend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2700000" spcFirstLastPara="1" vertOverflow="ellipsis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'hp5'!$A$2:$A$27</c:f>
              <c:numCache>
                <c:formatCode>General</c:formatCode>
                <c:ptCount val="26"/>
                <c:pt idx="0">
                  <c:v>2.5</c:v>
                </c:pt>
                <c:pt idx="1">
                  <c:v>2.6</c:v>
                </c:pt>
                <c:pt idx="2">
                  <c:v>2.7</c:v>
                </c:pt>
                <c:pt idx="3">
                  <c:v>2.8</c:v>
                </c:pt>
                <c:pt idx="4">
                  <c:v>2.9</c:v>
                </c:pt>
                <c:pt idx="5">
                  <c:v>3</c:v>
                </c:pt>
                <c:pt idx="6">
                  <c:v>3.1</c:v>
                </c:pt>
                <c:pt idx="7">
                  <c:v>3.2</c:v>
                </c:pt>
                <c:pt idx="8">
                  <c:v>3.3</c:v>
                </c:pt>
                <c:pt idx="9">
                  <c:v>3.4</c:v>
                </c:pt>
                <c:pt idx="10">
                  <c:v>3.5</c:v>
                </c:pt>
                <c:pt idx="11">
                  <c:v>3.6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4.0999999999999996</c:v>
                </c:pt>
                <c:pt idx="17">
                  <c:v>4.2</c:v>
                </c:pt>
                <c:pt idx="18">
                  <c:v>4.3</c:v>
                </c:pt>
                <c:pt idx="19">
                  <c:v>4.4000000000000004</c:v>
                </c:pt>
                <c:pt idx="20">
                  <c:v>4.5</c:v>
                </c:pt>
                <c:pt idx="21">
                  <c:v>4.5999999999999996</c:v>
                </c:pt>
                <c:pt idx="22">
                  <c:v>4.7</c:v>
                </c:pt>
                <c:pt idx="23">
                  <c:v>4.8</c:v>
                </c:pt>
                <c:pt idx="24">
                  <c:v>4.9000000000000004</c:v>
                </c:pt>
                <c:pt idx="25">
                  <c:v>5</c:v>
                </c:pt>
              </c:numCache>
            </c:numRef>
          </c:cat>
          <c:val>
            <c:numRef>
              <c:f>'hp5'!$C$2:$C$27</c:f>
              <c:numCache>
                <c:formatCode>0</c:formatCode>
                <c:ptCount val="26"/>
                <c:pt idx="0">
                  <c:v>62.287878787878697</c:v>
                </c:pt>
                <c:pt idx="1">
                  <c:v>59.566037735849001</c:v>
                </c:pt>
                <c:pt idx="2">
                  <c:v>59.363636363636303</c:v>
                </c:pt>
                <c:pt idx="3">
                  <c:v>57.066176470588204</c:v>
                </c:pt>
                <c:pt idx="4">
                  <c:v>56.470588235294102</c:v>
                </c:pt>
                <c:pt idx="5">
                  <c:v>60.7283950617283</c:v>
                </c:pt>
                <c:pt idx="6">
                  <c:v>58.7707006369426</c:v>
                </c:pt>
                <c:pt idx="7">
                  <c:v>61.315789473684198</c:v>
                </c:pt>
                <c:pt idx="8">
                  <c:v>59.861842105263101</c:v>
                </c:pt>
                <c:pt idx="9">
                  <c:v>59.005494505494497</c:v>
                </c:pt>
                <c:pt idx="10">
                  <c:v>58.8333333333333</c:v>
                </c:pt>
                <c:pt idx="11">
                  <c:v>57.322147651006702</c:v>
                </c:pt>
                <c:pt idx="12">
                  <c:v>58.9743589743589</c:v>
                </c:pt>
                <c:pt idx="13">
                  <c:v>60.873239436619698</c:v>
                </c:pt>
                <c:pt idx="14">
                  <c:v>58.926380368098101</c:v>
                </c:pt>
                <c:pt idx="15">
                  <c:v>59.237569060773403</c:v>
                </c:pt>
                <c:pt idx="16">
                  <c:v>61.959459459459403</c:v>
                </c:pt>
                <c:pt idx="17">
                  <c:v>60.853801169590596</c:v>
                </c:pt>
                <c:pt idx="18">
                  <c:v>59.673469387755098</c:v>
                </c:pt>
                <c:pt idx="19">
                  <c:v>60.525316455696199</c:v>
                </c:pt>
                <c:pt idx="20">
                  <c:v>59.489208633093497</c:v>
                </c:pt>
                <c:pt idx="21">
                  <c:v>57.683908045976999</c:v>
                </c:pt>
                <c:pt idx="22">
                  <c:v>59.283783783783697</c:v>
                </c:pt>
                <c:pt idx="23">
                  <c:v>61.8819444444444</c:v>
                </c:pt>
                <c:pt idx="24">
                  <c:v>63.885542168674696</c:v>
                </c:pt>
                <c:pt idx="25">
                  <c:v>64.352941176470594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38-4175-81C8-3A4BAAAEF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312672"/>
        <c:axId val="1638313152"/>
      </c:lineChart>
      <c:catAx>
        <c:axId val="1638312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Product Rating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13152"/>
        <c:crosses val="autoZero"/>
        <c:auto val="1"/>
        <c:lblAlgn val="ctr"/>
        <c:lblOffset val="100"/>
        <c:noMultiLvlLbl val="0"/>
      </c:catAx>
      <c:valAx>
        <c:axId val="1638313152"/>
        <c:scaling>
          <c:orientation val="minMax"/>
          <c:max val="190"/>
          <c:min val="2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31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</a:t>
            </a:r>
            <a:r>
              <a:rPr lang="en-US" baseline="0"/>
              <a:t> </a:t>
            </a:r>
            <a:r>
              <a:rPr lang="en-US"/>
              <a:t>count vs</a:t>
            </a:r>
            <a:r>
              <a:rPr lang="en-US" baseline="0"/>
              <a:t> Shipping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'hp7'!$B$2</c:f>
              <c:strCache>
                <c:ptCount val="1"/>
                <c:pt idx="0">
                  <c:v>Purchase_count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'hp7'!$A$3:$A$8</c:f>
              <c:strCache>
                <c:ptCount val="6"/>
                <c:pt idx="0">
                  <c:v>Free Shipping</c:v>
                </c:pt>
                <c:pt idx="1">
                  <c:v>Standard</c:v>
                </c:pt>
                <c:pt idx="2">
                  <c:v>Store Pickup</c:v>
                </c:pt>
                <c:pt idx="3">
                  <c:v>Next Day Air</c:v>
                </c:pt>
                <c:pt idx="4">
                  <c:v>Express</c:v>
                </c:pt>
                <c:pt idx="5">
                  <c:v>2-Day Shipping</c:v>
                </c:pt>
              </c:strCache>
            </c:strRef>
          </c:cat>
          <c:val>
            <c:numRef>
              <c:f>'hp7'!$B$3:$B$8</c:f>
              <c:numCache>
                <c:formatCode>General</c:formatCode>
                <c:ptCount val="6"/>
                <c:pt idx="0">
                  <c:v>675</c:v>
                </c:pt>
                <c:pt idx="1">
                  <c:v>654</c:v>
                </c:pt>
                <c:pt idx="2">
                  <c:v>650</c:v>
                </c:pt>
                <c:pt idx="3">
                  <c:v>648</c:v>
                </c:pt>
                <c:pt idx="4">
                  <c:v>646</c:v>
                </c:pt>
                <c:pt idx="5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A-45A4-A06D-93AFF001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050720"/>
        <c:axId val="1952059360"/>
      </c:barChart>
      <c:catAx>
        <c:axId val="1952050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Shipping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59360"/>
        <c:crosses val="autoZero"/>
        <c:auto val="1"/>
        <c:lblAlgn val="ctr"/>
        <c:lblOffset val="100"/>
        <c:noMultiLvlLbl val="0"/>
      </c:catAx>
      <c:valAx>
        <c:axId val="1952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Purchase</a:t>
                </a:r>
                <a:r>
                  <a:rPr lang="en-CA" baseline="0"/>
                  <a:t> Count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5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</a:t>
            </a:r>
            <a:r>
              <a:rPr lang="en-US"/>
              <a:t>spend vs Shipping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'hp7'!$C$2</c:f>
              <c:strCache>
                <c:ptCount val="1"/>
                <c:pt idx="0">
                  <c:v>Avg_spend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'hp7'!$A$3:$A$8</c:f>
              <c:strCache>
                <c:ptCount val="6"/>
                <c:pt idx="0">
                  <c:v>Free Shipping</c:v>
                </c:pt>
                <c:pt idx="1">
                  <c:v>Standard</c:v>
                </c:pt>
                <c:pt idx="2">
                  <c:v>Store Pickup</c:v>
                </c:pt>
                <c:pt idx="3">
                  <c:v>Next Day Air</c:v>
                </c:pt>
                <c:pt idx="4">
                  <c:v>Express</c:v>
                </c:pt>
                <c:pt idx="5">
                  <c:v>2-Day Shipping</c:v>
                </c:pt>
              </c:strCache>
            </c:strRef>
          </c:cat>
          <c:val>
            <c:numRef>
              <c:f>'hp7'!$C$3:$C$8</c:f>
              <c:numCache>
                <c:formatCode>0</c:formatCode>
                <c:ptCount val="6"/>
                <c:pt idx="0">
                  <c:v>60.41037</c:v>
                </c:pt>
                <c:pt idx="1">
                  <c:v>58.460245</c:v>
                </c:pt>
                <c:pt idx="2">
                  <c:v>59.893846000000003</c:v>
                </c:pt>
                <c:pt idx="3">
                  <c:v>58.631172999999997</c:v>
                </c:pt>
                <c:pt idx="4">
                  <c:v>60.475231999999998</c:v>
                </c:pt>
                <c:pt idx="5">
                  <c:v>60.733651999999999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D-4F75-A2EB-82C5A969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2060320"/>
        <c:axId val="1952054080"/>
      </c:barChart>
      <c:catAx>
        <c:axId val="195206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Shipping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54080"/>
        <c:crosses val="autoZero"/>
        <c:auto val="1"/>
        <c:lblAlgn val="ctr"/>
        <c:lblOffset val="100"/>
        <c:noMultiLvlLbl val="0"/>
      </c:catAx>
      <c:valAx>
        <c:axId val="19520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Purchase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60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Top Product By Gender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Top Product By Gender</a:t>
          </a:r>
        </a:p>
      </cx:txPr>
    </cx:title>
    <cx:plotArea>
      <cx:plotAreaRegion>
        <cx:series layoutId="treemap" uniqueId="{2929ECAC-0D8F-435B-BFAE-3209AB27ACAE}">
          <cx:tx>
            <cx:txData>
              <cx:f>_xlchart.v1.1</cx:f>
              <cx:v>Purchase_count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1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1</xdr:row>
      <xdr:rowOff>138112</xdr:rowOff>
    </xdr:from>
    <xdr:to>
      <xdr:col>10</xdr:col>
      <xdr:colOff>209550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721D2-53B3-CEF5-E8E0-AF0DCC9B0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338137</xdr:colOff>
      <xdr:row>11</xdr:row>
      <xdr:rowOff>52387</xdr:rowOff>
    </xdr:from>
    <xdr:to>
      <xdr:col>13</xdr:col>
      <xdr:colOff>33337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F523D9-AEF8-D74A-0472-8F5340A51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724957</xdr:colOff>
      <xdr:row>13</xdr:row>
      <xdr:rowOff>73024</xdr:rowOff>
    </xdr:from>
    <xdr:to>
      <xdr:col>9</xdr:col>
      <xdr:colOff>587374</xdr:colOff>
      <xdr:row>27</xdr:row>
      <xdr:rowOff>149224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50F95B4-7EC1-539B-A5DC-EDAD851647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0882" y="2549524"/>
              <a:ext cx="456776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306917</xdr:colOff>
      <xdr:row>17</xdr:row>
      <xdr:rowOff>52916</xdr:rowOff>
    </xdr:from>
    <xdr:to>
      <xdr:col>17</xdr:col>
      <xdr:colOff>476250</xdr:colOff>
      <xdr:row>34</xdr:row>
      <xdr:rowOff>43390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39BE5B-8D15-9336-0D19-0673AC093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116416</xdr:colOff>
      <xdr:row>28</xdr:row>
      <xdr:rowOff>84666</xdr:rowOff>
    </xdr:from>
    <xdr:to>
      <xdr:col>10</xdr:col>
      <xdr:colOff>31751</xdr:colOff>
      <xdr:row>45</xdr:row>
      <xdr:rowOff>170390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551023A-A8FC-86F6-BE96-4C6C8E622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724957</xdr:colOff>
      <xdr:row>49</xdr:row>
      <xdr:rowOff>73024</xdr:rowOff>
    </xdr:from>
    <xdr:to>
      <xdr:col>9</xdr:col>
      <xdr:colOff>587374</xdr:colOff>
      <xdr:row>63</xdr:row>
      <xdr:rowOff>149224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F34E7C-02D2-99B3-48CE-98F287B76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693207</xdr:colOff>
      <xdr:row>64</xdr:row>
      <xdr:rowOff>168274</xdr:rowOff>
    </xdr:from>
    <xdr:to>
      <xdr:col>9</xdr:col>
      <xdr:colOff>555624</xdr:colOff>
      <xdr:row>79</xdr:row>
      <xdr:rowOff>53974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31C3DA-6B54-213C-112C-ED2D2C92CA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423862</xdr:colOff>
      <xdr:row>0</xdr:row>
      <xdr:rowOff>0</xdr:rowOff>
    </xdr:from>
    <xdr:to>
      <xdr:col>15</xdr:col>
      <xdr:colOff>119062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6631BF-A15C-4D30-67E2-F07CE8266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452437</xdr:colOff>
      <xdr:row>16</xdr:row>
      <xdr:rowOff>147637</xdr:rowOff>
    </xdr:from>
    <xdr:to>
      <xdr:col>15</xdr:col>
      <xdr:colOff>147637</xdr:colOff>
      <xdr:row>31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F313B5-745F-F6CD-6798-F3DD5F5F1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80961</xdr:colOff>
      <xdr:row>11</xdr:row>
      <xdr:rowOff>52386</xdr:rowOff>
    </xdr:from>
    <xdr:to>
      <xdr:col>16</xdr:col>
      <xdr:colOff>457200</xdr:colOff>
      <xdr:row>31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479631-852D-842F-B608-E6EDFCE33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3</xdr:col>
      <xdr:colOff>19050</xdr:colOff>
      <xdr:row>47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DCCEB8-693D-E444-ACC3-7F543FFE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3190875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</xdr:row>
      <xdr:rowOff>80962</xdr:rowOff>
    </xdr:from>
    <xdr:to>
      <xdr:col>12</xdr:col>
      <xdr:colOff>161925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844689-BA4D-C8C1-BA04-33E1BE21E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16</xdr:row>
      <xdr:rowOff>166687</xdr:rowOff>
    </xdr:from>
    <xdr:to>
      <xdr:col>12</xdr:col>
      <xdr:colOff>142875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FD52C9-F063-FA3F-CD00-DBD14EF6D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314CE1-1F16-4CC9-A86A-AF3852E7219C}" name="Table1" displayName="Table1" ref="A1:B7" totalsRowShown="0">
  <autoFilter ref="A1:B7" xr:uid="{81314CE1-1F16-4CC9-A86A-AF3852E7219C}"/>
  <tableColumns count="2">
    <tableColumn id="1" xr3:uid="{E6FC1834-9EE1-452A-AD47-DF99DE0A81EB}" name="Age_Group"/>
    <tableColumn id="2" xr3:uid="{80385231-8ED6-49F0-ABC8-EFD4F5994CAC}" name="Total_purchase_amount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4FD6F3-531B-4F7A-BE09-1CF63B89D518}" name="Table2" displayName="Table2" ref="A1:B3" totalsRowShown="0">
  <autoFilter ref="A1:B3" xr:uid="{CB4FD6F3-531B-4F7A-BE09-1CF63B89D518}"/>
  <tableColumns count="2">
    <tableColumn id="1" xr3:uid="{92761CF0-C3C0-42DC-B7B0-095B6B0C7EEB}" name="Customer_subscription"/>
    <tableColumn id="2" xr3:uid="{46446782-0524-4F96-9C36-54632664591D}" name="Avg_purchase_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04BD72-2932-46EB-A90E-659BC4589F4B}" name="Table3" displayName="Table3" ref="A1:D51" totalsRowShown="0">
  <autoFilter ref="A1:D51" xr:uid="{4B04BD72-2932-46EB-A90E-659BC4589F4B}"/>
  <sortState xmlns:xlrd2="http://schemas.microsoft.com/office/spreadsheetml/2017/richdata2" ref="A2:D51">
    <sortCondition ref="A2:A51"/>
    <sortCondition descending="1" ref="D2:D51"/>
  </sortState>
  <tableColumns count="4">
    <tableColumn id="1" xr3:uid="{C87A1470-7CA7-4621-A68D-42FA60E80B52}" name="Customer_gender"/>
    <tableColumn id="2" xr3:uid="{7B7A057C-908A-4A16-AF93-D42172009A40}" name="Product_category"/>
    <tableColumn id="3" xr3:uid="{65BBFE83-EA7A-4C35-A807-F77206D48EEF}" name="Product_item"/>
    <tableColumn id="4" xr3:uid="{E173A93B-A94B-425B-BA4B-8C8C1E5EB020}" name="Purchase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1C2AD7-C40A-4911-BF6A-297D4BD9B888}" name="Table6" displayName="Table6" ref="F1:I11" totalsRowShown="0" headerRowDxfId="14" dataDxfId="12" headerRowBorderDxfId="13" tableBorderDxfId="11" totalsRowBorderDxfId="10">
  <autoFilter ref="F1:I11" xr:uid="{801C2AD7-C40A-4911-BF6A-297D4BD9B888}"/>
  <tableColumns count="4">
    <tableColumn id="1" xr3:uid="{2CF2EB4D-E859-4D30-A733-16628618A037}" name="Customer_gender" dataDxfId="9"/>
    <tableColumn id="2" xr3:uid="{8AA3FC83-01D4-454C-887E-14C8C320A57E}" name="Product_category" dataDxfId="8"/>
    <tableColumn id="3" xr3:uid="{7E34DF9D-2F44-4C2B-ABA4-63DED72559A6}" name="Product_item" dataDxfId="7"/>
    <tableColumn id="4" xr3:uid="{401EAF22-1906-407B-BA4B-3AA0A0CC1BCF}" name="Purchase_count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4719B5-8044-43E7-8F30-F2BEE34C3D78}" name="Table7" displayName="Table7" ref="K2:L7" totalsRowShown="0">
  <autoFilter ref="K2:L7" xr:uid="{104719B5-8044-43E7-8F30-F2BEE34C3D78}"/>
  <tableColumns count="2">
    <tableColumn id="1" xr3:uid="{BDE9A050-0D21-42AF-976B-64837137044C}" name="Female"/>
    <tableColumn id="2" xr3:uid="{904CAB50-6B88-4C71-B397-7DFBB98796A4}" name="Ma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359190-2063-4974-B726-1C1371BA85DA}" name="Table9" displayName="Table9" ref="N1:O26" totalsRowShown="0">
  <autoFilter ref="N1:O26" xr:uid="{45359190-2063-4974-B726-1C1371BA85DA}"/>
  <tableColumns count="2">
    <tableColumn id="1" xr3:uid="{48AC0EDC-E05C-491D-9D7D-A6ECC4ACD347}" name="# product_category"/>
    <tableColumn id="2" xr3:uid="{A19CA966-C6F5-4441-8668-661DEC9D500D}" name="product_it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6FD6BC-D077-47B9-990F-56A05D70C396}" name="Table13" displayName="Table13" ref="A56:C64" totalsRowShown="0" dataDxfId="5">
  <autoFilter ref="A56:C64" xr:uid="{276FD6BC-D077-47B9-990F-56A05D70C396}"/>
  <tableColumns count="3">
    <tableColumn id="1" xr3:uid="{59CC2B26-691C-445B-A35F-D593E96A5175}" name="Customer_gender" dataDxfId="4"/>
    <tableColumn id="2" xr3:uid="{08353040-CD65-4EB1-A0B5-65876A7CF226}" name="Product_category" dataDxfId="3"/>
    <tableColumn id="3" xr3:uid="{259CEA0D-DC52-4180-9571-DC5F171FBC38}" name="Purchase_count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F92C8A-707F-4BF7-B260-52C7EF4B0B93}" name="Table10" displayName="Table10" ref="A1:D13" totalsRowShown="0">
  <autoFilter ref="A1:D13" xr:uid="{60F92C8A-707F-4BF7-B260-52C7EF4B0B93}"/>
  <tableColumns count="4">
    <tableColumn id="1" xr3:uid="{75C5D7DF-AE56-42D8-B78C-4F535D8F79BE}" name="Product_season"/>
    <tableColumn id="2" xr3:uid="{718CF6F1-9FAC-478E-B7D2-B32B3021B343}" name="Month"/>
    <tableColumn id="4" xr3:uid="{ABD97FB3-0821-4D98-9CDA-5222BDAB6E6C}" name="Months"/>
    <tableColumn id="3" xr3:uid="{6BCCE955-B0FF-4C66-A12C-6768E3149C1A}" name="Purchas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9442900-487A-438B-ABC3-16B71E832FD1}" name="Table11" displayName="Table11" ref="F1:G5" totalsRowShown="0">
  <autoFilter ref="F1:G5" xr:uid="{39442900-487A-438B-ABC3-16B71E832FD1}"/>
  <tableColumns count="2">
    <tableColumn id="1" xr3:uid="{788CE54C-7673-412E-ADE0-448FF877C546}" name="Seasons"/>
    <tableColumn id="2" xr3:uid="{6B589483-0556-4403-A5FF-B2137A40DAC3}" name="Total_Purchase">
      <calculatedColumnFormula>SUMIF(Table10[Product_season],F2,Table10[Purchases])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6ED977-FC88-4F9F-9034-E8755DA74879}" name="Table106" displayName="Table106" ref="A18:C30" totalsRowShown="0">
  <autoFilter ref="A18:C30" xr:uid="{226ED977-FC88-4F9F-9034-E8755DA74879}"/>
  <tableColumns count="3">
    <tableColumn id="1" xr3:uid="{0B74102C-13D4-42D8-BD0E-078CE9ECE48C}" name="Product_season"/>
    <tableColumn id="4" xr3:uid="{81A42F4D-9EDB-4EA1-A219-D2CEF1DD3B6B}" name="Months"/>
    <tableColumn id="3" xr3:uid="{6C6B08DE-101B-490E-848C-E06AB85AFD31}" name="Purchas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4A388F2-C30B-4D82-9544-3249B212E14A}" name="Table12" displayName="Table12" ref="A1:C27" totalsRowShown="0">
  <autoFilter ref="A1:C27" xr:uid="{74A388F2-C30B-4D82-9544-3249B212E14A}"/>
  <sortState xmlns:xlrd2="http://schemas.microsoft.com/office/spreadsheetml/2017/richdata2" ref="A2:C27">
    <sortCondition ref="A2:A27"/>
  </sortState>
  <tableColumns count="3">
    <tableColumn id="1" xr3:uid="{DA08B81B-FA3C-44E8-8F8A-3ADC1961EA9C}" name="Product_rating"/>
    <tableColumn id="2" xr3:uid="{566A7BAC-81C7-451C-9FBE-FCEC992AE38E}" name="Purchase_count"/>
    <tableColumn id="3" xr3:uid="{3378F66E-02AE-4C65-AA72-DF85FA66B91F}" name="Avg_spend" dataDxfId="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16D32C-CBFC-4548-AEDF-2151CE41B72F}" name="Table4" displayName="Table4" ref="A2:C8" totalsRowShown="0">
  <autoFilter ref="A2:C8" xr:uid="{4516D32C-CBFC-4548-AEDF-2151CE41B72F}"/>
  <tableColumns count="3">
    <tableColumn id="1" xr3:uid="{DBA46200-EB0E-44CA-B1C2-05A3E5045447}" name="Purchase_shipping_type"/>
    <tableColumn id="2" xr3:uid="{CB85E4AD-28D9-4C21-9CB9-24B9DE797E29}" name="Purchase_count"/>
    <tableColumn id="3" xr3:uid="{3621D32D-A90D-406C-B5EB-6510AB034FD6}" name="Avg_spend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0817-9967-4517-8DAE-708C95C02E83}">
  <dimension ref="A1:B7"/>
  <sheetViews>
    <sheetView workbookViewId="0">
      <selection activeCell="N10" sqref="N10"/>
    </sheetView>
  </sheetViews>
  <sheetFormatPr defaultRowHeight="15" x14ac:dyDescent="0.25"/>
  <cols>
    <col min="1" max="1" width="12.85546875" customWidth="1"/>
    <col min="2" max="2" width="24.1406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s="10">
        <v>34630</v>
      </c>
    </row>
    <row r="3" spans="1:2" x14ac:dyDescent="0.25">
      <c r="A3" t="s">
        <v>1</v>
      </c>
      <c r="B3" s="10">
        <v>44342</v>
      </c>
    </row>
    <row r="4" spans="1:2" x14ac:dyDescent="0.25">
      <c r="A4" t="s">
        <v>2</v>
      </c>
      <c r="B4" s="10">
        <v>43234</v>
      </c>
    </row>
    <row r="5" spans="1:2" x14ac:dyDescent="0.25">
      <c r="A5" t="s">
        <v>3</v>
      </c>
      <c r="B5" s="10">
        <v>45619</v>
      </c>
    </row>
    <row r="6" spans="1:2" x14ac:dyDescent="0.25">
      <c r="A6" t="s">
        <v>4</v>
      </c>
      <c r="B6" s="10">
        <v>44352</v>
      </c>
    </row>
    <row r="7" spans="1:2" x14ac:dyDescent="0.25">
      <c r="A7" t="s">
        <v>5</v>
      </c>
      <c r="B7" s="10">
        <v>20904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CBA8-2F5A-42A2-A7A3-02705BFE7907}">
  <dimension ref="A1:B3"/>
  <sheetViews>
    <sheetView workbookViewId="0">
      <selection activeCell="B37" sqref="B37"/>
    </sheetView>
  </sheetViews>
  <sheetFormatPr defaultRowHeight="15" x14ac:dyDescent="0.25"/>
  <cols>
    <col min="1" max="1" width="25.28515625" customWidth="1"/>
    <col min="2" max="2" width="21.28515625" customWidth="1"/>
  </cols>
  <sheetData>
    <row r="1" spans="1:2" x14ac:dyDescent="0.25">
      <c r="A1" t="s">
        <v>8</v>
      </c>
      <c r="B1" t="s">
        <v>9</v>
      </c>
    </row>
    <row r="2" spans="1:2" x14ac:dyDescent="0.25">
      <c r="A2" t="s">
        <v>11</v>
      </c>
      <c r="B2">
        <v>26.084499999999998</v>
      </c>
    </row>
    <row r="3" spans="1:2" x14ac:dyDescent="0.25">
      <c r="A3" t="s">
        <v>10</v>
      </c>
      <c r="B3">
        <v>25.080400000000001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3E82-C255-4CB1-AD81-BA4EF70D99F1}">
  <dimension ref="A1:O64"/>
  <sheetViews>
    <sheetView topLeftCell="A46" zoomScale="90" zoomScaleNormal="90" workbookViewId="0">
      <selection activeCell="J67" sqref="J67"/>
    </sheetView>
  </sheetViews>
  <sheetFormatPr defaultRowHeight="15" x14ac:dyDescent="0.25"/>
  <cols>
    <col min="1" max="1" width="20.28515625" customWidth="1"/>
    <col min="2" max="2" width="18.7109375" customWidth="1"/>
    <col min="3" max="3" width="16.85546875" customWidth="1"/>
    <col min="4" max="4" width="17.42578125" customWidth="1"/>
    <col min="6" max="6" width="19.28515625" customWidth="1"/>
    <col min="7" max="7" width="18.7109375" customWidth="1"/>
    <col min="8" max="8" width="15.140625" customWidth="1"/>
    <col min="9" max="9" width="17.42578125" customWidth="1"/>
    <col min="11" max="11" width="11.5703125" customWidth="1"/>
    <col min="12" max="12" width="11.85546875" customWidth="1"/>
    <col min="14" max="14" width="20.140625" customWidth="1"/>
    <col min="15" max="15" width="15.140625" customWidth="1"/>
  </cols>
  <sheetData>
    <row r="1" spans="1:15" x14ac:dyDescent="0.25">
      <c r="A1" t="s">
        <v>44</v>
      </c>
      <c r="B1" t="s">
        <v>45</v>
      </c>
      <c r="C1" t="s">
        <v>46</v>
      </c>
      <c r="D1" t="s">
        <v>47</v>
      </c>
      <c r="F1" s="4" t="s">
        <v>44</v>
      </c>
      <c r="G1" s="4" t="s">
        <v>45</v>
      </c>
      <c r="H1" s="4" t="s">
        <v>46</v>
      </c>
      <c r="I1" s="4" t="s">
        <v>47</v>
      </c>
      <c r="K1" s="11" t="s">
        <v>48</v>
      </c>
      <c r="L1" s="11"/>
      <c r="N1" t="s">
        <v>49</v>
      </c>
      <c r="O1" t="s">
        <v>12</v>
      </c>
    </row>
    <row r="2" spans="1:15" x14ac:dyDescent="0.25">
      <c r="A2" t="s">
        <v>13</v>
      </c>
      <c r="B2" t="s">
        <v>14</v>
      </c>
      <c r="C2" t="s">
        <v>42</v>
      </c>
      <c r="D2">
        <v>66</v>
      </c>
      <c r="F2" s="1" t="s">
        <v>13</v>
      </c>
      <c r="G2" s="1" t="s">
        <v>14</v>
      </c>
      <c r="H2" s="1" t="s">
        <v>42</v>
      </c>
      <c r="I2" s="1">
        <v>66</v>
      </c>
      <c r="K2" t="s">
        <v>13</v>
      </c>
      <c r="L2" t="s">
        <v>43</v>
      </c>
      <c r="N2" t="s">
        <v>16</v>
      </c>
      <c r="O2" t="s">
        <v>18</v>
      </c>
    </row>
    <row r="3" spans="1:15" x14ac:dyDescent="0.25">
      <c r="A3" t="s">
        <v>13</v>
      </c>
      <c r="B3" t="s">
        <v>19</v>
      </c>
      <c r="C3" t="s">
        <v>40</v>
      </c>
      <c r="D3">
        <v>59</v>
      </c>
      <c r="F3" s="2" t="s">
        <v>13</v>
      </c>
      <c r="G3" s="2" t="s">
        <v>19</v>
      </c>
      <c r="H3" s="2" t="s">
        <v>40</v>
      </c>
      <c r="I3" s="2">
        <v>59</v>
      </c>
      <c r="K3" t="s">
        <v>42</v>
      </c>
      <c r="L3" t="s">
        <v>25</v>
      </c>
      <c r="N3" t="s">
        <v>16</v>
      </c>
      <c r="O3" t="s">
        <v>36</v>
      </c>
    </row>
    <row r="4" spans="1:15" x14ac:dyDescent="0.25">
      <c r="A4" t="s">
        <v>13</v>
      </c>
      <c r="B4" t="s">
        <v>14</v>
      </c>
      <c r="C4" t="s">
        <v>41</v>
      </c>
      <c r="D4">
        <v>59</v>
      </c>
      <c r="F4" s="1" t="s">
        <v>13</v>
      </c>
      <c r="G4" s="1" t="s">
        <v>14</v>
      </c>
      <c r="H4" s="1" t="s">
        <v>41</v>
      </c>
      <c r="I4" s="1">
        <v>59</v>
      </c>
      <c r="K4" t="s">
        <v>40</v>
      </c>
      <c r="L4" t="s">
        <v>33</v>
      </c>
      <c r="N4" t="s">
        <v>16</v>
      </c>
      <c r="O4" t="s">
        <v>17</v>
      </c>
    </row>
    <row r="5" spans="1:15" x14ac:dyDescent="0.25">
      <c r="A5" t="s">
        <v>13</v>
      </c>
      <c r="B5" t="s">
        <v>14</v>
      </c>
      <c r="C5" t="s">
        <v>38</v>
      </c>
      <c r="D5">
        <v>58</v>
      </c>
      <c r="F5" s="2" t="s">
        <v>13</v>
      </c>
      <c r="G5" s="2" t="s">
        <v>14</v>
      </c>
      <c r="H5" s="2" t="s">
        <v>38</v>
      </c>
      <c r="I5" s="2">
        <v>58</v>
      </c>
      <c r="K5" t="s">
        <v>41</v>
      </c>
      <c r="L5" t="s">
        <v>34</v>
      </c>
      <c r="N5" t="s">
        <v>16</v>
      </c>
      <c r="O5" t="s">
        <v>39</v>
      </c>
    </row>
    <row r="6" spans="1:15" x14ac:dyDescent="0.25">
      <c r="A6" t="s">
        <v>13</v>
      </c>
      <c r="B6" t="s">
        <v>16</v>
      </c>
      <c r="C6" t="s">
        <v>39</v>
      </c>
      <c r="D6">
        <v>58</v>
      </c>
      <c r="F6" s="1" t="s">
        <v>13</v>
      </c>
      <c r="G6" s="1" t="s">
        <v>16</v>
      </c>
      <c r="H6" s="1" t="s">
        <v>39</v>
      </c>
      <c r="I6" s="1">
        <v>58</v>
      </c>
      <c r="K6" t="s">
        <v>38</v>
      </c>
      <c r="L6" t="s">
        <v>24</v>
      </c>
      <c r="N6" t="s">
        <v>16</v>
      </c>
      <c r="O6" t="s">
        <v>32</v>
      </c>
    </row>
    <row r="7" spans="1:15" x14ac:dyDescent="0.25">
      <c r="A7" t="s">
        <v>13</v>
      </c>
      <c r="B7" t="s">
        <v>16</v>
      </c>
      <c r="C7" t="s">
        <v>37</v>
      </c>
      <c r="D7">
        <v>56</v>
      </c>
      <c r="F7" s="2" t="s">
        <v>43</v>
      </c>
      <c r="G7" s="2" t="s">
        <v>14</v>
      </c>
      <c r="H7" s="2" t="s">
        <v>25</v>
      </c>
      <c r="I7" s="2">
        <v>123</v>
      </c>
      <c r="K7" t="s">
        <v>39</v>
      </c>
      <c r="L7" t="s">
        <v>30</v>
      </c>
      <c r="N7" t="s">
        <v>16</v>
      </c>
      <c r="O7" t="s">
        <v>33</v>
      </c>
    </row>
    <row r="8" spans="1:15" x14ac:dyDescent="0.25">
      <c r="A8" t="s">
        <v>13</v>
      </c>
      <c r="B8" t="s">
        <v>16</v>
      </c>
      <c r="C8" t="s">
        <v>36</v>
      </c>
      <c r="D8">
        <v>55</v>
      </c>
      <c r="F8" s="1" t="s">
        <v>43</v>
      </c>
      <c r="G8" s="1" t="s">
        <v>16</v>
      </c>
      <c r="H8" s="1" t="s">
        <v>33</v>
      </c>
      <c r="I8" s="1">
        <v>119</v>
      </c>
      <c r="N8" t="s">
        <v>16</v>
      </c>
      <c r="O8" t="s">
        <v>21</v>
      </c>
    </row>
    <row r="9" spans="1:15" x14ac:dyDescent="0.25">
      <c r="A9" t="s">
        <v>13</v>
      </c>
      <c r="B9" t="s">
        <v>23</v>
      </c>
      <c r="C9" t="s">
        <v>35</v>
      </c>
      <c r="D9">
        <v>54</v>
      </c>
      <c r="F9" s="2" t="s">
        <v>43</v>
      </c>
      <c r="G9" s="2" t="s">
        <v>14</v>
      </c>
      <c r="H9" s="2" t="s">
        <v>34</v>
      </c>
      <c r="I9" s="2">
        <v>114</v>
      </c>
      <c r="N9" t="s">
        <v>16</v>
      </c>
      <c r="O9" t="s">
        <v>37</v>
      </c>
    </row>
    <row r="10" spans="1:15" x14ac:dyDescent="0.25">
      <c r="A10" t="s">
        <v>13</v>
      </c>
      <c r="B10" t="s">
        <v>16</v>
      </c>
      <c r="C10" t="s">
        <v>32</v>
      </c>
      <c r="D10">
        <v>52</v>
      </c>
      <c r="F10" s="1" t="s">
        <v>43</v>
      </c>
      <c r="G10" s="1" t="s">
        <v>23</v>
      </c>
      <c r="H10" s="1" t="s">
        <v>24</v>
      </c>
      <c r="I10" s="1">
        <v>114</v>
      </c>
      <c r="N10" t="s">
        <v>14</v>
      </c>
      <c r="O10" t="s">
        <v>42</v>
      </c>
    </row>
    <row r="11" spans="1:15" x14ac:dyDescent="0.25">
      <c r="A11" t="s">
        <v>13</v>
      </c>
      <c r="B11" t="s">
        <v>16</v>
      </c>
      <c r="C11" t="s">
        <v>33</v>
      </c>
      <c r="D11">
        <v>52</v>
      </c>
      <c r="F11" s="3" t="s">
        <v>43</v>
      </c>
      <c r="G11" s="3" t="s">
        <v>14</v>
      </c>
      <c r="H11" s="3" t="s">
        <v>30</v>
      </c>
      <c r="I11" s="3">
        <v>114</v>
      </c>
      <c r="N11" t="s">
        <v>14</v>
      </c>
      <c r="O11" t="s">
        <v>34</v>
      </c>
    </row>
    <row r="12" spans="1:15" x14ac:dyDescent="0.25">
      <c r="A12" t="s">
        <v>13</v>
      </c>
      <c r="B12" t="s">
        <v>14</v>
      </c>
      <c r="C12" t="s">
        <v>34</v>
      </c>
      <c r="D12">
        <v>52</v>
      </c>
      <c r="N12" t="s">
        <v>14</v>
      </c>
      <c r="O12" t="s">
        <v>31</v>
      </c>
    </row>
    <row r="13" spans="1:15" x14ac:dyDescent="0.25">
      <c r="A13" t="s">
        <v>13</v>
      </c>
      <c r="B13" t="s">
        <v>14</v>
      </c>
      <c r="C13" t="s">
        <v>31</v>
      </c>
      <c r="D13">
        <v>51</v>
      </c>
      <c r="N13" t="s">
        <v>14</v>
      </c>
      <c r="O13" t="s">
        <v>15</v>
      </c>
    </row>
    <row r="14" spans="1:15" x14ac:dyDescent="0.25">
      <c r="A14" t="s">
        <v>13</v>
      </c>
      <c r="B14" t="s">
        <v>19</v>
      </c>
      <c r="C14" t="s">
        <v>29</v>
      </c>
      <c r="D14">
        <v>50</v>
      </c>
      <c r="N14" t="s">
        <v>14</v>
      </c>
      <c r="O14" t="s">
        <v>25</v>
      </c>
    </row>
    <row r="15" spans="1:15" x14ac:dyDescent="0.25">
      <c r="A15" t="s">
        <v>13</v>
      </c>
      <c r="B15" t="s">
        <v>14</v>
      </c>
      <c r="C15" t="s">
        <v>30</v>
      </c>
      <c r="D15">
        <v>50</v>
      </c>
      <c r="N15" t="s">
        <v>14</v>
      </c>
      <c r="O15" t="s">
        <v>41</v>
      </c>
    </row>
    <row r="16" spans="1:15" x14ac:dyDescent="0.25">
      <c r="A16" t="s">
        <v>13</v>
      </c>
      <c r="B16" t="s">
        <v>14</v>
      </c>
      <c r="C16" t="s">
        <v>28</v>
      </c>
      <c r="D16">
        <v>49</v>
      </c>
      <c r="N16" t="s">
        <v>14</v>
      </c>
      <c r="O16" t="s">
        <v>27</v>
      </c>
    </row>
    <row r="17" spans="1:15" x14ac:dyDescent="0.25">
      <c r="A17" t="s">
        <v>13</v>
      </c>
      <c r="B17" t="s">
        <v>14</v>
      </c>
      <c r="C17" t="s">
        <v>25</v>
      </c>
      <c r="D17">
        <v>48</v>
      </c>
      <c r="N17" t="s">
        <v>14</v>
      </c>
      <c r="O17" t="s">
        <v>28</v>
      </c>
    </row>
    <row r="18" spans="1:15" x14ac:dyDescent="0.25">
      <c r="A18" t="s">
        <v>13</v>
      </c>
      <c r="B18" t="s">
        <v>19</v>
      </c>
      <c r="C18" t="s">
        <v>26</v>
      </c>
      <c r="D18">
        <v>48</v>
      </c>
      <c r="N18" t="s">
        <v>14</v>
      </c>
      <c r="O18" t="s">
        <v>38</v>
      </c>
    </row>
    <row r="19" spans="1:15" x14ac:dyDescent="0.25">
      <c r="A19" t="s">
        <v>13</v>
      </c>
      <c r="B19" t="s">
        <v>14</v>
      </c>
      <c r="C19" t="s">
        <v>27</v>
      </c>
      <c r="D19">
        <v>48</v>
      </c>
      <c r="N19" t="s">
        <v>14</v>
      </c>
      <c r="O19" t="s">
        <v>30</v>
      </c>
    </row>
    <row r="20" spans="1:15" x14ac:dyDescent="0.25">
      <c r="A20" t="s">
        <v>13</v>
      </c>
      <c r="B20" t="s">
        <v>23</v>
      </c>
      <c r="C20" t="s">
        <v>24</v>
      </c>
      <c r="D20">
        <v>47</v>
      </c>
      <c r="N20" t="s">
        <v>14</v>
      </c>
      <c r="O20" t="s">
        <v>22</v>
      </c>
    </row>
    <row r="21" spans="1:15" x14ac:dyDescent="0.25">
      <c r="A21" t="s">
        <v>13</v>
      </c>
      <c r="B21" t="s">
        <v>14</v>
      </c>
      <c r="C21" t="s">
        <v>22</v>
      </c>
      <c r="D21">
        <v>46</v>
      </c>
      <c r="N21" t="s">
        <v>19</v>
      </c>
      <c r="O21" t="s">
        <v>29</v>
      </c>
    </row>
    <row r="22" spans="1:15" x14ac:dyDescent="0.25">
      <c r="A22" t="s">
        <v>13</v>
      </c>
      <c r="B22" t="s">
        <v>16</v>
      </c>
      <c r="C22" t="s">
        <v>21</v>
      </c>
      <c r="D22">
        <v>45</v>
      </c>
      <c r="N22" t="s">
        <v>19</v>
      </c>
      <c r="O22" t="s">
        <v>40</v>
      </c>
    </row>
    <row r="23" spans="1:15" x14ac:dyDescent="0.25">
      <c r="A23" t="s">
        <v>13</v>
      </c>
      <c r="B23" t="s">
        <v>19</v>
      </c>
      <c r="C23" t="s">
        <v>20</v>
      </c>
      <c r="D23">
        <v>42</v>
      </c>
      <c r="N23" t="s">
        <v>19</v>
      </c>
      <c r="O23" t="s">
        <v>26</v>
      </c>
    </row>
    <row r="24" spans="1:15" x14ac:dyDescent="0.25">
      <c r="A24" t="s">
        <v>13</v>
      </c>
      <c r="B24" t="s">
        <v>16</v>
      </c>
      <c r="C24" t="s">
        <v>17</v>
      </c>
      <c r="D24">
        <v>37</v>
      </c>
      <c r="N24" t="s">
        <v>19</v>
      </c>
      <c r="O24" t="s">
        <v>20</v>
      </c>
    </row>
    <row r="25" spans="1:15" x14ac:dyDescent="0.25">
      <c r="A25" t="s">
        <v>13</v>
      </c>
      <c r="B25" t="s">
        <v>16</v>
      </c>
      <c r="C25" t="s">
        <v>18</v>
      </c>
      <c r="D25">
        <v>37</v>
      </c>
      <c r="N25" t="s">
        <v>23</v>
      </c>
      <c r="O25" t="s">
        <v>24</v>
      </c>
    </row>
    <row r="26" spans="1:15" x14ac:dyDescent="0.25">
      <c r="A26" t="s">
        <v>13</v>
      </c>
      <c r="B26" t="s">
        <v>14</v>
      </c>
      <c r="C26" t="s">
        <v>15</v>
      </c>
      <c r="D26">
        <v>29</v>
      </c>
      <c r="N26" t="s">
        <v>23</v>
      </c>
      <c r="O26" t="s">
        <v>35</v>
      </c>
    </row>
    <row r="27" spans="1:15" x14ac:dyDescent="0.25">
      <c r="A27" t="s">
        <v>43</v>
      </c>
      <c r="B27" t="s">
        <v>14</v>
      </c>
      <c r="C27" t="s">
        <v>25</v>
      </c>
      <c r="D27">
        <v>123</v>
      </c>
    </row>
    <row r="28" spans="1:15" x14ac:dyDescent="0.25">
      <c r="A28" t="s">
        <v>43</v>
      </c>
      <c r="B28" t="s">
        <v>16</v>
      </c>
      <c r="C28" t="s">
        <v>33</v>
      </c>
      <c r="D28">
        <v>119</v>
      </c>
    </row>
    <row r="29" spans="1:15" x14ac:dyDescent="0.25">
      <c r="A29" t="s">
        <v>43</v>
      </c>
      <c r="B29" t="s">
        <v>14</v>
      </c>
      <c r="C29" t="s">
        <v>34</v>
      </c>
      <c r="D29">
        <v>114</v>
      </c>
    </row>
    <row r="30" spans="1:15" x14ac:dyDescent="0.25">
      <c r="A30" t="s">
        <v>43</v>
      </c>
      <c r="B30" t="s">
        <v>23</v>
      </c>
      <c r="C30" t="s">
        <v>24</v>
      </c>
      <c r="D30">
        <v>114</v>
      </c>
    </row>
    <row r="31" spans="1:15" x14ac:dyDescent="0.25">
      <c r="A31" t="s">
        <v>43</v>
      </c>
      <c r="B31" t="s">
        <v>14</v>
      </c>
      <c r="C31" t="s">
        <v>30</v>
      </c>
      <c r="D31">
        <v>114</v>
      </c>
    </row>
    <row r="32" spans="1:15" x14ac:dyDescent="0.25">
      <c r="A32" t="s">
        <v>43</v>
      </c>
      <c r="B32" t="s">
        <v>16</v>
      </c>
      <c r="C32" t="s">
        <v>21</v>
      </c>
      <c r="D32">
        <v>112</v>
      </c>
    </row>
    <row r="33" spans="1:4" x14ac:dyDescent="0.25">
      <c r="A33" t="s">
        <v>43</v>
      </c>
      <c r="B33" t="s">
        <v>14</v>
      </c>
      <c r="C33" t="s">
        <v>41</v>
      </c>
      <c r="D33">
        <v>110</v>
      </c>
    </row>
    <row r="34" spans="1:4" x14ac:dyDescent="0.25">
      <c r="A34" t="s">
        <v>43</v>
      </c>
      <c r="B34" t="s">
        <v>23</v>
      </c>
      <c r="C34" t="s">
        <v>35</v>
      </c>
      <c r="D34">
        <v>109</v>
      </c>
    </row>
    <row r="35" spans="1:4" x14ac:dyDescent="0.25">
      <c r="A35" t="s">
        <v>43</v>
      </c>
      <c r="B35" t="s">
        <v>14</v>
      </c>
      <c r="C35" t="s">
        <v>27</v>
      </c>
      <c r="D35">
        <v>109</v>
      </c>
    </row>
    <row r="36" spans="1:4" x14ac:dyDescent="0.25">
      <c r="A36" t="s">
        <v>43</v>
      </c>
      <c r="B36" t="s">
        <v>14</v>
      </c>
      <c r="C36" t="s">
        <v>28</v>
      </c>
      <c r="D36">
        <v>109</v>
      </c>
    </row>
    <row r="37" spans="1:4" x14ac:dyDescent="0.25">
      <c r="A37" t="s">
        <v>43</v>
      </c>
      <c r="B37" t="s">
        <v>16</v>
      </c>
      <c r="C37" t="s">
        <v>18</v>
      </c>
      <c r="D37">
        <v>106</v>
      </c>
    </row>
    <row r="38" spans="1:4" x14ac:dyDescent="0.25">
      <c r="A38" t="s">
        <v>43</v>
      </c>
      <c r="B38" t="s">
        <v>16</v>
      </c>
      <c r="C38" t="s">
        <v>36</v>
      </c>
      <c r="D38">
        <v>106</v>
      </c>
    </row>
    <row r="39" spans="1:4" x14ac:dyDescent="0.25">
      <c r="A39" t="s">
        <v>43</v>
      </c>
      <c r="B39" t="s">
        <v>16</v>
      </c>
      <c r="C39" t="s">
        <v>37</v>
      </c>
      <c r="D39">
        <v>105</v>
      </c>
    </row>
    <row r="40" spans="1:4" x14ac:dyDescent="0.25">
      <c r="A40" t="s">
        <v>43</v>
      </c>
      <c r="B40" t="s">
        <v>14</v>
      </c>
      <c r="C40" t="s">
        <v>42</v>
      </c>
      <c r="D40">
        <v>105</v>
      </c>
    </row>
    <row r="41" spans="1:4" x14ac:dyDescent="0.25">
      <c r="A41" t="s">
        <v>43</v>
      </c>
      <c r="B41" t="s">
        <v>19</v>
      </c>
      <c r="C41" t="s">
        <v>20</v>
      </c>
      <c r="D41">
        <v>103</v>
      </c>
    </row>
    <row r="42" spans="1:4" x14ac:dyDescent="0.25">
      <c r="A42" t="s">
        <v>43</v>
      </c>
      <c r="B42" t="s">
        <v>16</v>
      </c>
      <c r="C42" t="s">
        <v>17</v>
      </c>
      <c r="D42">
        <v>103</v>
      </c>
    </row>
    <row r="43" spans="1:4" x14ac:dyDescent="0.25">
      <c r="A43" t="s">
        <v>43</v>
      </c>
      <c r="B43" t="s">
        <v>19</v>
      </c>
      <c r="C43" t="s">
        <v>26</v>
      </c>
      <c r="D43">
        <v>102</v>
      </c>
    </row>
    <row r="44" spans="1:4" x14ac:dyDescent="0.25">
      <c r="A44" t="s">
        <v>43</v>
      </c>
      <c r="B44" t="s">
        <v>16</v>
      </c>
      <c r="C44" t="s">
        <v>32</v>
      </c>
      <c r="D44">
        <v>102</v>
      </c>
    </row>
    <row r="45" spans="1:4" x14ac:dyDescent="0.25">
      <c r="A45" t="s">
        <v>43</v>
      </c>
      <c r="B45" t="s">
        <v>19</v>
      </c>
      <c r="C45" t="s">
        <v>40</v>
      </c>
      <c r="D45">
        <v>101</v>
      </c>
    </row>
    <row r="46" spans="1:4" x14ac:dyDescent="0.25">
      <c r="A46" t="s">
        <v>43</v>
      </c>
      <c r="B46" t="s">
        <v>14</v>
      </c>
      <c r="C46" t="s">
        <v>22</v>
      </c>
      <c r="D46">
        <v>101</v>
      </c>
    </row>
    <row r="47" spans="1:4" x14ac:dyDescent="0.25">
      <c r="A47" t="s">
        <v>43</v>
      </c>
      <c r="B47" t="s">
        <v>14</v>
      </c>
      <c r="C47" t="s">
        <v>38</v>
      </c>
      <c r="D47">
        <v>101</v>
      </c>
    </row>
    <row r="48" spans="1:4" x14ac:dyDescent="0.25">
      <c r="A48" t="s">
        <v>43</v>
      </c>
      <c r="B48" t="s">
        <v>14</v>
      </c>
      <c r="C48" t="s">
        <v>31</v>
      </c>
      <c r="D48">
        <v>100</v>
      </c>
    </row>
    <row r="49" spans="1:4" x14ac:dyDescent="0.25">
      <c r="A49" t="s">
        <v>43</v>
      </c>
      <c r="B49" t="s">
        <v>14</v>
      </c>
      <c r="C49" t="s">
        <v>15</v>
      </c>
      <c r="D49">
        <v>95</v>
      </c>
    </row>
    <row r="50" spans="1:4" x14ac:dyDescent="0.25">
      <c r="A50" t="s">
        <v>43</v>
      </c>
      <c r="B50" t="s">
        <v>16</v>
      </c>
      <c r="C50" t="s">
        <v>39</v>
      </c>
      <c r="D50">
        <v>95</v>
      </c>
    </row>
    <row r="51" spans="1:4" x14ac:dyDescent="0.25">
      <c r="A51" t="s">
        <v>43</v>
      </c>
      <c r="B51" t="s">
        <v>19</v>
      </c>
      <c r="C51" t="s">
        <v>29</v>
      </c>
      <c r="D51">
        <v>94</v>
      </c>
    </row>
    <row r="55" spans="1:4" x14ac:dyDescent="0.25">
      <c r="A55" t="s">
        <v>83</v>
      </c>
    </row>
    <row r="56" spans="1:4" x14ac:dyDescent="0.25">
      <c r="A56" t="s">
        <v>44</v>
      </c>
      <c r="B56" t="s">
        <v>45</v>
      </c>
      <c r="C56" t="s">
        <v>47</v>
      </c>
    </row>
    <row r="57" spans="1:4" x14ac:dyDescent="0.25">
      <c r="A57" s="9" t="s">
        <v>13</v>
      </c>
      <c r="B57" s="9" t="s">
        <v>14</v>
      </c>
      <c r="C57" s="9">
        <v>556</v>
      </c>
    </row>
    <row r="58" spans="1:4" x14ac:dyDescent="0.25">
      <c r="A58" s="9" t="s">
        <v>13</v>
      </c>
      <c r="B58" s="9" t="s">
        <v>16</v>
      </c>
      <c r="C58" s="9">
        <v>392</v>
      </c>
    </row>
    <row r="59" spans="1:4" x14ac:dyDescent="0.25">
      <c r="A59" s="9" t="s">
        <v>13</v>
      </c>
      <c r="B59" s="9" t="s">
        <v>19</v>
      </c>
      <c r="C59" s="9">
        <v>199</v>
      </c>
    </row>
    <row r="60" spans="1:4" x14ac:dyDescent="0.25">
      <c r="A60" s="9" t="s">
        <v>13</v>
      </c>
      <c r="B60" s="9" t="s">
        <v>23</v>
      </c>
      <c r="C60" s="9">
        <v>101</v>
      </c>
    </row>
    <row r="61" spans="1:4" x14ac:dyDescent="0.25">
      <c r="A61" s="9" t="s">
        <v>43</v>
      </c>
      <c r="B61" s="9" t="s">
        <v>14</v>
      </c>
      <c r="C61" s="9">
        <v>1181</v>
      </c>
    </row>
    <row r="62" spans="1:4" x14ac:dyDescent="0.25">
      <c r="A62" s="9" t="s">
        <v>43</v>
      </c>
      <c r="B62" s="9" t="s">
        <v>16</v>
      </c>
      <c r="C62" s="9">
        <v>848</v>
      </c>
    </row>
    <row r="63" spans="1:4" x14ac:dyDescent="0.25">
      <c r="A63" s="9" t="s">
        <v>43</v>
      </c>
      <c r="B63" s="9" t="s">
        <v>19</v>
      </c>
      <c r="C63" s="9">
        <v>400</v>
      </c>
    </row>
    <row r="64" spans="1:4" x14ac:dyDescent="0.25">
      <c r="A64" s="9" t="s">
        <v>43</v>
      </c>
      <c r="B64" s="9" t="s">
        <v>23</v>
      </c>
      <c r="C64" s="9">
        <v>223</v>
      </c>
    </row>
  </sheetData>
  <mergeCells count="1">
    <mergeCell ref="K1:L1"/>
  </mergeCells>
  <pageMargins left="0.7" right="0.7" top="0.75" bottom="0.75" header="0.3" footer="0.3"/>
  <pageSetup orientation="portrait" r:id="rId1"/>
  <drawing r:id="rId2"/>
  <tableParts count="5"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A2D95-D250-4129-9620-5DC8CB06ABC4}">
  <dimension ref="A1:G30"/>
  <sheetViews>
    <sheetView workbookViewId="0">
      <selection activeCell="E18" sqref="E18:G30"/>
    </sheetView>
  </sheetViews>
  <sheetFormatPr defaultRowHeight="15" x14ac:dyDescent="0.25"/>
  <cols>
    <col min="1" max="1" width="18.85546875" customWidth="1"/>
    <col min="4" max="4" width="12.42578125" customWidth="1"/>
    <col min="5" max="5" width="8.5703125" bestFit="1" customWidth="1"/>
    <col min="6" max="6" width="6.5703125" customWidth="1"/>
    <col min="7" max="7" width="16.7109375" customWidth="1"/>
  </cols>
  <sheetData>
    <row r="1" spans="1:7" x14ac:dyDescent="0.25">
      <c r="A1" t="s">
        <v>54</v>
      </c>
      <c r="B1" t="s">
        <v>55</v>
      </c>
      <c r="C1" t="s">
        <v>69</v>
      </c>
      <c r="D1" t="s">
        <v>56</v>
      </c>
      <c r="F1" t="s">
        <v>57</v>
      </c>
      <c r="G1" t="s">
        <v>58</v>
      </c>
    </row>
    <row r="2" spans="1:7" x14ac:dyDescent="0.25">
      <c r="A2" t="s">
        <v>50</v>
      </c>
      <c r="B2">
        <v>9</v>
      </c>
      <c r="C2" t="s">
        <v>70</v>
      </c>
      <c r="D2">
        <v>315</v>
      </c>
      <c r="F2" t="s">
        <v>50</v>
      </c>
      <c r="G2">
        <f>SUMIF(Table10[Product_season],F2,Table10[Purchases])</f>
        <v>975</v>
      </c>
    </row>
    <row r="3" spans="1:7" x14ac:dyDescent="0.25">
      <c r="A3" t="s">
        <v>50</v>
      </c>
      <c r="B3">
        <v>10</v>
      </c>
      <c r="C3" t="s">
        <v>71</v>
      </c>
      <c r="D3">
        <v>338</v>
      </c>
      <c r="F3" t="s">
        <v>53</v>
      </c>
      <c r="G3">
        <f>SUMIF(Table10[Product_season],F3,Table10[Purchases])</f>
        <v>971</v>
      </c>
    </row>
    <row r="4" spans="1:7" x14ac:dyDescent="0.25">
      <c r="A4" t="s">
        <v>50</v>
      </c>
      <c r="B4">
        <v>11</v>
      </c>
      <c r="C4" t="s">
        <v>72</v>
      </c>
      <c r="D4">
        <v>322</v>
      </c>
      <c r="F4" t="s">
        <v>51</v>
      </c>
      <c r="G4">
        <f>SUMIF(Table10[Product_season],F4,Table10[Purchases])</f>
        <v>999</v>
      </c>
    </row>
    <row r="5" spans="1:7" x14ac:dyDescent="0.25">
      <c r="A5" t="s">
        <v>53</v>
      </c>
      <c r="B5">
        <v>12</v>
      </c>
      <c r="C5" t="s">
        <v>73</v>
      </c>
      <c r="D5">
        <v>329</v>
      </c>
      <c r="F5" t="s">
        <v>52</v>
      </c>
      <c r="G5">
        <f>SUMIF(Table10[Product_season],F5,Table10[Purchases])</f>
        <v>955</v>
      </c>
    </row>
    <row r="6" spans="1:7" x14ac:dyDescent="0.25">
      <c r="A6" t="s">
        <v>53</v>
      </c>
      <c r="B6">
        <v>1</v>
      </c>
      <c r="C6" t="s">
        <v>80</v>
      </c>
      <c r="D6">
        <v>319</v>
      </c>
    </row>
    <row r="7" spans="1:7" x14ac:dyDescent="0.25">
      <c r="A7" t="s">
        <v>53</v>
      </c>
      <c r="B7">
        <v>2</v>
      </c>
      <c r="C7" t="s">
        <v>81</v>
      </c>
      <c r="D7">
        <v>323</v>
      </c>
    </row>
    <row r="8" spans="1:7" x14ac:dyDescent="0.25">
      <c r="A8" t="s">
        <v>51</v>
      </c>
      <c r="B8">
        <v>3</v>
      </c>
      <c r="C8" t="s">
        <v>74</v>
      </c>
      <c r="D8">
        <v>311</v>
      </c>
    </row>
    <row r="9" spans="1:7" x14ac:dyDescent="0.25">
      <c r="A9" t="s">
        <v>51</v>
      </c>
      <c r="B9">
        <v>4</v>
      </c>
      <c r="C9" t="s">
        <v>75</v>
      </c>
      <c r="D9">
        <v>338</v>
      </c>
    </row>
    <row r="10" spans="1:7" x14ac:dyDescent="0.25">
      <c r="A10" t="s">
        <v>51</v>
      </c>
      <c r="B10">
        <v>5</v>
      </c>
      <c r="C10" t="s">
        <v>76</v>
      </c>
      <c r="D10">
        <v>350</v>
      </c>
    </row>
    <row r="11" spans="1:7" x14ac:dyDescent="0.25">
      <c r="A11" t="s">
        <v>52</v>
      </c>
      <c r="B11">
        <v>6</v>
      </c>
      <c r="C11" t="s">
        <v>77</v>
      </c>
      <c r="D11">
        <v>303</v>
      </c>
    </row>
    <row r="12" spans="1:7" x14ac:dyDescent="0.25">
      <c r="A12" t="s">
        <v>52</v>
      </c>
      <c r="B12">
        <v>7</v>
      </c>
      <c r="C12" t="s">
        <v>78</v>
      </c>
      <c r="D12">
        <v>344</v>
      </c>
    </row>
    <row r="13" spans="1:7" x14ac:dyDescent="0.25">
      <c r="A13" t="s">
        <v>52</v>
      </c>
      <c r="B13">
        <v>8</v>
      </c>
      <c r="C13" t="s">
        <v>79</v>
      </c>
      <c r="D13">
        <v>308</v>
      </c>
    </row>
    <row r="18" spans="1:7" x14ac:dyDescent="0.25">
      <c r="A18" t="s">
        <v>54</v>
      </c>
      <c r="B18" t="s">
        <v>69</v>
      </c>
      <c r="C18" t="s">
        <v>56</v>
      </c>
      <c r="E18" s="5" t="s">
        <v>57</v>
      </c>
      <c r="F18" s="5" t="s">
        <v>69</v>
      </c>
      <c r="G18" s="5" t="s">
        <v>82</v>
      </c>
    </row>
    <row r="19" spans="1:7" x14ac:dyDescent="0.25">
      <c r="A19" t="s">
        <v>50</v>
      </c>
      <c r="B19" t="s">
        <v>70</v>
      </c>
      <c r="C19">
        <v>315</v>
      </c>
      <c r="E19" s="12" t="s">
        <v>50</v>
      </c>
      <c r="F19" s="1" t="s">
        <v>70</v>
      </c>
      <c r="G19" s="6">
        <v>315</v>
      </c>
    </row>
    <row r="20" spans="1:7" x14ac:dyDescent="0.25">
      <c r="A20" t="s">
        <v>50</v>
      </c>
      <c r="B20" t="s">
        <v>71</v>
      </c>
      <c r="C20">
        <v>338</v>
      </c>
      <c r="E20" s="13"/>
      <c r="F20" s="2" t="s">
        <v>71</v>
      </c>
      <c r="G20" s="7">
        <v>338</v>
      </c>
    </row>
    <row r="21" spans="1:7" x14ac:dyDescent="0.25">
      <c r="A21" t="s">
        <v>50</v>
      </c>
      <c r="B21" t="s">
        <v>72</v>
      </c>
      <c r="C21">
        <v>322</v>
      </c>
      <c r="E21" s="14"/>
      <c r="F21" s="1" t="s">
        <v>72</v>
      </c>
      <c r="G21" s="6">
        <v>322</v>
      </c>
    </row>
    <row r="22" spans="1:7" x14ac:dyDescent="0.25">
      <c r="A22" t="s">
        <v>53</v>
      </c>
      <c r="B22" t="s">
        <v>73</v>
      </c>
      <c r="C22">
        <v>329</v>
      </c>
      <c r="E22" s="15" t="s">
        <v>53</v>
      </c>
      <c r="F22" s="2" t="s">
        <v>73</v>
      </c>
      <c r="G22" s="7">
        <v>329</v>
      </c>
    </row>
    <row r="23" spans="1:7" x14ac:dyDescent="0.25">
      <c r="A23" t="s">
        <v>53</v>
      </c>
      <c r="B23" t="s">
        <v>80</v>
      </c>
      <c r="C23">
        <v>319</v>
      </c>
      <c r="E23" s="16"/>
      <c r="F23" s="1" t="s">
        <v>80</v>
      </c>
      <c r="G23" s="6">
        <v>319</v>
      </c>
    </row>
    <row r="24" spans="1:7" x14ac:dyDescent="0.25">
      <c r="A24" t="s">
        <v>53</v>
      </c>
      <c r="B24" t="s">
        <v>81</v>
      </c>
      <c r="C24">
        <v>323</v>
      </c>
      <c r="E24" s="17"/>
      <c r="F24" s="2" t="s">
        <v>81</v>
      </c>
      <c r="G24" s="7">
        <v>323</v>
      </c>
    </row>
    <row r="25" spans="1:7" x14ac:dyDescent="0.25">
      <c r="A25" t="s">
        <v>51</v>
      </c>
      <c r="B25" t="s">
        <v>74</v>
      </c>
      <c r="C25">
        <v>311</v>
      </c>
      <c r="E25" s="12" t="s">
        <v>51</v>
      </c>
      <c r="F25" s="1" t="s">
        <v>74</v>
      </c>
      <c r="G25" s="6">
        <v>311</v>
      </c>
    </row>
    <row r="26" spans="1:7" x14ac:dyDescent="0.25">
      <c r="A26" t="s">
        <v>51</v>
      </c>
      <c r="B26" t="s">
        <v>75</v>
      </c>
      <c r="C26">
        <v>338</v>
      </c>
      <c r="E26" s="13"/>
      <c r="F26" s="2" t="s">
        <v>75</v>
      </c>
      <c r="G26" s="7">
        <v>338</v>
      </c>
    </row>
    <row r="27" spans="1:7" x14ac:dyDescent="0.25">
      <c r="A27" t="s">
        <v>51</v>
      </c>
      <c r="B27" t="s">
        <v>76</v>
      </c>
      <c r="C27">
        <v>350</v>
      </c>
      <c r="E27" s="14"/>
      <c r="F27" s="1" t="s">
        <v>76</v>
      </c>
      <c r="G27" s="6">
        <v>350</v>
      </c>
    </row>
    <row r="28" spans="1:7" x14ac:dyDescent="0.25">
      <c r="A28" t="s">
        <v>52</v>
      </c>
      <c r="B28" t="s">
        <v>77</v>
      </c>
      <c r="C28">
        <v>303</v>
      </c>
      <c r="E28" s="15" t="s">
        <v>52</v>
      </c>
      <c r="F28" s="2" t="s">
        <v>77</v>
      </c>
      <c r="G28" s="7">
        <v>303</v>
      </c>
    </row>
    <row r="29" spans="1:7" x14ac:dyDescent="0.25">
      <c r="A29" t="s">
        <v>52</v>
      </c>
      <c r="B29" t="s">
        <v>78</v>
      </c>
      <c r="C29">
        <v>344</v>
      </c>
      <c r="E29" s="16"/>
      <c r="F29" s="1" t="s">
        <v>78</v>
      </c>
      <c r="G29" s="6">
        <v>344</v>
      </c>
    </row>
    <row r="30" spans="1:7" x14ac:dyDescent="0.25">
      <c r="A30" t="s">
        <v>52</v>
      </c>
      <c r="B30" t="s">
        <v>79</v>
      </c>
      <c r="C30">
        <v>308</v>
      </c>
      <c r="E30" s="17"/>
      <c r="F30" s="2" t="s">
        <v>79</v>
      </c>
      <c r="G30" s="7">
        <v>308</v>
      </c>
    </row>
  </sheetData>
  <mergeCells count="4">
    <mergeCell ref="E19:E21"/>
    <mergeCell ref="E22:E24"/>
    <mergeCell ref="E25:E27"/>
    <mergeCell ref="E28:E30"/>
  </mergeCells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173B-EC19-40D6-AA45-9187150B8A45}">
  <dimension ref="A1:C27"/>
  <sheetViews>
    <sheetView zoomScaleNormal="100" workbookViewId="0">
      <selection activeCell="O34" sqref="O34"/>
    </sheetView>
  </sheetViews>
  <sheetFormatPr defaultRowHeight="15" x14ac:dyDescent="0.25"/>
  <cols>
    <col min="1" max="1" width="17.5703125" customWidth="1"/>
    <col min="2" max="2" width="17.42578125" customWidth="1"/>
    <col min="3" max="3" width="12.5703125" customWidth="1"/>
  </cols>
  <sheetData>
    <row r="1" spans="1:3" x14ac:dyDescent="0.25">
      <c r="A1" t="s">
        <v>59</v>
      </c>
      <c r="B1" t="s">
        <v>47</v>
      </c>
      <c r="C1" t="s">
        <v>60</v>
      </c>
    </row>
    <row r="2" spans="1:3" x14ac:dyDescent="0.25">
      <c r="A2">
        <v>2.5</v>
      </c>
      <c r="B2">
        <v>66</v>
      </c>
      <c r="C2" s="8">
        <v>62.287878787878697</v>
      </c>
    </row>
    <row r="3" spans="1:3" x14ac:dyDescent="0.25">
      <c r="A3">
        <v>2.6</v>
      </c>
      <c r="B3">
        <v>159</v>
      </c>
      <c r="C3" s="8">
        <v>59.566037735849001</v>
      </c>
    </row>
    <row r="4" spans="1:3" x14ac:dyDescent="0.25">
      <c r="A4">
        <v>2.7</v>
      </c>
      <c r="B4">
        <v>154</v>
      </c>
      <c r="C4" s="8">
        <v>59.363636363636303</v>
      </c>
    </row>
    <row r="5" spans="1:3" x14ac:dyDescent="0.25">
      <c r="A5">
        <v>2.8</v>
      </c>
      <c r="B5">
        <v>136</v>
      </c>
      <c r="C5" s="8">
        <v>57.066176470588204</v>
      </c>
    </row>
    <row r="6" spans="1:3" x14ac:dyDescent="0.25">
      <c r="A6">
        <v>2.9</v>
      </c>
      <c r="B6">
        <v>170</v>
      </c>
      <c r="C6" s="8">
        <v>56.470588235294102</v>
      </c>
    </row>
    <row r="7" spans="1:3" x14ac:dyDescent="0.25">
      <c r="A7">
        <v>3</v>
      </c>
      <c r="B7">
        <v>162</v>
      </c>
      <c r="C7" s="8">
        <v>60.7283950617283</v>
      </c>
    </row>
    <row r="8" spans="1:3" x14ac:dyDescent="0.25">
      <c r="A8">
        <v>3.1</v>
      </c>
      <c r="B8">
        <v>157</v>
      </c>
      <c r="C8" s="8">
        <v>58.7707006369426</v>
      </c>
    </row>
    <row r="9" spans="1:3" x14ac:dyDescent="0.25">
      <c r="A9">
        <v>3.2</v>
      </c>
      <c r="B9">
        <v>152</v>
      </c>
      <c r="C9" s="8">
        <v>61.315789473684198</v>
      </c>
    </row>
    <row r="10" spans="1:3" x14ac:dyDescent="0.25">
      <c r="A10">
        <v>3.3</v>
      </c>
      <c r="B10">
        <v>152</v>
      </c>
      <c r="C10" s="8">
        <v>59.861842105263101</v>
      </c>
    </row>
    <row r="11" spans="1:3" x14ac:dyDescent="0.25">
      <c r="A11">
        <v>3.4</v>
      </c>
      <c r="B11">
        <v>182</v>
      </c>
      <c r="C11" s="8">
        <v>59.005494505494497</v>
      </c>
    </row>
    <row r="12" spans="1:3" x14ac:dyDescent="0.25">
      <c r="A12">
        <v>3.5</v>
      </c>
      <c r="B12">
        <v>156</v>
      </c>
      <c r="C12" s="8">
        <v>58.8333333333333</v>
      </c>
    </row>
    <row r="13" spans="1:3" x14ac:dyDescent="0.25">
      <c r="A13">
        <v>3.6</v>
      </c>
      <c r="B13">
        <v>149</v>
      </c>
      <c r="C13" s="8">
        <v>57.322147651006702</v>
      </c>
    </row>
    <row r="14" spans="1:3" x14ac:dyDescent="0.25">
      <c r="A14">
        <v>3.7</v>
      </c>
      <c r="B14">
        <v>156</v>
      </c>
      <c r="C14" s="8">
        <v>58.9743589743589</v>
      </c>
    </row>
    <row r="15" spans="1:3" x14ac:dyDescent="0.25">
      <c r="A15">
        <v>3.8</v>
      </c>
      <c r="B15">
        <v>142</v>
      </c>
      <c r="C15" s="8">
        <v>60.873239436619698</v>
      </c>
    </row>
    <row r="16" spans="1:3" x14ac:dyDescent="0.25">
      <c r="A16">
        <v>3.9</v>
      </c>
      <c r="B16">
        <v>163</v>
      </c>
      <c r="C16" s="8">
        <v>58.926380368098101</v>
      </c>
    </row>
    <row r="17" spans="1:3" x14ac:dyDescent="0.25">
      <c r="A17">
        <v>4</v>
      </c>
      <c r="B17">
        <v>181</v>
      </c>
      <c r="C17" s="8">
        <v>59.237569060773403</v>
      </c>
    </row>
    <row r="18" spans="1:3" x14ac:dyDescent="0.25">
      <c r="A18">
        <v>4.0999999999999996</v>
      </c>
      <c r="B18">
        <v>148</v>
      </c>
      <c r="C18" s="8">
        <v>61.959459459459403</v>
      </c>
    </row>
    <row r="19" spans="1:3" x14ac:dyDescent="0.25">
      <c r="A19">
        <v>4.2</v>
      </c>
      <c r="B19">
        <v>171</v>
      </c>
      <c r="C19" s="8">
        <v>60.853801169590596</v>
      </c>
    </row>
    <row r="20" spans="1:3" x14ac:dyDescent="0.25">
      <c r="A20">
        <v>4.3</v>
      </c>
      <c r="B20">
        <v>147</v>
      </c>
      <c r="C20" s="8">
        <v>59.673469387755098</v>
      </c>
    </row>
    <row r="21" spans="1:3" x14ac:dyDescent="0.25">
      <c r="A21">
        <v>4.4000000000000004</v>
      </c>
      <c r="B21">
        <v>158</v>
      </c>
      <c r="C21" s="8">
        <v>60.525316455696199</v>
      </c>
    </row>
    <row r="22" spans="1:3" x14ac:dyDescent="0.25">
      <c r="A22">
        <v>4.5</v>
      </c>
      <c r="B22">
        <v>139</v>
      </c>
      <c r="C22" s="8">
        <v>59.489208633093497</v>
      </c>
    </row>
    <row r="23" spans="1:3" x14ac:dyDescent="0.25">
      <c r="A23">
        <v>4.5999999999999996</v>
      </c>
      <c r="B23">
        <v>174</v>
      </c>
      <c r="C23" s="8">
        <v>57.683908045976999</v>
      </c>
    </row>
    <row r="24" spans="1:3" x14ac:dyDescent="0.25">
      <c r="A24">
        <v>4.7</v>
      </c>
      <c r="B24">
        <v>148</v>
      </c>
      <c r="C24" s="8">
        <v>59.283783783783697</v>
      </c>
    </row>
    <row r="25" spans="1:3" x14ac:dyDescent="0.25">
      <c r="A25">
        <v>4.8</v>
      </c>
      <c r="B25">
        <v>144</v>
      </c>
      <c r="C25" s="8">
        <v>61.8819444444444</v>
      </c>
    </row>
    <row r="26" spans="1:3" x14ac:dyDescent="0.25">
      <c r="A26">
        <v>4.9000000000000004</v>
      </c>
      <c r="B26">
        <v>166</v>
      </c>
      <c r="C26" s="8">
        <v>63.885542168674696</v>
      </c>
    </row>
    <row r="27" spans="1:3" x14ac:dyDescent="0.25">
      <c r="A27">
        <v>5</v>
      </c>
      <c r="B27">
        <v>68</v>
      </c>
      <c r="C27" s="8">
        <v>64.352941176470594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FAA4-2A27-46E2-8467-4C88C457FF54}">
  <dimension ref="A1:C8"/>
  <sheetViews>
    <sheetView tabSelected="1" workbookViewId="0">
      <selection activeCell="M4" sqref="M4"/>
    </sheetView>
  </sheetViews>
  <sheetFormatPr defaultRowHeight="15" x14ac:dyDescent="0.25"/>
  <cols>
    <col min="1" max="1" width="24.85546875" customWidth="1"/>
    <col min="2" max="2" width="17.42578125" customWidth="1"/>
    <col min="3" max="3" width="12.7109375" customWidth="1"/>
  </cols>
  <sheetData>
    <row r="1" spans="1:3" x14ac:dyDescent="0.25">
      <c r="A1" t="s">
        <v>61</v>
      </c>
    </row>
    <row r="2" spans="1:3" x14ac:dyDescent="0.25">
      <c r="A2" t="s">
        <v>68</v>
      </c>
      <c r="B2" t="s">
        <v>47</v>
      </c>
      <c r="C2" t="s">
        <v>60</v>
      </c>
    </row>
    <row r="3" spans="1:3" x14ac:dyDescent="0.25">
      <c r="A3" t="s">
        <v>62</v>
      </c>
      <c r="B3">
        <v>675</v>
      </c>
      <c r="C3" s="8">
        <v>60.41037</v>
      </c>
    </row>
    <row r="4" spans="1:3" x14ac:dyDescent="0.25">
      <c r="A4" t="s">
        <v>63</v>
      </c>
      <c r="B4">
        <v>654</v>
      </c>
      <c r="C4" s="8">
        <v>58.460245</v>
      </c>
    </row>
    <row r="5" spans="1:3" x14ac:dyDescent="0.25">
      <c r="A5" t="s">
        <v>64</v>
      </c>
      <c r="B5">
        <v>650</v>
      </c>
      <c r="C5" s="8">
        <v>59.893846000000003</v>
      </c>
    </row>
    <row r="6" spans="1:3" x14ac:dyDescent="0.25">
      <c r="A6" t="s">
        <v>65</v>
      </c>
      <c r="B6">
        <v>648</v>
      </c>
      <c r="C6" s="8">
        <v>58.631172999999997</v>
      </c>
    </row>
    <row r="7" spans="1:3" x14ac:dyDescent="0.25">
      <c r="A7" t="s">
        <v>66</v>
      </c>
      <c r="B7">
        <v>646</v>
      </c>
      <c r="C7" s="8">
        <v>60.475231999999998</v>
      </c>
    </row>
    <row r="8" spans="1:3" x14ac:dyDescent="0.25">
      <c r="A8" t="s">
        <v>67</v>
      </c>
      <c r="B8">
        <v>627</v>
      </c>
      <c r="C8" s="8">
        <v>60.733651999999999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Hp1</vt:lpstr>
      <vt:lpstr>Hp2</vt:lpstr>
      <vt:lpstr>Hp3</vt:lpstr>
      <vt:lpstr>Hp4</vt:lpstr>
      <vt:lpstr>hp5</vt:lpstr>
      <vt:lpstr>hp7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Aleem Shaikh</dc:creator>
  <cp:lastModifiedBy>Aleem Shaikh</cp:lastModifiedBy>
  <dcterms:created xsi:type="dcterms:W3CDTF">2025-10-18T18:11:26Z</dcterms:created>
  <dcterms:modified xsi:type="dcterms:W3CDTF">2025-10-21T20:49:48Z</dcterms:modified>
</cp:coreProperties>
</file>