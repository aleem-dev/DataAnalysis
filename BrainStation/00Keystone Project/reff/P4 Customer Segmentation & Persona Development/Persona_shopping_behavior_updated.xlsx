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BrainStation\00Keystone Project\reff\P4 Customer Segmentation &amp; Persona Development\"/>
    </mc:Choice>
  </mc:AlternateContent>
  <xr:revisionPtr revIDLastSave="0" documentId="13_ncr:1_{64DEFF3F-EA6D-4D55-9272-6FFA871D74F4}" xr6:coauthVersionLast="47" xr6:coauthVersionMax="47" xr10:uidLastSave="{00000000-0000-0000-0000-000000000000}"/>
  <bookViews>
    <workbookView xWindow="2340" yWindow="2340" windowWidth="21600" windowHeight="11295" activeTab="1" xr2:uid="{4B748A7E-B6E6-4205-9AEA-1D62C851BA15}"/>
  </bookViews>
  <sheets>
    <sheet name="shopping_behavior_updated" sheetId="1" r:id="rId1"/>
    <sheet name="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4" i="2"/>
  <c r="P3" i="2"/>
  <c r="B3" i="2"/>
  <c r="X1081" i="1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B6" i="2" l="1"/>
  <c r="B7" i="2"/>
  <c r="X3843" i="1"/>
  <c r="X3591" i="1"/>
  <c r="X3575" i="1"/>
  <c r="X3559" i="1"/>
  <c r="X3543" i="1"/>
  <c r="X3527" i="1"/>
  <c r="X3511" i="1"/>
  <c r="X3495" i="1"/>
  <c r="X3479" i="1"/>
  <c r="X3463" i="1"/>
  <c r="X3447" i="1"/>
  <c r="X3431" i="1"/>
  <c r="X3415" i="1"/>
  <c r="X3399" i="1"/>
  <c r="X3383" i="1"/>
  <c r="X3367" i="1"/>
  <c r="X3347" i="1"/>
  <c r="X3327" i="1"/>
  <c r="X3306" i="1"/>
  <c r="X3283" i="1"/>
  <c r="X3263" i="1"/>
  <c r="X3242" i="1"/>
  <c r="X3219" i="1"/>
  <c r="X3199" i="1"/>
  <c r="X3168" i="1"/>
  <c r="X3109" i="1"/>
  <c r="X3055" i="1"/>
  <c r="X2999" i="1"/>
  <c r="X2936" i="1"/>
  <c r="X2885" i="1"/>
  <c r="X2829" i="1"/>
  <c r="X2757" i="1"/>
  <c r="X2671" i="1"/>
  <c r="X2584" i="1"/>
  <c r="X2501" i="1"/>
  <c r="X2415" i="1"/>
  <c r="X2328" i="1"/>
  <c r="X2169" i="1"/>
  <c r="X1995" i="1"/>
  <c r="X1818" i="1"/>
  <c r="X1595" i="1"/>
  <c r="X1295" i="1"/>
  <c r="X3895" i="1"/>
  <c r="X3882" i="1"/>
  <c r="X3870" i="1"/>
  <c r="X3857" i="1"/>
  <c r="X3831" i="1"/>
  <c r="X3818" i="1"/>
  <c r="X3806" i="1"/>
  <c r="X3793" i="1"/>
  <c r="X3779" i="1"/>
  <c r="X3767" i="1"/>
  <c r="X3753" i="1"/>
  <c r="X3737" i="1"/>
  <c r="X3721" i="1"/>
  <c r="X3705" i="1"/>
  <c r="X3689" i="1"/>
  <c r="X3673" i="1"/>
  <c r="X3657" i="1"/>
  <c r="X3641" i="1"/>
  <c r="X3625" i="1"/>
  <c r="X3609" i="1"/>
  <c r="X3593" i="1"/>
  <c r="X3577" i="1"/>
  <c r="X3561" i="1"/>
  <c r="X3545" i="1"/>
  <c r="X3529" i="1"/>
  <c r="X3513" i="1"/>
  <c r="X3497" i="1"/>
  <c r="X3481" i="1"/>
  <c r="X3465" i="1"/>
  <c r="X3449" i="1"/>
  <c r="X3433" i="1"/>
  <c r="X3417" i="1"/>
  <c r="X3401" i="1"/>
  <c r="X3385" i="1"/>
  <c r="X3369" i="1"/>
  <c r="X3351" i="1"/>
  <c r="X3330" i="1"/>
  <c r="X3307" i="1"/>
  <c r="X3287" i="1"/>
  <c r="X3266" i="1"/>
  <c r="X3243" i="1"/>
  <c r="X3223" i="1"/>
  <c r="X3202" i="1"/>
  <c r="X3173" i="1"/>
  <c r="X3119" i="1"/>
  <c r="X3063" i="1"/>
  <c r="X3000" i="1"/>
  <c r="X2949" i="1"/>
  <c r="X2893" i="1"/>
  <c r="X2831" i="1"/>
  <c r="X2765" i="1"/>
  <c r="X2679" i="1"/>
  <c r="X2592" i="1"/>
  <c r="X2509" i="1"/>
  <c r="X2423" i="1"/>
  <c r="X2336" i="1"/>
  <c r="X2185" i="1"/>
  <c r="X2011" i="1"/>
  <c r="X1840" i="1"/>
  <c r="X1618" i="1"/>
  <c r="X1334" i="1"/>
  <c r="X3894" i="1"/>
  <c r="X3881" i="1"/>
  <c r="X3867" i="1"/>
  <c r="X3855" i="1"/>
  <c r="X3842" i="1"/>
  <c r="X3830" i="1"/>
  <c r="X3817" i="1"/>
  <c r="X3803" i="1"/>
  <c r="X3791" i="1"/>
  <c r="X3778" i="1"/>
  <c r="X3766" i="1"/>
  <c r="X3751" i="1"/>
  <c r="X3735" i="1"/>
  <c r="X3719" i="1"/>
  <c r="X3703" i="1"/>
  <c r="X3687" i="1"/>
  <c r="X3671" i="1"/>
  <c r="X3655" i="1"/>
  <c r="X3639" i="1"/>
  <c r="X3623" i="1"/>
  <c r="X3607" i="1"/>
  <c r="X3891" i="1"/>
  <c r="X3879" i="1"/>
  <c r="X3866" i="1"/>
  <c r="X3854" i="1"/>
  <c r="X3841" i="1"/>
  <c r="X3827" i="1"/>
  <c r="X3815" i="1"/>
  <c r="X3802" i="1"/>
  <c r="X3790" i="1"/>
  <c r="X3777" i="1"/>
  <c r="X3763" i="1"/>
  <c r="X3747" i="1"/>
  <c r="X3731" i="1"/>
  <c r="X3715" i="1"/>
  <c r="X3699" i="1"/>
  <c r="X3683" i="1"/>
  <c r="X3667" i="1"/>
  <c r="X3651" i="1"/>
  <c r="X3635" i="1"/>
  <c r="X3619" i="1"/>
  <c r="X3603" i="1"/>
  <c r="X3587" i="1"/>
  <c r="X3571" i="1"/>
  <c r="X3555" i="1"/>
  <c r="X3539" i="1"/>
  <c r="X3523" i="1"/>
  <c r="X3507" i="1"/>
  <c r="X3491" i="1"/>
  <c r="X3475" i="1"/>
  <c r="X3459" i="1"/>
  <c r="X3443" i="1"/>
  <c r="X3427" i="1"/>
  <c r="X3411" i="1"/>
  <c r="X3395" i="1"/>
  <c r="X3379" i="1"/>
  <c r="X3363" i="1"/>
  <c r="X3346" i="1"/>
  <c r="X3323" i="1"/>
  <c r="X3303" i="1"/>
  <c r="X3282" i="1"/>
  <c r="X3259" i="1"/>
  <c r="X3239" i="1"/>
  <c r="X3218" i="1"/>
  <c r="X3195" i="1"/>
  <c r="X3160" i="1"/>
  <c r="X3104" i="1"/>
  <c r="X3045" i="1"/>
  <c r="X2991" i="1"/>
  <c r="X2935" i="1"/>
  <c r="X2872" i="1"/>
  <c r="X2821" i="1"/>
  <c r="X2743" i="1"/>
  <c r="X2656" i="1"/>
  <c r="X2573" i="1"/>
  <c r="X2487" i="1"/>
  <c r="X2400" i="1"/>
  <c r="X2313" i="1"/>
  <c r="X2139" i="1"/>
  <c r="X1968" i="1"/>
  <c r="X1787" i="1"/>
  <c r="X1560" i="1"/>
  <c r="X1215" i="1"/>
  <c r="X3890" i="1"/>
  <c r="X3851" i="1"/>
  <c r="X3839" i="1"/>
  <c r="X3801" i="1"/>
  <c r="X3775" i="1"/>
  <c r="X3746" i="1"/>
  <c r="X3698" i="1"/>
  <c r="X3666" i="1"/>
  <c r="X3634" i="1"/>
  <c r="X3602" i="1"/>
  <c r="X3570" i="1"/>
  <c r="X3538" i="1"/>
  <c r="X3506" i="1"/>
  <c r="X3474" i="1"/>
  <c r="X3426" i="1"/>
  <c r="X3394" i="1"/>
  <c r="X3362" i="1"/>
  <c r="X3322" i="1"/>
  <c r="X3279" i="1"/>
  <c r="X3235" i="1"/>
  <c r="X1538" i="1"/>
  <c r="X3234" i="1"/>
  <c r="X3211" i="1"/>
  <c r="X3191" i="1"/>
  <c r="X3149" i="1"/>
  <c r="X3087" i="1"/>
  <c r="X3032" i="1"/>
  <c r="X2976" i="1"/>
  <c r="X2917" i="1"/>
  <c r="X2863" i="1"/>
  <c r="X2807" i="1"/>
  <c r="X2720" i="1"/>
  <c r="X2637" i="1"/>
  <c r="X2551" i="1"/>
  <c r="X2464" i="1"/>
  <c r="X2381" i="1"/>
  <c r="X2267" i="1"/>
  <c r="X2096" i="1"/>
  <c r="X1929" i="1"/>
  <c r="X1730" i="1"/>
  <c r="X1498" i="1"/>
  <c r="X3" i="1"/>
  <c r="X11" i="1"/>
  <c r="X19" i="1"/>
  <c r="X27" i="1"/>
  <c r="X35" i="1"/>
  <c r="X43" i="1"/>
  <c r="X51" i="1"/>
  <c r="X59" i="1"/>
  <c r="X67" i="1"/>
  <c r="X75" i="1"/>
  <c r="X83" i="1"/>
  <c r="X91" i="1"/>
  <c r="X99" i="1"/>
  <c r="X107" i="1"/>
  <c r="X115" i="1"/>
  <c r="X123" i="1"/>
  <c r="X131" i="1"/>
  <c r="X139" i="1"/>
  <c r="X147" i="1"/>
  <c r="X155" i="1"/>
  <c r="X163" i="1"/>
  <c r="X171" i="1"/>
  <c r="X179" i="1"/>
  <c r="X187" i="1"/>
  <c r="X195" i="1"/>
  <c r="X203" i="1"/>
  <c r="X211" i="1"/>
  <c r="X219" i="1"/>
  <c r="X227" i="1"/>
  <c r="X235" i="1"/>
  <c r="X243" i="1"/>
  <c r="X251" i="1"/>
  <c r="X259" i="1"/>
  <c r="X267" i="1"/>
  <c r="X275" i="1"/>
  <c r="X283" i="1"/>
  <c r="X291" i="1"/>
  <c r="X299" i="1"/>
  <c r="X307" i="1"/>
  <c r="X315" i="1"/>
  <c r="X323" i="1"/>
  <c r="X331" i="1"/>
  <c r="X339" i="1"/>
  <c r="X347" i="1"/>
  <c r="X355" i="1"/>
  <c r="X363" i="1"/>
  <c r="X371" i="1"/>
  <c r="X379" i="1"/>
  <c r="X387" i="1"/>
  <c r="X395" i="1"/>
  <c r="X403" i="1"/>
  <c r="X411" i="1"/>
  <c r="X419" i="1"/>
  <c r="X427" i="1"/>
  <c r="X435" i="1"/>
  <c r="X443" i="1"/>
  <c r="X451" i="1"/>
  <c r="X459" i="1"/>
  <c r="X467" i="1"/>
  <c r="X475" i="1"/>
  <c r="X483" i="1"/>
  <c r="X491" i="1"/>
  <c r="X499" i="1"/>
  <c r="X507" i="1"/>
  <c r="X515" i="1"/>
  <c r="X523" i="1"/>
  <c r="X531" i="1"/>
  <c r="X539" i="1"/>
  <c r="X547" i="1"/>
  <c r="X4" i="1"/>
  <c r="X12" i="1"/>
  <c r="X20" i="1"/>
  <c r="X28" i="1"/>
  <c r="X36" i="1"/>
  <c r="X44" i="1"/>
  <c r="X52" i="1"/>
  <c r="X60" i="1"/>
  <c r="X68" i="1"/>
  <c r="X76" i="1"/>
  <c r="X84" i="1"/>
  <c r="X92" i="1"/>
  <c r="X100" i="1"/>
  <c r="X108" i="1"/>
  <c r="X116" i="1"/>
  <c r="X124" i="1"/>
  <c r="X132" i="1"/>
  <c r="X140" i="1"/>
  <c r="X148" i="1"/>
  <c r="X156" i="1"/>
  <c r="X164" i="1"/>
  <c r="X172" i="1"/>
  <c r="X180" i="1"/>
  <c r="X188" i="1"/>
  <c r="X196" i="1"/>
  <c r="X204" i="1"/>
  <c r="X212" i="1"/>
  <c r="X220" i="1"/>
  <c r="X228" i="1"/>
  <c r="X236" i="1"/>
  <c r="X244" i="1"/>
  <c r="X252" i="1"/>
  <c r="X260" i="1"/>
  <c r="X268" i="1"/>
  <c r="X276" i="1"/>
  <c r="X284" i="1"/>
  <c r="X292" i="1"/>
  <c r="X300" i="1"/>
  <c r="X308" i="1"/>
  <c r="X316" i="1"/>
  <c r="X324" i="1"/>
  <c r="X332" i="1"/>
  <c r="X340" i="1"/>
  <c r="X348" i="1"/>
  <c r="X356" i="1"/>
  <c r="X364" i="1"/>
  <c r="X372" i="1"/>
  <c r="X380" i="1"/>
  <c r="X388" i="1"/>
  <c r="X396" i="1"/>
  <c r="X404" i="1"/>
  <c r="X412" i="1"/>
  <c r="X420" i="1"/>
  <c r="X428" i="1"/>
  <c r="X436" i="1"/>
  <c r="X444" i="1"/>
  <c r="X452" i="1"/>
  <c r="X460" i="1"/>
  <c r="X468" i="1"/>
  <c r="X476" i="1"/>
  <c r="X484" i="1"/>
  <c r="X492" i="1"/>
  <c r="X500" i="1"/>
  <c r="X508" i="1"/>
  <c r="X516" i="1"/>
  <c r="X524" i="1"/>
  <c r="X532" i="1"/>
  <c r="X540" i="1"/>
  <c r="X548" i="1"/>
  <c r="X556" i="1"/>
  <c r="X564" i="1"/>
  <c r="X572" i="1"/>
  <c r="X580" i="1"/>
  <c r="X588" i="1"/>
  <c r="X596" i="1"/>
  <c r="X604" i="1"/>
  <c r="X612" i="1"/>
  <c r="X620" i="1"/>
  <c r="X628" i="1"/>
  <c r="X636" i="1"/>
  <c r="X644" i="1"/>
  <c r="X652" i="1"/>
  <c r="X660" i="1"/>
  <c r="X668" i="1"/>
  <c r="X676" i="1"/>
  <c r="X5" i="1"/>
  <c r="X13" i="1"/>
  <c r="X21" i="1"/>
  <c r="X29" i="1"/>
  <c r="X37" i="1"/>
  <c r="X45" i="1"/>
  <c r="X53" i="1"/>
  <c r="X61" i="1"/>
  <c r="X69" i="1"/>
  <c r="X77" i="1"/>
  <c r="X85" i="1"/>
  <c r="X93" i="1"/>
  <c r="X101" i="1"/>
  <c r="X109" i="1"/>
  <c r="X117" i="1"/>
  <c r="X125" i="1"/>
  <c r="X133" i="1"/>
  <c r="X141" i="1"/>
  <c r="X149" i="1"/>
  <c r="X157" i="1"/>
  <c r="X165" i="1"/>
  <c r="X173" i="1"/>
  <c r="X181" i="1"/>
  <c r="X189" i="1"/>
  <c r="X197" i="1"/>
  <c r="X205" i="1"/>
  <c r="X213" i="1"/>
  <c r="X221" i="1"/>
  <c r="X229" i="1"/>
  <c r="X237" i="1"/>
  <c r="X245" i="1"/>
  <c r="X253" i="1"/>
  <c r="X261" i="1"/>
  <c r="X269" i="1"/>
  <c r="X277" i="1"/>
  <c r="X285" i="1"/>
  <c r="X293" i="1"/>
  <c r="X301" i="1"/>
  <c r="X309" i="1"/>
  <c r="X317" i="1"/>
  <c r="X325" i="1"/>
  <c r="X333" i="1"/>
  <c r="X341" i="1"/>
  <c r="X349" i="1"/>
  <c r="X357" i="1"/>
  <c r="X365" i="1"/>
  <c r="X373" i="1"/>
  <c r="X381" i="1"/>
  <c r="X389" i="1"/>
  <c r="X397" i="1"/>
  <c r="X405" i="1"/>
  <c r="X413" i="1"/>
  <c r="X421" i="1"/>
  <c r="X429" i="1"/>
  <c r="X437" i="1"/>
  <c r="X445" i="1"/>
  <c r="X453" i="1"/>
  <c r="X461" i="1"/>
  <c r="X469" i="1"/>
  <c r="X477" i="1"/>
  <c r="X485" i="1"/>
  <c r="X493" i="1"/>
  <c r="X501" i="1"/>
  <c r="X509" i="1"/>
  <c r="X517" i="1"/>
  <c r="X525" i="1"/>
  <c r="X533" i="1"/>
  <c r="X541" i="1"/>
  <c r="X549" i="1"/>
  <c r="X557" i="1"/>
  <c r="X565" i="1"/>
  <c r="X573" i="1"/>
  <c r="X581" i="1"/>
  <c r="X589" i="1"/>
  <c r="X597" i="1"/>
  <c r="X605" i="1"/>
  <c r="X613" i="1"/>
  <c r="X621" i="1"/>
  <c r="X629" i="1"/>
  <c r="X637" i="1"/>
  <c r="X645" i="1"/>
  <c r="X653" i="1"/>
  <c r="X661" i="1"/>
  <c r="X669" i="1"/>
  <c r="X677" i="1"/>
  <c r="X7" i="1"/>
  <c r="X15" i="1"/>
  <c r="X23" i="1"/>
  <c r="X31" i="1"/>
  <c r="X39" i="1"/>
  <c r="X47" i="1"/>
  <c r="X55" i="1"/>
  <c r="X63" i="1"/>
  <c r="X71" i="1"/>
  <c r="X79" i="1"/>
  <c r="X87" i="1"/>
  <c r="X95" i="1"/>
  <c r="X103" i="1"/>
  <c r="X111" i="1"/>
  <c r="X119" i="1"/>
  <c r="X127" i="1"/>
  <c r="X135" i="1"/>
  <c r="X143" i="1"/>
  <c r="X151" i="1"/>
  <c r="X159" i="1"/>
  <c r="X167" i="1"/>
  <c r="X175" i="1"/>
  <c r="X183" i="1"/>
  <c r="X191" i="1"/>
  <c r="X199" i="1"/>
  <c r="X207" i="1"/>
  <c r="X215" i="1"/>
  <c r="X223" i="1"/>
  <c r="X231" i="1"/>
  <c r="X239" i="1"/>
  <c r="X247" i="1"/>
  <c r="X255" i="1"/>
  <c r="X263" i="1"/>
  <c r="X271" i="1"/>
  <c r="X279" i="1"/>
  <c r="X287" i="1"/>
  <c r="X295" i="1"/>
  <c r="X303" i="1"/>
  <c r="X311" i="1"/>
  <c r="X319" i="1"/>
  <c r="X327" i="1"/>
  <c r="X335" i="1"/>
  <c r="X343" i="1"/>
  <c r="X351" i="1"/>
  <c r="X359" i="1"/>
  <c r="X367" i="1"/>
  <c r="X375" i="1"/>
  <c r="X383" i="1"/>
  <c r="X391" i="1"/>
  <c r="X399" i="1"/>
  <c r="X407" i="1"/>
  <c r="X415" i="1"/>
  <c r="X423" i="1"/>
  <c r="X431" i="1"/>
  <c r="X439" i="1"/>
  <c r="X447" i="1"/>
  <c r="X455" i="1"/>
  <c r="X463" i="1"/>
  <c r="X471" i="1"/>
  <c r="X479" i="1"/>
  <c r="X487" i="1"/>
  <c r="X495" i="1"/>
  <c r="X503" i="1"/>
  <c r="X511" i="1"/>
  <c r="X519" i="1"/>
  <c r="X527" i="1"/>
  <c r="X535" i="1"/>
  <c r="X9" i="1"/>
  <c r="X17" i="1"/>
  <c r="X25" i="1"/>
  <c r="X33" i="1"/>
  <c r="X41" i="1"/>
  <c r="X49" i="1"/>
  <c r="X57" i="1"/>
  <c r="X65" i="1"/>
  <c r="X73" i="1"/>
  <c r="X81" i="1"/>
  <c r="X89" i="1"/>
  <c r="X97" i="1"/>
  <c r="X105" i="1"/>
  <c r="X113" i="1"/>
  <c r="X121" i="1"/>
  <c r="X129" i="1"/>
  <c r="X137" i="1"/>
  <c r="X145" i="1"/>
  <c r="X153" i="1"/>
  <c r="X161" i="1"/>
  <c r="X169" i="1"/>
  <c r="X177" i="1"/>
  <c r="X185" i="1"/>
  <c r="X193" i="1"/>
  <c r="X201" i="1"/>
  <c r="X209" i="1"/>
  <c r="X217" i="1"/>
  <c r="X225" i="1"/>
  <c r="X233" i="1"/>
  <c r="X241" i="1"/>
  <c r="X249" i="1"/>
  <c r="X257" i="1"/>
  <c r="X265" i="1"/>
  <c r="X273" i="1"/>
  <c r="X281" i="1"/>
  <c r="X289" i="1"/>
  <c r="X297" i="1"/>
  <c r="X305" i="1"/>
  <c r="X313" i="1"/>
  <c r="X321" i="1"/>
  <c r="X329" i="1"/>
  <c r="X337" i="1"/>
  <c r="X345" i="1"/>
  <c r="X353" i="1"/>
  <c r="X361" i="1"/>
  <c r="X369" i="1"/>
  <c r="X377" i="1"/>
  <c r="X385" i="1"/>
  <c r="X393" i="1"/>
  <c r="X401" i="1"/>
  <c r="X409" i="1"/>
  <c r="X417" i="1"/>
  <c r="X425" i="1"/>
  <c r="X433" i="1"/>
  <c r="X441" i="1"/>
  <c r="X449" i="1"/>
  <c r="X457" i="1"/>
  <c r="X465" i="1"/>
  <c r="X473" i="1"/>
  <c r="X481" i="1"/>
  <c r="X489" i="1"/>
  <c r="X497" i="1"/>
  <c r="X505" i="1"/>
  <c r="X513" i="1"/>
  <c r="X521" i="1"/>
  <c r="X529" i="1"/>
  <c r="X537" i="1"/>
  <c r="X545" i="1"/>
  <c r="X553" i="1"/>
  <c r="X561" i="1"/>
  <c r="X569" i="1"/>
  <c r="X577" i="1"/>
  <c r="X585" i="1"/>
  <c r="X593" i="1"/>
  <c r="X601" i="1"/>
  <c r="X609" i="1"/>
  <c r="X617" i="1"/>
  <c r="X625" i="1"/>
  <c r="X633" i="1"/>
  <c r="X641" i="1"/>
  <c r="X649" i="1"/>
  <c r="X657" i="1"/>
  <c r="X665" i="1"/>
  <c r="X673" i="1"/>
  <c r="X681" i="1"/>
  <c r="X2" i="1"/>
  <c r="X24" i="1"/>
  <c r="X46" i="1"/>
  <c r="X66" i="1"/>
  <c r="X88" i="1"/>
  <c r="X110" i="1"/>
  <c r="X130" i="1"/>
  <c r="X152" i="1"/>
  <c r="X174" i="1"/>
  <c r="X194" i="1"/>
  <c r="X216" i="1"/>
  <c r="X238" i="1"/>
  <c r="X258" i="1"/>
  <c r="X280" i="1"/>
  <c r="X302" i="1"/>
  <c r="X322" i="1"/>
  <c r="X344" i="1"/>
  <c r="X366" i="1"/>
  <c r="X386" i="1"/>
  <c r="X408" i="1"/>
  <c r="X430" i="1"/>
  <c r="X450" i="1"/>
  <c r="X472" i="1"/>
  <c r="X494" i="1"/>
  <c r="X514" i="1"/>
  <c r="X536" i="1"/>
  <c r="X552" i="1"/>
  <c r="X566" i="1"/>
  <c r="X578" i="1"/>
  <c r="X591" i="1"/>
  <c r="X603" i="1"/>
  <c r="X616" i="1"/>
  <c r="X630" i="1"/>
  <c r="X642" i="1"/>
  <c r="X655" i="1"/>
  <c r="X667" i="1"/>
  <c r="X680" i="1"/>
  <c r="X689" i="1"/>
  <c r="X697" i="1"/>
  <c r="X705" i="1"/>
  <c r="X713" i="1"/>
  <c r="X721" i="1"/>
  <c r="X729" i="1"/>
  <c r="X737" i="1"/>
  <c r="X745" i="1"/>
  <c r="X753" i="1"/>
  <c r="X761" i="1"/>
  <c r="X769" i="1"/>
  <c r="X777" i="1"/>
  <c r="X785" i="1"/>
  <c r="X793" i="1"/>
  <c r="X801" i="1"/>
  <c r="X809" i="1"/>
  <c r="X817" i="1"/>
  <c r="X825" i="1"/>
  <c r="X833" i="1"/>
  <c r="X841" i="1"/>
  <c r="X849" i="1"/>
  <c r="X6" i="1"/>
  <c r="X26" i="1"/>
  <c r="X48" i="1"/>
  <c r="X70" i="1"/>
  <c r="X90" i="1"/>
  <c r="X112" i="1"/>
  <c r="X134" i="1"/>
  <c r="X154" i="1"/>
  <c r="X176" i="1"/>
  <c r="X198" i="1"/>
  <c r="X218" i="1"/>
  <c r="X240" i="1"/>
  <c r="X262" i="1"/>
  <c r="X282" i="1"/>
  <c r="X304" i="1"/>
  <c r="X326" i="1"/>
  <c r="X346" i="1"/>
  <c r="X368" i="1"/>
  <c r="X390" i="1"/>
  <c r="X410" i="1"/>
  <c r="X432" i="1"/>
  <c r="X454" i="1"/>
  <c r="X474" i="1"/>
  <c r="X496" i="1"/>
  <c r="X518" i="1"/>
  <c r="X538" i="1"/>
  <c r="X554" i="1"/>
  <c r="X567" i="1"/>
  <c r="X579" i="1"/>
  <c r="X592" i="1"/>
  <c r="X606" i="1"/>
  <c r="X618" i="1"/>
  <c r="X631" i="1"/>
  <c r="X643" i="1"/>
  <c r="X656" i="1"/>
  <c r="X670" i="1"/>
  <c r="X682" i="1"/>
  <c r="X690" i="1"/>
  <c r="X698" i="1"/>
  <c r="X706" i="1"/>
  <c r="X714" i="1"/>
  <c r="X722" i="1"/>
  <c r="X730" i="1"/>
  <c r="X738" i="1"/>
  <c r="X746" i="1"/>
  <c r="X754" i="1"/>
  <c r="X762" i="1"/>
  <c r="X770" i="1"/>
  <c r="X778" i="1"/>
  <c r="X786" i="1"/>
  <c r="X794" i="1"/>
  <c r="X802" i="1"/>
  <c r="X810" i="1"/>
  <c r="X818" i="1"/>
  <c r="X826" i="1"/>
  <c r="X834" i="1"/>
  <c r="X842" i="1"/>
  <c r="X850" i="1"/>
  <c r="X858" i="1"/>
  <c r="X866" i="1"/>
  <c r="X874" i="1"/>
  <c r="X882" i="1"/>
  <c r="X890" i="1"/>
  <c r="X898" i="1"/>
  <c r="X906" i="1"/>
  <c r="X914" i="1"/>
  <c r="X922" i="1"/>
  <c r="X930" i="1"/>
  <c r="X938" i="1"/>
  <c r="X946" i="1"/>
  <c r="X954" i="1"/>
  <c r="X962" i="1"/>
  <c r="X970" i="1"/>
  <c r="X978" i="1"/>
  <c r="X986" i="1"/>
  <c r="X994" i="1"/>
  <c r="X1002" i="1"/>
  <c r="X1010" i="1"/>
  <c r="X1018" i="1"/>
  <c r="X1026" i="1"/>
  <c r="X1034" i="1"/>
  <c r="X1042" i="1"/>
  <c r="X1050" i="1"/>
  <c r="X1058" i="1"/>
  <c r="X1066" i="1"/>
  <c r="X8" i="1"/>
  <c r="X30" i="1"/>
  <c r="X50" i="1"/>
  <c r="X72" i="1"/>
  <c r="X94" i="1"/>
  <c r="X114" i="1"/>
  <c r="X136" i="1"/>
  <c r="X158" i="1"/>
  <c r="X178" i="1"/>
  <c r="X200" i="1"/>
  <c r="X222" i="1"/>
  <c r="X242" i="1"/>
  <c r="X264" i="1"/>
  <c r="X286" i="1"/>
  <c r="X306" i="1"/>
  <c r="X328" i="1"/>
  <c r="X350" i="1"/>
  <c r="X370" i="1"/>
  <c r="X392" i="1"/>
  <c r="X414" i="1"/>
  <c r="X434" i="1"/>
  <c r="X456" i="1"/>
  <c r="X478" i="1"/>
  <c r="X498" i="1"/>
  <c r="X520" i="1"/>
  <c r="X542" i="1"/>
  <c r="X555" i="1"/>
  <c r="X568" i="1"/>
  <c r="X582" i="1"/>
  <c r="X594" i="1"/>
  <c r="X607" i="1"/>
  <c r="X619" i="1"/>
  <c r="X632" i="1"/>
  <c r="X646" i="1"/>
  <c r="X658" i="1"/>
  <c r="X671" i="1"/>
  <c r="X683" i="1"/>
  <c r="X691" i="1"/>
  <c r="X699" i="1"/>
  <c r="X707" i="1"/>
  <c r="X715" i="1"/>
  <c r="X723" i="1"/>
  <c r="X731" i="1"/>
  <c r="X739" i="1"/>
  <c r="X747" i="1"/>
  <c r="X755" i="1"/>
  <c r="X763" i="1"/>
  <c r="X771" i="1"/>
  <c r="X779" i="1"/>
  <c r="X787" i="1"/>
  <c r="X795" i="1"/>
  <c r="X803" i="1"/>
  <c r="X811" i="1"/>
  <c r="X819" i="1"/>
  <c r="X827" i="1"/>
  <c r="X835" i="1"/>
  <c r="X843" i="1"/>
  <c r="X851" i="1"/>
  <c r="X859" i="1"/>
  <c r="X867" i="1"/>
  <c r="X875" i="1"/>
  <c r="X883" i="1"/>
  <c r="X891" i="1"/>
  <c r="X899" i="1"/>
  <c r="X907" i="1"/>
  <c r="X915" i="1"/>
  <c r="X923" i="1"/>
  <c r="X931" i="1"/>
  <c r="X939" i="1"/>
  <c r="X947" i="1"/>
  <c r="X955" i="1"/>
  <c r="X963" i="1"/>
  <c r="X971" i="1"/>
  <c r="X979" i="1"/>
  <c r="X987" i="1"/>
  <c r="X995" i="1"/>
  <c r="X1003" i="1"/>
  <c r="X1011" i="1"/>
  <c r="X1019" i="1"/>
  <c r="X1027" i="1"/>
  <c r="X1035" i="1"/>
  <c r="X1043" i="1"/>
  <c r="X1051" i="1"/>
  <c r="X1059" i="1"/>
  <c r="X1067" i="1"/>
  <c r="X1075" i="1"/>
  <c r="X10" i="1"/>
  <c r="X32" i="1"/>
  <c r="X54" i="1"/>
  <c r="X74" i="1"/>
  <c r="X96" i="1"/>
  <c r="X118" i="1"/>
  <c r="X138" i="1"/>
  <c r="X160" i="1"/>
  <c r="X182" i="1"/>
  <c r="X202" i="1"/>
  <c r="X224" i="1"/>
  <c r="X246" i="1"/>
  <c r="X266" i="1"/>
  <c r="X288" i="1"/>
  <c r="X310" i="1"/>
  <c r="X330" i="1"/>
  <c r="X352" i="1"/>
  <c r="X374" i="1"/>
  <c r="X394" i="1"/>
  <c r="X416" i="1"/>
  <c r="X438" i="1"/>
  <c r="X458" i="1"/>
  <c r="X480" i="1"/>
  <c r="X502" i="1"/>
  <c r="X522" i="1"/>
  <c r="X543" i="1"/>
  <c r="X558" i="1"/>
  <c r="X570" i="1"/>
  <c r="X583" i="1"/>
  <c r="X595" i="1"/>
  <c r="X608" i="1"/>
  <c r="X622" i="1"/>
  <c r="X634" i="1"/>
  <c r="X647" i="1"/>
  <c r="X659" i="1"/>
  <c r="X672" i="1"/>
  <c r="X684" i="1"/>
  <c r="X692" i="1"/>
  <c r="X700" i="1"/>
  <c r="X708" i="1"/>
  <c r="X716" i="1"/>
  <c r="X724" i="1"/>
  <c r="X732" i="1"/>
  <c r="X740" i="1"/>
  <c r="X748" i="1"/>
  <c r="X756" i="1"/>
  <c r="X764" i="1"/>
  <c r="X772" i="1"/>
  <c r="X780" i="1"/>
  <c r="X788" i="1"/>
  <c r="X796" i="1"/>
  <c r="X804" i="1"/>
  <c r="X812" i="1"/>
  <c r="X820" i="1"/>
  <c r="X828" i="1"/>
  <c r="X836" i="1"/>
  <c r="X844" i="1"/>
  <c r="X852" i="1"/>
  <c r="X860" i="1"/>
  <c r="X14" i="1"/>
  <c r="X34" i="1"/>
  <c r="X56" i="1"/>
  <c r="X78" i="1"/>
  <c r="X98" i="1"/>
  <c r="X120" i="1"/>
  <c r="X142" i="1"/>
  <c r="X162" i="1"/>
  <c r="X184" i="1"/>
  <c r="X206" i="1"/>
  <c r="X226" i="1"/>
  <c r="X248" i="1"/>
  <c r="X270" i="1"/>
  <c r="X290" i="1"/>
  <c r="X312" i="1"/>
  <c r="X334" i="1"/>
  <c r="X354" i="1"/>
  <c r="X376" i="1"/>
  <c r="X398" i="1"/>
  <c r="X418" i="1"/>
  <c r="X440" i="1"/>
  <c r="X462" i="1"/>
  <c r="X482" i="1"/>
  <c r="X504" i="1"/>
  <c r="X526" i="1"/>
  <c r="X544" i="1"/>
  <c r="X559" i="1"/>
  <c r="X571" i="1"/>
  <c r="X584" i="1"/>
  <c r="X598" i="1"/>
  <c r="X610" i="1"/>
  <c r="X623" i="1"/>
  <c r="X635" i="1"/>
  <c r="X648" i="1"/>
  <c r="X662" i="1"/>
  <c r="X674" i="1"/>
  <c r="X685" i="1"/>
  <c r="X693" i="1"/>
  <c r="X701" i="1"/>
  <c r="X709" i="1"/>
  <c r="X717" i="1"/>
  <c r="X725" i="1"/>
  <c r="X733" i="1"/>
  <c r="X741" i="1"/>
  <c r="X749" i="1"/>
  <c r="X757" i="1"/>
  <c r="X765" i="1"/>
  <c r="X773" i="1"/>
  <c r="X781" i="1"/>
  <c r="X789" i="1"/>
  <c r="X797" i="1"/>
  <c r="X805" i="1"/>
  <c r="X813" i="1"/>
  <c r="X821" i="1"/>
  <c r="X829" i="1"/>
  <c r="X837" i="1"/>
  <c r="X845" i="1"/>
  <c r="X853" i="1"/>
  <c r="X861" i="1"/>
  <c r="X869" i="1"/>
  <c r="X877" i="1"/>
  <c r="X885" i="1"/>
  <c r="X893" i="1"/>
  <c r="X901" i="1"/>
  <c r="X909" i="1"/>
  <c r="X917" i="1"/>
  <c r="X925" i="1"/>
  <c r="X933" i="1"/>
  <c r="X941" i="1"/>
  <c r="X949" i="1"/>
  <c r="X957" i="1"/>
  <c r="X965" i="1"/>
  <c r="X973" i="1"/>
  <c r="X981" i="1"/>
  <c r="X989" i="1"/>
  <c r="X997" i="1"/>
  <c r="X1005" i="1"/>
  <c r="X1013" i="1"/>
  <c r="X1021" i="1"/>
  <c r="X1029" i="1"/>
  <c r="X1037" i="1"/>
  <c r="X16" i="1"/>
  <c r="X64" i="1"/>
  <c r="X126" i="1"/>
  <c r="X186" i="1"/>
  <c r="X234" i="1"/>
  <c r="X296" i="1"/>
  <c r="X358" i="1"/>
  <c r="X406" i="1"/>
  <c r="X466" i="1"/>
  <c r="X528" i="1"/>
  <c r="X563" i="1"/>
  <c r="X600" i="1"/>
  <c r="X638" i="1"/>
  <c r="X666" i="1"/>
  <c r="X695" i="1"/>
  <c r="X718" i="1"/>
  <c r="X736" i="1"/>
  <c r="X759" i="1"/>
  <c r="X782" i="1"/>
  <c r="X800" i="1"/>
  <c r="X823" i="1"/>
  <c r="X846" i="1"/>
  <c r="X863" i="1"/>
  <c r="X876" i="1"/>
  <c r="X888" i="1"/>
  <c r="X902" i="1"/>
  <c r="X913" i="1"/>
  <c r="X927" i="1"/>
  <c r="X940" i="1"/>
  <c r="X952" i="1"/>
  <c r="X966" i="1"/>
  <c r="X977" i="1"/>
  <c r="X991" i="1"/>
  <c r="X1004" i="1"/>
  <c r="X1016" i="1"/>
  <c r="X1030" i="1"/>
  <c r="X1041" i="1"/>
  <c r="X1053" i="1"/>
  <c r="X1063" i="1"/>
  <c r="X1073" i="1"/>
  <c r="X1082" i="1"/>
  <c r="X1090" i="1"/>
  <c r="X1098" i="1"/>
  <c r="X1106" i="1"/>
  <c r="X1114" i="1"/>
  <c r="X1122" i="1"/>
  <c r="X1130" i="1"/>
  <c r="X1138" i="1"/>
  <c r="X1146" i="1"/>
  <c r="X1154" i="1"/>
  <c r="X1162" i="1"/>
  <c r="X1170" i="1"/>
  <c r="X1178" i="1"/>
  <c r="X1186" i="1"/>
  <c r="X1194" i="1"/>
  <c r="X1202" i="1"/>
  <c r="X1210" i="1"/>
  <c r="X1218" i="1"/>
  <c r="X1226" i="1"/>
  <c r="X1234" i="1"/>
  <c r="X1242" i="1"/>
  <c r="X1250" i="1"/>
  <c r="X1258" i="1"/>
  <c r="X1266" i="1"/>
  <c r="X1274" i="1"/>
  <c r="X1282" i="1"/>
  <c r="X1290" i="1"/>
  <c r="X1298" i="1"/>
  <c r="X1306" i="1"/>
  <c r="X1314" i="1"/>
  <c r="X1322" i="1"/>
  <c r="X1330" i="1"/>
  <c r="X1338" i="1"/>
  <c r="X1346" i="1"/>
  <c r="X1354" i="1"/>
  <c r="X1362" i="1"/>
  <c r="X1370" i="1"/>
  <c r="X1378" i="1"/>
  <c r="X1386" i="1"/>
  <c r="X1394" i="1"/>
  <c r="X1402" i="1"/>
  <c r="X1410" i="1"/>
  <c r="X1418" i="1"/>
  <c r="X1426" i="1"/>
  <c r="X1434" i="1"/>
  <c r="X18" i="1"/>
  <c r="X80" i="1"/>
  <c r="X128" i="1"/>
  <c r="X190" i="1"/>
  <c r="X250" i="1"/>
  <c r="X298" i="1"/>
  <c r="X360" i="1"/>
  <c r="X422" i="1"/>
  <c r="X470" i="1"/>
  <c r="X530" i="1"/>
  <c r="X574" i="1"/>
  <c r="X602" i="1"/>
  <c r="X639" i="1"/>
  <c r="X675" i="1"/>
  <c r="X696" i="1"/>
  <c r="X719" i="1"/>
  <c r="X742" i="1"/>
  <c r="X760" i="1"/>
  <c r="X783" i="1"/>
  <c r="X806" i="1"/>
  <c r="X824" i="1"/>
  <c r="X847" i="1"/>
  <c r="X864" i="1"/>
  <c r="X878" i="1"/>
  <c r="X889" i="1"/>
  <c r="X903" i="1"/>
  <c r="X916" i="1"/>
  <c r="X928" i="1"/>
  <c r="X942" i="1"/>
  <c r="X953" i="1"/>
  <c r="X967" i="1"/>
  <c r="X980" i="1"/>
  <c r="X992" i="1"/>
  <c r="X1006" i="1"/>
  <c r="X1017" i="1"/>
  <c r="X1031" i="1"/>
  <c r="X1044" i="1"/>
  <c r="X1054" i="1"/>
  <c r="X1064" i="1"/>
  <c r="X1074" i="1"/>
  <c r="X1083" i="1"/>
  <c r="X1091" i="1"/>
  <c r="X1099" i="1"/>
  <c r="X1107" i="1"/>
  <c r="X1115" i="1"/>
  <c r="X1123" i="1"/>
  <c r="X1131" i="1"/>
  <c r="X1139" i="1"/>
  <c r="X1147" i="1"/>
  <c r="X1155" i="1"/>
  <c r="X1163" i="1"/>
  <c r="X1171" i="1"/>
  <c r="X1179" i="1"/>
  <c r="X1187" i="1"/>
  <c r="X1195" i="1"/>
  <c r="X1203" i="1"/>
  <c r="X1211" i="1"/>
  <c r="X1219" i="1"/>
  <c r="X1227" i="1"/>
  <c r="X1235" i="1"/>
  <c r="X1243" i="1"/>
  <c r="X1251" i="1"/>
  <c r="X1259" i="1"/>
  <c r="X1267" i="1"/>
  <c r="X1275" i="1"/>
  <c r="X1283" i="1"/>
  <c r="X1291" i="1"/>
  <c r="X1299" i="1"/>
  <c r="X1307" i="1"/>
  <c r="X1315" i="1"/>
  <c r="X1323" i="1"/>
  <c r="X1331" i="1"/>
  <c r="X1339" i="1"/>
  <c r="X1347" i="1"/>
  <c r="X1355" i="1"/>
  <c r="X1363" i="1"/>
  <c r="X1371" i="1"/>
  <c r="X1379" i="1"/>
  <c r="X1387" i="1"/>
  <c r="X1395" i="1"/>
  <c r="X1403" i="1"/>
  <c r="X1411" i="1"/>
  <c r="X1419" i="1"/>
  <c r="X1427" i="1"/>
  <c r="X1435" i="1"/>
  <c r="X22" i="1"/>
  <c r="X82" i="1"/>
  <c r="X144" i="1"/>
  <c r="X192" i="1"/>
  <c r="X254" i="1"/>
  <c r="X314" i="1"/>
  <c r="X362" i="1"/>
  <c r="X424" i="1"/>
  <c r="X486" i="1"/>
  <c r="X534" i="1"/>
  <c r="X575" i="1"/>
  <c r="X611" i="1"/>
  <c r="X640" i="1"/>
  <c r="X678" i="1"/>
  <c r="X702" i="1"/>
  <c r="X720" i="1"/>
  <c r="X743" i="1"/>
  <c r="X766" i="1"/>
  <c r="X784" i="1"/>
  <c r="X807" i="1"/>
  <c r="X830" i="1"/>
  <c r="X848" i="1"/>
  <c r="X865" i="1"/>
  <c r="X879" i="1"/>
  <c r="X892" i="1"/>
  <c r="X904" i="1"/>
  <c r="X918" i="1"/>
  <c r="X929" i="1"/>
  <c r="X943" i="1"/>
  <c r="X956" i="1"/>
  <c r="X968" i="1"/>
  <c r="X982" i="1"/>
  <c r="X993" i="1"/>
  <c r="X1007" i="1"/>
  <c r="X1020" i="1"/>
  <c r="X1032" i="1"/>
  <c r="X1045" i="1"/>
  <c r="X1055" i="1"/>
  <c r="X1065" i="1"/>
  <c r="X1076" i="1"/>
  <c r="X1084" i="1"/>
  <c r="X1092" i="1"/>
  <c r="X1100" i="1"/>
  <c r="X1108" i="1"/>
  <c r="X1116" i="1"/>
  <c r="X1124" i="1"/>
  <c r="X1132" i="1"/>
  <c r="X1140" i="1"/>
  <c r="X1148" i="1"/>
  <c r="X1156" i="1"/>
  <c r="X1164" i="1"/>
  <c r="X1172" i="1"/>
  <c r="X1180" i="1"/>
  <c r="X1188" i="1"/>
  <c r="X1196" i="1"/>
  <c r="X1204" i="1"/>
  <c r="X1212" i="1"/>
  <c r="X1220" i="1"/>
  <c r="X1228" i="1"/>
  <c r="X1236" i="1"/>
  <c r="X1244" i="1"/>
  <c r="X1252" i="1"/>
  <c r="X1260" i="1"/>
  <c r="X1268" i="1"/>
  <c r="X1276" i="1"/>
  <c r="X1284" i="1"/>
  <c r="X1292" i="1"/>
  <c r="X1300" i="1"/>
  <c r="X1308" i="1"/>
  <c r="X1316" i="1"/>
  <c r="X1324" i="1"/>
  <c r="X1332" i="1"/>
  <c r="X1340" i="1"/>
  <c r="X1348" i="1"/>
  <c r="X1356" i="1"/>
  <c r="X1364" i="1"/>
  <c r="X1372" i="1"/>
  <c r="X1380" i="1"/>
  <c r="X1388" i="1"/>
  <c r="X1396" i="1"/>
  <c r="X1404" i="1"/>
  <c r="X1412" i="1"/>
  <c r="X1420" i="1"/>
  <c r="X1428" i="1"/>
  <c r="X1436" i="1"/>
  <c r="X38" i="1"/>
  <c r="X86" i="1"/>
  <c r="X146" i="1"/>
  <c r="X208" i="1"/>
  <c r="X256" i="1"/>
  <c r="X318" i="1"/>
  <c r="X378" i="1"/>
  <c r="X426" i="1"/>
  <c r="X488" i="1"/>
  <c r="X546" i="1"/>
  <c r="X576" i="1"/>
  <c r="X614" i="1"/>
  <c r="X650" i="1"/>
  <c r="X679" i="1"/>
  <c r="X703" i="1"/>
  <c r="X726" i="1"/>
  <c r="X744" i="1"/>
  <c r="X767" i="1"/>
  <c r="X790" i="1"/>
  <c r="X808" i="1"/>
  <c r="X831" i="1"/>
  <c r="X854" i="1"/>
  <c r="X868" i="1"/>
  <c r="X880" i="1"/>
  <c r="X894" i="1"/>
  <c r="X905" i="1"/>
  <c r="X919" i="1"/>
  <c r="X932" i="1"/>
  <c r="X944" i="1"/>
  <c r="X958" i="1"/>
  <c r="X969" i="1"/>
  <c r="X983" i="1"/>
  <c r="X996" i="1"/>
  <c r="X1008" i="1"/>
  <c r="X1022" i="1"/>
  <c r="X1033" i="1"/>
  <c r="X1046" i="1"/>
  <c r="X1056" i="1"/>
  <c r="X1068" i="1"/>
  <c r="X1077" i="1"/>
  <c r="X1085" i="1"/>
  <c r="X1093" i="1"/>
  <c r="X1101" i="1"/>
  <c r="X1109" i="1"/>
  <c r="X1117" i="1"/>
  <c r="X1125" i="1"/>
  <c r="X1133" i="1"/>
  <c r="X1141" i="1"/>
  <c r="X1149" i="1"/>
  <c r="X1157" i="1"/>
  <c r="X1165" i="1"/>
  <c r="X1173" i="1"/>
  <c r="X1181" i="1"/>
  <c r="X1189" i="1"/>
  <c r="X1197" i="1"/>
  <c r="X1205" i="1"/>
  <c r="X1213" i="1"/>
  <c r="X1221" i="1"/>
  <c r="X1229" i="1"/>
  <c r="X1237" i="1"/>
  <c r="X1245" i="1"/>
  <c r="X1253" i="1"/>
  <c r="X1261" i="1"/>
  <c r="X1269" i="1"/>
  <c r="X1277" i="1"/>
  <c r="X1285" i="1"/>
  <c r="X1293" i="1"/>
  <c r="X1301" i="1"/>
  <c r="X1309" i="1"/>
  <c r="X1317" i="1"/>
  <c r="X1325" i="1"/>
  <c r="X1333" i="1"/>
  <c r="X1341" i="1"/>
  <c r="X1349" i="1"/>
  <c r="X1357" i="1"/>
  <c r="X1365" i="1"/>
  <c r="X1373" i="1"/>
  <c r="X1381" i="1"/>
  <c r="X1389" i="1"/>
  <c r="X1397" i="1"/>
  <c r="X1405" i="1"/>
  <c r="X1413" i="1"/>
  <c r="X1421" i="1"/>
  <c r="X1429" i="1"/>
  <c r="X1437" i="1"/>
  <c r="X1445" i="1"/>
  <c r="X40" i="1"/>
  <c r="X102" i="1"/>
  <c r="X150" i="1"/>
  <c r="X210" i="1"/>
  <c r="X272" i="1"/>
  <c r="X320" i="1"/>
  <c r="X382" i="1"/>
  <c r="X442" i="1"/>
  <c r="X490" i="1"/>
  <c r="X550" i="1"/>
  <c r="X586" i="1"/>
  <c r="X615" i="1"/>
  <c r="X651" i="1"/>
  <c r="X686" i="1"/>
  <c r="X704" i="1"/>
  <c r="X727" i="1"/>
  <c r="X750" i="1"/>
  <c r="X768" i="1"/>
  <c r="X791" i="1"/>
  <c r="X814" i="1"/>
  <c r="X832" i="1"/>
  <c r="X855" i="1"/>
  <c r="X870" i="1"/>
  <c r="X881" i="1"/>
  <c r="X895" i="1"/>
  <c r="X908" i="1"/>
  <c r="X920" i="1"/>
  <c r="X934" i="1"/>
  <c r="X945" i="1"/>
  <c r="X959" i="1"/>
  <c r="X972" i="1"/>
  <c r="X984" i="1"/>
  <c r="X998" i="1"/>
  <c r="X1009" i="1"/>
  <c r="X1023" i="1"/>
  <c r="X1036" i="1"/>
  <c r="X1047" i="1"/>
  <c r="X1057" i="1"/>
  <c r="X1069" i="1"/>
  <c r="X1078" i="1"/>
  <c r="X1086" i="1"/>
  <c r="X1094" i="1"/>
  <c r="X1102" i="1"/>
  <c r="X1110" i="1"/>
  <c r="X1118" i="1"/>
  <c r="X1126" i="1"/>
  <c r="X1134" i="1"/>
  <c r="X1142" i="1"/>
  <c r="X1150" i="1"/>
  <c r="X1158" i="1"/>
  <c r="X1166" i="1"/>
  <c r="X1174" i="1"/>
  <c r="X1182" i="1"/>
  <c r="X42" i="1"/>
  <c r="X170" i="1"/>
  <c r="X338" i="1"/>
  <c r="X506" i="1"/>
  <c r="X599" i="1"/>
  <c r="X688" i="1"/>
  <c r="X751" i="1"/>
  <c r="X799" i="1"/>
  <c r="X857" i="1"/>
  <c r="X896" i="1"/>
  <c r="X926" i="1"/>
  <c r="X961" i="1"/>
  <c r="X999" i="1"/>
  <c r="X1028" i="1"/>
  <c r="X1061" i="1"/>
  <c r="X1087" i="1"/>
  <c r="X1105" i="1"/>
  <c r="X1128" i="1"/>
  <c r="X1151" i="1"/>
  <c r="X1169" i="1"/>
  <c r="X1191" i="1"/>
  <c r="X1207" i="1"/>
  <c r="X1223" i="1"/>
  <c r="X1239" i="1"/>
  <c r="X1255" i="1"/>
  <c r="X1271" i="1"/>
  <c r="X1287" i="1"/>
  <c r="X1303" i="1"/>
  <c r="X1319" i="1"/>
  <c r="X1335" i="1"/>
  <c r="X1351" i="1"/>
  <c r="X1367" i="1"/>
  <c r="X1383" i="1"/>
  <c r="X1399" i="1"/>
  <c r="X1415" i="1"/>
  <c r="X1431" i="1"/>
  <c r="X1443" i="1"/>
  <c r="X1452" i="1"/>
  <c r="X1460" i="1"/>
  <c r="X1468" i="1"/>
  <c r="X1476" i="1"/>
  <c r="X1484" i="1"/>
  <c r="X1492" i="1"/>
  <c r="X1500" i="1"/>
  <c r="X1508" i="1"/>
  <c r="X1516" i="1"/>
  <c r="X1524" i="1"/>
  <c r="X1532" i="1"/>
  <c r="X1540" i="1"/>
  <c r="X1548" i="1"/>
  <c r="X1556" i="1"/>
  <c r="X1564" i="1"/>
  <c r="X1572" i="1"/>
  <c r="X1580" i="1"/>
  <c r="X1588" i="1"/>
  <c r="X1596" i="1"/>
  <c r="X1604" i="1"/>
  <c r="X1612" i="1"/>
  <c r="X1620" i="1"/>
  <c r="X1628" i="1"/>
  <c r="X1636" i="1"/>
  <c r="X1644" i="1"/>
  <c r="X1652" i="1"/>
  <c r="X1660" i="1"/>
  <c r="X1668" i="1"/>
  <c r="X1676" i="1"/>
  <c r="X1684" i="1"/>
  <c r="X1692" i="1"/>
  <c r="X1700" i="1"/>
  <c r="X1708" i="1"/>
  <c r="X1716" i="1"/>
  <c r="X1724" i="1"/>
  <c r="X1732" i="1"/>
  <c r="X1740" i="1"/>
  <c r="X1748" i="1"/>
  <c r="X1756" i="1"/>
  <c r="X1764" i="1"/>
  <c r="X1772" i="1"/>
  <c r="X1780" i="1"/>
  <c r="X1788" i="1"/>
  <c r="X1796" i="1"/>
  <c r="X1804" i="1"/>
  <c r="X1812" i="1"/>
  <c r="X1820" i="1"/>
  <c r="X1828" i="1"/>
  <c r="X1836" i="1"/>
  <c r="X1844" i="1"/>
  <c r="X1852" i="1"/>
  <c r="X1860" i="1"/>
  <c r="X1868" i="1"/>
  <c r="X1876" i="1"/>
  <c r="X1884" i="1"/>
  <c r="X1892" i="1"/>
  <c r="X1900" i="1"/>
  <c r="X1908" i="1"/>
  <c r="X1916" i="1"/>
  <c r="X1924" i="1"/>
  <c r="X1932" i="1"/>
  <c r="X1940" i="1"/>
  <c r="X1948" i="1"/>
  <c r="X1956" i="1"/>
  <c r="X1964" i="1"/>
  <c r="X1972" i="1"/>
  <c r="X1980" i="1"/>
  <c r="X1988" i="1"/>
  <c r="X1996" i="1"/>
  <c r="X2004" i="1"/>
  <c r="X2012" i="1"/>
  <c r="X2020" i="1"/>
  <c r="X2028" i="1"/>
  <c r="X2036" i="1"/>
  <c r="X2044" i="1"/>
  <c r="X2052" i="1"/>
  <c r="X2060" i="1"/>
  <c r="X2068" i="1"/>
  <c r="X2076" i="1"/>
  <c r="X2084" i="1"/>
  <c r="X2092" i="1"/>
  <c r="X2100" i="1"/>
  <c r="X2108" i="1"/>
  <c r="X2116" i="1"/>
  <c r="X2124" i="1"/>
  <c r="X2132" i="1"/>
  <c r="X2140" i="1"/>
  <c r="X2148" i="1"/>
  <c r="X2156" i="1"/>
  <c r="X2164" i="1"/>
  <c r="X2172" i="1"/>
  <c r="X2180" i="1"/>
  <c r="X2188" i="1"/>
  <c r="X2196" i="1"/>
  <c r="X2204" i="1"/>
  <c r="X2212" i="1"/>
  <c r="X2220" i="1"/>
  <c r="X2228" i="1"/>
  <c r="X2236" i="1"/>
  <c r="X2244" i="1"/>
  <c r="X2252" i="1"/>
  <c r="X2260" i="1"/>
  <c r="X2268" i="1"/>
  <c r="X2276" i="1"/>
  <c r="X2284" i="1"/>
  <c r="X2292" i="1"/>
  <c r="X2300" i="1"/>
  <c r="X2308" i="1"/>
  <c r="X2316" i="1"/>
  <c r="X58" i="1"/>
  <c r="X214" i="1"/>
  <c r="X342" i="1"/>
  <c r="X510" i="1"/>
  <c r="X624" i="1"/>
  <c r="X694" i="1"/>
  <c r="X752" i="1"/>
  <c r="X815" i="1"/>
  <c r="X862" i="1"/>
  <c r="X897" i="1"/>
  <c r="X935" i="1"/>
  <c r="X964" i="1"/>
  <c r="X1000" i="1"/>
  <c r="X1038" i="1"/>
  <c r="X1062" i="1"/>
  <c r="X1088" i="1"/>
  <c r="X1111" i="1"/>
  <c r="X1129" i="1"/>
  <c r="X1152" i="1"/>
  <c r="X1175" i="1"/>
  <c r="X1192" i="1"/>
  <c r="X1208" i="1"/>
  <c r="X1224" i="1"/>
  <c r="X1240" i="1"/>
  <c r="X1256" i="1"/>
  <c r="X1272" i="1"/>
  <c r="X1288" i="1"/>
  <c r="X1304" i="1"/>
  <c r="X1320" i="1"/>
  <c r="X1336" i="1"/>
  <c r="X1352" i="1"/>
  <c r="X1368" i="1"/>
  <c r="X1384" i="1"/>
  <c r="X1400" i="1"/>
  <c r="X1416" i="1"/>
  <c r="X1432" i="1"/>
  <c r="X1444" i="1"/>
  <c r="X1453" i="1"/>
  <c r="X1461" i="1"/>
  <c r="X1469" i="1"/>
  <c r="X1477" i="1"/>
  <c r="X1485" i="1"/>
  <c r="X1493" i="1"/>
  <c r="X1501" i="1"/>
  <c r="X1509" i="1"/>
  <c r="X1517" i="1"/>
  <c r="X1525" i="1"/>
  <c r="X1533" i="1"/>
  <c r="X1541" i="1"/>
  <c r="X1549" i="1"/>
  <c r="X1557" i="1"/>
  <c r="X1565" i="1"/>
  <c r="X1573" i="1"/>
  <c r="X1581" i="1"/>
  <c r="X1589" i="1"/>
  <c r="X1597" i="1"/>
  <c r="X1605" i="1"/>
  <c r="X1613" i="1"/>
  <c r="X1621" i="1"/>
  <c r="X1629" i="1"/>
  <c r="X1637" i="1"/>
  <c r="X1645" i="1"/>
  <c r="X1653" i="1"/>
  <c r="X1661" i="1"/>
  <c r="X1669" i="1"/>
  <c r="X1677" i="1"/>
  <c r="X1685" i="1"/>
  <c r="X1693" i="1"/>
  <c r="X1701" i="1"/>
  <c r="X1709" i="1"/>
  <c r="X1717" i="1"/>
  <c r="X1725" i="1"/>
  <c r="X1733" i="1"/>
  <c r="X1741" i="1"/>
  <c r="X1749" i="1"/>
  <c r="X1757" i="1"/>
  <c r="X1765" i="1"/>
  <c r="X1773" i="1"/>
  <c r="X1781" i="1"/>
  <c r="X1789" i="1"/>
  <c r="X1797" i="1"/>
  <c r="X1805" i="1"/>
  <c r="X1813" i="1"/>
  <c r="X1821" i="1"/>
  <c r="X1829" i="1"/>
  <c r="X1837" i="1"/>
  <c r="X1845" i="1"/>
  <c r="X1853" i="1"/>
  <c r="X1861" i="1"/>
  <c r="X1869" i="1"/>
  <c r="X1877" i="1"/>
  <c r="X1885" i="1"/>
  <c r="X1893" i="1"/>
  <c r="X1901" i="1"/>
  <c r="X1909" i="1"/>
  <c r="X1917" i="1"/>
  <c r="X1925" i="1"/>
  <c r="X1933" i="1"/>
  <c r="X1941" i="1"/>
  <c r="X1949" i="1"/>
  <c r="X1957" i="1"/>
  <c r="X1965" i="1"/>
  <c r="X1973" i="1"/>
  <c r="X1981" i="1"/>
  <c r="X1989" i="1"/>
  <c r="X1997" i="1"/>
  <c r="X2005" i="1"/>
  <c r="X2013" i="1"/>
  <c r="X2021" i="1"/>
  <c r="X2029" i="1"/>
  <c r="X2037" i="1"/>
  <c r="X2045" i="1"/>
  <c r="X2053" i="1"/>
  <c r="X2061" i="1"/>
  <c r="X2069" i="1"/>
  <c r="X2077" i="1"/>
  <c r="X2085" i="1"/>
  <c r="X2093" i="1"/>
  <c r="X2101" i="1"/>
  <c r="X2109" i="1"/>
  <c r="X2117" i="1"/>
  <c r="X2125" i="1"/>
  <c r="X2133" i="1"/>
  <c r="X2141" i="1"/>
  <c r="X2149" i="1"/>
  <c r="X2157" i="1"/>
  <c r="X2165" i="1"/>
  <c r="X2173" i="1"/>
  <c r="X2181" i="1"/>
  <c r="X2189" i="1"/>
  <c r="X2197" i="1"/>
  <c r="X2205" i="1"/>
  <c r="X2213" i="1"/>
  <c r="X2221" i="1"/>
  <c r="X2229" i="1"/>
  <c r="X2237" i="1"/>
  <c r="X2245" i="1"/>
  <c r="X2253" i="1"/>
  <c r="X2261" i="1"/>
  <c r="X2269" i="1"/>
  <c r="X2277" i="1"/>
  <c r="X2285" i="1"/>
  <c r="X2293" i="1"/>
  <c r="X2301" i="1"/>
  <c r="X2309" i="1"/>
  <c r="X2317" i="1"/>
  <c r="X62" i="1"/>
  <c r="X230" i="1"/>
  <c r="X384" i="1"/>
  <c r="X512" i="1"/>
  <c r="X626" i="1"/>
  <c r="X710" i="1"/>
  <c r="X758" i="1"/>
  <c r="X816" i="1"/>
  <c r="X871" i="1"/>
  <c r="X900" i="1"/>
  <c r="X936" i="1"/>
  <c r="X974" i="1"/>
  <c r="X1001" i="1"/>
  <c r="X1039" i="1"/>
  <c r="X1070" i="1"/>
  <c r="X1089" i="1"/>
  <c r="X1112" i="1"/>
  <c r="X1135" i="1"/>
  <c r="X1153" i="1"/>
  <c r="X1176" i="1"/>
  <c r="X1193" i="1"/>
  <c r="X1209" i="1"/>
  <c r="X1225" i="1"/>
  <c r="X1241" i="1"/>
  <c r="X1257" i="1"/>
  <c r="X1273" i="1"/>
  <c r="X1289" i="1"/>
  <c r="X1305" i="1"/>
  <c r="X1321" i="1"/>
  <c r="X1337" i="1"/>
  <c r="X1353" i="1"/>
  <c r="X1369" i="1"/>
  <c r="X1385" i="1"/>
  <c r="X1401" i="1"/>
  <c r="X1417" i="1"/>
  <c r="X1433" i="1"/>
  <c r="X1446" i="1"/>
  <c r="X1454" i="1"/>
  <c r="X1462" i="1"/>
  <c r="X1470" i="1"/>
  <c r="X1478" i="1"/>
  <c r="X1486" i="1"/>
  <c r="X1494" i="1"/>
  <c r="X1502" i="1"/>
  <c r="X1510" i="1"/>
  <c r="X1518" i="1"/>
  <c r="X1526" i="1"/>
  <c r="X1534" i="1"/>
  <c r="X1542" i="1"/>
  <c r="X1550" i="1"/>
  <c r="X1558" i="1"/>
  <c r="X1566" i="1"/>
  <c r="X1574" i="1"/>
  <c r="X1582" i="1"/>
  <c r="X1590" i="1"/>
  <c r="X1598" i="1"/>
  <c r="X1606" i="1"/>
  <c r="X1614" i="1"/>
  <c r="X1622" i="1"/>
  <c r="X1630" i="1"/>
  <c r="X1638" i="1"/>
  <c r="X1646" i="1"/>
  <c r="X1654" i="1"/>
  <c r="X1662" i="1"/>
  <c r="X1670" i="1"/>
  <c r="X1678" i="1"/>
  <c r="X1686" i="1"/>
  <c r="X1694" i="1"/>
  <c r="X1702" i="1"/>
  <c r="X1710" i="1"/>
  <c r="X1718" i="1"/>
  <c r="X1726" i="1"/>
  <c r="X1734" i="1"/>
  <c r="X1742" i="1"/>
  <c r="X1750" i="1"/>
  <c r="X1758" i="1"/>
  <c r="X1766" i="1"/>
  <c r="X1774" i="1"/>
  <c r="X1782" i="1"/>
  <c r="X1790" i="1"/>
  <c r="X1798" i="1"/>
  <c r="X1806" i="1"/>
  <c r="X1814" i="1"/>
  <c r="X1822" i="1"/>
  <c r="X1830" i="1"/>
  <c r="X1838" i="1"/>
  <c r="X1846" i="1"/>
  <c r="X1854" i="1"/>
  <c r="X1862" i="1"/>
  <c r="X1870" i="1"/>
  <c r="X1878" i="1"/>
  <c r="X1886" i="1"/>
  <c r="X1894" i="1"/>
  <c r="X1902" i="1"/>
  <c r="X1910" i="1"/>
  <c r="X1918" i="1"/>
  <c r="X1926" i="1"/>
  <c r="X1934" i="1"/>
  <c r="X1942" i="1"/>
  <c r="X1950" i="1"/>
  <c r="X1958" i="1"/>
  <c r="X1966" i="1"/>
  <c r="X1974" i="1"/>
  <c r="X1982" i="1"/>
  <c r="X1990" i="1"/>
  <c r="X1998" i="1"/>
  <c r="X2006" i="1"/>
  <c r="X2014" i="1"/>
  <c r="X2022" i="1"/>
  <c r="X2030" i="1"/>
  <c r="X2038" i="1"/>
  <c r="X2046" i="1"/>
  <c r="X2054" i="1"/>
  <c r="X2062" i="1"/>
  <c r="X2070" i="1"/>
  <c r="X2078" i="1"/>
  <c r="X2086" i="1"/>
  <c r="X2094" i="1"/>
  <c r="X2102" i="1"/>
  <c r="X2110" i="1"/>
  <c r="X2118" i="1"/>
  <c r="X2126" i="1"/>
  <c r="X2134" i="1"/>
  <c r="X2142" i="1"/>
  <c r="X2150" i="1"/>
  <c r="X2158" i="1"/>
  <c r="X2166" i="1"/>
  <c r="X2174" i="1"/>
  <c r="X2182" i="1"/>
  <c r="X2190" i="1"/>
  <c r="X2198" i="1"/>
  <c r="X2206" i="1"/>
  <c r="X2214" i="1"/>
  <c r="X2222" i="1"/>
  <c r="X2230" i="1"/>
  <c r="X2238" i="1"/>
  <c r="X2246" i="1"/>
  <c r="X2254" i="1"/>
  <c r="X2262" i="1"/>
  <c r="X2270" i="1"/>
  <c r="X2278" i="1"/>
  <c r="X2286" i="1"/>
  <c r="X2294" i="1"/>
  <c r="X2302" i="1"/>
  <c r="X2310" i="1"/>
  <c r="X2318" i="1"/>
  <c r="X104" i="1"/>
  <c r="X232" i="1"/>
  <c r="X400" i="1"/>
  <c r="X551" i="1"/>
  <c r="X627" i="1"/>
  <c r="X711" i="1"/>
  <c r="X774" i="1"/>
  <c r="X822" i="1"/>
  <c r="X872" i="1"/>
  <c r="X910" i="1"/>
  <c r="X937" i="1"/>
  <c r="X975" i="1"/>
  <c r="X1012" i="1"/>
  <c r="X1040" i="1"/>
  <c r="X1071" i="1"/>
  <c r="X1095" i="1"/>
  <c r="X1113" i="1"/>
  <c r="X1136" i="1"/>
  <c r="X1159" i="1"/>
  <c r="X1177" i="1"/>
  <c r="X1198" i="1"/>
  <c r="X1214" i="1"/>
  <c r="X1230" i="1"/>
  <c r="X1246" i="1"/>
  <c r="X1262" i="1"/>
  <c r="X1278" i="1"/>
  <c r="X1294" i="1"/>
  <c r="X1310" i="1"/>
  <c r="X1326" i="1"/>
  <c r="X1342" i="1"/>
  <c r="X1358" i="1"/>
  <c r="X1374" i="1"/>
  <c r="X1390" i="1"/>
  <c r="X1406" i="1"/>
  <c r="X1422" i="1"/>
  <c r="X1438" i="1"/>
  <c r="X1447" i="1"/>
  <c r="X1455" i="1"/>
  <c r="X1463" i="1"/>
  <c r="X1471" i="1"/>
  <c r="X1479" i="1"/>
  <c r="X1487" i="1"/>
  <c r="X1495" i="1"/>
  <c r="X1503" i="1"/>
  <c r="X1511" i="1"/>
  <c r="X1519" i="1"/>
  <c r="X1527" i="1"/>
  <c r="X1535" i="1"/>
  <c r="X1543" i="1"/>
  <c r="X1551" i="1"/>
  <c r="X1559" i="1"/>
  <c r="X1567" i="1"/>
  <c r="X1575" i="1"/>
  <c r="X1583" i="1"/>
  <c r="X1591" i="1"/>
  <c r="X1599" i="1"/>
  <c r="X1607" i="1"/>
  <c r="X1615" i="1"/>
  <c r="X1623" i="1"/>
  <c r="X1631" i="1"/>
  <c r="X1639" i="1"/>
  <c r="X1647" i="1"/>
  <c r="X1655" i="1"/>
  <c r="X1663" i="1"/>
  <c r="X1671" i="1"/>
  <c r="X1679" i="1"/>
  <c r="X1687" i="1"/>
  <c r="X1695" i="1"/>
  <c r="X1703" i="1"/>
  <c r="X1711" i="1"/>
  <c r="X1719" i="1"/>
  <c r="X1727" i="1"/>
  <c r="X1735" i="1"/>
  <c r="X1743" i="1"/>
  <c r="X1751" i="1"/>
  <c r="X1759" i="1"/>
  <c r="X1767" i="1"/>
  <c r="X1775" i="1"/>
  <c r="X1783" i="1"/>
  <c r="X1791" i="1"/>
  <c r="X1799" i="1"/>
  <c r="X1807" i="1"/>
  <c r="X1815" i="1"/>
  <c r="X1823" i="1"/>
  <c r="X1831" i="1"/>
  <c r="X1839" i="1"/>
  <c r="X1847" i="1"/>
  <c r="X1855" i="1"/>
  <c r="X1863" i="1"/>
  <c r="X1871" i="1"/>
  <c r="X1879" i="1"/>
  <c r="X1887" i="1"/>
  <c r="X1895" i="1"/>
  <c r="X1903" i="1"/>
  <c r="X1911" i="1"/>
  <c r="X1919" i="1"/>
  <c r="X1927" i="1"/>
  <c r="X1935" i="1"/>
  <c r="X1943" i="1"/>
  <c r="X1951" i="1"/>
  <c r="X1959" i="1"/>
  <c r="X1967" i="1"/>
  <c r="X1975" i="1"/>
  <c r="X1983" i="1"/>
  <c r="X1991" i="1"/>
  <c r="X1999" i="1"/>
  <c r="X2007" i="1"/>
  <c r="X2015" i="1"/>
  <c r="X2023" i="1"/>
  <c r="X2031" i="1"/>
  <c r="X2039" i="1"/>
  <c r="X2047" i="1"/>
  <c r="X2055" i="1"/>
  <c r="X2063" i="1"/>
  <c r="X2071" i="1"/>
  <c r="X2079" i="1"/>
  <c r="X2087" i="1"/>
  <c r="X2095" i="1"/>
  <c r="X2103" i="1"/>
  <c r="X2111" i="1"/>
  <c r="X2119" i="1"/>
  <c r="X2127" i="1"/>
  <c r="X2135" i="1"/>
  <c r="X2143" i="1"/>
  <c r="X2151" i="1"/>
  <c r="X2159" i="1"/>
  <c r="X2167" i="1"/>
  <c r="X2175" i="1"/>
  <c r="X2183" i="1"/>
  <c r="X2191" i="1"/>
  <c r="X2199" i="1"/>
  <c r="X2207" i="1"/>
  <c r="X2215" i="1"/>
  <c r="X2223" i="1"/>
  <c r="X2231" i="1"/>
  <c r="X2239" i="1"/>
  <c r="X2247" i="1"/>
  <c r="X2255" i="1"/>
  <c r="X2263" i="1"/>
  <c r="X2271" i="1"/>
  <c r="X2279" i="1"/>
  <c r="X2287" i="1"/>
  <c r="X2295" i="1"/>
  <c r="X2303" i="1"/>
  <c r="X2311" i="1"/>
  <c r="X2319" i="1"/>
  <c r="X122" i="1"/>
  <c r="X278" i="1"/>
  <c r="X446" i="1"/>
  <c r="X562" i="1"/>
  <c r="X663" i="1"/>
  <c r="X728" i="1"/>
  <c r="X776" i="1"/>
  <c r="X839" i="1"/>
  <c r="X884" i="1"/>
  <c r="X912" i="1"/>
  <c r="X950" i="1"/>
  <c r="X985" i="1"/>
  <c r="X1015" i="1"/>
  <c r="X1049" i="1"/>
  <c r="X1079" i="1"/>
  <c r="X1097" i="1"/>
  <c r="X1120" i="1"/>
  <c r="X1143" i="1"/>
  <c r="X1161" i="1"/>
  <c r="X1184" i="1"/>
  <c r="X1200" i="1"/>
  <c r="X1216" i="1"/>
  <c r="X1232" i="1"/>
  <c r="X1248" i="1"/>
  <c r="X1264" i="1"/>
  <c r="X1280" i="1"/>
  <c r="X1296" i="1"/>
  <c r="X1312" i="1"/>
  <c r="X1328" i="1"/>
  <c r="X1344" i="1"/>
  <c r="X1360" i="1"/>
  <c r="X1376" i="1"/>
  <c r="X1392" i="1"/>
  <c r="X1408" i="1"/>
  <c r="X1424" i="1"/>
  <c r="X1440" i="1"/>
  <c r="X1449" i="1"/>
  <c r="X1457" i="1"/>
  <c r="X1465" i="1"/>
  <c r="X1473" i="1"/>
  <c r="X1481" i="1"/>
  <c r="X1489" i="1"/>
  <c r="X1497" i="1"/>
  <c r="X1505" i="1"/>
  <c r="X1513" i="1"/>
  <c r="X1521" i="1"/>
  <c r="X1529" i="1"/>
  <c r="X1537" i="1"/>
  <c r="X1545" i="1"/>
  <c r="X1553" i="1"/>
  <c r="X1561" i="1"/>
  <c r="X1569" i="1"/>
  <c r="X1577" i="1"/>
  <c r="X1585" i="1"/>
  <c r="X1593" i="1"/>
  <c r="X1601" i="1"/>
  <c r="X1609" i="1"/>
  <c r="X1617" i="1"/>
  <c r="X1625" i="1"/>
  <c r="X1633" i="1"/>
  <c r="X1641" i="1"/>
  <c r="X1649" i="1"/>
  <c r="X1657" i="1"/>
  <c r="X1665" i="1"/>
  <c r="X1673" i="1"/>
  <c r="X1681" i="1"/>
  <c r="X1689" i="1"/>
  <c r="X1697" i="1"/>
  <c r="X1705" i="1"/>
  <c r="X1713" i="1"/>
  <c r="X1721" i="1"/>
  <c r="X1729" i="1"/>
  <c r="X1737" i="1"/>
  <c r="X1745" i="1"/>
  <c r="X1753" i="1"/>
  <c r="X1761" i="1"/>
  <c r="X1769" i="1"/>
  <c r="X1777" i="1"/>
  <c r="X1785" i="1"/>
  <c r="X1793" i="1"/>
  <c r="X1801" i="1"/>
  <c r="X1809" i="1"/>
  <c r="X1817" i="1"/>
  <c r="X1825" i="1"/>
  <c r="X1833" i="1"/>
  <c r="X106" i="1"/>
  <c r="X464" i="1"/>
  <c r="X734" i="1"/>
  <c r="X873" i="1"/>
  <c r="X960" i="1"/>
  <c r="X1052" i="1"/>
  <c r="X1119" i="1"/>
  <c r="X1168" i="1"/>
  <c r="X1217" i="1"/>
  <c r="X1263" i="1"/>
  <c r="X1302" i="1"/>
  <c r="X1345" i="1"/>
  <c r="X1391" i="1"/>
  <c r="X1430" i="1"/>
  <c r="X1458" i="1"/>
  <c r="X1480" i="1"/>
  <c r="X1499" i="1"/>
  <c r="X1522" i="1"/>
  <c r="X1544" i="1"/>
  <c r="X1563" i="1"/>
  <c r="X1586" i="1"/>
  <c r="X1608" i="1"/>
  <c r="X1627" i="1"/>
  <c r="X1650" i="1"/>
  <c r="X1672" i="1"/>
  <c r="X1691" i="1"/>
  <c r="X1714" i="1"/>
  <c r="X1736" i="1"/>
  <c r="X1755" i="1"/>
  <c r="X1778" i="1"/>
  <c r="X1800" i="1"/>
  <c r="X1819" i="1"/>
  <c r="X1841" i="1"/>
  <c r="X1857" i="1"/>
  <c r="X1873" i="1"/>
  <c r="X1889" i="1"/>
  <c r="X1905" i="1"/>
  <c r="X1921" i="1"/>
  <c r="X1937" i="1"/>
  <c r="X1953" i="1"/>
  <c r="X1969" i="1"/>
  <c r="X1985" i="1"/>
  <c r="X2001" i="1"/>
  <c r="X2017" i="1"/>
  <c r="X2033" i="1"/>
  <c r="X2049" i="1"/>
  <c r="X2065" i="1"/>
  <c r="X2081" i="1"/>
  <c r="X2097" i="1"/>
  <c r="X2113" i="1"/>
  <c r="X2129" i="1"/>
  <c r="X2145" i="1"/>
  <c r="X2161" i="1"/>
  <c r="X2177" i="1"/>
  <c r="X2193" i="1"/>
  <c r="X2209" i="1"/>
  <c r="X2225" i="1"/>
  <c r="X2241" i="1"/>
  <c r="X2257" i="1"/>
  <c r="X2273" i="1"/>
  <c r="X2289" i="1"/>
  <c r="X2305" i="1"/>
  <c r="X2321" i="1"/>
  <c r="X2329" i="1"/>
  <c r="X2337" i="1"/>
  <c r="X2345" i="1"/>
  <c r="X2353" i="1"/>
  <c r="X2361" i="1"/>
  <c r="X2369" i="1"/>
  <c r="X2377" i="1"/>
  <c r="X2385" i="1"/>
  <c r="X2393" i="1"/>
  <c r="X2401" i="1"/>
  <c r="X2409" i="1"/>
  <c r="X2417" i="1"/>
  <c r="X2425" i="1"/>
  <c r="X2433" i="1"/>
  <c r="X2441" i="1"/>
  <c r="X2449" i="1"/>
  <c r="X2457" i="1"/>
  <c r="X2465" i="1"/>
  <c r="X2473" i="1"/>
  <c r="X2481" i="1"/>
  <c r="X2489" i="1"/>
  <c r="X2497" i="1"/>
  <c r="X2505" i="1"/>
  <c r="X2513" i="1"/>
  <c r="X2521" i="1"/>
  <c r="X2529" i="1"/>
  <c r="X2537" i="1"/>
  <c r="X2545" i="1"/>
  <c r="X2553" i="1"/>
  <c r="X2561" i="1"/>
  <c r="X2569" i="1"/>
  <c r="X2577" i="1"/>
  <c r="X2585" i="1"/>
  <c r="X2593" i="1"/>
  <c r="X2601" i="1"/>
  <c r="X2609" i="1"/>
  <c r="X2617" i="1"/>
  <c r="X2625" i="1"/>
  <c r="X2633" i="1"/>
  <c r="X2641" i="1"/>
  <c r="X2649" i="1"/>
  <c r="X2657" i="1"/>
  <c r="X2665" i="1"/>
  <c r="X2673" i="1"/>
  <c r="X2681" i="1"/>
  <c r="X2689" i="1"/>
  <c r="X2697" i="1"/>
  <c r="X2705" i="1"/>
  <c r="X2713" i="1"/>
  <c r="X2721" i="1"/>
  <c r="X2729" i="1"/>
  <c r="X2737" i="1"/>
  <c r="X2745" i="1"/>
  <c r="X2753" i="1"/>
  <c r="X2761" i="1"/>
  <c r="X2769" i="1"/>
  <c r="X2777" i="1"/>
  <c r="X2785" i="1"/>
  <c r="X2793" i="1"/>
  <c r="X2801" i="1"/>
  <c r="X2809" i="1"/>
  <c r="X2817" i="1"/>
  <c r="X2825" i="1"/>
  <c r="X2833" i="1"/>
  <c r="X2841" i="1"/>
  <c r="X2849" i="1"/>
  <c r="X2857" i="1"/>
  <c r="X2865" i="1"/>
  <c r="X2873" i="1"/>
  <c r="X2881" i="1"/>
  <c r="X2889" i="1"/>
  <c r="X2897" i="1"/>
  <c r="X2905" i="1"/>
  <c r="X2913" i="1"/>
  <c r="X2921" i="1"/>
  <c r="X2929" i="1"/>
  <c r="X2937" i="1"/>
  <c r="X2945" i="1"/>
  <c r="X2953" i="1"/>
  <c r="X2961" i="1"/>
  <c r="X2969" i="1"/>
  <c r="X2977" i="1"/>
  <c r="X2985" i="1"/>
  <c r="X2993" i="1"/>
  <c r="X3001" i="1"/>
  <c r="X3009" i="1"/>
  <c r="X3017" i="1"/>
  <c r="X3025" i="1"/>
  <c r="X3033" i="1"/>
  <c r="X3041" i="1"/>
  <c r="X3049" i="1"/>
  <c r="X3057" i="1"/>
  <c r="X3065" i="1"/>
  <c r="X3073" i="1"/>
  <c r="X3081" i="1"/>
  <c r="X3089" i="1"/>
  <c r="X3097" i="1"/>
  <c r="X3105" i="1"/>
  <c r="X3113" i="1"/>
  <c r="X3121" i="1"/>
  <c r="X3129" i="1"/>
  <c r="X3137" i="1"/>
  <c r="X3145" i="1"/>
  <c r="X3153" i="1"/>
  <c r="X3161" i="1"/>
  <c r="X3169" i="1"/>
  <c r="X3177" i="1"/>
  <c r="X166" i="1"/>
  <c r="X560" i="1"/>
  <c r="X735" i="1"/>
  <c r="X886" i="1"/>
  <c r="X976" i="1"/>
  <c r="X1060" i="1"/>
  <c r="X1121" i="1"/>
  <c r="X1183" i="1"/>
  <c r="X1222" i="1"/>
  <c r="X1265" i="1"/>
  <c r="X1311" i="1"/>
  <c r="X1350" i="1"/>
  <c r="X1393" i="1"/>
  <c r="X1439" i="1"/>
  <c r="X1459" i="1"/>
  <c r="X1482" i="1"/>
  <c r="X1504" i="1"/>
  <c r="X1523" i="1"/>
  <c r="X1546" i="1"/>
  <c r="X1568" i="1"/>
  <c r="X1587" i="1"/>
  <c r="X1610" i="1"/>
  <c r="X1632" i="1"/>
  <c r="X1651" i="1"/>
  <c r="X1674" i="1"/>
  <c r="X1696" i="1"/>
  <c r="X1715" i="1"/>
  <c r="X1738" i="1"/>
  <c r="X1760" i="1"/>
  <c r="X1779" i="1"/>
  <c r="X1802" i="1"/>
  <c r="X1824" i="1"/>
  <c r="X1842" i="1"/>
  <c r="X1858" i="1"/>
  <c r="X1874" i="1"/>
  <c r="X1890" i="1"/>
  <c r="X1906" i="1"/>
  <c r="X1922" i="1"/>
  <c r="X1938" i="1"/>
  <c r="X1954" i="1"/>
  <c r="X1970" i="1"/>
  <c r="X1986" i="1"/>
  <c r="X2002" i="1"/>
  <c r="X2018" i="1"/>
  <c r="X2034" i="1"/>
  <c r="X2050" i="1"/>
  <c r="X2066" i="1"/>
  <c r="X2082" i="1"/>
  <c r="X2098" i="1"/>
  <c r="X2114" i="1"/>
  <c r="X2130" i="1"/>
  <c r="X2146" i="1"/>
  <c r="X2162" i="1"/>
  <c r="X2178" i="1"/>
  <c r="X2194" i="1"/>
  <c r="X2210" i="1"/>
  <c r="X2226" i="1"/>
  <c r="X2242" i="1"/>
  <c r="X2258" i="1"/>
  <c r="X2274" i="1"/>
  <c r="X2290" i="1"/>
  <c r="X2306" i="1"/>
  <c r="X2322" i="1"/>
  <c r="X2330" i="1"/>
  <c r="X2338" i="1"/>
  <c r="X2346" i="1"/>
  <c r="X2354" i="1"/>
  <c r="X2362" i="1"/>
  <c r="X2370" i="1"/>
  <c r="X2378" i="1"/>
  <c r="X2386" i="1"/>
  <c r="X2394" i="1"/>
  <c r="X2402" i="1"/>
  <c r="X2410" i="1"/>
  <c r="X2418" i="1"/>
  <c r="X2426" i="1"/>
  <c r="X2434" i="1"/>
  <c r="X2442" i="1"/>
  <c r="X2450" i="1"/>
  <c r="X2458" i="1"/>
  <c r="X2466" i="1"/>
  <c r="X2474" i="1"/>
  <c r="X2482" i="1"/>
  <c r="X2490" i="1"/>
  <c r="X2498" i="1"/>
  <c r="X2506" i="1"/>
  <c r="X2514" i="1"/>
  <c r="X2522" i="1"/>
  <c r="X2530" i="1"/>
  <c r="X2538" i="1"/>
  <c r="X2546" i="1"/>
  <c r="X2554" i="1"/>
  <c r="X2562" i="1"/>
  <c r="X2570" i="1"/>
  <c r="X2578" i="1"/>
  <c r="X2586" i="1"/>
  <c r="X2594" i="1"/>
  <c r="X2602" i="1"/>
  <c r="X2610" i="1"/>
  <c r="X2618" i="1"/>
  <c r="X2626" i="1"/>
  <c r="X2634" i="1"/>
  <c r="X2642" i="1"/>
  <c r="X2650" i="1"/>
  <c r="X2658" i="1"/>
  <c r="X2666" i="1"/>
  <c r="X2674" i="1"/>
  <c r="X2682" i="1"/>
  <c r="X2690" i="1"/>
  <c r="X2698" i="1"/>
  <c r="X2706" i="1"/>
  <c r="X2714" i="1"/>
  <c r="X2722" i="1"/>
  <c r="X2730" i="1"/>
  <c r="X2738" i="1"/>
  <c r="X2746" i="1"/>
  <c r="X2754" i="1"/>
  <c r="X2762" i="1"/>
  <c r="X2770" i="1"/>
  <c r="X2778" i="1"/>
  <c r="X2786" i="1"/>
  <c r="X2794" i="1"/>
  <c r="X2802" i="1"/>
  <c r="X2810" i="1"/>
  <c r="X2818" i="1"/>
  <c r="X2826" i="1"/>
  <c r="X2834" i="1"/>
  <c r="X2842" i="1"/>
  <c r="X2850" i="1"/>
  <c r="X2858" i="1"/>
  <c r="X2866" i="1"/>
  <c r="X2874" i="1"/>
  <c r="X2882" i="1"/>
  <c r="X2890" i="1"/>
  <c r="X2898" i="1"/>
  <c r="X2906" i="1"/>
  <c r="X2914" i="1"/>
  <c r="X2922" i="1"/>
  <c r="X2930" i="1"/>
  <c r="X2938" i="1"/>
  <c r="X2946" i="1"/>
  <c r="X2954" i="1"/>
  <c r="X2962" i="1"/>
  <c r="X2970" i="1"/>
  <c r="X2978" i="1"/>
  <c r="X2986" i="1"/>
  <c r="X2994" i="1"/>
  <c r="X3002" i="1"/>
  <c r="X3010" i="1"/>
  <c r="X3018" i="1"/>
  <c r="X3026" i="1"/>
  <c r="X3034" i="1"/>
  <c r="X3042" i="1"/>
  <c r="X3050" i="1"/>
  <c r="X3058" i="1"/>
  <c r="X3066" i="1"/>
  <c r="X3074" i="1"/>
  <c r="X3082" i="1"/>
  <c r="X3090" i="1"/>
  <c r="X3098" i="1"/>
  <c r="X3106" i="1"/>
  <c r="X3114" i="1"/>
  <c r="X3122" i="1"/>
  <c r="X3130" i="1"/>
  <c r="X3138" i="1"/>
  <c r="X3146" i="1"/>
  <c r="X3154" i="1"/>
  <c r="X3162" i="1"/>
  <c r="X3170" i="1"/>
  <c r="X3178" i="1"/>
  <c r="X168" i="1"/>
  <c r="X587" i="1"/>
  <c r="X775" i="1"/>
  <c r="X887" i="1"/>
  <c r="X988" i="1"/>
  <c r="X1072" i="1"/>
  <c r="X1127" i="1"/>
  <c r="X1185" i="1"/>
  <c r="X1231" i="1"/>
  <c r="X1270" i="1"/>
  <c r="X1313" i="1"/>
  <c r="X1359" i="1"/>
  <c r="X1398" i="1"/>
  <c r="X1441" i="1"/>
  <c r="X1464" i="1"/>
  <c r="X1483" i="1"/>
  <c r="X1506" i="1"/>
  <c r="X1528" i="1"/>
  <c r="X1547" i="1"/>
  <c r="X1570" i="1"/>
  <c r="X1592" i="1"/>
  <c r="X1611" i="1"/>
  <c r="X1634" i="1"/>
  <c r="X1656" i="1"/>
  <c r="X1675" i="1"/>
  <c r="X1698" i="1"/>
  <c r="X1720" i="1"/>
  <c r="X1739" i="1"/>
  <c r="X1762" i="1"/>
  <c r="X1784" i="1"/>
  <c r="X1803" i="1"/>
  <c r="X1826" i="1"/>
  <c r="X1843" i="1"/>
  <c r="X1859" i="1"/>
  <c r="X1875" i="1"/>
  <c r="X1891" i="1"/>
  <c r="X1907" i="1"/>
  <c r="X1923" i="1"/>
  <c r="X1939" i="1"/>
  <c r="X1955" i="1"/>
  <c r="X1971" i="1"/>
  <c r="X1987" i="1"/>
  <c r="X2003" i="1"/>
  <c r="X2019" i="1"/>
  <c r="X2035" i="1"/>
  <c r="X2051" i="1"/>
  <c r="X2067" i="1"/>
  <c r="X2083" i="1"/>
  <c r="X2099" i="1"/>
  <c r="X2115" i="1"/>
  <c r="X2131" i="1"/>
  <c r="X2147" i="1"/>
  <c r="X2163" i="1"/>
  <c r="X2179" i="1"/>
  <c r="X2195" i="1"/>
  <c r="X2211" i="1"/>
  <c r="X2227" i="1"/>
  <c r="X2243" i="1"/>
  <c r="X2259" i="1"/>
  <c r="X2275" i="1"/>
  <c r="X2291" i="1"/>
  <c r="X2307" i="1"/>
  <c r="X2323" i="1"/>
  <c r="X2331" i="1"/>
  <c r="X2339" i="1"/>
  <c r="X2347" i="1"/>
  <c r="X2355" i="1"/>
  <c r="X2363" i="1"/>
  <c r="X2371" i="1"/>
  <c r="X2379" i="1"/>
  <c r="X2387" i="1"/>
  <c r="X2395" i="1"/>
  <c r="X2403" i="1"/>
  <c r="X2411" i="1"/>
  <c r="X2419" i="1"/>
  <c r="X2427" i="1"/>
  <c r="X2435" i="1"/>
  <c r="X2443" i="1"/>
  <c r="X2451" i="1"/>
  <c r="X2459" i="1"/>
  <c r="X2467" i="1"/>
  <c r="X2475" i="1"/>
  <c r="X2483" i="1"/>
  <c r="X2491" i="1"/>
  <c r="X2499" i="1"/>
  <c r="X2507" i="1"/>
  <c r="X2515" i="1"/>
  <c r="X2523" i="1"/>
  <c r="X2531" i="1"/>
  <c r="X2539" i="1"/>
  <c r="X2547" i="1"/>
  <c r="X2555" i="1"/>
  <c r="X2563" i="1"/>
  <c r="X2571" i="1"/>
  <c r="X2579" i="1"/>
  <c r="X2587" i="1"/>
  <c r="X2595" i="1"/>
  <c r="X2603" i="1"/>
  <c r="X2611" i="1"/>
  <c r="X2619" i="1"/>
  <c r="X2627" i="1"/>
  <c r="X2635" i="1"/>
  <c r="X2643" i="1"/>
  <c r="X2651" i="1"/>
  <c r="X2659" i="1"/>
  <c r="X2667" i="1"/>
  <c r="X2675" i="1"/>
  <c r="X2683" i="1"/>
  <c r="X2691" i="1"/>
  <c r="X2699" i="1"/>
  <c r="X2707" i="1"/>
  <c r="X2715" i="1"/>
  <c r="X2723" i="1"/>
  <c r="X2731" i="1"/>
  <c r="X2739" i="1"/>
  <c r="X2747" i="1"/>
  <c r="X2755" i="1"/>
  <c r="X2763" i="1"/>
  <c r="X2771" i="1"/>
  <c r="X2779" i="1"/>
  <c r="X2787" i="1"/>
  <c r="X2795" i="1"/>
  <c r="X2803" i="1"/>
  <c r="X2811" i="1"/>
  <c r="X2819" i="1"/>
  <c r="X2827" i="1"/>
  <c r="X2835" i="1"/>
  <c r="X2843" i="1"/>
  <c r="X2851" i="1"/>
  <c r="X2859" i="1"/>
  <c r="X2867" i="1"/>
  <c r="X2875" i="1"/>
  <c r="X2883" i="1"/>
  <c r="X2891" i="1"/>
  <c r="X2899" i="1"/>
  <c r="X2907" i="1"/>
  <c r="X2915" i="1"/>
  <c r="X2923" i="1"/>
  <c r="X2931" i="1"/>
  <c r="X2939" i="1"/>
  <c r="X2947" i="1"/>
  <c r="X2955" i="1"/>
  <c r="X2963" i="1"/>
  <c r="X2971" i="1"/>
  <c r="X2979" i="1"/>
  <c r="X2987" i="1"/>
  <c r="X2995" i="1"/>
  <c r="X3003" i="1"/>
  <c r="X3011" i="1"/>
  <c r="X3019" i="1"/>
  <c r="X3027" i="1"/>
  <c r="X3035" i="1"/>
  <c r="X3043" i="1"/>
  <c r="X3051" i="1"/>
  <c r="X3059" i="1"/>
  <c r="X3067" i="1"/>
  <c r="X3075" i="1"/>
  <c r="X3083" i="1"/>
  <c r="X3091" i="1"/>
  <c r="X3099" i="1"/>
  <c r="X3107" i="1"/>
  <c r="X3115" i="1"/>
  <c r="X3123" i="1"/>
  <c r="X3131" i="1"/>
  <c r="X3139" i="1"/>
  <c r="X3147" i="1"/>
  <c r="X3155" i="1"/>
  <c r="X3163" i="1"/>
  <c r="X3171" i="1"/>
  <c r="X3179" i="1"/>
  <c r="X274" i="1"/>
  <c r="X590" i="1"/>
  <c r="X792" i="1"/>
  <c r="X911" i="1"/>
  <c r="X990" i="1"/>
  <c r="X1080" i="1"/>
  <c r="X1137" i="1"/>
  <c r="X1190" i="1"/>
  <c r="X1233" i="1"/>
  <c r="X1279" i="1"/>
  <c r="X1318" i="1"/>
  <c r="X1361" i="1"/>
  <c r="X1407" i="1"/>
  <c r="X1442" i="1"/>
  <c r="X1466" i="1"/>
  <c r="X1488" i="1"/>
  <c r="X1507" i="1"/>
  <c r="X1530" i="1"/>
  <c r="X1552" i="1"/>
  <c r="X1571" i="1"/>
  <c r="X1594" i="1"/>
  <c r="X1616" i="1"/>
  <c r="X1635" i="1"/>
  <c r="X1658" i="1"/>
  <c r="X1680" i="1"/>
  <c r="X1699" i="1"/>
  <c r="X1722" i="1"/>
  <c r="X1744" i="1"/>
  <c r="X1763" i="1"/>
  <c r="X1786" i="1"/>
  <c r="X1808" i="1"/>
  <c r="X1827" i="1"/>
  <c r="X1848" i="1"/>
  <c r="X1864" i="1"/>
  <c r="X1880" i="1"/>
  <c r="X1896" i="1"/>
  <c r="X1912" i="1"/>
  <c r="X1928" i="1"/>
  <c r="X1944" i="1"/>
  <c r="X1960" i="1"/>
  <c r="X1976" i="1"/>
  <c r="X1992" i="1"/>
  <c r="X2008" i="1"/>
  <c r="X2024" i="1"/>
  <c r="X2040" i="1"/>
  <c r="X2056" i="1"/>
  <c r="X2072" i="1"/>
  <c r="X2088" i="1"/>
  <c r="X2104" i="1"/>
  <c r="X2120" i="1"/>
  <c r="X2136" i="1"/>
  <c r="X2152" i="1"/>
  <c r="X2168" i="1"/>
  <c r="X2184" i="1"/>
  <c r="X2200" i="1"/>
  <c r="X2216" i="1"/>
  <c r="X2232" i="1"/>
  <c r="X2248" i="1"/>
  <c r="X2264" i="1"/>
  <c r="X2280" i="1"/>
  <c r="X2296" i="1"/>
  <c r="X2312" i="1"/>
  <c r="X2324" i="1"/>
  <c r="X2332" i="1"/>
  <c r="X2340" i="1"/>
  <c r="X2348" i="1"/>
  <c r="X2356" i="1"/>
  <c r="X2364" i="1"/>
  <c r="X2372" i="1"/>
  <c r="X2380" i="1"/>
  <c r="X2388" i="1"/>
  <c r="X2396" i="1"/>
  <c r="X2404" i="1"/>
  <c r="X2412" i="1"/>
  <c r="X2420" i="1"/>
  <c r="X2428" i="1"/>
  <c r="X2436" i="1"/>
  <c r="X2444" i="1"/>
  <c r="X2452" i="1"/>
  <c r="X2460" i="1"/>
  <c r="X2468" i="1"/>
  <c r="X2476" i="1"/>
  <c r="X2484" i="1"/>
  <c r="X2492" i="1"/>
  <c r="X2500" i="1"/>
  <c r="X2508" i="1"/>
  <c r="X2516" i="1"/>
  <c r="X2524" i="1"/>
  <c r="X2532" i="1"/>
  <c r="X2540" i="1"/>
  <c r="X2548" i="1"/>
  <c r="X2556" i="1"/>
  <c r="X2564" i="1"/>
  <c r="X2572" i="1"/>
  <c r="X2580" i="1"/>
  <c r="X2588" i="1"/>
  <c r="X2596" i="1"/>
  <c r="X2604" i="1"/>
  <c r="X2612" i="1"/>
  <c r="X2620" i="1"/>
  <c r="X2628" i="1"/>
  <c r="X2636" i="1"/>
  <c r="X2644" i="1"/>
  <c r="X2652" i="1"/>
  <c r="X2660" i="1"/>
  <c r="X2668" i="1"/>
  <c r="X2676" i="1"/>
  <c r="X2684" i="1"/>
  <c r="X2692" i="1"/>
  <c r="X2700" i="1"/>
  <c r="X2708" i="1"/>
  <c r="X2716" i="1"/>
  <c r="X2724" i="1"/>
  <c r="X2732" i="1"/>
  <c r="X2740" i="1"/>
  <c r="X2748" i="1"/>
  <c r="X2756" i="1"/>
  <c r="X2764" i="1"/>
  <c r="X2772" i="1"/>
  <c r="X2780" i="1"/>
  <c r="X2788" i="1"/>
  <c r="X2796" i="1"/>
  <c r="X2804" i="1"/>
  <c r="X2812" i="1"/>
  <c r="X2820" i="1"/>
  <c r="X2828" i="1"/>
  <c r="X2836" i="1"/>
  <c r="X2844" i="1"/>
  <c r="X2852" i="1"/>
  <c r="X2860" i="1"/>
  <c r="X2868" i="1"/>
  <c r="X2876" i="1"/>
  <c r="X2884" i="1"/>
  <c r="X2892" i="1"/>
  <c r="X2900" i="1"/>
  <c r="X2908" i="1"/>
  <c r="X2916" i="1"/>
  <c r="X2924" i="1"/>
  <c r="X2932" i="1"/>
  <c r="X2940" i="1"/>
  <c r="X2948" i="1"/>
  <c r="X2956" i="1"/>
  <c r="X2964" i="1"/>
  <c r="X2972" i="1"/>
  <c r="X2980" i="1"/>
  <c r="X2988" i="1"/>
  <c r="X2996" i="1"/>
  <c r="X3004" i="1"/>
  <c r="X3012" i="1"/>
  <c r="X3020" i="1"/>
  <c r="X3028" i="1"/>
  <c r="X3036" i="1"/>
  <c r="X3044" i="1"/>
  <c r="X3052" i="1"/>
  <c r="X3060" i="1"/>
  <c r="X3068" i="1"/>
  <c r="X3076" i="1"/>
  <c r="X3084" i="1"/>
  <c r="X3092" i="1"/>
  <c r="X3100" i="1"/>
  <c r="X3108" i="1"/>
  <c r="X3116" i="1"/>
  <c r="X3124" i="1"/>
  <c r="X3132" i="1"/>
  <c r="X3140" i="1"/>
  <c r="X3148" i="1"/>
  <c r="X3156" i="1"/>
  <c r="X3164" i="1"/>
  <c r="X3172" i="1"/>
  <c r="X3180" i="1"/>
  <c r="X336" i="1"/>
  <c r="X664" i="1"/>
  <c r="X838" i="1"/>
  <c r="X924" i="1"/>
  <c r="X1024" i="1"/>
  <c r="X1096" i="1"/>
  <c r="X1145" i="1"/>
  <c r="X1201" i="1"/>
  <c r="X1247" i="1"/>
  <c r="X1286" i="1"/>
  <c r="X1329" i="1"/>
  <c r="X1375" i="1"/>
  <c r="X1414" i="1"/>
  <c r="X1450" i="1"/>
  <c r="X1472" i="1"/>
  <c r="X1491" i="1"/>
  <c r="X1514" i="1"/>
  <c r="X1536" i="1"/>
  <c r="X1555" i="1"/>
  <c r="X1578" i="1"/>
  <c r="X1600" i="1"/>
  <c r="X1619" i="1"/>
  <c r="X1642" i="1"/>
  <c r="X1664" i="1"/>
  <c r="X1683" i="1"/>
  <c r="X1706" i="1"/>
  <c r="X1728" i="1"/>
  <c r="X1747" i="1"/>
  <c r="X1770" i="1"/>
  <c r="X1792" i="1"/>
  <c r="X1811" i="1"/>
  <c r="X1834" i="1"/>
  <c r="X1850" i="1"/>
  <c r="X1866" i="1"/>
  <c r="X1882" i="1"/>
  <c r="X1898" i="1"/>
  <c r="X1914" i="1"/>
  <c r="X1930" i="1"/>
  <c r="X1946" i="1"/>
  <c r="X1962" i="1"/>
  <c r="X1978" i="1"/>
  <c r="X1994" i="1"/>
  <c r="X2010" i="1"/>
  <c r="X2026" i="1"/>
  <c r="X2042" i="1"/>
  <c r="X2058" i="1"/>
  <c r="X2074" i="1"/>
  <c r="X2090" i="1"/>
  <c r="X2106" i="1"/>
  <c r="X2122" i="1"/>
  <c r="X2138" i="1"/>
  <c r="X2154" i="1"/>
  <c r="X2170" i="1"/>
  <c r="X2186" i="1"/>
  <c r="X2202" i="1"/>
  <c r="X2218" i="1"/>
  <c r="X2234" i="1"/>
  <c r="X2250" i="1"/>
  <c r="X2266" i="1"/>
  <c r="X2282" i="1"/>
  <c r="X2298" i="1"/>
  <c r="X2314" i="1"/>
  <c r="X2326" i="1"/>
  <c r="X2334" i="1"/>
  <c r="X2342" i="1"/>
  <c r="X2350" i="1"/>
  <c r="X2358" i="1"/>
  <c r="X2366" i="1"/>
  <c r="X2374" i="1"/>
  <c r="X2382" i="1"/>
  <c r="X2390" i="1"/>
  <c r="X2398" i="1"/>
  <c r="X2406" i="1"/>
  <c r="X2414" i="1"/>
  <c r="X2422" i="1"/>
  <c r="X2430" i="1"/>
  <c r="X2438" i="1"/>
  <c r="X2446" i="1"/>
  <c r="X2454" i="1"/>
  <c r="X2462" i="1"/>
  <c r="X2470" i="1"/>
  <c r="X2478" i="1"/>
  <c r="X2486" i="1"/>
  <c r="X2494" i="1"/>
  <c r="X2502" i="1"/>
  <c r="X2510" i="1"/>
  <c r="X2518" i="1"/>
  <c r="X2526" i="1"/>
  <c r="X2534" i="1"/>
  <c r="X2542" i="1"/>
  <c r="X2550" i="1"/>
  <c r="X2558" i="1"/>
  <c r="X2566" i="1"/>
  <c r="X2574" i="1"/>
  <c r="X2582" i="1"/>
  <c r="X2590" i="1"/>
  <c r="X2598" i="1"/>
  <c r="X2606" i="1"/>
  <c r="X2614" i="1"/>
  <c r="X2622" i="1"/>
  <c r="X2630" i="1"/>
  <c r="X2638" i="1"/>
  <c r="X2646" i="1"/>
  <c r="X2654" i="1"/>
  <c r="X2662" i="1"/>
  <c r="X2670" i="1"/>
  <c r="X2678" i="1"/>
  <c r="X2686" i="1"/>
  <c r="X2694" i="1"/>
  <c r="X2702" i="1"/>
  <c r="X2710" i="1"/>
  <c r="X2718" i="1"/>
  <c r="X2726" i="1"/>
  <c r="X2734" i="1"/>
  <c r="X2742" i="1"/>
  <c r="X2750" i="1"/>
  <c r="X2758" i="1"/>
  <c r="X2766" i="1"/>
  <c r="X2774" i="1"/>
  <c r="X2782" i="1"/>
  <c r="X2790" i="1"/>
  <c r="X2798" i="1"/>
  <c r="X2806" i="1"/>
  <c r="X2814" i="1"/>
  <c r="X2822" i="1"/>
  <c r="X2830" i="1"/>
  <c r="X2838" i="1"/>
  <c r="X2846" i="1"/>
  <c r="X2854" i="1"/>
  <c r="X2862" i="1"/>
  <c r="X2870" i="1"/>
  <c r="X2878" i="1"/>
  <c r="X2886" i="1"/>
  <c r="X2894" i="1"/>
  <c r="X2902" i="1"/>
  <c r="X2910" i="1"/>
  <c r="X2918" i="1"/>
  <c r="X2926" i="1"/>
  <c r="X2934" i="1"/>
  <c r="X2942" i="1"/>
  <c r="X2950" i="1"/>
  <c r="X2958" i="1"/>
  <c r="X2966" i="1"/>
  <c r="X2974" i="1"/>
  <c r="X2982" i="1"/>
  <c r="X2990" i="1"/>
  <c r="X2998" i="1"/>
  <c r="X3006" i="1"/>
  <c r="X3014" i="1"/>
  <c r="X3022" i="1"/>
  <c r="X3030" i="1"/>
  <c r="X3038" i="1"/>
  <c r="X3046" i="1"/>
  <c r="X3054" i="1"/>
  <c r="X3062" i="1"/>
  <c r="X3070" i="1"/>
  <c r="X3078" i="1"/>
  <c r="X3086" i="1"/>
  <c r="X3094" i="1"/>
  <c r="X3102" i="1"/>
  <c r="X3110" i="1"/>
  <c r="X3118" i="1"/>
  <c r="X3126" i="1"/>
  <c r="X3134" i="1"/>
  <c r="X3142" i="1"/>
  <c r="X3150" i="1"/>
  <c r="X3158" i="1"/>
  <c r="X3166" i="1"/>
  <c r="X3174" i="1"/>
  <c r="X3182" i="1"/>
  <c r="X294" i="1"/>
  <c r="X856" i="1"/>
  <c r="X1103" i="1"/>
  <c r="X1238" i="1"/>
  <c r="X1343" i="1"/>
  <c r="X1451" i="1"/>
  <c r="X1512" i="1"/>
  <c r="X1562" i="1"/>
  <c r="X1624" i="1"/>
  <c r="X1682" i="1"/>
  <c r="X1731" i="1"/>
  <c r="X1794" i="1"/>
  <c r="X1849" i="1"/>
  <c r="X1888" i="1"/>
  <c r="X1931" i="1"/>
  <c r="X1977" i="1"/>
  <c r="X2016" i="1"/>
  <c r="X2059" i="1"/>
  <c r="X2105" i="1"/>
  <c r="X2144" i="1"/>
  <c r="X2187" i="1"/>
  <c r="X2233" i="1"/>
  <c r="X2272" i="1"/>
  <c r="X2315" i="1"/>
  <c r="X2341" i="1"/>
  <c r="X2360" i="1"/>
  <c r="X2383" i="1"/>
  <c r="X2405" i="1"/>
  <c r="X2424" i="1"/>
  <c r="X2447" i="1"/>
  <c r="X2469" i="1"/>
  <c r="X2488" i="1"/>
  <c r="X2511" i="1"/>
  <c r="X2533" i="1"/>
  <c r="X2552" i="1"/>
  <c r="X2575" i="1"/>
  <c r="X2597" i="1"/>
  <c r="X2616" i="1"/>
  <c r="X2639" i="1"/>
  <c r="X2661" i="1"/>
  <c r="X2680" i="1"/>
  <c r="X2703" i="1"/>
  <c r="X2725" i="1"/>
  <c r="X2744" i="1"/>
  <c r="X2767" i="1"/>
  <c r="X2789" i="1"/>
  <c r="X402" i="1"/>
  <c r="X921" i="1"/>
  <c r="X1104" i="1"/>
  <c r="X1249" i="1"/>
  <c r="X1366" i="1"/>
  <c r="X1456" i="1"/>
  <c r="X1515" i="1"/>
  <c r="X1576" i="1"/>
  <c r="X1626" i="1"/>
  <c r="X1688" i="1"/>
  <c r="X1746" i="1"/>
  <c r="X1795" i="1"/>
  <c r="X1851" i="1"/>
  <c r="X1897" i="1"/>
  <c r="X1936" i="1"/>
  <c r="X1979" i="1"/>
  <c r="X2025" i="1"/>
  <c r="X2064" i="1"/>
  <c r="X2107" i="1"/>
  <c r="X2153" i="1"/>
  <c r="X2192" i="1"/>
  <c r="X2235" i="1"/>
  <c r="X2281" i="1"/>
  <c r="X2320" i="1"/>
  <c r="X2343" i="1"/>
  <c r="X2365" i="1"/>
  <c r="X2384" i="1"/>
  <c r="X2407" i="1"/>
  <c r="X2429" i="1"/>
  <c r="X2448" i="1"/>
  <c r="X2471" i="1"/>
  <c r="X2493" i="1"/>
  <c r="X2512" i="1"/>
  <c r="X2535" i="1"/>
  <c r="X2557" i="1"/>
  <c r="X2576" i="1"/>
  <c r="X2599" i="1"/>
  <c r="X2621" i="1"/>
  <c r="X2640" i="1"/>
  <c r="X2663" i="1"/>
  <c r="X2685" i="1"/>
  <c r="X2704" i="1"/>
  <c r="X2727" i="1"/>
  <c r="X2749" i="1"/>
  <c r="X2768" i="1"/>
  <c r="X2791" i="1"/>
  <c r="X2813" i="1"/>
  <c r="X2832" i="1"/>
  <c r="X2855" i="1"/>
  <c r="X2877" i="1"/>
  <c r="X2896" i="1"/>
  <c r="X2919" i="1"/>
  <c r="X2941" i="1"/>
  <c r="X2960" i="1"/>
  <c r="X2983" i="1"/>
  <c r="X3005" i="1"/>
  <c r="X3024" i="1"/>
  <c r="X3047" i="1"/>
  <c r="X3069" i="1"/>
  <c r="X3088" i="1"/>
  <c r="X3111" i="1"/>
  <c r="X3133" i="1"/>
  <c r="X3152" i="1"/>
  <c r="X3175" i="1"/>
  <c r="X3188" i="1"/>
  <c r="X3196" i="1"/>
  <c r="X3204" i="1"/>
  <c r="X3212" i="1"/>
  <c r="X3220" i="1"/>
  <c r="X3228" i="1"/>
  <c r="X3236" i="1"/>
  <c r="X3244" i="1"/>
  <c r="X3252" i="1"/>
  <c r="X3260" i="1"/>
  <c r="X3268" i="1"/>
  <c r="X3276" i="1"/>
  <c r="X3284" i="1"/>
  <c r="X3292" i="1"/>
  <c r="X3300" i="1"/>
  <c r="X3308" i="1"/>
  <c r="X3316" i="1"/>
  <c r="X3324" i="1"/>
  <c r="X3332" i="1"/>
  <c r="X3340" i="1"/>
  <c r="X3348" i="1"/>
  <c r="X3356" i="1"/>
  <c r="X3364" i="1"/>
  <c r="X3372" i="1"/>
  <c r="X3380" i="1"/>
  <c r="X3388" i="1"/>
  <c r="X3396" i="1"/>
  <c r="X3404" i="1"/>
  <c r="X3412" i="1"/>
  <c r="X3420" i="1"/>
  <c r="X3428" i="1"/>
  <c r="X3436" i="1"/>
  <c r="X3444" i="1"/>
  <c r="X3452" i="1"/>
  <c r="X3460" i="1"/>
  <c r="X3468" i="1"/>
  <c r="X3476" i="1"/>
  <c r="X3484" i="1"/>
  <c r="X3492" i="1"/>
  <c r="X3500" i="1"/>
  <c r="X3508" i="1"/>
  <c r="X3516" i="1"/>
  <c r="X3524" i="1"/>
  <c r="X3532" i="1"/>
  <c r="X3540" i="1"/>
  <c r="X3548" i="1"/>
  <c r="X3556" i="1"/>
  <c r="X3564" i="1"/>
  <c r="X3572" i="1"/>
  <c r="X3580" i="1"/>
  <c r="X3588" i="1"/>
  <c r="X3596" i="1"/>
  <c r="X3604" i="1"/>
  <c r="X3612" i="1"/>
  <c r="X3620" i="1"/>
  <c r="X3628" i="1"/>
  <c r="X3636" i="1"/>
  <c r="X3644" i="1"/>
  <c r="X3652" i="1"/>
  <c r="X3660" i="1"/>
  <c r="X3668" i="1"/>
  <c r="X3676" i="1"/>
  <c r="X3684" i="1"/>
  <c r="X3692" i="1"/>
  <c r="X3700" i="1"/>
  <c r="X3708" i="1"/>
  <c r="X3716" i="1"/>
  <c r="X3724" i="1"/>
  <c r="X3732" i="1"/>
  <c r="X3740" i="1"/>
  <c r="X3748" i="1"/>
  <c r="X3756" i="1"/>
  <c r="X3764" i="1"/>
  <c r="X3772" i="1"/>
  <c r="X3780" i="1"/>
  <c r="X3788" i="1"/>
  <c r="X3796" i="1"/>
  <c r="X3804" i="1"/>
  <c r="X3812" i="1"/>
  <c r="X3820" i="1"/>
  <c r="X3828" i="1"/>
  <c r="X3836" i="1"/>
  <c r="X3844" i="1"/>
  <c r="X3852" i="1"/>
  <c r="X3860" i="1"/>
  <c r="X3868" i="1"/>
  <c r="X3876" i="1"/>
  <c r="X3884" i="1"/>
  <c r="X3892" i="1"/>
  <c r="X3900" i="1"/>
  <c r="X448" i="1"/>
  <c r="X948" i="1"/>
  <c r="X1144" i="1"/>
  <c r="X1254" i="1"/>
  <c r="X1377" i="1"/>
  <c r="X1467" i="1"/>
  <c r="X1520" i="1"/>
  <c r="X1579" i="1"/>
  <c r="X1640" i="1"/>
  <c r="X1690" i="1"/>
  <c r="X1752" i="1"/>
  <c r="X1810" i="1"/>
  <c r="X1856" i="1"/>
  <c r="X1899" i="1"/>
  <c r="X1945" i="1"/>
  <c r="X1984" i="1"/>
  <c r="X2027" i="1"/>
  <c r="X2073" i="1"/>
  <c r="X2112" i="1"/>
  <c r="X2155" i="1"/>
  <c r="X2201" i="1"/>
  <c r="X2240" i="1"/>
  <c r="X2283" i="1"/>
  <c r="X2325" i="1"/>
  <c r="X2344" i="1"/>
  <c r="X2367" i="1"/>
  <c r="X2389" i="1"/>
  <c r="X2408" i="1"/>
  <c r="X2431" i="1"/>
  <c r="X2453" i="1"/>
  <c r="X2472" i="1"/>
  <c r="X2495" i="1"/>
  <c r="X2517" i="1"/>
  <c r="X2536" i="1"/>
  <c r="X2559" i="1"/>
  <c r="X2581" i="1"/>
  <c r="X2600" i="1"/>
  <c r="X2623" i="1"/>
  <c r="X2645" i="1"/>
  <c r="X2664" i="1"/>
  <c r="X2687" i="1"/>
  <c r="X2709" i="1"/>
  <c r="X2728" i="1"/>
  <c r="X2751" i="1"/>
  <c r="X2773" i="1"/>
  <c r="X2792" i="1"/>
  <c r="X2815" i="1"/>
  <c r="X2837" i="1"/>
  <c r="X2856" i="1"/>
  <c r="X2879" i="1"/>
  <c r="X2901" i="1"/>
  <c r="X2920" i="1"/>
  <c r="X2943" i="1"/>
  <c r="X2965" i="1"/>
  <c r="X2984" i="1"/>
  <c r="X3007" i="1"/>
  <c r="X3029" i="1"/>
  <c r="X3048" i="1"/>
  <c r="X3071" i="1"/>
  <c r="X3093" i="1"/>
  <c r="X3112" i="1"/>
  <c r="X3135" i="1"/>
  <c r="X3157" i="1"/>
  <c r="X3176" i="1"/>
  <c r="X3189" i="1"/>
  <c r="X3197" i="1"/>
  <c r="X3205" i="1"/>
  <c r="X3213" i="1"/>
  <c r="X3221" i="1"/>
  <c r="X3229" i="1"/>
  <c r="X3237" i="1"/>
  <c r="X3245" i="1"/>
  <c r="X3253" i="1"/>
  <c r="X3261" i="1"/>
  <c r="X3269" i="1"/>
  <c r="X3277" i="1"/>
  <c r="X3285" i="1"/>
  <c r="X3293" i="1"/>
  <c r="X3301" i="1"/>
  <c r="X3309" i="1"/>
  <c r="X3317" i="1"/>
  <c r="X3325" i="1"/>
  <c r="X3333" i="1"/>
  <c r="X3341" i="1"/>
  <c r="X3349" i="1"/>
  <c r="X3357" i="1"/>
  <c r="X3365" i="1"/>
  <c r="X3373" i="1"/>
  <c r="X3381" i="1"/>
  <c r="X3389" i="1"/>
  <c r="X3397" i="1"/>
  <c r="X3405" i="1"/>
  <c r="X3413" i="1"/>
  <c r="X3421" i="1"/>
  <c r="X3429" i="1"/>
  <c r="X3437" i="1"/>
  <c r="X3445" i="1"/>
  <c r="X3453" i="1"/>
  <c r="X3461" i="1"/>
  <c r="X3469" i="1"/>
  <c r="X3477" i="1"/>
  <c r="X3485" i="1"/>
  <c r="X3493" i="1"/>
  <c r="X3501" i="1"/>
  <c r="X3509" i="1"/>
  <c r="X3517" i="1"/>
  <c r="X3525" i="1"/>
  <c r="X3533" i="1"/>
  <c r="X3541" i="1"/>
  <c r="X3549" i="1"/>
  <c r="X3557" i="1"/>
  <c r="X3565" i="1"/>
  <c r="X3573" i="1"/>
  <c r="X3581" i="1"/>
  <c r="X3589" i="1"/>
  <c r="X3597" i="1"/>
  <c r="X3605" i="1"/>
  <c r="X3613" i="1"/>
  <c r="X3621" i="1"/>
  <c r="X3629" i="1"/>
  <c r="X3637" i="1"/>
  <c r="X3645" i="1"/>
  <c r="X3653" i="1"/>
  <c r="X3661" i="1"/>
  <c r="X3669" i="1"/>
  <c r="X3677" i="1"/>
  <c r="X3685" i="1"/>
  <c r="X3693" i="1"/>
  <c r="X3701" i="1"/>
  <c r="X3709" i="1"/>
  <c r="X3717" i="1"/>
  <c r="X3725" i="1"/>
  <c r="X3733" i="1"/>
  <c r="X3741" i="1"/>
  <c r="X3749" i="1"/>
  <c r="X3757" i="1"/>
  <c r="X3765" i="1"/>
  <c r="X3773" i="1"/>
  <c r="X3781" i="1"/>
  <c r="X3789" i="1"/>
  <c r="X3797" i="1"/>
  <c r="X3805" i="1"/>
  <c r="X3813" i="1"/>
  <c r="X3821" i="1"/>
  <c r="X3829" i="1"/>
  <c r="X3837" i="1"/>
  <c r="X3845" i="1"/>
  <c r="X3853" i="1"/>
  <c r="X3861" i="1"/>
  <c r="X3869" i="1"/>
  <c r="X3877" i="1"/>
  <c r="X3885" i="1"/>
  <c r="X3893" i="1"/>
  <c r="X3901" i="1"/>
  <c r="X654" i="1"/>
  <c r="X951" i="1"/>
  <c r="X1160" i="1"/>
  <c r="X1281" i="1"/>
  <c r="X1382" i="1"/>
  <c r="X1474" i="1"/>
  <c r="X1531" i="1"/>
  <c r="X1584" i="1"/>
  <c r="X1643" i="1"/>
  <c r="X1704" i="1"/>
  <c r="X1754" i="1"/>
  <c r="X1816" i="1"/>
  <c r="X1865" i="1"/>
  <c r="X1904" i="1"/>
  <c r="X1947" i="1"/>
  <c r="X1993" i="1"/>
  <c r="X2032" i="1"/>
  <c r="X2075" i="1"/>
  <c r="X2121" i="1"/>
  <c r="X2160" i="1"/>
  <c r="X2203" i="1"/>
  <c r="X2249" i="1"/>
  <c r="X2288" i="1"/>
  <c r="X2327" i="1"/>
  <c r="X2349" i="1"/>
  <c r="X2368" i="1"/>
  <c r="X2391" i="1"/>
  <c r="X2413" i="1"/>
  <c r="X2432" i="1"/>
  <c r="X2455" i="1"/>
  <c r="X2477" i="1"/>
  <c r="X2496" i="1"/>
  <c r="X2519" i="1"/>
  <c r="X2541" i="1"/>
  <c r="X2560" i="1"/>
  <c r="X2583" i="1"/>
  <c r="X2605" i="1"/>
  <c r="X2624" i="1"/>
  <c r="X2647" i="1"/>
  <c r="X2669" i="1"/>
  <c r="X2688" i="1"/>
  <c r="X2711" i="1"/>
  <c r="X2733" i="1"/>
  <c r="X2752" i="1"/>
  <c r="X2775" i="1"/>
  <c r="X2797" i="1"/>
  <c r="X2816" i="1"/>
  <c r="X2839" i="1"/>
  <c r="X2861" i="1"/>
  <c r="X2880" i="1"/>
  <c r="X2903" i="1"/>
  <c r="X2925" i="1"/>
  <c r="X2944" i="1"/>
  <c r="X2967" i="1"/>
  <c r="X2989" i="1"/>
  <c r="X3008" i="1"/>
  <c r="X3031" i="1"/>
  <c r="X3053" i="1"/>
  <c r="X3072" i="1"/>
  <c r="X3095" i="1"/>
  <c r="X3117" i="1"/>
  <c r="X3136" i="1"/>
  <c r="X3159" i="1"/>
  <c r="X3181" i="1"/>
  <c r="X3190" i="1"/>
  <c r="X3198" i="1"/>
  <c r="X3206" i="1"/>
  <c r="X3214" i="1"/>
  <c r="X3222" i="1"/>
  <c r="X3230" i="1"/>
  <c r="X3238" i="1"/>
  <c r="X3246" i="1"/>
  <c r="X3254" i="1"/>
  <c r="X3262" i="1"/>
  <c r="X3270" i="1"/>
  <c r="X3278" i="1"/>
  <c r="X3286" i="1"/>
  <c r="X3294" i="1"/>
  <c r="X3302" i="1"/>
  <c r="X3310" i="1"/>
  <c r="X3318" i="1"/>
  <c r="X3326" i="1"/>
  <c r="X3334" i="1"/>
  <c r="X3342" i="1"/>
  <c r="X3350" i="1"/>
  <c r="X3358" i="1"/>
  <c r="X3366" i="1"/>
  <c r="X3374" i="1"/>
  <c r="X3382" i="1"/>
  <c r="X3390" i="1"/>
  <c r="X3398" i="1"/>
  <c r="X3406" i="1"/>
  <c r="X3414" i="1"/>
  <c r="X3422" i="1"/>
  <c r="X3430" i="1"/>
  <c r="X3438" i="1"/>
  <c r="X3446" i="1"/>
  <c r="X3454" i="1"/>
  <c r="X3462" i="1"/>
  <c r="X3470" i="1"/>
  <c r="X3478" i="1"/>
  <c r="X3486" i="1"/>
  <c r="X3494" i="1"/>
  <c r="X3502" i="1"/>
  <c r="X3510" i="1"/>
  <c r="X3518" i="1"/>
  <c r="X3526" i="1"/>
  <c r="X3534" i="1"/>
  <c r="X3542" i="1"/>
  <c r="X3550" i="1"/>
  <c r="X3558" i="1"/>
  <c r="X3566" i="1"/>
  <c r="X3574" i="1"/>
  <c r="X3582" i="1"/>
  <c r="X3590" i="1"/>
  <c r="X3598" i="1"/>
  <c r="X3606" i="1"/>
  <c r="X3614" i="1"/>
  <c r="X3622" i="1"/>
  <c r="X3630" i="1"/>
  <c r="X3638" i="1"/>
  <c r="X3646" i="1"/>
  <c r="X3654" i="1"/>
  <c r="X3662" i="1"/>
  <c r="X3670" i="1"/>
  <c r="X3678" i="1"/>
  <c r="X3686" i="1"/>
  <c r="X3694" i="1"/>
  <c r="X3702" i="1"/>
  <c r="X3710" i="1"/>
  <c r="X3718" i="1"/>
  <c r="X3726" i="1"/>
  <c r="X3734" i="1"/>
  <c r="X3742" i="1"/>
  <c r="X3750" i="1"/>
  <c r="X3758" i="1"/>
  <c r="X712" i="1"/>
  <c r="X1025" i="1"/>
  <c r="X1199" i="1"/>
  <c r="X1297" i="1"/>
  <c r="X1423" i="1"/>
  <c r="X1490" i="1"/>
  <c r="X1539" i="1"/>
  <c r="X1602" i="1"/>
  <c r="X1659" i="1"/>
  <c r="X1712" i="1"/>
  <c r="X1771" i="1"/>
  <c r="X1832" i="1"/>
  <c r="X1872" i="1"/>
  <c r="X1915" i="1"/>
  <c r="X1961" i="1"/>
  <c r="X2000" i="1"/>
  <c r="X2043" i="1"/>
  <c r="X2089" i="1"/>
  <c r="X2128" i="1"/>
  <c r="X2171" i="1"/>
  <c r="X2217" i="1"/>
  <c r="X2256" i="1"/>
  <c r="X2299" i="1"/>
  <c r="X2333" i="1"/>
  <c r="X2352" i="1"/>
  <c r="X2375" i="1"/>
  <c r="X2397" i="1"/>
  <c r="X2416" i="1"/>
  <c r="X2439" i="1"/>
  <c r="X2461" i="1"/>
  <c r="X2480" i="1"/>
  <c r="X2503" i="1"/>
  <c r="X2525" i="1"/>
  <c r="X2544" i="1"/>
  <c r="X2567" i="1"/>
  <c r="X2589" i="1"/>
  <c r="X2608" i="1"/>
  <c r="X2631" i="1"/>
  <c r="X2653" i="1"/>
  <c r="X2672" i="1"/>
  <c r="X2695" i="1"/>
  <c r="X2717" i="1"/>
  <c r="X2736" i="1"/>
  <c r="X2759" i="1"/>
  <c r="X2781" i="1"/>
  <c r="X2800" i="1"/>
  <c r="X2823" i="1"/>
  <c r="X2845" i="1"/>
  <c r="X2864" i="1"/>
  <c r="X2887" i="1"/>
  <c r="X2909" i="1"/>
  <c r="X2928" i="1"/>
  <c r="X2951" i="1"/>
  <c r="X2973" i="1"/>
  <c r="X2992" i="1"/>
  <c r="X3015" i="1"/>
  <c r="X3037" i="1"/>
  <c r="X3056" i="1"/>
  <c r="X3079" i="1"/>
  <c r="X3101" i="1"/>
  <c r="X3120" i="1"/>
  <c r="X3143" i="1"/>
  <c r="X3165" i="1"/>
  <c r="X3184" i="1"/>
  <c r="X3192" i="1"/>
  <c r="X3200" i="1"/>
  <c r="X3208" i="1"/>
  <c r="X3216" i="1"/>
  <c r="X3224" i="1"/>
  <c r="X3232" i="1"/>
  <c r="X3240" i="1"/>
  <c r="X3248" i="1"/>
  <c r="X3256" i="1"/>
  <c r="X3264" i="1"/>
  <c r="X3272" i="1"/>
  <c r="X3280" i="1"/>
  <c r="X3288" i="1"/>
  <c r="X3296" i="1"/>
  <c r="X3304" i="1"/>
  <c r="X3312" i="1"/>
  <c r="X3320" i="1"/>
  <c r="X3328" i="1"/>
  <c r="X3336" i="1"/>
  <c r="X3344" i="1"/>
  <c r="X3352" i="1"/>
  <c r="X3360" i="1"/>
  <c r="X3368" i="1"/>
  <c r="X3376" i="1"/>
  <c r="X3384" i="1"/>
  <c r="X3392" i="1"/>
  <c r="X3400" i="1"/>
  <c r="X3408" i="1"/>
  <c r="X3416" i="1"/>
  <c r="X3424" i="1"/>
  <c r="X3432" i="1"/>
  <c r="X3440" i="1"/>
  <c r="X3448" i="1"/>
  <c r="X3456" i="1"/>
  <c r="X3464" i="1"/>
  <c r="X3472" i="1"/>
  <c r="X3480" i="1"/>
  <c r="X3488" i="1"/>
  <c r="X3496" i="1"/>
  <c r="X3504" i="1"/>
  <c r="X3512" i="1"/>
  <c r="X3520" i="1"/>
  <c r="X3528" i="1"/>
  <c r="X3536" i="1"/>
  <c r="X3544" i="1"/>
  <c r="X3552" i="1"/>
  <c r="X3560" i="1"/>
  <c r="X3568" i="1"/>
  <c r="X3576" i="1"/>
  <c r="X3584" i="1"/>
  <c r="X3592" i="1"/>
  <c r="X3600" i="1"/>
  <c r="X3608" i="1"/>
  <c r="X3616" i="1"/>
  <c r="X3624" i="1"/>
  <c r="X3632" i="1"/>
  <c r="X3640" i="1"/>
  <c r="X3648" i="1"/>
  <c r="X3656" i="1"/>
  <c r="X3664" i="1"/>
  <c r="X3672" i="1"/>
  <c r="X3680" i="1"/>
  <c r="X3688" i="1"/>
  <c r="X3696" i="1"/>
  <c r="X3704" i="1"/>
  <c r="X3712" i="1"/>
  <c r="X3720" i="1"/>
  <c r="X3728" i="1"/>
  <c r="X3736" i="1"/>
  <c r="X3744" i="1"/>
  <c r="X3752" i="1"/>
  <c r="X3760" i="1"/>
  <c r="X3768" i="1"/>
  <c r="X3776" i="1"/>
  <c r="X3784" i="1"/>
  <c r="X3792" i="1"/>
  <c r="X3800" i="1"/>
  <c r="X3808" i="1"/>
  <c r="X3816" i="1"/>
  <c r="X3824" i="1"/>
  <c r="X3832" i="1"/>
  <c r="X3840" i="1"/>
  <c r="X3848" i="1"/>
  <c r="X3856" i="1"/>
  <c r="X3864" i="1"/>
  <c r="X3872" i="1"/>
  <c r="X3880" i="1"/>
  <c r="X3888" i="1"/>
  <c r="X3896" i="1"/>
  <c r="X798" i="1"/>
  <c r="X1048" i="1"/>
  <c r="X1206" i="1"/>
  <c r="X1327" i="1"/>
  <c r="X1425" i="1"/>
  <c r="X1496" i="1"/>
  <c r="X1554" i="1"/>
  <c r="X1603" i="1"/>
  <c r="X1666" i="1"/>
  <c r="X1723" i="1"/>
  <c r="X1776" i="1"/>
  <c r="X1835" i="1"/>
  <c r="X1881" i="1"/>
  <c r="X1920" i="1"/>
  <c r="X1963" i="1"/>
  <c r="X2009" i="1"/>
  <c r="X2048" i="1"/>
  <c r="X2091" i="1"/>
  <c r="X2137" i="1"/>
  <c r="X2176" i="1"/>
  <c r="X2219" i="1"/>
  <c r="X2265" i="1"/>
  <c r="X2304" i="1"/>
  <c r="X2335" i="1"/>
  <c r="X2357" i="1"/>
  <c r="X2376" i="1"/>
  <c r="X2399" i="1"/>
  <c r="X2421" i="1"/>
  <c r="X2440" i="1"/>
  <c r="X2463" i="1"/>
  <c r="X2485" i="1"/>
  <c r="X2504" i="1"/>
  <c r="X2527" i="1"/>
  <c r="X2549" i="1"/>
  <c r="X2568" i="1"/>
  <c r="X2591" i="1"/>
  <c r="X2613" i="1"/>
  <c r="X2632" i="1"/>
  <c r="X2655" i="1"/>
  <c r="X2677" i="1"/>
  <c r="X2696" i="1"/>
  <c r="X2719" i="1"/>
  <c r="X2741" i="1"/>
  <c r="X2760" i="1"/>
  <c r="X2783" i="1"/>
  <c r="X2805" i="1"/>
  <c r="X2824" i="1"/>
  <c r="X2847" i="1"/>
  <c r="X2869" i="1"/>
  <c r="X2888" i="1"/>
  <c r="X2911" i="1"/>
  <c r="X2933" i="1"/>
  <c r="X2952" i="1"/>
  <c r="X2975" i="1"/>
  <c r="X2997" i="1"/>
  <c r="X3016" i="1"/>
  <c r="X3039" i="1"/>
  <c r="X3061" i="1"/>
  <c r="X3080" i="1"/>
  <c r="X3103" i="1"/>
  <c r="X3125" i="1"/>
  <c r="X3144" i="1"/>
  <c r="X3167" i="1"/>
  <c r="X3185" i="1"/>
  <c r="X3193" i="1"/>
  <c r="X3201" i="1"/>
  <c r="X3209" i="1"/>
  <c r="X3217" i="1"/>
  <c r="X3225" i="1"/>
  <c r="X3233" i="1"/>
  <c r="X3241" i="1"/>
  <c r="X3249" i="1"/>
  <c r="X3257" i="1"/>
  <c r="X3265" i="1"/>
  <c r="X3273" i="1"/>
  <c r="X3281" i="1"/>
  <c r="X3289" i="1"/>
  <c r="X3297" i="1"/>
  <c r="X3305" i="1"/>
  <c r="X3313" i="1"/>
  <c r="X3321" i="1"/>
  <c r="X3329" i="1"/>
  <c r="X3337" i="1"/>
  <c r="X3345" i="1"/>
  <c r="X3353" i="1"/>
  <c r="X3889" i="1"/>
  <c r="X3875" i="1"/>
  <c r="X3863" i="1"/>
  <c r="X3850" i="1"/>
  <c r="X3838" i="1"/>
  <c r="X3825" i="1"/>
  <c r="X3811" i="1"/>
  <c r="X3799" i="1"/>
  <c r="X3786" i="1"/>
  <c r="X3774" i="1"/>
  <c r="X3761" i="1"/>
  <c r="X3745" i="1"/>
  <c r="X3729" i="1"/>
  <c r="X3713" i="1"/>
  <c r="X3697" i="1"/>
  <c r="X3681" i="1"/>
  <c r="X3665" i="1"/>
  <c r="X3649" i="1"/>
  <c r="X3633" i="1"/>
  <c r="X3617" i="1"/>
  <c r="X3601" i="1"/>
  <c r="X3585" i="1"/>
  <c r="X3569" i="1"/>
  <c r="X3553" i="1"/>
  <c r="X3537" i="1"/>
  <c r="X3521" i="1"/>
  <c r="X3505" i="1"/>
  <c r="X3489" i="1"/>
  <c r="X3473" i="1"/>
  <c r="X3457" i="1"/>
  <c r="X3441" i="1"/>
  <c r="X3425" i="1"/>
  <c r="X3409" i="1"/>
  <c r="X3393" i="1"/>
  <c r="X3377" i="1"/>
  <c r="X3361" i="1"/>
  <c r="X3339" i="1"/>
  <c r="X3319" i="1"/>
  <c r="X3298" i="1"/>
  <c r="X3275" i="1"/>
  <c r="X3255" i="1"/>
  <c r="X3899" i="1"/>
  <c r="X3887" i="1"/>
  <c r="X3874" i="1"/>
  <c r="X3862" i="1"/>
  <c r="X3849" i="1"/>
  <c r="X3835" i="1"/>
  <c r="X3823" i="1"/>
  <c r="X3810" i="1"/>
  <c r="X3798" i="1"/>
  <c r="X3785" i="1"/>
  <c r="X3771" i="1"/>
  <c r="X3759" i="1"/>
  <c r="X3743" i="1"/>
  <c r="X3727" i="1"/>
  <c r="X3711" i="1"/>
  <c r="X3695" i="1"/>
  <c r="X3679" i="1"/>
  <c r="X3663" i="1"/>
  <c r="X3647" i="1"/>
  <c r="X3631" i="1"/>
  <c r="X3615" i="1"/>
  <c r="X3599" i="1"/>
  <c r="X3583" i="1"/>
  <c r="X3567" i="1"/>
  <c r="X3551" i="1"/>
  <c r="X3535" i="1"/>
  <c r="X3519" i="1"/>
  <c r="X3503" i="1"/>
  <c r="X3487" i="1"/>
  <c r="X3471" i="1"/>
  <c r="X3455" i="1"/>
  <c r="X3439" i="1"/>
  <c r="X3423" i="1"/>
  <c r="X3407" i="1"/>
  <c r="X3391" i="1"/>
  <c r="X3375" i="1"/>
  <c r="X3359" i="1"/>
  <c r="X3338" i="1"/>
  <c r="X3315" i="1"/>
  <c r="X3295" i="1"/>
  <c r="X3274" i="1"/>
  <c r="X3251" i="1"/>
  <c r="X3231" i="1"/>
  <c r="X3210" i="1"/>
  <c r="X3187" i="1"/>
  <c r="X3141" i="1"/>
  <c r="X3085" i="1"/>
  <c r="X3023" i="1"/>
  <c r="X2968" i="1"/>
  <c r="X2912" i="1"/>
  <c r="X2853" i="1"/>
  <c r="X2799" i="1"/>
  <c r="X2712" i="1"/>
  <c r="X2629" i="1"/>
  <c r="X2543" i="1"/>
  <c r="X2456" i="1"/>
  <c r="X2373" i="1"/>
  <c r="X2251" i="1"/>
  <c r="X2080" i="1"/>
  <c r="X1913" i="1"/>
  <c r="X1707" i="1"/>
  <c r="X1475" i="1"/>
  <c r="X1014" i="1"/>
  <c r="X3865" i="1"/>
  <c r="X3826" i="1"/>
  <c r="X3787" i="1"/>
  <c r="X3762" i="1"/>
  <c r="X3730" i="1"/>
  <c r="X3682" i="1"/>
  <c r="X3650" i="1"/>
  <c r="X3618" i="1"/>
  <c r="X3586" i="1"/>
  <c r="X3554" i="1"/>
  <c r="X3522" i="1"/>
  <c r="X3490" i="1"/>
  <c r="X3458" i="1"/>
  <c r="X3442" i="1"/>
  <c r="X3410" i="1"/>
  <c r="X3378" i="1"/>
  <c r="X3343" i="1"/>
  <c r="X3299" i="1"/>
  <c r="X1768" i="1"/>
  <c r="X3898" i="1"/>
  <c r="X3886" i="1"/>
  <c r="X3873" i="1"/>
  <c r="X3859" i="1"/>
  <c r="X3847" i="1"/>
  <c r="X3834" i="1"/>
  <c r="X3822" i="1"/>
  <c r="X3809" i="1"/>
  <c r="X3795" i="1"/>
  <c r="X3783" i="1"/>
  <c r="X3770" i="1"/>
  <c r="X3755" i="1"/>
  <c r="X3739" i="1"/>
  <c r="X3723" i="1"/>
  <c r="X3707" i="1"/>
  <c r="X3691" i="1"/>
  <c r="X3675" i="1"/>
  <c r="X3659" i="1"/>
  <c r="X3643" i="1"/>
  <c r="X3627" i="1"/>
  <c r="X3611" i="1"/>
  <c r="X3595" i="1"/>
  <c r="X3579" i="1"/>
  <c r="X3563" i="1"/>
  <c r="X3547" i="1"/>
  <c r="X3531" i="1"/>
  <c r="X3515" i="1"/>
  <c r="X3499" i="1"/>
  <c r="X3483" i="1"/>
  <c r="X3467" i="1"/>
  <c r="X3451" i="1"/>
  <c r="X3435" i="1"/>
  <c r="X3419" i="1"/>
  <c r="X3403" i="1"/>
  <c r="X3387" i="1"/>
  <c r="X3371" i="1"/>
  <c r="X3355" i="1"/>
  <c r="X3335" i="1"/>
  <c r="X3314" i="1"/>
  <c r="X3291" i="1"/>
  <c r="X3271" i="1"/>
  <c r="X3250" i="1"/>
  <c r="X3227" i="1"/>
  <c r="X3207" i="1"/>
  <c r="X3186" i="1"/>
  <c r="X3128" i="1"/>
  <c r="X3077" i="1"/>
  <c r="X3021" i="1"/>
  <c r="X2959" i="1"/>
  <c r="X2904" i="1"/>
  <c r="X2848" i="1"/>
  <c r="X2784" i="1"/>
  <c r="X2701" i="1"/>
  <c r="X2615" i="1"/>
  <c r="X2528" i="1"/>
  <c r="X2445" i="1"/>
  <c r="X2359" i="1"/>
  <c r="X2224" i="1"/>
  <c r="X2057" i="1"/>
  <c r="X1883" i="1"/>
  <c r="X1667" i="1"/>
  <c r="X1448" i="1"/>
  <c r="X840" i="1"/>
  <c r="X3878" i="1"/>
  <c r="X3814" i="1"/>
  <c r="X3714" i="1"/>
  <c r="X3258" i="1"/>
  <c r="X3215" i="1"/>
  <c r="X3194" i="1"/>
  <c r="X3151" i="1"/>
  <c r="X3096" i="1"/>
  <c r="X3040" i="1"/>
  <c r="X2981" i="1"/>
  <c r="X2927" i="1"/>
  <c r="X2871" i="1"/>
  <c r="X2808" i="1"/>
  <c r="X2735" i="1"/>
  <c r="X2648" i="1"/>
  <c r="X2565" i="1"/>
  <c r="X2479" i="1"/>
  <c r="X2392" i="1"/>
  <c r="X2297" i="1"/>
  <c r="X2123" i="1"/>
  <c r="X1952" i="1"/>
  <c r="X1167" i="1"/>
  <c r="X3897" i="1"/>
  <c r="X3883" i="1"/>
  <c r="X3871" i="1"/>
  <c r="X3858" i="1"/>
  <c r="X3846" i="1"/>
  <c r="X3833" i="1"/>
  <c r="X3819" i="1"/>
  <c r="X3807" i="1"/>
  <c r="X3794" i="1"/>
  <c r="X3782" i="1"/>
  <c r="X3769" i="1"/>
  <c r="X3754" i="1"/>
  <c r="X3738" i="1"/>
  <c r="X3722" i="1"/>
  <c r="X3706" i="1"/>
  <c r="X3690" i="1"/>
  <c r="X3674" i="1"/>
  <c r="X3658" i="1"/>
  <c r="X3642" i="1"/>
  <c r="X3626" i="1"/>
  <c r="X3610" i="1"/>
  <c r="X3594" i="1"/>
  <c r="X3578" i="1"/>
  <c r="X3562" i="1"/>
  <c r="X3546" i="1"/>
  <c r="X3530" i="1"/>
  <c r="X3514" i="1"/>
  <c r="X3498" i="1"/>
  <c r="X3482" i="1"/>
  <c r="X3466" i="1"/>
  <c r="X3450" i="1"/>
  <c r="X3434" i="1"/>
  <c r="X3418" i="1"/>
  <c r="X3402" i="1"/>
  <c r="X3386" i="1"/>
  <c r="X3370" i="1"/>
  <c r="X3354" i="1"/>
  <c r="X3331" i="1"/>
  <c r="X3311" i="1"/>
  <c r="X3290" i="1"/>
  <c r="X3267" i="1"/>
  <c r="X3247" i="1"/>
  <c r="X3226" i="1"/>
  <c r="X3203" i="1"/>
  <c r="X3183" i="1"/>
  <c r="X3127" i="1"/>
  <c r="X3064" i="1"/>
  <c r="X3013" i="1"/>
  <c r="X2957" i="1"/>
  <c r="X2895" i="1"/>
  <c r="X2840" i="1"/>
  <c r="X2776" i="1"/>
  <c r="X2693" i="1"/>
  <c r="X2607" i="1"/>
  <c r="X2520" i="1"/>
  <c r="X2437" i="1"/>
  <c r="X2351" i="1"/>
  <c r="X2208" i="1"/>
  <c r="X2041" i="1"/>
  <c r="X1867" i="1"/>
  <c r="X1648" i="1"/>
  <c r="X1409" i="1"/>
  <c r="X687" i="1"/>
  <c r="B13" i="2" l="1"/>
  <c r="B12" i="2"/>
  <c r="B5" i="2"/>
  <c r="B4" i="2"/>
  <c r="B10" i="2" s="1"/>
  <c r="B9" i="2" l="1"/>
</calcChain>
</file>

<file path=xl/sharedStrings.xml><?xml version="1.0" encoding="utf-8"?>
<sst xmlns="http://schemas.openxmlformats.org/spreadsheetml/2006/main" count="48130" uniqueCount="205">
  <si>
    <t>customer_id</t>
  </si>
  <si>
    <t>customer_age</t>
  </si>
  <si>
    <t>customer_gender</t>
  </si>
  <si>
    <t>product_id</t>
  </si>
  <si>
    <t xml:space="preserve">product_item </t>
  </si>
  <si>
    <t>product_category</t>
  </si>
  <si>
    <t>purchase_id</t>
  </si>
  <si>
    <t>_purchase_id</t>
  </si>
  <si>
    <t>purchase_amount</t>
  </si>
  <si>
    <t>customer_location</t>
  </si>
  <si>
    <t>product_size</t>
  </si>
  <si>
    <t>product_colour</t>
  </si>
  <si>
    <t>product_season</t>
  </si>
  <si>
    <t>product_rating</t>
  </si>
  <si>
    <t>customer_subscription</t>
  </si>
  <si>
    <t>purchase_shipping type</t>
  </si>
  <si>
    <t>purchase_discount</t>
  </si>
  <si>
    <t>purchase_promocode</t>
  </si>
  <si>
    <t>customer_purchase count</t>
  </si>
  <si>
    <t>purchase_payment type</t>
  </si>
  <si>
    <t>customer_purchase frequency</t>
  </si>
  <si>
    <t>purchase_date</t>
  </si>
  <si>
    <t>Male</t>
  </si>
  <si>
    <t>Blouse</t>
  </si>
  <si>
    <t>Clothing</t>
  </si>
  <si>
    <t>Kentucky</t>
  </si>
  <si>
    <t>L</t>
  </si>
  <si>
    <t>Gray</t>
  </si>
  <si>
    <t>Winter</t>
  </si>
  <si>
    <t>Express</t>
  </si>
  <si>
    <t>Yes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</si>
  <si>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</si>
  <si>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</si>
  <si>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</si>
  <si>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</si>
  <si>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</si>
  <si>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</si>
  <si>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</si>
  <si>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</si>
  <si>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</si>
  <si>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</si>
  <si>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</si>
  <si>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</si>
  <si>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</si>
  <si>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</si>
  <si>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</si>
  <si>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</si>
  <si>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</si>
  <si>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</si>
  <si>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</si>
  <si>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</si>
  <si>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</si>
  <si>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</si>
  <si>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</si>
  <si>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</si>
  <si>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</si>
  <si>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</si>
  <si>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</si>
  <si>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</si>
  <si>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</si>
  <si>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</si>
  <si>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</si>
  <si>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</si>
  <si>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</si>
  <si>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</si>
  <si>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</si>
  <si>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</si>
  <si>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</si>
  <si>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</si>
  <si>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</si>
  <si>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</si>
  <si>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</si>
  <si>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</si>
  <si>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</si>
  <si>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</si>
  <si>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</si>
  <si>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</si>
  <si>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</si>
  <si>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</si>
  <si>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</si>
  <si>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</si>
  <si>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</si>
  <si>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</si>
  <si>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</si>
  <si>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</si>
  <si>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</si>
  <si>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</si>
  <si>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</si>
  <si>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</si>
  <si>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</si>
  <si>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</si>
  <si>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</si>
  <si>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</si>
  <si>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</si>
  <si>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</si>
  <si>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</si>
  <si>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</si>
  <si>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</si>
  <si>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</si>
  <si>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</si>
  <si>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</si>
  <si>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</si>
  <si>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</si>
  <si>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</si>
  <si>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</si>
  <si>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</si>
  <si>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</si>
  <si>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</si>
  <si>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</si>
  <si>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</si>
  <si>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</si>
  <si>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</si>
  <si>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</si>
  <si>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</si>
  <si>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</si>
  <si>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</si>
  <si>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</si>
  <si>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</si>
  <si>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</si>
  <si>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</si>
  <si>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</si>
  <si>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</si>
  <si>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</si>
  <si>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</si>
  <si>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</si>
  <si>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</si>
  <si>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</si>
  <si>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</si>
  <si>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</si>
  <si>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</si>
  <si>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</si>
  <si>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</si>
  <si>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</si>
  <si>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</si>
  <si>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</si>
  <si>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</si>
  <si>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</si>
  <si>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</si>
  <si>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</si>
  <si>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</si>
  <si>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</si>
  <si>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</si>
  <si>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</si>
  <si>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</si>
  <si>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</si>
  <si>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</si>
  <si>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</si>
  <si>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</si>
  <si>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</si>
  <si>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</si>
  <si>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</si>
  <si>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</si>
  <si>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</si>
  <si>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</si>
  <si>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</si>
  <si>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</si>
  <si>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</si>
  <si>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Total_Purchase_Count</t>
  </si>
  <si>
    <t>Total_Spend</t>
  </si>
  <si>
    <t>Average of Purchase amount</t>
  </si>
  <si>
    <t>Subscription_status</t>
  </si>
  <si>
    <t>Metric</t>
  </si>
  <si>
    <t>Median Total Spend</t>
  </si>
  <si>
    <t>Stdev Total Spend</t>
  </si>
  <si>
    <t>Median Total Purchase Count</t>
  </si>
  <si>
    <t>STDEV Total Purchase Count</t>
  </si>
  <si>
    <t>Low Spend</t>
  </si>
  <si>
    <t>High Spend</t>
  </si>
  <si>
    <t>Moderate spend</t>
  </si>
  <si>
    <t>between above two</t>
  </si>
  <si>
    <t>Low Frequency</t>
  </si>
  <si>
    <t>High Frequency</t>
  </si>
  <si>
    <t>$B$3</t>
  </si>
  <si>
    <t>$B$4</t>
  </si>
  <si>
    <t>$B$5</t>
  </si>
  <si>
    <t>$B$6</t>
  </si>
  <si>
    <t>$B$7</t>
  </si>
  <si>
    <t>$B$9</t>
  </si>
  <si>
    <t>$B$10</t>
  </si>
  <si>
    <t>$B$12</t>
  </si>
  <si>
    <t>column Ref</t>
  </si>
  <si>
    <t>Value</t>
  </si>
  <si>
    <t>Column A</t>
  </si>
  <si>
    <t>Column B</t>
  </si>
  <si>
    <t>Column C</t>
  </si>
  <si>
    <t>$B$13</t>
  </si>
  <si>
    <t>Personas</t>
  </si>
  <si>
    <t>Young Budget Shoppers</t>
  </si>
  <si>
    <t>Criteria</t>
  </si>
  <si>
    <t>Age &lt; 30, Spend &lt; Low Spend, Purchase Count &gt; High Frequency</t>
  </si>
  <si>
    <t>Persona</t>
  </si>
  <si>
    <t>Note</t>
  </si>
  <si>
    <t>total quantity between 10 and 18</t>
  </si>
  <si>
    <t>Loyal High Spenders</t>
  </si>
  <si>
    <t>Occasional Deal Seekers</t>
  </si>
  <si>
    <t>Purchase Count &lt; Low Frequency, Spend &lt; Low, Unsubscribed</t>
  </si>
  <si>
    <t>Count</t>
  </si>
  <si>
    <t>Median - 0.5*STDEV</t>
  </si>
  <si>
    <t>Median + 0.5*STDEV</t>
  </si>
  <si>
    <t>Low limit</t>
  </si>
  <si>
    <t>High Limit</t>
  </si>
  <si>
    <t>ARPU</t>
  </si>
  <si>
    <t>Revenue</t>
  </si>
  <si>
    <t>Customers</t>
  </si>
  <si>
    <t>Age between 36–60, Spend &gt; High Spend, Subscribed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</si>
</sst>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73" formatCode="&quot;$&quot;#,##0.00"/>
    </dxf>
    <dxf>
      <numFmt numFmtId="173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3495C-1316-402E-AEDE-BF0EA7C94E7D}" name="Table1" displayName="Table1" ref="A1:Z3901" totalsRowShown="0">
  <autoFilter ref="A1:Z3901" xr:uid="{5423495C-1316-402E-AEDE-BF0EA7C94E7D}"/>
  <tableColumns count="26">
    <tableColumn id="1" xr3:uid="{124DB3C6-BC72-4D8F-9261-3C1A2EAF32F6}" name="customer_id"/>
    <tableColumn id="2" xr3:uid="{33A9B289-491D-4F7A-825D-52588E71A249}" name="customer_age"/>
    <tableColumn id="3" xr3:uid="{0D7517D5-8404-4A52-A3E7-AB013EA92FA6}" name="customer_gender"/>
    <tableColumn id="4" xr3:uid="{047F76B2-6789-4FC0-8E20-C9FC20484309}" name="product_id"/>
    <tableColumn id="5" xr3:uid="{C21798EE-EB3A-41F6-971E-5527CD1CB846}" name="product_item "/>
    <tableColumn id="6" xr3:uid="{25A744FB-EAD0-4C58-AD6A-9AE542EA440D}" name="product_category"/>
    <tableColumn id="7" xr3:uid="{3E46CDE5-6EB8-43F1-A5B6-4DF0C20DD4C6}" name="purchase_id"/>
    <tableColumn id="8" xr3:uid="{98803EBA-E317-4AA6-8A6F-2461544F5677}" name="_purchase_id"/>
    <tableColumn id="9" xr3:uid="{E0A8C696-BEDC-4966-8230-77E13530B41F}" name="purchase_amount"/>
    <tableColumn id="10" xr3:uid="{A6229C9A-27E3-47C2-8202-DDB3620A40C0}" name="customer_location"/>
    <tableColumn id="11" xr3:uid="{32FACAE0-CD86-4915-8042-7CD545CC65CB}" name="product_size"/>
    <tableColumn id="12" xr3:uid="{96051A4C-7D85-4F85-930D-687E97098BE0}" name="product_colour"/>
    <tableColumn id="13" xr3:uid="{127117F6-1B49-43D2-A474-509F72F8AC2B}" name="product_season"/>
    <tableColumn id="14" xr3:uid="{D9A578C8-0547-4F07-95E8-2893D9BACF08}" name="product_rating"/>
    <tableColumn id="15" xr3:uid="{4F6DA914-7736-410C-9AFF-C8A46756EBCD}" name="customer_subscription"/>
    <tableColumn id="16" xr3:uid="{DCA81447-AD68-4110-AA0E-C1BAEA93F95C}" name="purchase_shipping type"/>
    <tableColumn id="17" xr3:uid="{90E6584B-D51F-4466-AC4C-8B1932602C0C}" name="purchase_discount"/>
    <tableColumn id="18" xr3:uid="{E2E11A84-63D2-4882-B20B-0EB9D8F2C840}" name="purchase_promocode"/>
    <tableColumn id="19" xr3:uid="{55AF64D0-EB7F-4529-82A1-F776BAEB4FB8}" name="customer_purchase count"/>
    <tableColumn id="20" xr3:uid="{63B08FA8-4508-41CB-AF3D-B9876B2C0660}" name="purchase_payment type"/>
    <tableColumn id="21" xr3:uid="{1FA520E3-4A56-47F8-91FE-1560E3FCA9FE}" name="customer_purchase frequency"/>
    <tableColumn id="22" xr3:uid="{32FDDE96-F0CF-403E-B3F0-89C48AE3E6F1}" name="purchase_date" dataDxfId="6"/>
    <tableColumn id="23" xr3:uid="{96CCEF00-EC7E-4AAF-8ADF-E2E0264FF11F}" name="Total_Purchase_Count" dataDxfId="5">
      <calculatedColumnFormula>Table1[[#This Row],[customer_purchase count]]+1</calculatedColumnFormula>
    </tableColumn>
    <tableColumn id="24" xr3:uid="{313CEFDF-8624-4C76-AD45-EB403C5863B7}" name="Total_Spend" dataDxfId="4">
      <calculatedColumnFormula>Table1[[#This Row],[customer_purchase count]]*Rules!$B$3</calculatedColumnFormula>
    </tableColumn>
    <tableColumn id="25" xr3:uid="{EFEB570A-5FCE-4075-B5F5-086F82224457}" name="Subscription_status" dataDxfId="3">
      <calculatedColumnFormula>IF(Table1[[#This Row],[customer_subscription]]=1,"Subscribed","Not Subscribed")</calculatedColumnFormula>
    </tableColumn>
    <tableColumn id="27" xr3:uid="{80263C6D-BF61-427E-927F-8E244188C148}" name="Person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0DA4E-5519-4451-9FC1-D14B88275179}" name="Table2" displayName="Table2" ref="M2:P5" totalsRowShown="0">
  <autoFilter ref="M2:P5" xr:uid="{DCE0DA4E-5519-4451-9FC1-D14B88275179}"/>
  <tableColumns count="4">
    <tableColumn id="1" xr3:uid="{80B37EA7-2E77-41EC-9A5E-26B9D8F594D1}" name="Personas"/>
    <tableColumn id="2" xr3:uid="{0057973A-DD03-4660-B545-27C745CFE79D}" name="Customers"/>
    <tableColumn id="3" xr3:uid="{D4D1A453-80F1-4B93-90DF-9027C15C239E}" name="Revenue" dataDxfId="1"/>
    <tableColumn id="4" xr3:uid="{15DAA9C8-E3D5-40E1-9739-4090B4C72710}" name="ARPU" dataDxfId="0">
      <calculatedColumnFormula>O3/N3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33BD-7086-409B-A65E-4E3E4FA992BD}">
  <dimension ref="A1:Z3901"/>
  <sheetViews>
    <sheetView topLeftCell="P1" workbookViewId="0">
      <selection activeCell="X2" sqref="X2:X3901"/>
    </sheetView>
  </sheetViews>
  <sheetFormatPr defaultRowHeight="15" x14ac:dyDescent="0.25"/>
  <cols>
    <col min="1" max="1" width="14.28515625" customWidth="1"/>
    <col min="2" max="2" width="15.7109375" customWidth="1"/>
    <col min="3" max="3" width="18.85546875" customWidth="1"/>
    <col min="4" max="4" width="12.7109375" customWidth="1"/>
    <col min="5" max="5" width="15.5703125" customWidth="1"/>
    <col min="6" max="6" width="18.7109375" customWidth="1"/>
    <col min="7" max="7" width="14" customWidth="1"/>
    <col min="8" max="8" width="14.85546875" customWidth="1"/>
    <col min="9" max="9" width="19.140625" customWidth="1"/>
    <col min="10" max="10" width="19.85546875" customWidth="1"/>
    <col min="11" max="11" width="14.5703125" customWidth="1"/>
    <col min="12" max="12" width="16.7109375" customWidth="1"/>
    <col min="13" max="13" width="17.42578125" customWidth="1"/>
    <col min="14" max="14" width="16.140625" customWidth="1"/>
    <col min="15" max="15" width="23.85546875" customWidth="1"/>
    <col min="16" max="16" width="24.42578125" customWidth="1"/>
    <col min="17" max="17" width="20.140625" customWidth="1"/>
    <col min="18" max="18" width="22.5703125" customWidth="1"/>
    <col min="19" max="19" width="26.42578125" customWidth="1"/>
    <col min="20" max="20" width="24.5703125" customWidth="1"/>
    <col min="21" max="21" width="30.42578125" customWidth="1"/>
    <col min="22" max="22" width="16.28515625" customWidth="1"/>
    <col min="23" max="23" width="23.7109375" bestFit="1" customWidth="1"/>
    <col min="24" max="24" width="14.28515625" bestFit="1" customWidth="1"/>
    <col min="25" max="25" width="21.42578125" bestFit="1" customWidth="1"/>
    <col min="26" max="26" width="22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157</v>
      </c>
      <c r="X1" t="s">
        <v>158</v>
      </c>
      <c r="Y1" t="s">
        <v>160</v>
      </c>
      <c r="Z1" t="s">
        <v>190</v>
      </c>
    </row>
    <row r="2" spans="1:26" x14ac:dyDescent="0.25">
      <c r="A2">
        <v>1</v>
      </c>
      <c r="B2">
        <v>55</v>
      </c>
      <c r="C2" t="s">
        <v>22</v>
      </c>
      <c r="D2">
        <v>1</v>
      </c>
      <c r="E2" t="s">
        <v>23</v>
      </c>
      <c r="F2" t="s">
        <v>24</v>
      </c>
      <c r="G2">
        <v>1</v>
      </c>
      <c r="H2">
        <v>200</v>
      </c>
      <c r="I2">
        <v>53</v>
      </c>
      <c r="J2" t="s">
        <v>25</v>
      </c>
      <c r="K2" t="s">
        <v>26</v>
      </c>
      <c r="L2" t="s">
        <v>27</v>
      </c>
      <c r="M2" t="s">
        <v>28</v>
      </c>
      <c r="N2">
        <v>3.1</v>
      </c>
      <c r="O2">
        <v>1</v>
      </c>
      <c r="P2" t="s">
        <v>29</v>
      </c>
      <c r="Q2" t="s">
        <v>30</v>
      </c>
      <c r="R2" t="s">
        <v>30</v>
      </c>
      <c r="S2">
        <v>14</v>
      </c>
      <c r="T2" t="s">
        <v>31</v>
      </c>
      <c r="U2" t="s">
        <v>32</v>
      </c>
      <c r="V2" s="1">
        <v>45338</v>
      </c>
      <c r="W2">
        <f>Table1[[#This Row],[customer_purchase count]]+1</f>
        <v>15</v>
      </c>
      <c r="X2">
        <f>Table1[[#This Row],[customer_purchase count]]*Rules!$B$3</f>
        <v>836.70102564102569</v>
      </c>
      <c r="Y2" t="str">
        <f>IF(Table1[[#This Row],[customer_subscription]]=1,"Subscribed","Not Subscribed")</f>
        <v>Subscribed</v>
      </c>
    </row>
    <row r="3" spans="1:26" x14ac:dyDescent="0.25">
      <c r="A3">
        <v>2</v>
      </c>
      <c r="B3">
        <v>19</v>
      </c>
      <c r="C3" t="s">
        <v>22</v>
      </c>
      <c r="D3">
        <v>2</v>
      </c>
      <c r="E3" t="s">
        <v>33</v>
      </c>
      <c r="F3" t="s">
        <v>24</v>
      </c>
      <c r="G3">
        <v>2</v>
      </c>
      <c r="H3">
        <v>201</v>
      </c>
      <c r="I3">
        <v>64</v>
      </c>
      <c r="J3" t="s">
        <v>34</v>
      </c>
      <c r="K3" t="s">
        <v>26</v>
      </c>
      <c r="L3" t="s">
        <v>35</v>
      </c>
      <c r="M3" t="s">
        <v>28</v>
      </c>
      <c r="N3">
        <v>3.1</v>
      </c>
      <c r="O3">
        <v>1</v>
      </c>
      <c r="P3" t="s">
        <v>29</v>
      </c>
      <c r="Q3" t="s">
        <v>30</v>
      </c>
      <c r="R3" t="s">
        <v>30</v>
      </c>
      <c r="S3">
        <v>2</v>
      </c>
      <c r="T3" t="s">
        <v>36</v>
      </c>
      <c r="U3" t="s">
        <v>32</v>
      </c>
      <c r="V3" s="1">
        <v>45333</v>
      </c>
      <c r="W3">
        <f>Table1[[#This Row],[customer_purchase count]]+1</f>
        <v>3</v>
      </c>
      <c r="X3">
        <f>Table1[[#This Row],[customer_purchase count]]*Rules!$B$3</f>
        <v>119.52871794871795</v>
      </c>
      <c r="Y3" t="str">
        <f>IF(Table1[[#This Row],[customer_subscription]]=1,"Subscribed","Not Subscribed")</f>
        <v>Subscribed</v>
      </c>
    </row>
    <row r="4" spans="1:26" x14ac:dyDescent="0.25">
      <c r="A4">
        <v>3</v>
      </c>
      <c r="B4">
        <v>50</v>
      </c>
      <c r="C4" t="s">
        <v>22</v>
      </c>
      <c r="D4">
        <v>3</v>
      </c>
      <c r="E4" t="s">
        <v>37</v>
      </c>
      <c r="F4" t="s">
        <v>24</v>
      </c>
      <c r="G4">
        <v>3</v>
      </c>
      <c r="H4">
        <v>202</v>
      </c>
      <c r="I4">
        <v>73</v>
      </c>
      <c r="J4" t="s">
        <v>38</v>
      </c>
      <c r="K4" t="s">
        <v>39</v>
      </c>
      <c r="L4" t="s">
        <v>35</v>
      </c>
      <c r="M4" t="s">
        <v>40</v>
      </c>
      <c r="N4">
        <v>3.1</v>
      </c>
      <c r="O4">
        <v>1</v>
      </c>
      <c r="P4" t="s">
        <v>41</v>
      </c>
      <c r="Q4" t="s">
        <v>30</v>
      </c>
      <c r="R4" t="s">
        <v>30</v>
      </c>
      <c r="S4">
        <v>23</v>
      </c>
      <c r="T4" t="s">
        <v>42</v>
      </c>
      <c r="U4" t="s">
        <v>43</v>
      </c>
      <c r="V4" s="1">
        <v>45368</v>
      </c>
      <c r="W4">
        <f>Table1[[#This Row],[customer_purchase count]]+1</f>
        <v>24</v>
      </c>
      <c r="X4">
        <f>Table1[[#This Row],[customer_purchase count]]*Rules!$B$3</f>
        <v>1374.5802564102564</v>
      </c>
      <c r="Y4" t="str">
        <f>IF(Table1[[#This Row],[customer_subscription]]=1,"Subscribed","Not Subscribed")</f>
        <v>Subscribed</v>
      </c>
    </row>
    <row r="5" spans="1:26" x14ac:dyDescent="0.25">
      <c r="A5">
        <v>4</v>
      </c>
      <c r="B5">
        <v>21</v>
      </c>
      <c r="C5" t="s">
        <v>22</v>
      </c>
      <c r="D5">
        <v>4</v>
      </c>
      <c r="E5" t="s">
        <v>44</v>
      </c>
      <c r="F5" t="s">
        <v>45</v>
      </c>
      <c r="G5">
        <v>4</v>
      </c>
      <c r="H5">
        <v>203</v>
      </c>
      <c r="I5">
        <v>90</v>
      </c>
      <c r="J5" t="s">
        <v>46</v>
      </c>
      <c r="K5" t="s">
        <v>47</v>
      </c>
      <c r="L5" t="s">
        <v>35</v>
      </c>
      <c r="M5" t="s">
        <v>40</v>
      </c>
      <c r="N5">
        <v>3.5</v>
      </c>
      <c r="O5">
        <v>1</v>
      </c>
      <c r="P5" t="s">
        <v>48</v>
      </c>
      <c r="Q5" t="s">
        <v>30</v>
      </c>
      <c r="R5" t="s">
        <v>30</v>
      </c>
      <c r="S5">
        <v>49</v>
      </c>
      <c r="T5" t="s">
        <v>49</v>
      </c>
      <c r="U5" t="s">
        <v>43</v>
      </c>
      <c r="V5" s="1">
        <v>45432</v>
      </c>
      <c r="W5">
        <f>Table1[[#This Row],[customer_purchase count]]+1</f>
        <v>50</v>
      </c>
      <c r="X5">
        <f>Table1[[#This Row],[customer_purchase count]]*Rules!$B$3</f>
        <v>2928.4535897435899</v>
      </c>
      <c r="Y5" t="str">
        <f>IF(Table1[[#This Row],[customer_subscription]]=1,"Subscribed","Not Subscribed")</f>
        <v>Subscribed</v>
      </c>
    </row>
    <row r="6" spans="1:26" x14ac:dyDescent="0.25">
      <c r="A6">
        <v>5</v>
      </c>
      <c r="B6">
        <v>45</v>
      </c>
      <c r="C6" t="s">
        <v>22</v>
      </c>
      <c r="D6">
        <v>5</v>
      </c>
      <c r="E6" t="s">
        <v>23</v>
      </c>
      <c r="F6" t="s">
        <v>24</v>
      </c>
      <c r="G6">
        <v>5</v>
      </c>
      <c r="H6">
        <v>205</v>
      </c>
      <c r="I6">
        <v>49</v>
      </c>
      <c r="J6" t="s">
        <v>50</v>
      </c>
      <c r="K6" t="s">
        <v>47</v>
      </c>
      <c r="L6" t="s">
        <v>51</v>
      </c>
      <c r="M6" t="s">
        <v>40</v>
      </c>
      <c r="N6">
        <v>2.7</v>
      </c>
      <c r="O6">
        <v>1</v>
      </c>
      <c r="P6" t="s">
        <v>41</v>
      </c>
      <c r="Q6" t="s">
        <v>30</v>
      </c>
      <c r="R6" t="s">
        <v>30</v>
      </c>
      <c r="S6">
        <v>31</v>
      </c>
      <c r="T6" t="s">
        <v>49</v>
      </c>
      <c r="U6" t="s">
        <v>52</v>
      </c>
      <c r="V6" s="1">
        <v>45388</v>
      </c>
      <c r="W6">
        <f>Table1[[#This Row],[customer_purchase count]]+1</f>
        <v>32</v>
      </c>
      <c r="X6">
        <f>Table1[[#This Row],[customer_purchase count]]*Rules!$B$3</f>
        <v>1852.6951282051282</v>
      </c>
      <c r="Y6" t="str">
        <f>IF(Table1[[#This Row],[customer_subscription]]=1,"Subscribed","Not Subscribed")</f>
        <v>Subscribed</v>
      </c>
    </row>
    <row r="7" spans="1:26" x14ac:dyDescent="0.25">
      <c r="A7">
        <v>6</v>
      </c>
      <c r="B7">
        <v>46</v>
      </c>
      <c r="C7" t="s">
        <v>22</v>
      </c>
      <c r="D7">
        <v>6</v>
      </c>
      <c r="E7" t="s">
        <v>53</v>
      </c>
      <c r="F7" t="s">
        <v>45</v>
      </c>
      <c r="G7">
        <v>6</v>
      </c>
      <c r="H7">
        <v>206</v>
      </c>
      <c r="I7">
        <v>20</v>
      </c>
      <c r="J7" t="s">
        <v>54</v>
      </c>
      <c r="K7" t="s">
        <v>47</v>
      </c>
      <c r="L7" t="s">
        <v>55</v>
      </c>
      <c r="M7" t="s">
        <v>56</v>
      </c>
      <c r="N7">
        <v>2.9</v>
      </c>
      <c r="O7">
        <v>1</v>
      </c>
      <c r="P7" t="s">
        <v>57</v>
      </c>
      <c r="Q7" t="s">
        <v>30</v>
      </c>
      <c r="R7" t="s">
        <v>30</v>
      </c>
      <c r="S7">
        <v>14</v>
      </c>
      <c r="T7" t="s">
        <v>31</v>
      </c>
      <c r="U7" t="s">
        <v>43</v>
      </c>
      <c r="V7" s="1">
        <v>45459</v>
      </c>
      <c r="W7">
        <f>Table1[[#This Row],[customer_purchase count]]+1</f>
        <v>15</v>
      </c>
      <c r="X7">
        <f>Table1[[#This Row],[customer_purchase count]]*Rules!$B$3</f>
        <v>836.70102564102569</v>
      </c>
      <c r="Y7" t="str">
        <f>IF(Table1[[#This Row],[customer_subscription]]=1,"Subscribed","Not Subscribed")</f>
        <v>Subscribed</v>
      </c>
    </row>
    <row r="8" spans="1:26" x14ac:dyDescent="0.25">
      <c r="A8">
        <v>7</v>
      </c>
      <c r="B8">
        <v>63</v>
      </c>
      <c r="C8" t="s">
        <v>22</v>
      </c>
      <c r="D8">
        <v>7</v>
      </c>
      <c r="E8" t="s">
        <v>58</v>
      </c>
      <c r="F8" t="s">
        <v>24</v>
      </c>
      <c r="G8">
        <v>7</v>
      </c>
      <c r="H8">
        <v>207</v>
      </c>
      <c r="I8">
        <v>85</v>
      </c>
      <c r="J8" t="s">
        <v>59</v>
      </c>
      <c r="K8" t="s">
        <v>47</v>
      </c>
      <c r="L8" t="s">
        <v>27</v>
      </c>
      <c r="M8" t="s">
        <v>60</v>
      </c>
      <c r="N8">
        <v>3.2</v>
      </c>
      <c r="O8">
        <v>1</v>
      </c>
      <c r="P8" t="s">
        <v>41</v>
      </c>
      <c r="Q8" t="s">
        <v>30</v>
      </c>
      <c r="R8" t="s">
        <v>30</v>
      </c>
      <c r="S8">
        <v>49</v>
      </c>
      <c r="T8" t="s">
        <v>36</v>
      </c>
      <c r="U8" t="s">
        <v>61</v>
      </c>
      <c r="V8" s="1">
        <v>45591</v>
      </c>
      <c r="W8">
        <f>Table1[[#This Row],[customer_purchase count]]+1</f>
        <v>50</v>
      </c>
      <c r="X8">
        <f>Table1[[#This Row],[customer_purchase count]]*Rules!$B$3</f>
        <v>2928.4535897435899</v>
      </c>
      <c r="Y8" t="str">
        <f>IF(Table1[[#This Row],[customer_subscription]]=1,"Subscribed","Not Subscribed")</f>
        <v>Subscribed</v>
      </c>
    </row>
    <row r="9" spans="1:26" x14ac:dyDescent="0.25">
      <c r="A9">
        <v>8</v>
      </c>
      <c r="B9">
        <v>27</v>
      </c>
      <c r="C9" t="s">
        <v>22</v>
      </c>
      <c r="D9">
        <v>8</v>
      </c>
      <c r="E9" t="s">
        <v>62</v>
      </c>
      <c r="F9" t="s">
        <v>24</v>
      </c>
      <c r="G9">
        <v>8</v>
      </c>
      <c r="H9">
        <v>208</v>
      </c>
      <c r="I9">
        <v>34</v>
      </c>
      <c r="J9" t="s">
        <v>63</v>
      </c>
      <c r="K9" t="s">
        <v>26</v>
      </c>
      <c r="L9" t="s">
        <v>64</v>
      </c>
      <c r="M9" t="s">
        <v>28</v>
      </c>
      <c r="N9">
        <v>3.2</v>
      </c>
      <c r="O9">
        <v>1</v>
      </c>
      <c r="P9" t="s">
        <v>41</v>
      </c>
      <c r="Q9" t="s">
        <v>30</v>
      </c>
      <c r="R9" t="s">
        <v>30</v>
      </c>
      <c r="S9">
        <v>19</v>
      </c>
      <c r="T9" t="s">
        <v>42</v>
      </c>
      <c r="U9" t="s">
        <v>43</v>
      </c>
      <c r="V9" s="1">
        <v>45339</v>
      </c>
      <c r="W9">
        <f>Table1[[#This Row],[customer_purchase count]]+1</f>
        <v>20</v>
      </c>
      <c r="X9">
        <f>Table1[[#This Row],[customer_purchase count]]*Rules!$B$3</f>
        <v>1135.5228205128205</v>
      </c>
      <c r="Y9" t="str">
        <f>IF(Table1[[#This Row],[customer_subscription]]=1,"Subscribed","Not Subscribed")</f>
        <v>Subscribed</v>
      </c>
    </row>
    <row r="10" spans="1:26" x14ac:dyDescent="0.25">
      <c r="A10">
        <v>9</v>
      </c>
      <c r="B10">
        <v>26</v>
      </c>
      <c r="C10" t="s">
        <v>22</v>
      </c>
      <c r="D10">
        <v>9</v>
      </c>
      <c r="E10" t="s">
        <v>65</v>
      </c>
      <c r="F10" t="s">
        <v>66</v>
      </c>
      <c r="G10">
        <v>9</v>
      </c>
      <c r="H10">
        <v>209</v>
      </c>
      <c r="I10">
        <v>97</v>
      </c>
      <c r="J10" t="s">
        <v>67</v>
      </c>
      <c r="K10" t="s">
        <v>26</v>
      </c>
      <c r="L10" t="s">
        <v>68</v>
      </c>
      <c r="M10" t="s">
        <v>56</v>
      </c>
      <c r="N10">
        <v>2.6</v>
      </c>
      <c r="O10">
        <v>1</v>
      </c>
      <c r="P10" t="s">
        <v>29</v>
      </c>
      <c r="Q10" t="s">
        <v>30</v>
      </c>
      <c r="R10" t="s">
        <v>30</v>
      </c>
      <c r="S10">
        <v>8</v>
      </c>
      <c r="T10" t="s">
        <v>31</v>
      </c>
      <c r="U10" t="s">
        <v>52</v>
      </c>
      <c r="V10" s="1">
        <v>45531</v>
      </c>
      <c r="W10">
        <f>Table1[[#This Row],[customer_purchase count]]+1</f>
        <v>9</v>
      </c>
      <c r="X10">
        <f>Table1[[#This Row],[customer_purchase count]]*Rules!$B$3</f>
        <v>478.11487179487182</v>
      </c>
      <c r="Y10" t="str">
        <f>IF(Table1[[#This Row],[customer_subscription]]=1,"Subscribed","Not Subscribed")</f>
        <v>Subscribed</v>
      </c>
    </row>
    <row r="11" spans="1:26" x14ac:dyDescent="0.25">
      <c r="A11">
        <v>10</v>
      </c>
      <c r="B11">
        <v>57</v>
      </c>
      <c r="C11" t="s">
        <v>22</v>
      </c>
      <c r="D11">
        <v>10</v>
      </c>
      <c r="E11" t="s">
        <v>69</v>
      </c>
      <c r="F11" t="s">
        <v>70</v>
      </c>
      <c r="G11">
        <v>10</v>
      </c>
      <c r="H11">
        <v>211</v>
      </c>
      <c r="I11">
        <v>31</v>
      </c>
      <c r="J11" t="s">
        <v>71</v>
      </c>
      <c r="K11" t="s">
        <v>47</v>
      </c>
      <c r="L11" t="s">
        <v>72</v>
      </c>
      <c r="M11" t="s">
        <v>40</v>
      </c>
      <c r="N11">
        <v>4.8</v>
      </c>
      <c r="O11">
        <v>1</v>
      </c>
      <c r="P11" t="s">
        <v>73</v>
      </c>
      <c r="Q11" t="s">
        <v>30</v>
      </c>
      <c r="R11" t="s">
        <v>30</v>
      </c>
      <c r="S11">
        <v>4</v>
      </c>
      <c r="T11" t="s">
        <v>36</v>
      </c>
      <c r="U11" t="s">
        <v>61</v>
      </c>
      <c r="V11" s="1">
        <v>45440</v>
      </c>
      <c r="W11">
        <f>Table1[[#This Row],[customer_purchase count]]+1</f>
        <v>5</v>
      </c>
      <c r="X11">
        <f>Table1[[#This Row],[customer_purchase count]]*Rules!$B$3</f>
        <v>239.05743589743591</v>
      </c>
      <c r="Y11" t="str">
        <f>IF(Table1[[#This Row],[customer_subscription]]=1,"Subscribed","Not Subscribed")</f>
        <v>Subscribed</v>
      </c>
    </row>
    <row r="12" spans="1:26" x14ac:dyDescent="0.25">
      <c r="A12">
        <v>11</v>
      </c>
      <c r="B12">
        <v>53</v>
      </c>
      <c r="C12" t="s">
        <v>22</v>
      </c>
      <c r="D12">
        <v>11</v>
      </c>
      <c r="E12" t="s">
        <v>74</v>
      </c>
      <c r="F12" t="s">
        <v>45</v>
      </c>
      <c r="G12">
        <v>11</v>
      </c>
      <c r="H12">
        <v>212</v>
      </c>
      <c r="I12">
        <v>34</v>
      </c>
      <c r="J12" t="s">
        <v>75</v>
      </c>
      <c r="K12" t="s">
        <v>26</v>
      </c>
      <c r="L12" t="s">
        <v>76</v>
      </c>
      <c r="M12" t="s">
        <v>60</v>
      </c>
      <c r="N12">
        <v>4.0999999999999996</v>
      </c>
      <c r="O12">
        <v>1</v>
      </c>
      <c r="P12" t="s">
        <v>77</v>
      </c>
      <c r="Q12" t="s">
        <v>30</v>
      </c>
      <c r="R12" t="s">
        <v>30</v>
      </c>
      <c r="S12">
        <v>26</v>
      </c>
      <c r="T12" t="s">
        <v>78</v>
      </c>
      <c r="U12" t="s">
        <v>79</v>
      </c>
      <c r="V12" s="1">
        <v>45570</v>
      </c>
      <c r="W12">
        <f>Table1[[#This Row],[customer_purchase count]]+1</f>
        <v>27</v>
      </c>
      <c r="X12">
        <f>Table1[[#This Row],[customer_purchase count]]*Rules!$B$3</f>
        <v>1553.8733333333334</v>
      </c>
      <c r="Y12" t="str">
        <f>IF(Table1[[#This Row],[customer_subscription]]=1,"Subscribed","Not Subscribed")</f>
        <v>Subscribed</v>
      </c>
    </row>
    <row r="13" spans="1:26" x14ac:dyDescent="0.25">
      <c r="A13">
        <v>12</v>
      </c>
      <c r="B13">
        <v>30</v>
      </c>
      <c r="C13" t="s">
        <v>22</v>
      </c>
      <c r="D13">
        <v>12</v>
      </c>
      <c r="E13" t="s">
        <v>62</v>
      </c>
      <c r="F13" t="s">
        <v>24</v>
      </c>
      <c r="G13">
        <v>12</v>
      </c>
      <c r="H13">
        <v>213</v>
      </c>
      <c r="I13">
        <v>68</v>
      </c>
      <c r="J13" t="s">
        <v>80</v>
      </c>
      <c r="K13" t="s">
        <v>39</v>
      </c>
      <c r="L13" t="s">
        <v>81</v>
      </c>
      <c r="M13" t="s">
        <v>28</v>
      </c>
      <c r="N13">
        <v>4.9000000000000004</v>
      </c>
      <c r="O13">
        <v>1</v>
      </c>
      <c r="P13" t="s">
        <v>77</v>
      </c>
      <c r="Q13" t="s">
        <v>30</v>
      </c>
      <c r="R13" t="s">
        <v>30</v>
      </c>
      <c r="S13">
        <v>10</v>
      </c>
      <c r="T13" t="s">
        <v>78</v>
      </c>
      <c r="U13" t="s">
        <v>32</v>
      </c>
      <c r="V13" s="1">
        <v>45311</v>
      </c>
      <c r="W13">
        <f>Table1[[#This Row],[customer_purchase count]]+1</f>
        <v>11</v>
      </c>
      <c r="X13">
        <f>Table1[[#This Row],[customer_purchase count]]*Rules!$B$3</f>
        <v>597.64358974358981</v>
      </c>
      <c r="Y13" t="str">
        <f>IF(Table1[[#This Row],[customer_subscription]]=1,"Subscribed","Not Subscribed")</f>
        <v>Subscribed</v>
      </c>
    </row>
    <row r="14" spans="1:26" x14ac:dyDescent="0.25">
      <c r="A14">
        <v>13</v>
      </c>
      <c r="B14">
        <v>61</v>
      </c>
      <c r="C14" t="s">
        <v>22</v>
      </c>
      <c r="D14">
        <v>13</v>
      </c>
      <c r="E14" t="s">
        <v>65</v>
      </c>
      <c r="F14" t="s">
        <v>66</v>
      </c>
      <c r="G14">
        <v>13</v>
      </c>
      <c r="H14">
        <v>214</v>
      </c>
      <c r="I14">
        <v>72</v>
      </c>
      <c r="J14" t="s">
        <v>82</v>
      </c>
      <c r="K14" t="s">
        <v>47</v>
      </c>
      <c r="L14" t="s">
        <v>83</v>
      </c>
      <c r="M14" t="s">
        <v>28</v>
      </c>
      <c r="N14">
        <v>4.5</v>
      </c>
      <c r="O14">
        <v>1</v>
      </c>
      <c r="P14" t="s">
        <v>29</v>
      </c>
      <c r="Q14" t="s">
        <v>30</v>
      </c>
      <c r="R14" t="s">
        <v>30</v>
      </c>
      <c r="S14">
        <v>37</v>
      </c>
      <c r="T14" t="s">
        <v>31</v>
      </c>
      <c r="U14" t="s">
        <v>32</v>
      </c>
      <c r="V14" s="1">
        <v>45339</v>
      </c>
      <c r="W14">
        <f>Table1[[#This Row],[customer_purchase count]]+1</f>
        <v>38</v>
      </c>
      <c r="X14">
        <f>Table1[[#This Row],[customer_purchase count]]*Rules!$B$3</f>
        <v>2211.2812820512822</v>
      </c>
      <c r="Y14" t="str">
        <f>IF(Table1[[#This Row],[customer_subscription]]=1,"Subscribed","Not Subscribed")</f>
        <v>Subscribed</v>
      </c>
    </row>
    <row r="15" spans="1:26" x14ac:dyDescent="0.25">
      <c r="A15">
        <v>14</v>
      </c>
      <c r="B15">
        <v>65</v>
      </c>
      <c r="C15" t="s">
        <v>22</v>
      </c>
      <c r="D15">
        <v>14</v>
      </c>
      <c r="E15" t="s">
        <v>84</v>
      </c>
      <c r="F15" t="s">
        <v>24</v>
      </c>
      <c r="G15">
        <v>14</v>
      </c>
      <c r="H15">
        <v>215</v>
      </c>
      <c r="I15">
        <v>51</v>
      </c>
      <c r="J15" t="s">
        <v>85</v>
      </c>
      <c r="K15" t="s">
        <v>47</v>
      </c>
      <c r="L15" t="s">
        <v>86</v>
      </c>
      <c r="M15" t="s">
        <v>40</v>
      </c>
      <c r="N15">
        <v>4.7</v>
      </c>
      <c r="O15">
        <v>1</v>
      </c>
      <c r="P15" t="s">
        <v>29</v>
      </c>
      <c r="Q15" t="s">
        <v>30</v>
      </c>
      <c r="R15" t="s">
        <v>30</v>
      </c>
      <c r="S15">
        <v>31</v>
      </c>
      <c r="T15" t="s">
        <v>49</v>
      </c>
      <c r="U15" t="s">
        <v>43</v>
      </c>
      <c r="V15" s="1">
        <v>45357</v>
      </c>
      <c r="W15">
        <f>Table1[[#This Row],[customer_purchase count]]+1</f>
        <v>32</v>
      </c>
      <c r="X15">
        <f>Table1[[#This Row],[customer_purchase count]]*Rules!$B$3</f>
        <v>1852.6951282051282</v>
      </c>
      <c r="Y15" t="str">
        <f>IF(Table1[[#This Row],[customer_subscription]]=1,"Subscribed","Not Subscribed")</f>
        <v>Subscribed</v>
      </c>
    </row>
    <row r="16" spans="1:26" x14ac:dyDescent="0.25">
      <c r="A16">
        <v>15</v>
      </c>
      <c r="B16">
        <v>64</v>
      </c>
      <c r="C16" t="s">
        <v>22</v>
      </c>
      <c r="D16">
        <v>15</v>
      </c>
      <c r="E16" t="s">
        <v>65</v>
      </c>
      <c r="F16" t="s">
        <v>66</v>
      </c>
      <c r="G16">
        <v>15</v>
      </c>
      <c r="H16">
        <v>217</v>
      </c>
      <c r="I16">
        <v>53</v>
      </c>
      <c r="J16" t="s">
        <v>87</v>
      </c>
      <c r="K16" t="s">
        <v>26</v>
      </c>
      <c r="L16" t="s">
        <v>88</v>
      </c>
      <c r="M16" t="s">
        <v>28</v>
      </c>
      <c r="N16">
        <v>4.7</v>
      </c>
      <c r="O16">
        <v>1</v>
      </c>
      <c r="P16" t="s">
        <v>41</v>
      </c>
      <c r="Q16" t="s">
        <v>30</v>
      </c>
      <c r="R16" t="s">
        <v>30</v>
      </c>
      <c r="S16">
        <v>34</v>
      </c>
      <c r="T16" t="s">
        <v>89</v>
      </c>
      <c r="U16" t="s">
        <v>43</v>
      </c>
      <c r="V16" s="1">
        <v>45315</v>
      </c>
      <c r="W16">
        <f>Table1[[#This Row],[customer_purchase count]]+1</f>
        <v>35</v>
      </c>
      <c r="X16">
        <f>Table1[[#This Row],[customer_purchase count]]*Rules!$B$3</f>
        <v>2031.9882051282052</v>
      </c>
      <c r="Y16" t="str">
        <f>IF(Table1[[#This Row],[customer_subscription]]=1,"Subscribed","Not Subscribed")</f>
        <v>Subscribed</v>
      </c>
    </row>
    <row r="17" spans="1:26" x14ac:dyDescent="0.25">
      <c r="A17">
        <v>16</v>
      </c>
      <c r="B17">
        <v>64</v>
      </c>
      <c r="C17" t="s">
        <v>22</v>
      </c>
      <c r="D17">
        <v>16</v>
      </c>
      <c r="E17" t="s">
        <v>90</v>
      </c>
      <c r="F17" t="s">
        <v>24</v>
      </c>
      <c r="G17">
        <v>16</v>
      </c>
      <c r="H17">
        <v>218</v>
      </c>
      <c r="I17">
        <v>81</v>
      </c>
      <c r="J17" t="s">
        <v>46</v>
      </c>
      <c r="K17" t="s">
        <v>47</v>
      </c>
      <c r="L17" t="s">
        <v>88</v>
      </c>
      <c r="M17" t="s">
        <v>28</v>
      </c>
      <c r="N17">
        <v>2.8</v>
      </c>
      <c r="O17">
        <v>1</v>
      </c>
      <c r="P17" t="s">
        <v>77</v>
      </c>
      <c r="Q17" t="s">
        <v>30</v>
      </c>
      <c r="R17" t="s">
        <v>30</v>
      </c>
      <c r="S17">
        <v>8</v>
      </c>
      <c r="T17" t="s">
        <v>49</v>
      </c>
      <c r="U17" t="s">
        <v>91</v>
      </c>
      <c r="V17" s="1">
        <v>45344</v>
      </c>
      <c r="W17">
        <f>Table1[[#This Row],[customer_purchase count]]+1</f>
        <v>9</v>
      </c>
      <c r="X17">
        <f>Table1[[#This Row],[customer_purchase count]]*Rules!$B$3</f>
        <v>478.11487179487182</v>
      </c>
      <c r="Y17" t="str">
        <f>IF(Table1[[#This Row],[customer_subscription]]=1,"Subscribed","Not Subscribed")</f>
        <v>Subscribed</v>
      </c>
    </row>
    <row r="18" spans="1:26" x14ac:dyDescent="0.25">
      <c r="A18">
        <v>17</v>
      </c>
      <c r="B18">
        <v>25</v>
      </c>
      <c r="C18" t="s">
        <v>22</v>
      </c>
      <c r="D18">
        <v>17</v>
      </c>
      <c r="E18" t="s">
        <v>92</v>
      </c>
      <c r="F18" t="s">
        <v>70</v>
      </c>
      <c r="G18">
        <v>17</v>
      </c>
      <c r="H18">
        <v>219</v>
      </c>
      <c r="I18">
        <v>36</v>
      </c>
      <c r="J18" t="s">
        <v>93</v>
      </c>
      <c r="K18" t="s">
        <v>39</v>
      </c>
      <c r="L18" t="s">
        <v>27</v>
      </c>
      <c r="M18" t="s">
        <v>40</v>
      </c>
      <c r="N18">
        <v>4.0999999999999996</v>
      </c>
      <c r="O18">
        <v>1</v>
      </c>
      <c r="P18" t="s">
        <v>48</v>
      </c>
      <c r="Q18" t="s">
        <v>30</v>
      </c>
      <c r="R18" t="s">
        <v>30</v>
      </c>
      <c r="S18">
        <v>44</v>
      </c>
      <c r="T18" t="s">
        <v>89</v>
      </c>
      <c r="U18" t="s">
        <v>79</v>
      </c>
      <c r="V18" s="1">
        <v>45430</v>
      </c>
      <c r="W18">
        <f>Table1[[#This Row],[customer_purchase count]]+1</f>
        <v>45</v>
      </c>
      <c r="X18">
        <f>Table1[[#This Row],[customer_purchase count]]*Rules!$B$3</f>
        <v>2629.6317948717951</v>
      </c>
      <c r="Y18" t="str">
        <f>IF(Table1[[#This Row],[customer_subscription]]=1,"Subscribed","Not Subscribed")</f>
        <v>Subscribed</v>
      </c>
    </row>
    <row r="19" spans="1:26" x14ac:dyDescent="0.25">
      <c r="A19">
        <v>18</v>
      </c>
      <c r="B19">
        <v>53</v>
      </c>
      <c r="C19" t="s">
        <v>22</v>
      </c>
      <c r="D19">
        <v>18</v>
      </c>
      <c r="E19" t="s">
        <v>84</v>
      </c>
      <c r="F19" t="s">
        <v>24</v>
      </c>
      <c r="G19">
        <v>18</v>
      </c>
      <c r="H19">
        <v>220</v>
      </c>
      <c r="I19">
        <v>38</v>
      </c>
      <c r="J19" t="s">
        <v>94</v>
      </c>
      <c r="K19" t="s">
        <v>95</v>
      </c>
      <c r="L19" t="s">
        <v>96</v>
      </c>
      <c r="M19" t="s">
        <v>28</v>
      </c>
      <c r="N19">
        <v>4.7</v>
      </c>
      <c r="O19">
        <v>1</v>
      </c>
      <c r="P19" t="s">
        <v>73</v>
      </c>
      <c r="Q19" t="s">
        <v>30</v>
      </c>
      <c r="R19" t="s">
        <v>30</v>
      </c>
      <c r="S19">
        <v>36</v>
      </c>
      <c r="T19" t="s">
        <v>31</v>
      </c>
      <c r="U19" t="s">
        <v>61</v>
      </c>
      <c r="V19" s="1">
        <v>45346</v>
      </c>
      <c r="W19">
        <f>Table1[[#This Row],[customer_purchase count]]+1</f>
        <v>37</v>
      </c>
      <c r="X19">
        <f>Table1[[#This Row],[customer_purchase count]]*Rules!$B$3</f>
        <v>2151.5169230769234</v>
      </c>
      <c r="Y19" t="str">
        <f>IF(Table1[[#This Row],[customer_subscription]]=1,"Subscribed","Not Subscribed")</f>
        <v>Subscribed</v>
      </c>
      <c r="Z19" t="s">
        <v>193</v>
      </c>
    </row>
    <row r="20" spans="1:26" x14ac:dyDescent="0.25">
      <c r="A20">
        <v>19</v>
      </c>
      <c r="B20">
        <v>52</v>
      </c>
      <c r="C20" t="s">
        <v>22</v>
      </c>
      <c r="D20">
        <v>19</v>
      </c>
      <c r="E20" t="s">
        <v>33</v>
      </c>
      <c r="F20" t="s">
        <v>24</v>
      </c>
      <c r="G20">
        <v>19</v>
      </c>
      <c r="H20">
        <v>221</v>
      </c>
      <c r="I20">
        <v>48</v>
      </c>
      <c r="J20" t="s">
        <v>59</v>
      </c>
      <c r="K20" t="s">
        <v>39</v>
      </c>
      <c r="L20" t="s">
        <v>97</v>
      </c>
      <c r="M20" t="s">
        <v>56</v>
      </c>
      <c r="N20">
        <v>4.5999999999999996</v>
      </c>
      <c r="O20">
        <v>1</v>
      </c>
      <c r="P20" t="s">
        <v>41</v>
      </c>
      <c r="Q20" t="s">
        <v>30</v>
      </c>
      <c r="R20" t="s">
        <v>30</v>
      </c>
      <c r="S20">
        <v>17</v>
      </c>
      <c r="T20" t="s">
        <v>36</v>
      </c>
      <c r="U20" t="s">
        <v>43</v>
      </c>
      <c r="V20" s="1">
        <v>45466</v>
      </c>
      <c r="W20">
        <f>Table1[[#This Row],[customer_purchase count]]+1</f>
        <v>18</v>
      </c>
      <c r="X20">
        <f>Table1[[#This Row],[customer_purchase count]]*Rules!$B$3</f>
        <v>1015.9941025641026</v>
      </c>
      <c r="Y20" t="str">
        <f>IF(Table1[[#This Row],[customer_subscription]]=1,"Subscribed","Not Subscribed")</f>
        <v>Subscribed</v>
      </c>
    </row>
    <row r="21" spans="1:26" x14ac:dyDescent="0.25">
      <c r="A21">
        <v>20</v>
      </c>
      <c r="B21">
        <v>66</v>
      </c>
      <c r="C21" t="s">
        <v>22</v>
      </c>
      <c r="D21">
        <v>20</v>
      </c>
      <c r="E21" t="s">
        <v>98</v>
      </c>
      <c r="F21" t="s">
        <v>24</v>
      </c>
      <c r="G21">
        <v>20</v>
      </c>
      <c r="H21">
        <v>223</v>
      </c>
      <c r="I21">
        <v>90</v>
      </c>
      <c r="J21" t="s">
        <v>46</v>
      </c>
      <c r="K21" t="s">
        <v>47</v>
      </c>
      <c r="L21" t="s">
        <v>99</v>
      </c>
      <c r="M21" t="s">
        <v>56</v>
      </c>
      <c r="N21">
        <v>3.3</v>
      </c>
      <c r="O21">
        <v>1</v>
      </c>
      <c r="P21" t="s">
        <v>57</v>
      </c>
      <c r="Q21" t="s">
        <v>30</v>
      </c>
      <c r="R21" t="s">
        <v>30</v>
      </c>
      <c r="S21">
        <v>46</v>
      </c>
      <c r="T21" t="s">
        <v>89</v>
      </c>
      <c r="U21" t="s">
        <v>79</v>
      </c>
      <c r="V21" s="1">
        <v>45452</v>
      </c>
      <c r="W21">
        <f>Table1[[#This Row],[customer_purchase count]]+1</f>
        <v>47</v>
      </c>
      <c r="X21">
        <f>Table1[[#This Row],[customer_purchase count]]*Rules!$B$3</f>
        <v>2749.1605128205128</v>
      </c>
      <c r="Y21" t="str">
        <f>IF(Table1[[#This Row],[customer_subscription]]=1,"Subscribed","Not Subscribed")</f>
        <v>Subscribed</v>
      </c>
    </row>
    <row r="22" spans="1:26" x14ac:dyDescent="0.25">
      <c r="A22">
        <v>21</v>
      </c>
      <c r="B22">
        <v>21</v>
      </c>
      <c r="C22" t="s">
        <v>22</v>
      </c>
      <c r="D22">
        <v>21</v>
      </c>
      <c r="E22" t="s">
        <v>98</v>
      </c>
      <c r="F22" t="s">
        <v>24</v>
      </c>
      <c r="G22">
        <v>21</v>
      </c>
      <c r="H22">
        <v>224</v>
      </c>
      <c r="I22">
        <v>51</v>
      </c>
      <c r="J22" t="s">
        <v>63</v>
      </c>
      <c r="K22" t="s">
        <v>47</v>
      </c>
      <c r="L22" t="s">
        <v>97</v>
      </c>
      <c r="M22" t="s">
        <v>28</v>
      </c>
      <c r="N22">
        <v>2.8</v>
      </c>
      <c r="O22">
        <v>1</v>
      </c>
      <c r="P22" t="s">
        <v>29</v>
      </c>
      <c r="Q22" t="s">
        <v>30</v>
      </c>
      <c r="R22" t="s">
        <v>30</v>
      </c>
      <c r="S22">
        <v>50</v>
      </c>
      <c r="T22" t="s">
        <v>36</v>
      </c>
      <c r="U22" t="s">
        <v>100</v>
      </c>
      <c r="V22" s="1">
        <v>45641</v>
      </c>
      <c r="W22">
        <f>Table1[[#This Row],[customer_purchase count]]+1</f>
        <v>51</v>
      </c>
      <c r="X22">
        <f>Table1[[#This Row],[customer_purchase count]]*Rules!$B$3</f>
        <v>2988.2179487179487</v>
      </c>
      <c r="Y22" t="str">
        <f>IF(Table1[[#This Row],[customer_subscription]]=1,"Subscribed","Not Subscribed")</f>
        <v>Subscribed</v>
      </c>
    </row>
    <row r="23" spans="1:26" x14ac:dyDescent="0.25">
      <c r="A23">
        <v>22</v>
      </c>
      <c r="B23">
        <v>31</v>
      </c>
      <c r="C23" t="s">
        <v>22</v>
      </c>
      <c r="D23">
        <v>22</v>
      </c>
      <c r="E23" t="s">
        <v>98</v>
      </c>
      <c r="F23" t="s">
        <v>24</v>
      </c>
      <c r="G23">
        <v>22</v>
      </c>
      <c r="H23">
        <v>225</v>
      </c>
      <c r="I23">
        <v>62</v>
      </c>
      <c r="J23" t="s">
        <v>101</v>
      </c>
      <c r="K23" t="s">
        <v>47</v>
      </c>
      <c r="L23" t="s">
        <v>64</v>
      </c>
      <c r="M23" t="s">
        <v>28</v>
      </c>
      <c r="N23">
        <v>4.0999999999999996</v>
      </c>
      <c r="O23">
        <v>1</v>
      </c>
      <c r="P23" t="s">
        <v>77</v>
      </c>
      <c r="Q23" t="s">
        <v>30</v>
      </c>
      <c r="R23" t="s">
        <v>30</v>
      </c>
      <c r="S23">
        <v>22</v>
      </c>
      <c r="T23" t="s">
        <v>89</v>
      </c>
      <c r="U23" t="s">
        <v>61</v>
      </c>
      <c r="V23" s="1">
        <v>45308</v>
      </c>
      <c r="W23">
        <f>Table1[[#This Row],[customer_purchase count]]+1</f>
        <v>23</v>
      </c>
      <c r="X23">
        <f>Table1[[#This Row],[customer_purchase count]]*Rules!$B$3</f>
        <v>1314.8158974358976</v>
      </c>
      <c r="Y23" t="str">
        <f>IF(Table1[[#This Row],[customer_subscription]]=1,"Subscribed","Not Subscribed")</f>
        <v>Subscribed</v>
      </c>
    </row>
    <row r="24" spans="1:26" x14ac:dyDescent="0.25">
      <c r="A24">
        <v>23</v>
      </c>
      <c r="B24">
        <v>56</v>
      </c>
      <c r="C24" t="s">
        <v>22</v>
      </c>
      <c r="D24">
        <v>23</v>
      </c>
      <c r="E24" t="s">
        <v>98</v>
      </c>
      <c r="F24" t="s">
        <v>24</v>
      </c>
      <c r="G24">
        <v>23</v>
      </c>
      <c r="H24">
        <v>226</v>
      </c>
      <c r="I24">
        <v>37</v>
      </c>
      <c r="J24" t="s">
        <v>102</v>
      </c>
      <c r="K24" t="s">
        <v>47</v>
      </c>
      <c r="L24" t="s">
        <v>103</v>
      </c>
      <c r="M24" t="s">
        <v>56</v>
      </c>
      <c r="N24">
        <v>3.2</v>
      </c>
      <c r="O24">
        <v>1</v>
      </c>
      <c r="P24" t="s">
        <v>77</v>
      </c>
      <c r="Q24" t="s">
        <v>30</v>
      </c>
      <c r="R24" t="s">
        <v>30</v>
      </c>
      <c r="S24">
        <v>32</v>
      </c>
      <c r="T24" t="s">
        <v>89</v>
      </c>
      <c r="U24" t="s">
        <v>52</v>
      </c>
      <c r="V24" s="1">
        <v>45527</v>
      </c>
      <c r="W24">
        <f>Table1[[#This Row],[customer_purchase count]]+1</f>
        <v>33</v>
      </c>
      <c r="X24">
        <f>Table1[[#This Row],[customer_purchase count]]*Rules!$B$3</f>
        <v>1912.4594871794873</v>
      </c>
      <c r="Y24" t="str">
        <f>IF(Table1[[#This Row],[customer_subscription]]=1,"Subscribed","Not Subscribed")</f>
        <v>Subscribed</v>
      </c>
    </row>
    <row r="25" spans="1:26" x14ac:dyDescent="0.25">
      <c r="A25">
        <v>24</v>
      </c>
      <c r="B25">
        <v>31</v>
      </c>
      <c r="C25" t="s">
        <v>22</v>
      </c>
      <c r="D25">
        <v>24</v>
      </c>
      <c r="E25" t="s">
        <v>98</v>
      </c>
      <c r="F25" t="s">
        <v>24</v>
      </c>
      <c r="G25">
        <v>24</v>
      </c>
      <c r="H25">
        <v>227</v>
      </c>
      <c r="I25">
        <v>88</v>
      </c>
      <c r="J25" t="s">
        <v>104</v>
      </c>
      <c r="K25" t="s">
        <v>95</v>
      </c>
      <c r="L25" t="s">
        <v>55</v>
      </c>
      <c r="M25" t="s">
        <v>28</v>
      </c>
      <c r="N25">
        <v>4.4000000000000004</v>
      </c>
      <c r="O25">
        <v>1</v>
      </c>
      <c r="P25" t="s">
        <v>29</v>
      </c>
      <c r="Q25" t="s">
        <v>30</v>
      </c>
      <c r="R25" t="s">
        <v>30</v>
      </c>
      <c r="S25">
        <v>40</v>
      </c>
      <c r="T25" t="s">
        <v>42</v>
      </c>
      <c r="U25" t="s">
        <v>43</v>
      </c>
      <c r="V25" s="1">
        <v>45627</v>
      </c>
      <c r="W25">
        <f>Table1[[#This Row],[customer_purchase count]]+1</f>
        <v>41</v>
      </c>
      <c r="X25">
        <f>Table1[[#This Row],[customer_purchase count]]*Rules!$B$3</f>
        <v>2390.5743589743593</v>
      </c>
      <c r="Y25" t="str">
        <f>IF(Table1[[#This Row],[customer_subscription]]=1,"Subscribed","Not Subscribed")</f>
        <v>Subscribed</v>
      </c>
      <c r="Z25" t="s">
        <v>193</v>
      </c>
    </row>
    <row r="26" spans="1:26" x14ac:dyDescent="0.25">
      <c r="A26">
        <v>25</v>
      </c>
      <c r="B26">
        <v>18</v>
      </c>
      <c r="C26" t="s">
        <v>22</v>
      </c>
      <c r="D26">
        <v>25</v>
      </c>
      <c r="E26" t="s">
        <v>105</v>
      </c>
      <c r="F26" t="s">
        <v>66</v>
      </c>
      <c r="G26">
        <v>25</v>
      </c>
      <c r="H26">
        <v>229</v>
      </c>
      <c r="I26">
        <v>22</v>
      </c>
      <c r="J26" t="s">
        <v>106</v>
      </c>
      <c r="K26" t="s">
        <v>47</v>
      </c>
      <c r="L26" t="s">
        <v>99</v>
      </c>
      <c r="M26" t="s">
        <v>60</v>
      </c>
      <c r="N26">
        <v>2.9</v>
      </c>
      <c r="O26">
        <v>1</v>
      </c>
      <c r="P26" t="s">
        <v>77</v>
      </c>
      <c r="Q26" t="s">
        <v>30</v>
      </c>
      <c r="R26" t="s">
        <v>30</v>
      </c>
      <c r="S26">
        <v>16</v>
      </c>
      <c r="T26" t="s">
        <v>89</v>
      </c>
      <c r="U26" t="s">
        <v>43</v>
      </c>
      <c r="V26" s="1">
        <v>45579</v>
      </c>
      <c r="W26">
        <f>Table1[[#This Row],[customer_purchase count]]+1</f>
        <v>17</v>
      </c>
      <c r="X26">
        <f>Table1[[#This Row],[customer_purchase count]]*Rules!$B$3</f>
        <v>956.22974358974363</v>
      </c>
      <c r="Y26" t="str">
        <f>IF(Table1[[#This Row],[customer_subscription]]=1,"Subscribed","Not Subscribed")</f>
        <v>Subscribed</v>
      </c>
      <c r="Z26" t="s">
        <v>187</v>
      </c>
    </row>
    <row r="27" spans="1:26" x14ac:dyDescent="0.25">
      <c r="A27">
        <v>26</v>
      </c>
      <c r="B27">
        <v>18</v>
      </c>
      <c r="C27" t="s">
        <v>22</v>
      </c>
      <c r="D27">
        <v>26</v>
      </c>
      <c r="E27" t="s">
        <v>107</v>
      </c>
      <c r="F27" t="s">
        <v>24</v>
      </c>
      <c r="G27">
        <v>26</v>
      </c>
      <c r="H27">
        <v>230</v>
      </c>
      <c r="I27">
        <v>25</v>
      </c>
      <c r="J27" t="s">
        <v>108</v>
      </c>
      <c r="K27" t="s">
        <v>47</v>
      </c>
      <c r="L27" t="s">
        <v>68</v>
      </c>
      <c r="M27" t="s">
        <v>56</v>
      </c>
      <c r="N27">
        <v>3.6</v>
      </c>
      <c r="O27">
        <v>1</v>
      </c>
      <c r="P27" t="s">
        <v>29</v>
      </c>
      <c r="Q27" t="s">
        <v>30</v>
      </c>
      <c r="R27" t="s">
        <v>30</v>
      </c>
      <c r="S27">
        <v>14</v>
      </c>
      <c r="T27" t="s">
        <v>49</v>
      </c>
      <c r="U27" t="s">
        <v>52</v>
      </c>
      <c r="V27" s="1">
        <v>45465</v>
      </c>
      <c r="W27">
        <f>Table1[[#This Row],[customer_purchase count]]+1</f>
        <v>15</v>
      </c>
      <c r="X27">
        <f>Table1[[#This Row],[customer_purchase count]]*Rules!$B$3</f>
        <v>836.70102564102569</v>
      </c>
      <c r="Y27" t="str">
        <f>IF(Table1[[#This Row],[customer_subscription]]=1,"Subscribed","Not Subscribed")</f>
        <v>Subscribed</v>
      </c>
      <c r="Z27" t="s">
        <v>187</v>
      </c>
    </row>
    <row r="28" spans="1:26" x14ac:dyDescent="0.25">
      <c r="A28">
        <v>27</v>
      </c>
      <c r="B28">
        <v>38</v>
      </c>
      <c r="C28" t="s">
        <v>22</v>
      </c>
      <c r="D28">
        <v>27</v>
      </c>
      <c r="E28" t="s">
        <v>109</v>
      </c>
      <c r="F28" t="s">
        <v>70</v>
      </c>
      <c r="G28">
        <v>27</v>
      </c>
      <c r="H28">
        <v>231</v>
      </c>
      <c r="I28">
        <v>20</v>
      </c>
      <c r="J28" t="s">
        <v>110</v>
      </c>
      <c r="K28" t="s">
        <v>47</v>
      </c>
      <c r="L28" t="s">
        <v>111</v>
      </c>
      <c r="M28" t="s">
        <v>40</v>
      </c>
      <c r="N28">
        <v>3.6</v>
      </c>
      <c r="O28">
        <v>1</v>
      </c>
      <c r="P28" t="s">
        <v>48</v>
      </c>
      <c r="Q28" t="s">
        <v>30</v>
      </c>
      <c r="R28" t="s">
        <v>30</v>
      </c>
      <c r="S28">
        <v>13</v>
      </c>
      <c r="T28" t="s">
        <v>42</v>
      </c>
      <c r="U28" t="s">
        <v>52</v>
      </c>
      <c r="V28" s="1">
        <v>45388</v>
      </c>
      <c r="W28">
        <f>Table1[[#This Row],[customer_purchase count]]+1</f>
        <v>14</v>
      </c>
      <c r="X28">
        <f>Table1[[#This Row],[customer_purchase count]]*Rules!$B$3</f>
        <v>776.93666666666672</v>
      </c>
      <c r="Y28" t="str">
        <f>IF(Table1[[#This Row],[customer_subscription]]=1,"Subscribed","Not Subscribed")</f>
        <v>Subscribed</v>
      </c>
    </row>
    <row r="29" spans="1:26" x14ac:dyDescent="0.25">
      <c r="A29">
        <v>28</v>
      </c>
      <c r="B29">
        <v>56</v>
      </c>
      <c r="C29" t="s">
        <v>22</v>
      </c>
      <c r="D29">
        <v>28</v>
      </c>
      <c r="E29" t="s">
        <v>62</v>
      </c>
      <c r="F29" t="s">
        <v>24</v>
      </c>
      <c r="G29">
        <v>28</v>
      </c>
      <c r="H29">
        <v>232</v>
      </c>
      <c r="I29">
        <v>56</v>
      </c>
      <c r="J29" t="s">
        <v>25</v>
      </c>
      <c r="K29" t="s">
        <v>26</v>
      </c>
      <c r="L29" t="s">
        <v>112</v>
      </c>
      <c r="M29" t="s">
        <v>56</v>
      </c>
      <c r="N29">
        <v>5</v>
      </c>
      <c r="O29">
        <v>1</v>
      </c>
      <c r="P29" t="s">
        <v>48</v>
      </c>
      <c r="Q29" t="s">
        <v>30</v>
      </c>
      <c r="R29" t="s">
        <v>30</v>
      </c>
      <c r="S29">
        <v>7</v>
      </c>
      <c r="T29" t="s">
        <v>78</v>
      </c>
      <c r="U29" t="s">
        <v>100</v>
      </c>
      <c r="V29" s="1">
        <v>45521</v>
      </c>
      <c r="W29">
        <f>Table1[[#This Row],[customer_purchase count]]+1</f>
        <v>8</v>
      </c>
      <c r="X29">
        <f>Table1[[#This Row],[customer_purchase count]]*Rules!$B$3</f>
        <v>418.35051282051285</v>
      </c>
      <c r="Y29" t="str">
        <f>IF(Table1[[#This Row],[customer_subscription]]=1,"Subscribed","Not Subscribed")</f>
        <v>Subscribed</v>
      </c>
    </row>
    <row r="30" spans="1:26" x14ac:dyDescent="0.25">
      <c r="A30">
        <v>29</v>
      </c>
      <c r="B30">
        <v>54</v>
      </c>
      <c r="C30" t="s">
        <v>22</v>
      </c>
      <c r="D30">
        <v>29</v>
      </c>
      <c r="E30" t="s">
        <v>69</v>
      </c>
      <c r="F30" t="s">
        <v>70</v>
      </c>
      <c r="G30">
        <v>29</v>
      </c>
      <c r="H30">
        <v>233</v>
      </c>
      <c r="I30">
        <v>94</v>
      </c>
      <c r="J30" t="s">
        <v>101</v>
      </c>
      <c r="K30" t="s">
        <v>47</v>
      </c>
      <c r="L30" t="s">
        <v>27</v>
      </c>
      <c r="M30" t="s">
        <v>60</v>
      </c>
      <c r="N30">
        <v>4.4000000000000004</v>
      </c>
      <c r="O30">
        <v>1</v>
      </c>
      <c r="P30" t="s">
        <v>41</v>
      </c>
      <c r="Q30" t="s">
        <v>30</v>
      </c>
      <c r="R30" t="s">
        <v>30</v>
      </c>
      <c r="S30">
        <v>41</v>
      </c>
      <c r="T30" t="s">
        <v>49</v>
      </c>
      <c r="U30" t="s">
        <v>100</v>
      </c>
      <c r="V30" s="1">
        <v>45609</v>
      </c>
      <c r="W30">
        <f>Table1[[#This Row],[customer_purchase count]]+1</f>
        <v>42</v>
      </c>
      <c r="X30">
        <f>Table1[[#This Row],[customer_purchase count]]*Rules!$B$3</f>
        <v>2450.3387179487181</v>
      </c>
      <c r="Y30" t="str">
        <f>IF(Table1[[#This Row],[customer_subscription]]=1,"Subscribed","Not Subscribed")</f>
        <v>Subscribed</v>
      </c>
      <c r="Z30" t="s">
        <v>193</v>
      </c>
    </row>
    <row r="31" spans="1:26" x14ac:dyDescent="0.25">
      <c r="A31">
        <v>30</v>
      </c>
      <c r="B31">
        <v>31</v>
      </c>
      <c r="C31" t="s">
        <v>22</v>
      </c>
      <c r="D31">
        <v>30</v>
      </c>
      <c r="E31" t="s">
        <v>84</v>
      </c>
      <c r="F31" t="s">
        <v>24</v>
      </c>
      <c r="G31">
        <v>30</v>
      </c>
      <c r="H31">
        <v>235</v>
      </c>
      <c r="I31">
        <v>48</v>
      </c>
      <c r="J31" t="s">
        <v>54</v>
      </c>
      <c r="K31" t="s">
        <v>39</v>
      </c>
      <c r="L31" t="s">
        <v>97</v>
      </c>
      <c r="M31" t="s">
        <v>60</v>
      </c>
      <c r="N31">
        <v>4.0999999999999996</v>
      </c>
      <c r="O31">
        <v>1</v>
      </c>
      <c r="P31" t="s">
        <v>77</v>
      </c>
      <c r="Q31" t="s">
        <v>30</v>
      </c>
      <c r="R31" t="s">
        <v>30</v>
      </c>
      <c r="S31">
        <v>14</v>
      </c>
      <c r="T31" t="s">
        <v>42</v>
      </c>
      <c r="U31" t="s">
        <v>43</v>
      </c>
      <c r="V31" s="1">
        <v>45544</v>
      </c>
      <c r="W31">
        <f>Table1[[#This Row],[customer_purchase count]]+1</f>
        <v>15</v>
      </c>
      <c r="X31">
        <f>Table1[[#This Row],[customer_purchase count]]*Rules!$B$3</f>
        <v>836.70102564102569</v>
      </c>
      <c r="Y31" t="str">
        <f>IF(Table1[[#This Row],[customer_subscription]]=1,"Subscribed","Not Subscribed")</f>
        <v>Subscribed</v>
      </c>
    </row>
    <row r="32" spans="1:26" x14ac:dyDescent="0.25">
      <c r="A32">
        <v>31</v>
      </c>
      <c r="B32">
        <v>57</v>
      </c>
      <c r="C32" t="s">
        <v>22</v>
      </c>
      <c r="D32">
        <v>31</v>
      </c>
      <c r="E32" t="s">
        <v>109</v>
      </c>
      <c r="F32" t="s">
        <v>70</v>
      </c>
      <c r="G32">
        <v>31</v>
      </c>
      <c r="H32">
        <v>236</v>
      </c>
      <c r="I32">
        <v>31</v>
      </c>
      <c r="J32" t="s">
        <v>101</v>
      </c>
      <c r="K32" t="s">
        <v>26</v>
      </c>
      <c r="L32" t="s">
        <v>97</v>
      </c>
      <c r="M32" t="s">
        <v>28</v>
      </c>
      <c r="N32">
        <v>4.7</v>
      </c>
      <c r="O32">
        <v>1</v>
      </c>
      <c r="P32" t="s">
        <v>57</v>
      </c>
      <c r="Q32" t="s">
        <v>30</v>
      </c>
      <c r="R32" t="s">
        <v>30</v>
      </c>
      <c r="S32">
        <v>16</v>
      </c>
      <c r="T32" t="s">
        <v>42</v>
      </c>
      <c r="U32" t="s">
        <v>91</v>
      </c>
      <c r="V32" s="1">
        <v>45299</v>
      </c>
      <c r="W32">
        <f>Table1[[#This Row],[customer_purchase count]]+1</f>
        <v>17</v>
      </c>
      <c r="X32">
        <f>Table1[[#This Row],[customer_purchase count]]*Rules!$B$3</f>
        <v>956.22974358974363</v>
      </c>
      <c r="Y32" t="str">
        <f>IF(Table1[[#This Row],[customer_subscription]]=1,"Subscribed","Not Subscribed")</f>
        <v>Subscribed</v>
      </c>
    </row>
    <row r="33" spans="1:26" x14ac:dyDescent="0.25">
      <c r="A33">
        <v>32</v>
      </c>
      <c r="B33">
        <v>33</v>
      </c>
      <c r="C33" t="s">
        <v>22</v>
      </c>
      <c r="D33">
        <v>32</v>
      </c>
      <c r="E33" t="s">
        <v>84</v>
      </c>
      <c r="F33" t="s">
        <v>24</v>
      </c>
      <c r="G33">
        <v>32</v>
      </c>
      <c r="H33">
        <v>237</v>
      </c>
      <c r="I33">
        <v>79</v>
      </c>
      <c r="J33" t="s">
        <v>67</v>
      </c>
      <c r="K33" t="s">
        <v>26</v>
      </c>
      <c r="L33" t="s">
        <v>113</v>
      </c>
      <c r="M33" t="s">
        <v>28</v>
      </c>
      <c r="N33">
        <v>4.7</v>
      </c>
      <c r="O33">
        <v>1</v>
      </c>
      <c r="P33" t="s">
        <v>77</v>
      </c>
      <c r="Q33" t="s">
        <v>30</v>
      </c>
      <c r="R33" t="s">
        <v>30</v>
      </c>
      <c r="S33">
        <v>45</v>
      </c>
      <c r="T33" t="s">
        <v>31</v>
      </c>
      <c r="U33" t="s">
        <v>91</v>
      </c>
      <c r="V33" s="1">
        <v>45314</v>
      </c>
      <c r="W33">
        <f>Table1[[#This Row],[customer_purchase count]]+1</f>
        <v>46</v>
      </c>
      <c r="X33">
        <f>Table1[[#This Row],[customer_purchase count]]*Rules!$B$3</f>
        <v>2689.396153846154</v>
      </c>
      <c r="Y33" t="str">
        <f>IF(Table1[[#This Row],[customer_subscription]]=1,"Subscribed","Not Subscribed")</f>
        <v>Subscribed</v>
      </c>
      <c r="Z33" t="s">
        <v>193</v>
      </c>
    </row>
    <row r="34" spans="1:26" x14ac:dyDescent="0.25">
      <c r="A34">
        <v>33</v>
      </c>
      <c r="B34">
        <v>36</v>
      </c>
      <c r="C34" t="s">
        <v>22</v>
      </c>
      <c r="D34">
        <v>33</v>
      </c>
      <c r="E34" t="s">
        <v>105</v>
      </c>
      <c r="F34" t="s">
        <v>66</v>
      </c>
      <c r="G34">
        <v>33</v>
      </c>
      <c r="H34">
        <v>238</v>
      </c>
      <c r="I34">
        <v>67</v>
      </c>
      <c r="J34" t="s">
        <v>114</v>
      </c>
      <c r="K34" t="s">
        <v>47</v>
      </c>
      <c r="L34" t="s">
        <v>68</v>
      </c>
      <c r="M34" t="s">
        <v>56</v>
      </c>
      <c r="N34">
        <v>4.9000000000000004</v>
      </c>
      <c r="O34">
        <v>1</v>
      </c>
      <c r="P34" t="s">
        <v>41</v>
      </c>
      <c r="Q34" t="s">
        <v>30</v>
      </c>
      <c r="R34" t="s">
        <v>30</v>
      </c>
      <c r="S34">
        <v>37</v>
      </c>
      <c r="T34" t="s">
        <v>31</v>
      </c>
      <c r="U34" t="s">
        <v>52</v>
      </c>
      <c r="V34" s="1">
        <v>45454</v>
      </c>
      <c r="W34">
        <f>Table1[[#This Row],[customer_purchase count]]+1</f>
        <v>38</v>
      </c>
      <c r="X34">
        <f>Table1[[#This Row],[customer_purchase count]]*Rules!$B$3</f>
        <v>2211.2812820512822</v>
      </c>
      <c r="Y34" t="str">
        <f>IF(Table1[[#This Row],[customer_subscription]]=1,"Subscribed","Not Subscribed")</f>
        <v>Subscribed</v>
      </c>
      <c r="Z34" t="s">
        <v>193</v>
      </c>
    </row>
    <row r="35" spans="1:26" x14ac:dyDescent="0.25">
      <c r="A35">
        <v>34</v>
      </c>
      <c r="B35">
        <v>54</v>
      </c>
      <c r="C35" t="s">
        <v>22</v>
      </c>
      <c r="D35">
        <v>34</v>
      </c>
      <c r="E35" t="s">
        <v>98</v>
      </c>
      <c r="F35" t="s">
        <v>24</v>
      </c>
      <c r="G35">
        <v>34</v>
      </c>
      <c r="H35">
        <v>239</v>
      </c>
      <c r="I35">
        <v>38</v>
      </c>
      <c r="J35" t="s">
        <v>115</v>
      </c>
      <c r="K35" t="s">
        <v>26</v>
      </c>
      <c r="L35" t="s">
        <v>99</v>
      </c>
      <c r="M35" t="s">
        <v>56</v>
      </c>
      <c r="N35">
        <v>3.3</v>
      </c>
      <c r="O35">
        <v>1</v>
      </c>
      <c r="P35" t="s">
        <v>77</v>
      </c>
      <c r="Q35" t="s">
        <v>30</v>
      </c>
      <c r="R35" t="s">
        <v>30</v>
      </c>
      <c r="S35">
        <v>45</v>
      </c>
      <c r="T35" t="s">
        <v>36</v>
      </c>
      <c r="U35" t="s">
        <v>61</v>
      </c>
      <c r="V35" s="1">
        <v>45474</v>
      </c>
      <c r="W35">
        <f>Table1[[#This Row],[customer_purchase count]]+1</f>
        <v>46</v>
      </c>
      <c r="X35">
        <f>Table1[[#This Row],[customer_purchase count]]*Rules!$B$3</f>
        <v>2689.396153846154</v>
      </c>
      <c r="Y35" t="str">
        <f>IF(Table1[[#This Row],[customer_subscription]]=1,"Subscribed","Not Subscribed")</f>
        <v>Subscribed</v>
      </c>
      <c r="Z35" t="s">
        <v>193</v>
      </c>
    </row>
    <row r="36" spans="1:26" x14ac:dyDescent="0.25">
      <c r="A36">
        <v>35</v>
      </c>
      <c r="B36">
        <v>36</v>
      </c>
      <c r="C36" t="s">
        <v>22</v>
      </c>
      <c r="D36">
        <v>35</v>
      </c>
      <c r="E36" t="s">
        <v>116</v>
      </c>
      <c r="F36" t="s">
        <v>24</v>
      </c>
      <c r="G36">
        <v>35</v>
      </c>
      <c r="H36">
        <v>241</v>
      </c>
      <c r="I36">
        <v>91</v>
      </c>
      <c r="J36" t="s">
        <v>117</v>
      </c>
      <c r="K36" t="s">
        <v>26</v>
      </c>
      <c r="L36" t="s">
        <v>86</v>
      </c>
      <c r="M36" t="s">
        <v>40</v>
      </c>
      <c r="N36">
        <v>4.5999999999999996</v>
      </c>
      <c r="O36">
        <v>1</v>
      </c>
      <c r="P36" t="s">
        <v>73</v>
      </c>
      <c r="Q36" t="s">
        <v>30</v>
      </c>
      <c r="R36" t="s">
        <v>30</v>
      </c>
      <c r="S36">
        <v>38</v>
      </c>
      <c r="T36" t="s">
        <v>49</v>
      </c>
      <c r="U36" t="s">
        <v>61</v>
      </c>
      <c r="V36" s="1">
        <v>45423</v>
      </c>
      <c r="W36">
        <f>Table1[[#This Row],[customer_purchase count]]+1</f>
        <v>39</v>
      </c>
      <c r="X36">
        <f>Table1[[#This Row],[customer_purchase count]]*Rules!$B$3</f>
        <v>2271.0456410256411</v>
      </c>
      <c r="Y36" t="str">
        <f>IF(Table1[[#This Row],[customer_subscription]]=1,"Subscribed","Not Subscribed")</f>
        <v>Subscribed</v>
      </c>
      <c r="Z36" t="s">
        <v>193</v>
      </c>
    </row>
    <row r="37" spans="1:26" x14ac:dyDescent="0.25">
      <c r="A37">
        <v>36</v>
      </c>
      <c r="B37">
        <v>54</v>
      </c>
      <c r="C37" t="s">
        <v>22</v>
      </c>
      <c r="D37">
        <v>36</v>
      </c>
      <c r="E37" t="s">
        <v>23</v>
      </c>
      <c r="F37" t="s">
        <v>24</v>
      </c>
      <c r="G37">
        <v>36</v>
      </c>
      <c r="H37">
        <v>242</v>
      </c>
      <c r="I37">
        <v>33</v>
      </c>
      <c r="J37" t="s">
        <v>38</v>
      </c>
      <c r="K37" t="s">
        <v>47</v>
      </c>
      <c r="L37" t="s">
        <v>112</v>
      </c>
      <c r="M37" t="s">
        <v>56</v>
      </c>
      <c r="N37">
        <v>4</v>
      </c>
      <c r="O37">
        <v>1</v>
      </c>
      <c r="P37" t="s">
        <v>73</v>
      </c>
      <c r="Q37" t="s">
        <v>30</v>
      </c>
      <c r="R37" t="s">
        <v>30</v>
      </c>
      <c r="S37">
        <v>48</v>
      </c>
      <c r="T37" t="s">
        <v>42</v>
      </c>
      <c r="U37" t="s">
        <v>79</v>
      </c>
      <c r="V37" s="1">
        <v>45463</v>
      </c>
      <c r="W37">
        <f>Table1[[#This Row],[customer_purchase count]]+1</f>
        <v>49</v>
      </c>
      <c r="X37">
        <f>Table1[[#This Row],[customer_purchase count]]*Rules!$B$3</f>
        <v>2868.689230769231</v>
      </c>
      <c r="Y37" t="str">
        <f>IF(Table1[[#This Row],[customer_subscription]]=1,"Subscribed","Not Subscribed")</f>
        <v>Subscribed</v>
      </c>
      <c r="Z37" t="s">
        <v>193</v>
      </c>
    </row>
    <row r="38" spans="1:26" x14ac:dyDescent="0.25">
      <c r="A38">
        <v>37</v>
      </c>
      <c r="B38">
        <v>35</v>
      </c>
      <c r="C38" t="s">
        <v>22</v>
      </c>
      <c r="D38">
        <v>37</v>
      </c>
      <c r="E38" t="s">
        <v>116</v>
      </c>
      <c r="F38" t="s">
        <v>24</v>
      </c>
      <c r="G38">
        <v>37</v>
      </c>
      <c r="H38">
        <v>243</v>
      </c>
      <c r="I38">
        <v>69</v>
      </c>
      <c r="J38" t="s">
        <v>118</v>
      </c>
      <c r="K38" t="s">
        <v>47</v>
      </c>
      <c r="L38" t="s">
        <v>35</v>
      </c>
      <c r="M38" t="s">
        <v>28</v>
      </c>
      <c r="N38">
        <v>4.5999999999999996</v>
      </c>
      <c r="O38">
        <v>1</v>
      </c>
      <c r="P38" t="s">
        <v>41</v>
      </c>
      <c r="Q38" t="s">
        <v>30</v>
      </c>
      <c r="R38" t="s">
        <v>30</v>
      </c>
      <c r="S38">
        <v>44</v>
      </c>
      <c r="T38" t="s">
        <v>49</v>
      </c>
      <c r="U38" t="s">
        <v>32</v>
      </c>
      <c r="V38" s="1">
        <v>45631</v>
      </c>
      <c r="W38">
        <f>Table1[[#This Row],[customer_purchase count]]+1</f>
        <v>45</v>
      </c>
      <c r="X38">
        <f>Table1[[#This Row],[customer_purchase count]]*Rules!$B$3</f>
        <v>2629.6317948717951</v>
      </c>
      <c r="Y38" t="str">
        <f>IF(Table1[[#This Row],[customer_subscription]]=1,"Subscribed","Not Subscribed")</f>
        <v>Subscribed</v>
      </c>
      <c r="Z38" t="s">
        <v>193</v>
      </c>
    </row>
    <row r="39" spans="1:26" x14ac:dyDescent="0.25">
      <c r="A39">
        <v>38</v>
      </c>
      <c r="B39">
        <v>35</v>
      </c>
      <c r="C39" t="s">
        <v>22</v>
      </c>
      <c r="D39">
        <v>38</v>
      </c>
      <c r="E39" t="s">
        <v>37</v>
      </c>
      <c r="F39" t="s">
        <v>24</v>
      </c>
      <c r="G39">
        <v>38</v>
      </c>
      <c r="H39">
        <v>244</v>
      </c>
      <c r="I39">
        <v>45</v>
      </c>
      <c r="J39" t="s">
        <v>119</v>
      </c>
      <c r="K39" t="s">
        <v>39</v>
      </c>
      <c r="L39" t="s">
        <v>112</v>
      </c>
      <c r="M39" t="s">
        <v>56</v>
      </c>
      <c r="N39">
        <v>2.8</v>
      </c>
      <c r="O39">
        <v>1</v>
      </c>
      <c r="P39" t="s">
        <v>77</v>
      </c>
      <c r="Q39" t="s">
        <v>30</v>
      </c>
      <c r="R39" t="s">
        <v>30</v>
      </c>
      <c r="S39">
        <v>10</v>
      </c>
      <c r="T39" t="s">
        <v>49</v>
      </c>
      <c r="U39" t="s">
        <v>43</v>
      </c>
      <c r="V39" s="1">
        <v>45519</v>
      </c>
      <c r="W39">
        <f>Table1[[#This Row],[customer_purchase count]]+1</f>
        <v>11</v>
      </c>
      <c r="X39">
        <f>Table1[[#This Row],[customer_purchase count]]*Rules!$B$3</f>
        <v>597.64358974358981</v>
      </c>
      <c r="Y39" t="str">
        <f>IF(Table1[[#This Row],[customer_subscription]]=1,"Subscribed","Not Subscribed")</f>
        <v>Subscribed</v>
      </c>
    </row>
    <row r="40" spans="1:26" x14ac:dyDescent="0.25">
      <c r="A40">
        <v>39</v>
      </c>
      <c r="B40">
        <v>29</v>
      </c>
      <c r="C40" t="s">
        <v>22</v>
      </c>
      <c r="D40">
        <v>39</v>
      </c>
      <c r="E40" t="s">
        <v>84</v>
      </c>
      <c r="F40" t="s">
        <v>24</v>
      </c>
      <c r="G40">
        <v>39</v>
      </c>
      <c r="H40">
        <v>245</v>
      </c>
      <c r="I40">
        <v>37</v>
      </c>
      <c r="J40" t="s">
        <v>106</v>
      </c>
      <c r="K40" t="s">
        <v>47</v>
      </c>
      <c r="L40" t="s">
        <v>111</v>
      </c>
      <c r="M40" t="s">
        <v>28</v>
      </c>
      <c r="N40">
        <v>3.7</v>
      </c>
      <c r="O40">
        <v>1</v>
      </c>
      <c r="P40" t="s">
        <v>73</v>
      </c>
      <c r="Q40" t="s">
        <v>30</v>
      </c>
      <c r="R40" t="s">
        <v>30</v>
      </c>
      <c r="S40">
        <v>44</v>
      </c>
      <c r="T40" t="s">
        <v>31</v>
      </c>
      <c r="U40" t="s">
        <v>100</v>
      </c>
      <c r="V40" s="1">
        <v>45332</v>
      </c>
      <c r="W40">
        <f>Table1[[#This Row],[customer_purchase count]]+1</f>
        <v>45</v>
      </c>
      <c r="X40">
        <f>Table1[[#This Row],[customer_purchase count]]*Rules!$B$3</f>
        <v>2629.6317948717951</v>
      </c>
      <c r="Y40" t="str">
        <f>IF(Table1[[#This Row],[customer_subscription]]=1,"Subscribed","Not Subscribed")</f>
        <v>Subscribed</v>
      </c>
    </row>
    <row r="41" spans="1:26" x14ac:dyDescent="0.25">
      <c r="A41">
        <v>40</v>
      </c>
      <c r="B41">
        <v>70</v>
      </c>
      <c r="C41" t="s">
        <v>22</v>
      </c>
      <c r="D41">
        <v>40</v>
      </c>
      <c r="E41" t="s">
        <v>98</v>
      </c>
      <c r="F41" t="s">
        <v>24</v>
      </c>
      <c r="G41">
        <v>40</v>
      </c>
      <c r="H41">
        <v>247</v>
      </c>
      <c r="I41">
        <v>60</v>
      </c>
      <c r="J41" t="s">
        <v>120</v>
      </c>
      <c r="K41" t="s">
        <v>39</v>
      </c>
      <c r="L41" t="s">
        <v>51</v>
      </c>
      <c r="M41" t="s">
        <v>56</v>
      </c>
      <c r="N41">
        <v>4.2</v>
      </c>
      <c r="O41">
        <v>1</v>
      </c>
      <c r="P41" t="s">
        <v>29</v>
      </c>
      <c r="Q41" t="s">
        <v>30</v>
      </c>
      <c r="R41" t="s">
        <v>30</v>
      </c>
      <c r="S41">
        <v>18</v>
      </c>
      <c r="T41" t="s">
        <v>42</v>
      </c>
      <c r="U41" t="s">
        <v>91</v>
      </c>
      <c r="V41" s="1">
        <v>45497</v>
      </c>
      <c r="W41">
        <f>Table1[[#This Row],[customer_purchase count]]+1</f>
        <v>19</v>
      </c>
      <c r="X41">
        <f>Table1[[#This Row],[customer_purchase count]]*Rules!$B$3</f>
        <v>1075.7584615384617</v>
      </c>
      <c r="Y41" t="str">
        <f>IF(Table1[[#This Row],[customer_subscription]]=1,"Subscribed","Not Subscribed")</f>
        <v>Subscribed</v>
      </c>
    </row>
    <row r="42" spans="1:26" x14ac:dyDescent="0.25">
      <c r="A42">
        <v>41</v>
      </c>
      <c r="B42">
        <v>69</v>
      </c>
      <c r="C42" t="s">
        <v>22</v>
      </c>
      <c r="D42">
        <v>41</v>
      </c>
      <c r="E42" t="s">
        <v>69</v>
      </c>
      <c r="F42" t="s">
        <v>70</v>
      </c>
      <c r="G42">
        <v>41</v>
      </c>
      <c r="H42">
        <v>248</v>
      </c>
      <c r="I42">
        <v>76</v>
      </c>
      <c r="J42" t="s">
        <v>63</v>
      </c>
      <c r="K42" t="s">
        <v>26</v>
      </c>
      <c r="L42" t="s">
        <v>121</v>
      </c>
      <c r="M42" t="s">
        <v>28</v>
      </c>
      <c r="N42">
        <v>4.5999999999999996</v>
      </c>
      <c r="O42">
        <v>1</v>
      </c>
      <c r="P42" t="s">
        <v>48</v>
      </c>
      <c r="Q42" t="s">
        <v>30</v>
      </c>
      <c r="R42" t="s">
        <v>30</v>
      </c>
      <c r="S42">
        <v>31</v>
      </c>
      <c r="T42" t="s">
        <v>89</v>
      </c>
      <c r="U42" t="s">
        <v>61</v>
      </c>
      <c r="V42" s="1">
        <v>45345</v>
      </c>
      <c r="W42">
        <f>Table1[[#This Row],[customer_purchase count]]+1</f>
        <v>32</v>
      </c>
      <c r="X42">
        <f>Table1[[#This Row],[customer_purchase count]]*Rules!$B$3</f>
        <v>1852.6951282051282</v>
      </c>
      <c r="Y42" t="str">
        <f>IF(Table1[[#This Row],[customer_subscription]]=1,"Subscribed","Not Subscribed")</f>
        <v>Subscribed</v>
      </c>
    </row>
    <row r="43" spans="1:26" x14ac:dyDescent="0.25">
      <c r="A43">
        <v>42</v>
      </c>
      <c r="B43">
        <v>67</v>
      </c>
      <c r="C43" t="s">
        <v>22</v>
      </c>
      <c r="D43">
        <v>42</v>
      </c>
      <c r="E43" t="s">
        <v>122</v>
      </c>
      <c r="F43" t="s">
        <v>70</v>
      </c>
      <c r="G43">
        <v>42</v>
      </c>
      <c r="H43">
        <v>249</v>
      </c>
      <c r="I43">
        <v>39</v>
      </c>
      <c r="J43" t="s">
        <v>123</v>
      </c>
      <c r="K43" t="s">
        <v>47</v>
      </c>
      <c r="L43" t="s">
        <v>124</v>
      </c>
      <c r="M43" t="s">
        <v>40</v>
      </c>
      <c r="N43">
        <v>4.5</v>
      </c>
      <c r="O43">
        <v>1</v>
      </c>
      <c r="P43" t="s">
        <v>57</v>
      </c>
      <c r="Q43" t="s">
        <v>30</v>
      </c>
      <c r="R43" t="s">
        <v>30</v>
      </c>
      <c r="S43">
        <v>40</v>
      </c>
      <c r="T43" t="s">
        <v>31</v>
      </c>
      <c r="U43" t="s">
        <v>52</v>
      </c>
      <c r="V43" s="1">
        <v>45371</v>
      </c>
      <c r="W43">
        <f>Table1[[#This Row],[customer_purchase count]]+1</f>
        <v>41</v>
      </c>
      <c r="X43">
        <f>Table1[[#This Row],[customer_purchase count]]*Rules!$B$3</f>
        <v>2390.5743589743593</v>
      </c>
      <c r="Y43" t="str">
        <f>IF(Table1[[#This Row],[customer_subscription]]=1,"Subscribed","Not Subscribed")</f>
        <v>Subscribed</v>
      </c>
    </row>
    <row r="44" spans="1:26" x14ac:dyDescent="0.25">
      <c r="A44">
        <v>43</v>
      </c>
      <c r="B44">
        <v>20</v>
      </c>
      <c r="C44" t="s">
        <v>22</v>
      </c>
      <c r="D44">
        <v>43</v>
      </c>
      <c r="E44" t="s">
        <v>65</v>
      </c>
      <c r="F44" t="s">
        <v>66</v>
      </c>
      <c r="G44">
        <v>43</v>
      </c>
      <c r="H44">
        <v>250</v>
      </c>
      <c r="I44">
        <v>100</v>
      </c>
      <c r="J44" t="s">
        <v>125</v>
      </c>
      <c r="K44" t="s">
        <v>47</v>
      </c>
      <c r="L44" t="s">
        <v>121</v>
      </c>
      <c r="M44" t="s">
        <v>40</v>
      </c>
      <c r="N44">
        <v>4.0999999999999996</v>
      </c>
      <c r="O44">
        <v>1</v>
      </c>
      <c r="P44" t="s">
        <v>41</v>
      </c>
      <c r="Q44" t="s">
        <v>30</v>
      </c>
      <c r="R44" t="s">
        <v>30</v>
      </c>
      <c r="S44">
        <v>15</v>
      </c>
      <c r="T44" t="s">
        <v>49</v>
      </c>
      <c r="U44" t="s">
        <v>52</v>
      </c>
      <c r="V44" s="1">
        <v>45427</v>
      </c>
      <c r="W44">
        <f>Table1[[#This Row],[customer_purchase count]]+1</f>
        <v>16</v>
      </c>
      <c r="X44">
        <f>Table1[[#This Row],[customer_purchase count]]*Rules!$B$3</f>
        <v>896.46538461538466</v>
      </c>
      <c r="Y44" t="str">
        <f>IF(Table1[[#This Row],[customer_subscription]]=1,"Subscribed","Not Subscribed")</f>
        <v>Subscribed</v>
      </c>
      <c r="Z44" t="s">
        <v>187</v>
      </c>
    </row>
    <row r="45" spans="1:26" x14ac:dyDescent="0.25">
      <c r="A45">
        <v>44</v>
      </c>
      <c r="B45">
        <v>25</v>
      </c>
      <c r="C45" t="s">
        <v>22</v>
      </c>
      <c r="D45">
        <v>44</v>
      </c>
      <c r="E45" t="s">
        <v>122</v>
      </c>
      <c r="F45" t="s">
        <v>70</v>
      </c>
      <c r="G45">
        <v>44</v>
      </c>
      <c r="H45">
        <v>251</v>
      </c>
      <c r="I45">
        <v>69</v>
      </c>
      <c r="J45" t="s">
        <v>126</v>
      </c>
      <c r="K45" t="s">
        <v>26</v>
      </c>
      <c r="L45" t="s">
        <v>96</v>
      </c>
      <c r="M45" t="s">
        <v>60</v>
      </c>
      <c r="N45">
        <v>3.7</v>
      </c>
      <c r="O45">
        <v>1</v>
      </c>
      <c r="P45" t="s">
        <v>77</v>
      </c>
      <c r="Q45" t="s">
        <v>30</v>
      </c>
      <c r="R45" t="s">
        <v>30</v>
      </c>
      <c r="S45">
        <v>19</v>
      </c>
      <c r="T45" t="s">
        <v>49</v>
      </c>
      <c r="U45" t="s">
        <v>32</v>
      </c>
      <c r="V45" s="1">
        <v>45558</v>
      </c>
      <c r="W45">
        <f>Table1[[#This Row],[customer_purchase count]]+1</f>
        <v>20</v>
      </c>
      <c r="X45">
        <f>Table1[[#This Row],[customer_purchase count]]*Rules!$B$3</f>
        <v>1135.5228205128205</v>
      </c>
      <c r="Y45" t="str">
        <f>IF(Table1[[#This Row],[customer_subscription]]=1,"Subscribed","Not Subscribed")</f>
        <v>Subscribed</v>
      </c>
    </row>
    <row r="46" spans="1:26" x14ac:dyDescent="0.25">
      <c r="A46">
        <v>45</v>
      </c>
      <c r="B46">
        <v>39</v>
      </c>
      <c r="C46" t="s">
        <v>22</v>
      </c>
      <c r="D46">
        <v>45</v>
      </c>
      <c r="E46" t="s">
        <v>127</v>
      </c>
      <c r="F46" t="s">
        <v>70</v>
      </c>
      <c r="G46">
        <v>45</v>
      </c>
      <c r="H46">
        <v>253</v>
      </c>
      <c r="I46">
        <v>53</v>
      </c>
      <c r="J46" t="s">
        <v>25</v>
      </c>
      <c r="K46" t="s">
        <v>39</v>
      </c>
      <c r="L46" t="s">
        <v>68</v>
      </c>
      <c r="M46" t="s">
        <v>56</v>
      </c>
      <c r="N46">
        <v>4.5999999999999996</v>
      </c>
      <c r="O46">
        <v>1</v>
      </c>
      <c r="P46" t="s">
        <v>41</v>
      </c>
      <c r="Q46" t="s">
        <v>30</v>
      </c>
      <c r="R46" t="s">
        <v>30</v>
      </c>
      <c r="S46">
        <v>45</v>
      </c>
      <c r="T46" t="s">
        <v>49</v>
      </c>
      <c r="U46" t="s">
        <v>43</v>
      </c>
      <c r="V46" s="1">
        <v>45469</v>
      </c>
      <c r="W46">
        <f>Table1[[#This Row],[customer_purchase count]]+1</f>
        <v>46</v>
      </c>
      <c r="X46">
        <f>Table1[[#This Row],[customer_purchase count]]*Rules!$B$3</f>
        <v>2689.396153846154</v>
      </c>
      <c r="Y46" t="str">
        <f>IF(Table1[[#This Row],[customer_subscription]]=1,"Subscribed","Not Subscribed")</f>
        <v>Subscribed</v>
      </c>
      <c r="Z46" t="s">
        <v>193</v>
      </c>
    </row>
    <row r="47" spans="1:26" x14ac:dyDescent="0.25">
      <c r="A47">
        <v>46</v>
      </c>
      <c r="B47">
        <v>50</v>
      </c>
      <c r="C47" t="s">
        <v>22</v>
      </c>
      <c r="D47">
        <v>46</v>
      </c>
      <c r="E47" t="s">
        <v>128</v>
      </c>
      <c r="F47" t="s">
        <v>24</v>
      </c>
      <c r="G47">
        <v>46</v>
      </c>
      <c r="H47">
        <v>254</v>
      </c>
      <c r="I47">
        <v>21</v>
      </c>
      <c r="J47" t="s">
        <v>125</v>
      </c>
      <c r="K47" t="s">
        <v>95</v>
      </c>
      <c r="L47" t="s">
        <v>129</v>
      </c>
      <c r="M47" t="s">
        <v>60</v>
      </c>
      <c r="N47">
        <v>2.9</v>
      </c>
      <c r="O47">
        <v>1</v>
      </c>
      <c r="P47" t="s">
        <v>73</v>
      </c>
      <c r="Q47" t="s">
        <v>30</v>
      </c>
      <c r="R47" t="s">
        <v>30</v>
      </c>
      <c r="S47">
        <v>25</v>
      </c>
      <c r="T47" t="s">
        <v>49</v>
      </c>
      <c r="U47" t="s">
        <v>52</v>
      </c>
      <c r="V47" s="1">
        <v>45549</v>
      </c>
      <c r="W47">
        <f>Table1[[#This Row],[customer_purchase count]]+1</f>
        <v>26</v>
      </c>
      <c r="X47">
        <f>Table1[[#This Row],[customer_purchase count]]*Rules!$B$3</f>
        <v>1494.1089743589744</v>
      </c>
      <c r="Y47" t="str">
        <f>IF(Table1[[#This Row],[customer_subscription]]=1,"Subscribed","Not Subscribed")</f>
        <v>Subscribed</v>
      </c>
    </row>
    <row r="48" spans="1:26" x14ac:dyDescent="0.25">
      <c r="A48">
        <v>47</v>
      </c>
      <c r="B48">
        <v>57</v>
      </c>
      <c r="C48" t="s">
        <v>22</v>
      </c>
      <c r="D48">
        <v>47</v>
      </c>
      <c r="E48" t="s">
        <v>58</v>
      </c>
      <c r="F48" t="s">
        <v>24</v>
      </c>
      <c r="G48">
        <v>47</v>
      </c>
      <c r="H48">
        <v>255</v>
      </c>
      <c r="I48">
        <v>43</v>
      </c>
      <c r="J48" t="s">
        <v>102</v>
      </c>
      <c r="K48" t="s">
        <v>26</v>
      </c>
      <c r="L48" t="s">
        <v>55</v>
      </c>
      <c r="M48" t="s">
        <v>56</v>
      </c>
      <c r="N48">
        <v>2.9</v>
      </c>
      <c r="O48">
        <v>1</v>
      </c>
      <c r="P48" t="s">
        <v>77</v>
      </c>
      <c r="Q48" t="s">
        <v>30</v>
      </c>
      <c r="R48" t="s">
        <v>30</v>
      </c>
      <c r="S48">
        <v>45</v>
      </c>
      <c r="T48" t="s">
        <v>36</v>
      </c>
      <c r="U48" t="s">
        <v>61</v>
      </c>
      <c r="V48" s="1">
        <v>45501</v>
      </c>
      <c r="W48">
        <f>Table1[[#This Row],[customer_purchase count]]+1</f>
        <v>46</v>
      </c>
      <c r="X48">
        <f>Table1[[#This Row],[customer_purchase count]]*Rules!$B$3</f>
        <v>2689.396153846154</v>
      </c>
      <c r="Y48" t="str">
        <f>IF(Table1[[#This Row],[customer_subscription]]=1,"Subscribed","Not Subscribed")</f>
        <v>Subscribed</v>
      </c>
      <c r="Z48" t="s">
        <v>193</v>
      </c>
    </row>
    <row r="49" spans="1:26" x14ac:dyDescent="0.25">
      <c r="A49">
        <v>48</v>
      </c>
      <c r="B49">
        <v>55</v>
      </c>
      <c r="C49" t="s">
        <v>22</v>
      </c>
      <c r="D49">
        <v>48</v>
      </c>
      <c r="E49" t="s">
        <v>109</v>
      </c>
      <c r="F49" t="s">
        <v>70</v>
      </c>
      <c r="G49">
        <v>48</v>
      </c>
      <c r="H49">
        <v>256</v>
      </c>
      <c r="I49">
        <v>54</v>
      </c>
      <c r="J49" t="s">
        <v>59</v>
      </c>
      <c r="K49" t="s">
        <v>47</v>
      </c>
      <c r="L49" t="s">
        <v>64</v>
      </c>
      <c r="M49" t="s">
        <v>28</v>
      </c>
      <c r="N49">
        <v>4.5</v>
      </c>
      <c r="O49">
        <v>1</v>
      </c>
      <c r="P49" t="s">
        <v>41</v>
      </c>
      <c r="Q49" t="s">
        <v>30</v>
      </c>
      <c r="R49" t="s">
        <v>30</v>
      </c>
      <c r="S49">
        <v>36</v>
      </c>
      <c r="T49" t="s">
        <v>36</v>
      </c>
      <c r="U49" t="s">
        <v>43</v>
      </c>
      <c r="V49" s="1">
        <v>45632</v>
      </c>
      <c r="W49">
        <f>Table1[[#This Row],[customer_purchase count]]+1</f>
        <v>37</v>
      </c>
      <c r="X49">
        <f>Table1[[#This Row],[customer_purchase count]]*Rules!$B$3</f>
        <v>2151.5169230769234</v>
      </c>
      <c r="Y49" t="str">
        <f>IF(Table1[[#This Row],[customer_subscription]]=1,"Subscribed","Not Subscribed")</f>
        <v>Subscribed</v>
      </c>
      <c r="Z49" t="s">
        <v>193</v>
      </c>
    </row>
    <row r="50" spans="1:26" x14ac:dyDescent="0.25">
      <c r="A50">
        <v>49</v>
      </c>
      <c r="B50">
        <v>42</v>
      </c>
      <c r="C50" t="s">
        <v>22</v>
      </c>
      <c r="D50">
        <v>49</v>
      </c>
      <c r="E50" t="s">
        <v>58</v>
      </c>
      <c r="F50" t="s">
        <v>24</v>
      </c>
      <c r="G50">
        <v>49</v>
      </c>
      <c r="H50">
        <v>257</v>
      </c>
      <c r="I50">
        <v>55</v>
      </c>
      <c r="J50" t="s">
        <v>110</v>
      </c>
      <c r="K50" t="s">
        <v>47</v>
      </c>
      <c r="L50" t="s">
        <v>124</v>
      </c>
      <c r="M50" t="s">
        <v>56</v>
      </c>
      <c r="N50">
        <v>2.7</v>
      </c>
      <c r="O50">
        <v>1</v>
      </c>
      <c r="P50" t="s">
        <v>77</v>
      </c>
      <c r="Q50" t="s">
        <v>30</v>
      </c>
      <c r="R50" t="s">
        <v>30</v>
      </c>
      <c r="S50">
        <v>38</v>
      </c>
      <c r="T50" t="s">
        <v>36</v>
      </c>
      <c r="U50" t="s">
        <v>91</v>
      </c>
      <c r="V50" s="1">
        <v>45467</v>
      </c>
      <c r="W50">
        <f>Table1[[#This Row],[customer_purchase count]]+1</f>
        <v>39</v>
      </c>
      <c r="X50">
        <f>Table1[[#This Row],[customer_purchase count]]*Rules!$B$3</f>
        <v>2271.0456410256411</v>
      </c>
      <c r="Y50" t="str">
        <f>IF(Table1[[#This Row],[customer_subscription]]=1,"Subscribed","Not Subscribed")</f>
        <v>Subscribed</v>
      </c>
      <c r="Z50" t="s">
        <v>193</v>
      </c>
    </row>
    <row r="51" spans="1:26" x14ac:dyDescent="0.25">
      <c r="A51">
        <v>50</v>
      </c>
      <c r="B51">
        <v>68</v>
      </c>
      <c r="C51" t="s">
        <v>22</v>
      </c>
      <c r="D51">
        <v>50</v>
      </c>
      <c r="E51" t="s">
        <v>107</v>
      </c>
      <c r="F51" t="s">
        <v>24</v>
      </c>
      <c r="G51">
        <v>50</v>
      </c>
      <c r="H51">
        <v>259</v>
      </c>
      <c r="I51">
        <v>30</v>
      </c>
      <c r="J51" t="s">
        <v>130</v>
      </c>
      <c r="K51" t="s">
        <v>39</v>
      </c>
      <c r="L51" t="s">
        <v>129</v>
      </c>
      <c r="M51" t="s">
        <v>40</v>
      </c>
      <c r="N51">
        <v>4.5999999999999996</v>
      </c>
      <c r="O51">
        <v>1</v>
      </c>
      <c r="P51" t="s">
        <v>48</v>
      </c>
      <c r="Q51" t="s">
        <v>30</v>
      </c>
      <c r="R51" t="s">
        <v>30</v>
      </c>
      <c r="S51">
        <v>34</v>
      </c>
      <c r="T51" t="s">
        <v>89</v>
      </c>
      <c r="U51" t="s">
        <v>79</v>
      </c>
      <c r="V51" s="1">
        <v>45370</v>
      </c>
      <c r="W51">
        <f>Table1[[#This Row],[customer_purchase count]]+1</f>
        <v>35</v>
      </c>
      <c r="X51">
        <f>Table1[[#This Row],[customer_purchase count]]*Rules!$B$3</f>
        <v>2031.9882051282052</v>
      </c>
      <c r="Y51" t="str">
        <f>IF(Table1[[#This Row],[customer_subscription]]=1,"Subscribed","Not Subscribed")</f>
        <v>Subscribed</v>
      </c>
    </row>
    <row r="52" spans="1:26" x14ac:dyDescent="0.25">
      <c r="A52">
        <v>51</v>
      </c>
      <c r="B52">
        <v>49</v>
      </c>
      <c r="C52" t="s">
        <v>22</v>
      </c>
      <c r="D52">
        <v>51</v>
      </c>
      <c r="E52" t="s">
        <v>23</v>
      </c>
      <c r="F52" t="s">
        <v>24</v>
      </c>
      <c r="G52">
        <v>51</v>
      </c>
      <c r="H52">
        <v>260</v>
      </c>
      <c r="I52">
        <v>28</v>
      </c>
      <c r="J52" t="s">
        <v>131</v>
      </c>
      <c r="K52" t="s">
        <v>47</v>
      </c>
      <c r="L52" t="s">
        <v>111</v>
      </c>
      <c r="M52" t="s">
        <v>40</v>
      </c>
      <c r="N52">
        <v>3.7</v>
      </c>
      <c r="O52">
        <v>1</v>
      </c>
      <c r="P52" t="s">
        <v>77</v>
      </c>
      <c r="Q52" t="s">
        <v>30</v>
      </c>
      <c r="R52" t="s">
        <v>30</v>
      </c>
      <c r="S52">
        <v>39</v>
      </c>
      <c r="T52" t="s">
        <v>89</v>
      </c>
      <c r="U52" t="s">
        <v>79</v>
      </c>
      <c r="V52" s="1">
        <v>45367</v>
      </c>
      <c r="W52">
        <f>Table1[[#This Row],[customer_purchase count]]+1</f>
        <v>40</v>
      </c>
      <c r="X52">
        <f>Table1[[#This Row],[customer_purchase count]]*Rules!$B$3</f>
        <v>2330.81</v>
      </c>
      <c r="Y52" t="str">
        <f>IF(Table1[[#This Row],[customer_subscription]]=1,"Subscribed","Not Subscribed")</f>
        <v>Subscribed</v>
      </c>
      <c r="Z52" t="s">
        <v>193</v>
      </c>
    </row>
    <row r="53" spans="1:26" x14ac:dyDescent="0.25">
      <c r="A53">
        <v>52</v>
      </c>
      <c r="B53">
        <v>59</v>
      </c>
      <c r="C53" t="s">
        <v>22</v>
      </c>
      <c r="D53">
        <v>52</v>
      </c>
      <c r="E53" t="s">
        <v>90</v>
      </c>
      <c r="F53" t="s">
        <v>24</v>
      </c>
      <c r="G53">
        <v>52</v>
      </c>
      <c r="H53">
        <v>261</v>
      </c>
      <c r="I53">
        <v>59</v>
      </c>
      <c r="J53" t="s">
        <v>132</v>
      </c>
      <c r="K53" t="s">
        <v>95</v>
      </c>
      <c r="L53" t="s">
        <v>27</v>
      </c>
      <c r="M53" t="s">
        <v>28</v>
      </c>
      <c r="N53">
        <v>4.7</v>
      </c>
      <c r="O53">
        <v>1</v>
      </c>
      <c r="P53" t="s">
        <v>73</v>
      </c>
      <c r="Q53" t="s">
        <v>30</v>
      </c>
      <c r="R53" t="s">
        <v>30</v>
      </c>
      <c r="S53">
        <v>7</v>
      </c>
      <c r="T53" t="s">
        <v>42</v>
      </c>
      <c r="U53" t="s">
        <v>61</v>
      </c>
      <c r="V53" s="1">
        <v>45339</v>
      </c>
      <c r="W53">
        <f>Table1[[#This Row],[customer_purchase count]]+1</f>
        <v>8</v>
      </c>
      <c r="X53">
        <f>Table1[[#This Row],[customer_purchase count]]*Rules!$B$3</f>
        <v>418.35051282051285</v>
      </c>
      <c r="Y53" t="str">
        <f>IF(Table1[[#This Row],[customer_subscription]]=1,"Subscribed","Not Subscribed")</f>
        <v>Subscribed</v>
      </c>
    </row>
    <row r="54" spans="1:26" x14ac:dyDescent="0.25">
      <c r="A54">
        <v>53</v>
      </c>
      <c r="B54">
        <v>42</v>
      </c>
      <c r="C54" t="s">
        <v>22</v>
      </c>
      <c r="D54">
        <v>53</v>
      </c>
      <c r="E54" t="s">
        <v>116</v>
      </c>
      <c r="F54" t="s">
        <v>24</v>
      </c>
      <c r="G54">
        <v>53</v>
      </c>
      <c r="H54">
        <v>262</v>
      </c>
      <c r="I54">
        <v>20</v>
      </c>
      <c r="J54" t="s">
        <v>123</v>
      </c>
      <c r="K54" t="s">
        <v>47</v>
      </c>
      <c r="L54" t="s">
        <v>99</v>
      </c>
      <c r="M54" t="s">
        <v>56</v>
      </c>
      <c r="N54">
        <v>2.6</v>
      </c>
      <c r="O54">
        <v>1</v>
      </c>
      <c r="P54" t="s">
        <v>41</v>
      </c>
      <c r="Q54" t="s">
        <v>30</v>
      </c>
      <c r="R54" t="s">
        <v>30</v>
      </c>
      <c r="S54">
        <v>26</v>
      </c>
      <c r="T54" t="s">
        <v>42</v>
      </c>
      <c r="U54" t="s">
        <v>43</v>
      </c>
      <c r="V54" s="1">
        <v>45450</v>
      </c>
      <c r="W54">
        <f>Table1[[#This Row],[customer_purchase count]]+1</f>
        <v>27</v>
      </c>
      <c r="X54">
        <f>Table1[[#This Row],[customer_purchase count]]*Rules!$B$3</f>
        <v>1553.8733333333334</v>
      </c>
      <c r="Y54" t="str">
        <f>IF(Table1[[#This Row],[customer_subscription]]=1,"Subscribed","Not Subscribed")</f>
        <v>Subscribed</v>
      </c>
    </row>
    <row r="55" spans="1:26" x14ac:dyDescent="0.25">
      <c r="A55">
        <v>54</v>
      </c>
      <c r="B55">
        <v>29</v>
      </c>
      <c r="C55" t="s">
        <v>22</v>
      </c>
      <c r="D55">
        <v>54</v>
      </c>
      <c r="E55" t="s">
        <v>90</v>
      </c>
      <c r="F55" t="s">
        <v>24</v>
      </c>
      <c r="G55">
        <v>54</v>
      </c>
      <c r="H55">
        <v>263</v>
      </c>
      <c r="I55">
        <v>24</v>
      </c>
      <c r="J55" t="s">
        <v>94</v>
      </c>
      <c r="K55" t="s">
        <v>39</v>
      </c>
      <c r="L55" t="s">
        <v>103</v>
      </c>
      <c r="M55" t="s">
        <v>28</v>
      </c>
      <c r="N55">
        <v>3.9</v>
      </c>
      <c r="O55">
        <v>1</v>
      </c>
      <c r="P55" t="s">
        <v>48</v>
      </c>
      <c r="Q55" t="s">
        <v>30</v>
      </c>
      <c r="R55" t="s">
        <v>30</v>
      </c>
      <c r="S55">
        <v>35</v>
      </c>
      <c r="T55" t="s">
        <v>42</v>
      </c>
      <c r="U55" t="s">
        <v>43</v>
      </c>
      <c r="V55" s="1">
        <v>45312</v>
      </c>
      <c r="W55">
        <f>Table1[[#This Row],[customer_purchase count]]+1</f>
        <v>36</v>
      </c>
      <c r="X55">
        <f>Table1[[#This Row],[customer_purchase count]]*Rules!$B$3</f>
        <v>2091.7525641025641</v>
      </c>
      <c r="Y55" t="str">
        <f>IF(Table1[[#This Row],[customer_subscription]]=1,"Subscribed","Not Subscribed")</f>
        <v>Subscribed</v>
      </c>
    </row>
    <row r="56" spans="1:26" x14ac:dyDescent="0.25">
      <c r="A56">
        <v>55</v>
      </c>
      <c r="B56">
        <v>47</v>
      </c>
      <c r="C56" t="s">
        <v>22</v>
      </c>
      <c r="D56">
        <v>55</v>
      </c>
      <c r="E56" t="s">
        <v>65</v>
      </c>
      <c r="F56" t="s">
        <v>66</v>
      </c>
      <c r="G56">
        <v>55</v>
      </c>
      <c r="H56">
        <v>265</v>
      </c>
      <c r="I56">
        <v>94</v>
      </c>
      <c r="J56" t="s">
        <v>133</v>
      </c>
      <c r="K56" t="s">
        <v>47</v>
      </c>
      <c r="L56" t="s">
        <v>113</v>
      </c>
      <c r="M56" t="s">
        <v>56</v>
      </c>
      <c r="N56">
        <v>4.2</v>
      </c>
      <c r="O56">
        <v>1</v>
      </c>
      <c r="P56" t="s">
        <v>48</v>
      </c>
      <c r="Q56" t="s">
        <v>30</v>
      </c>
      <c r="R56" t="s">
        <v>30</v>
      </c>
      <c r="S56">
        <v>35</v>
      </c>
      <c r="T56" t="s">
        <v>89</v>
      </c>
      <c r="U56" t="s">
        <v>79</v>
      </c>
      <c r="V56" s="1">
        <v>45495</v>
      </c>
      <c r="W56">
        <f>Table1[[#This Row],[customer_purchase count]]+1</f>
        <v>36</v>
      </c>
      <c r="X56">
        <f>Table1[[#This Row],[customer_purchase count]]*Rules!$B$3</f>
        <v>2091.7525641025641</v>
      </c>
      <c r="Y56" t="str">
        <f>IF(Table1[[#This Row],[customer_subscription]]=1,"Subscribed","Not Subscribed")</f>
        <v>Subscribed</v>
      </c>
      <c r="Z56" t="s">
        <v>193</v>
      </c>
    </row>
    <row r="57" spans="1:26" x14ac:dyDescent="0.25">
      <c r="A57">
        <v>56</v>
      </c>
      <c r="B57">
        <v>40</v>
      </c>
      <c r="C57" t="s">
        <v>22</v>
      </c>
      <c r="D57">
        <v>56</v>
      </c>
      <c r="E57" t="s">
        <v>105</v>
      </c>
      <c r="F57" t="s">
        <v>66</v>
      </c>
      <c r="G57">
        <v>56</v>
      </c>
      <c r="H57">
        <v>266</v>
      </c>
      <c r="I57">
        <v>28</v>
      </c>
      <c r="J57" t="s">
        <v>134</v>
      </c>
      <c r="K57" t="s">
        <v>47</v>
      </c>
      <c r="L57" t="s">
        <v>96</v>
      </c>
      <c r="M57" t="s">
        <v>28</v>
      </c>
      <c r="N57">
        <v>3</v>
      </c>
      <c r="O57">
        <v>1</v>
      </c>
      <c r="P57" t="s">
        <v>73</v>
      </c>
      <c r="Q57" t="s">
        <v>30</v>
      </c>
      <c r="R57" t="s">
        <v>30</v>
      </c>
      <c r="S57">
        <v>49</v>
      </c>
      <c r="T57" t="s">
        <v>42</v>
      </c>
      <c r="U57" t="s">
        <v>52</v>
      </c>
      <c r="V57" s="1">
        <v>45344</v>
      </c>
      <c r="W57">
        <f>Table1[[#This Row],[customer_purchase count]]+1</f>
        <v>50</v>
      </c>
      <c r="X57">
        <f>Table1[[#This Row],[customer_purchase count]]*Rules!$B$3</f>
        <v>2928.4535897435899</v>
      </c>
      <c r="Y57" t="str">
        <f>IF(Table1[[#This Row],[customer_subscription]]=1,"Subscribed","Not Subscribed")</f>
        <v>Subscribed</v>
      </c>
      <c r="Z57" t="s">
        <v>193</v>
      </c>
    </row>
    <row r="58" spans="1:26" x14ac:dyDescent="0.25">
      <c r="A58">
        <v>57</v>
      </c>
      <c r="B58">
        <v>41</v>
      </c>
      <c r="C58" t="s">
        <v>22</v>
      </c>
      <c r="D58">
        <v>57</v>
      </c>
      <c r="E58" t="s">
        <v>135</v>
      </c>
      <c r="F58" t="s">
        <v>70</v>
      </c>
      <c r="G58">
        <v>57</v>
      </c>
      <c r="H58">
        <v>267</v>
      </c>
      <c r="I58">
        <v>73</v>
      </c>
      <c r="J58" t="s">
        <v>94</v>
      </c>
      <c r="K58" t="s">
        <v>95</v>
      </c>
      <c r="L58" t="s">
        <v>113</v>
      </c>
      <c r="M58" t="s">
        <v>56</v>
      </c>
      <c r="N58">
        <v>4.7</v>
      </c>
      <c r="O58">
        <v>1</v>
      </c>
      <c r="P58" t="s">
        <v>77</v>
      </c>
      <c r="Q58" t="s">
        <v>30</v>
      </c>
      <c r="R58" t="s">
        <v>30</v>
      </c>
      <c r="S58">
        <v>46</v>
      </c>
      <c r="T58" t="s">
        <v>42</v>
      </c>
      <c r="U58" t="s">
        <v>43</v>
      </c>
      <c r="V58" s="1">
        <v>45450</v>
      </c>
      <c r="W58">
        <f>Table1[[#This Row],[customer_purchase count]]+1</f>
        <v>47</v>
      </c>
      <c r="X58">
        <f>Table1[[#This Row],[customer_purchase count]]*Rules!$B$3</f>
        <v>2749.1605128205128</v>
      </c>
      <c r="Y58" t="str">
        <f>IF(Table1[[#This Row],[customer_subscription]]=1,"Subscribed","Not Subscribed")</f>
        <v>Subscribed</v>
      </c>
      <c r="Z58" t="s">
        <v>193</v>
      </c>
    </row>
    <row r="59" spans="1:26" x14ac:dyDescent="0.25">
      <c r="A59">
        <v>58</v>
      </c>
      <c r="B59">
        <v>21</v>
      </c>
      <c r="C59" t="s">
        <v>22</v>
      </c>
      <c r="D59">
        <v>58</v>
      </c>
      <c r="E59" t="s">
        <v>65</v>
      </c>
      <c r="F59" t="s">
        <v>66</v>
      </c>
      <c r="G59">
        <v>58</v>
      </c>
      <c r="H59">
        <v>268</v>
      </c>
      <c r="I59">
        <v>64</v>
      </c>
      <c r="J59" t="s">
        <v>67</v>
      </c>
      <c r="K59" t="s">
        <v>47</v>
      </c>
      <c r="L59" t="s">
        <v>55</v>
      </c>
      <c r="M59" t="s">
        <v>56</v>
      </c>
      <c r="N59">
        <v>4.4000000000000004</v>
      </c>
      <c r="O59">
        <v>1</v>
      </c>
      <c r="P59" t="s">
        <v>77</v>
      </c>
      <c r="Q59" t="s">
        <v>30</v>
      </c>
      <c r="R59" t="s">
        <v>30</v>
      </c>
      <c r="S59">
        <v>17</v>
      </c>
      <c r="T59" t="s">
        <v>89</v>
      </c>
      <c r="U59" t="s">
        <v>32</v>
      </c>
      <c r="V59" s="1">
        <v>45493</v>
      </c>
      <c r="W59">
        <f>Table1[[#This Row],[customer_purchase count]]+1</f>
        <v>18</v>
      </c>
      <c r="X59">
        <f>Table1[[#This Row],[customer_purchase count]]*Rules!$B$3</f>
        <v>1015.9941025641026</v>
      </c>
      <c r="Y59" t="str">
        <f>IF(Table1[[#This Row],[customer_subscription]]=1,"Subscribed","Not Subscribed")</f>
        <v>Subscribed</v>
      </c>
      <c r="Z59" t="s">
        <v>187</v>
      </c>
    </row>
    <row r="60" spans="1:26" x14ac:dyDescent="0.25">
      <c r="A60">
        <v>59</v>
      </c>
      <c r="B60">
        <v>69</v>
      </c>
      <c r="C60" t="s">
        <v>22</v>
      </c>
      <c r="D60">
        <v>59</v>
      </c>
      <c r="E60" t="s">
        <v>107</v>
      </c>
      <c r="F60" t="s">
        <v>24</v>
      </c>
      <c r="G60">
        <v>59</v>
      </c>
      <c r="H60">
        <v>269</v>
      </c>
      <c r="I60">
        <v>54</v>
      </c>
      <c r="J60" t="s">
        <v>71</v>
      </c>
      <c r="K60" t="s">
        <v>47</v>
      </c>
      <c r="L60" t="s">
        <v>64</v>
      </c>
      <c r="M60" t="s">
        <v>56</v>
      </c>
      <c r="N60">
        <v>4.2</v>
      </c>
      <c r="O60">
        <v>1</v>
      </c>
      <c r="P60" t="s">
        <v>41</v>
      </c>
      <c r="Q60" t="s">
        <v>30</v>
      </c>
      <c r="R60" t="s">
        <v>30</v>
      </c>
      <c r="S60">
        <v>29</v>
      </c>
      <c r="T60" t="s">
        <v>31</v>
      </c>
      <c r="U60" t="s">
        <v>91</v>
      </c>
      <c r="V60" s="1">
        <v>45514</v>
      </c>
      <c r="W60">
        <f>Table1[[#This Row],[customer_purchase count]]+1</f>
        <v>30</v>
      </c>
      <c r="X60">
        <f>Table1[[#This Row],[customer_purchase count]]*Rules!$B$3</f>
        <v>1733.1664102564102</v>
      </c>
      <c r="Y60" t="str">
        <f>IF(Table1[[#This Row],[customer_subscription]]=1,"Subscribed","Not Subscribed")</f>
        <v>Subscribed</v>
      </c>
    </row>
    <row r="61" spans="1:26" x14ac:dyDescent="0.25">
      <c r="A61">
        <v>60</v>
      </c>
      <c r="B61">
        <v>63</v>
      </c>
      <c r="C61" t="s">
        <v>22</v>
      </c>
      <c r="D61">
        <v>60</v>
      </c>
      <c r="E61" t="s">
        <v>136</v>
      </c>
      <c r="F61" t="s">
        <v>70</v>
      </c>
      <c r="G61">
        <v>60</v>
      </c>
      <c r="H61">
        <v>271</v>
      </c>
      <c r="I61">
        <v>79</v>
      </c>
      <c r="J61" t="s">
        <v>63</v>
      </c>
      <c r="K61" t="s">
        <v>26</v>
      </c>
      <c r="L61" t="s">
        <v>137</v>
      </c>
      <c r="M61" t="s">
        <v>40</v>
      </c>
      <c r="N61">
        <v>4.5999999999999996</v>
      </c>
      <c r="O61">
        <v>1</v>
      </c>
      <c r="P61" t="s">
        <v>57</v>
      </c>
      <c r="Q61" t="s">
        <v>30</v>
      </c>
      <c r="R61" t="s">
        <v>30</v>
      </c>
      <c r="S61">
        <v>4</v>
      </c>
      <c r="T61" t="s">
        <v>89</v>
      </c>
      <c r="U61" t="s">
        <v>43</v>
      </c>
      <c r="V61" s="1">
        <v>45440</v>
      </c>
      <c r="W61">
        <f>Table1[[#This Row],[customer_purchase count]]+1</f>
        <v>5</v>
      </c>
      <c r="X61">
        <f>Table1[[#This Row],[customer_purchase count]]*Rules!$B$3</f>
        <v>239.05743589743591</v>
      </c>
      <c r="Y61" t="str">
        <f>IF(Table1[[#This Row],[customer_subscription]]=1,"Subscribed","Not Subscribed")</f>
        <v>Subscribed</v>
      </c>
    </row>
    <row r="62" spans="1:26" x14ac:dyDescent="0.25">
      <c r="A62">
        <v>61</v>
      </c>
      <c r="B62">
        <v>50</v>
      </c>
      <c r="C62" t="s">
        <v>22</v>
      </c>
      <c r="D62">
        <v>61</v>
      </c>
      <c r="E62" t="s">
        <v>33</v>
      </c>
      <c r="F62" t="s">
        <v>24</v>
      </c>
      <c r="G62">
        <v>61</v>
      </c>
      <c r="H62">
        <v>272</v>
      </c>
      <c r="I62">
        <v>37</v>
      </c>
      <c r="J62" t="s">
        <v>138</v>
      </c>
      <c r="K62" t="s">
        <v>26</v>
      </c>
      <c r="L62" t="s">
        <v>113</v>
      </c>
      <c r="M62" t="s">
        <v>56</v>
      </c>
      <c r="N62">
        <v>4</v>
      </c>
      <c r="O62">
        <v>1</v>
      </c>
      <c r="P62" t="s">
        <v>29</v>
      </c>
      <c r="Q62" t="s">
        <v>30</v>
      </c>
      <c r="R62" t="s">
        <v>30</v>
      </c>
      <c r="S62">
        <v>17</v>
      </c>
      <c r="T62" t="s">
        <v>36</v>
      </c>
      <c r="U62" t="s">
        <v>43</v>
      </c>
      <c r="V62" s="1">
        <v>45501</v>
      </c>
      <c r="W62">
        <f>Table1[[#This Row],[customer_purchase count]]+1</f>
        <v>18</v>
      </c>
      <c r="X62">
        <f>Table1[[#This Row],[customer_purchase count]]*Rules!$B$3</f>
        <v>1015.9941025641026</v>
      </c>
      <c r="Y62" t="str">
        <f>IF(Table1[[#This Row],[customer_subscription]]=1,"Subscribed","Not Subscribed")</f>
        <v>Subscribed</v>
      </c>
    </row>
    <row r="63" spans="1:26" x14ac:dyDescent="0.25">
      <c r="A63">
        <v>62</v>
      </c>
      <c r="B63">
        <v>55</v>
      </c>
      <c r="C63" t="s">
        <v>22</v>
      </c>
      <c r="D63">
        <v>62</v>
      </c>
      <c r="E63" t="s">
        <v>122</v>
      </c>
      <c r="F63" t="s">
        <v>70</v>
      </c>
      <c r="G63">
        <v>62</v>
      </c>
      <c r="H63">
        <v>273</v>
      </c>
      <c r="I63">
        <v>68</v>
      </c>
      <c r="J63" t="s">
        <v>108</v>
      </c>
      <c r="K63" t="s">
        <v>47</v>
      </c>
      <c r="L63" t="s">
        <v>124</v>
      </c>
      <c r="M63" t="s">
        <v>28</v>
      </c>
      <c r="N63">
        <v>4.7</v>
      </c>
      <c r="O63">
        <v>1</v>
      </c>
      <c r="P63" t="s">
        <v>77</v>
      </c>
      <c r="Q63" t="s">
        <v>30</v>
      </c>
      <c r="R63" t="s">
        <v>30</v>
      </c>
      <c r="S63">
        <v>21</v>
      </c>
      <c r="T63" t="s">
        <v>42</v>
      </c>
      <c r="U63" t="s">
        <v>100</v>
      </c>
      <c r="V63" s="1">
        <v>45348</v>
      </c>
      <c r="W63">
        <f>Table1[[#This Row],[customer_purchase count]]+1</f>
        <v>22</v>
      </c>
      <c r="X63">
        <f>Table1[[#This Row],[customer_purchase count]]*Rules!$B$3</f>
        <v>1255.0515384615385</v>
      </c>
      <c r="Y63" t="str">
        <f>IF(Table1[[#This Row],[customer_subscription]]=1,"Subscribed","Not Subscribed")</f>
        <v>Subscribed</v>
      </c>
    </row>
    <row r="64" spans="1:26" x14ac:dyDescent="0.25">
      <c r="A64">
        <v>63</v>
      </c>
      <c r="B64">
        <v>30</v>
      </c>
      <c r="C64" t="s">
        <v>22</v>
      </c>
      <c r="D64">
        <v>63</v>
      </c>
      <c r="E64" t="s">
        <v>53</v>
      </c>
      <c r="F64" t="s">
        <v>45</v>
      </c>
      <c r="G64">
        <v>63</v>
      </c>
      <c r="H64">
        <v>274</v>
      </c>
      <c r="I64">
        <v>21</v>
      </c>
      <c r="J64" t="s">
        <v>94</v>
      </c>
      <c r="K64" t="s">
        <v>39</v>
      </c>
      <c r="L64" t="s">
        <v>139</v>
      </c>
      <c r="M64" t="s">
        <v>40</v>
      </c>
      <c r="N64">
        <v>3.8</v>
      </c>
      <c r="O64">
        <v>1</v>
      </c>
      <c r="P64" t="s">
        <v>41</v>
      </c>
      <c r="Q64" t="s">
        <v>30</v>
      </c>
      <c r="R64" t="s">
        <v>30</v>
      </c>
      <c r="S64">
        <v>31</v>
      </c>
      <c r="T64" t="s">
        <v>42</v>
      </c>
      <c r="U64" t="s">
        <v>32</v>
      </c>
      <c r="V64" s="1">
        <v>45425</v>
      </c>
      <c r="W64">
        <f>Table1[[#This Row],[customer_purchase count]]+1</f>
        <v>32</v>
      </c>
      <c r="X64">
        <f>Table1[[#This Row],[customer_purchase count]]*Rules!$B$3</f>
        <v>1852.6951282051282</v>
      </c>
      <c r="Y64" t="str">
        <f>IF(Table1[[#This Row],[customer_subscription]]=1,"Subscribed","Not Subscribed")</f>
        <v>Subscribed</v>
      </c>
    </row>
    <row r="65" spans="1:26" x14ac:dyDescent="0.25">
      <c r="A65">
        <v>64</v>
      </c>
      <c r="B65">
        <v>33</v>
      </c>
      <c r="C65" t="s">
        <v>22</v>
      </c>
      <c r="D65">
        <v>64</v>
      </c>
      <c r="E65" t="s">
        <v>92</v>
      </c>
      <c r="F65" t="s">
        <v>70</v>
      </c>
      <c r="G65">
        <v>64</v>
      </c>
      <c r="H65">
        <v>275</v>
      </c>
      <c r="I65">
        <v>79</v>
      </c>
      <c r="J65" t="s">
        <v>120</v>
      </c>
      <c r="K65" t="s">
        <v>26</v>
      </c>
      <c r="L65" t="s">
        <v>96</v>
      </c>
      <c r="M65" t="s">
        <v>28</v>
      </c>
      <c r="N65">
        <v>2.7</v>
      </c>
      <c r="O65">
        <v>1</v>
      </c>
      <c r="P65" t="s">
        <v>73</v>
      </c>
      <c r="Q65" t="s">
        <v>30</v>
      </c>
      <c r="R65" t="s">
        <v>30</v>
      </c>
      <c r="S65">
        <v>43</v>
      </c>
      <c r="T65" t="s">
        <v>42</v>
      </c>
      <c r="U65" t="s">
        <v>43</v>
      </c>
      <c r="V65" s="1">
        <v>45299</v>
      </c>
      <c r="W65">
        <f>Table1[[#This Row],[customer_purchase count]]+1</f>
        <v>44</v>
      </c>
      <c r="X65">
        <f>Table1[[#This Row],[customer_purchase count]]*Rules!$B$3</f>
        <v>2569.8674358974358</v>
      </c>
      <c r="Y65" t="str">
        <f>IF(Table1[[#This Row],[customer_subscription]]=1,"Subscribed","Not Subscribed")</f>
        <v>Subscribed</v>
      </c>
      <c r="Z65" t="s">
        <v>193</v>
      </c>
    </row>
    <row r="66" spans="1:26" x14ac:dyDescent="0.25">
      <c r="A66">
        <v>65</v>
      </c>
      <c r="B66">
        <v>65</v>
      </c>
      <c r="C66" t="s">
        <v>22</v>
      </c>
      <c r="D66">
        <v>65</v>
      </c>
      <c r="E66" t="s">
        <v>140</v>
      </c>
      <c r="F66" t="s">
        <v>45</v>
      </c>
      <c r="G66">
        <v>65</v>
      </c>
      <c r="H66">
        <v>277</v>
      </c>
      <c r="I66">
        <v>83</v>
      </c>
      <c r="J66" t="s">
        <v>93</v>
      </c>
      <c r="K66" t="s">
        <v>39</v>
      </c>
      <c r="L66" t="s">
        <v>99</v>
      </c>
      <c r="M66" t="s">
        <v>60</v>
      </c>
      <c r="N66">
        <v>4.8</v>
      </c>
      <c r="O66">
        <v>1</v>
      </c>
      <c r="P66" t="s">
        <v>57</v>
      </c>
      <c r="Q66" t="s">
        <v>30</v>
      </c>
      <c r="R66" t="s">
        <v>30</v>
      </c>
      <c r="S66">
        <v>18</v>
      </c>
      <c r="T66" t="s">
        <v>89</v>
      </c>
      <c r="U66" t="s">
        <v>32</v>
      </c>
      <c r="V66" s="1">
        <v>45597</v>
      </c>
      <c r="W66">
        <f>Table1[[#This Row],[customer_purchase count]]+1</f>
        <v>19</v>
      </c>
      <c r="X66">
        <f>Table1[[#This Row],[customer_purchase count]]*Rules!$B$3</f>
        <v>1075.7584615384617</v>
      </c>
      <c r="Y66" t="str">
        <f>IF(Table1[[#This Row],[customer_subscription]]=1,"Subscribed","Not Subscribed")</f>
        <v>Subscribed</v>
      </c>
    </row>
    <row r="67" spans="1:26" x14ac:dyDescent="0.25">
      <c r="A67">
        <v>66</v>
      </c>
      <c r="B67">
        <v>65</v>
      </c>
      <c r="C67" t="s">
        <v>22</v>
      </c>
      <c r="D67">
        <v>66</v>
      </c>
      <c r="E67" t="s">
        <v>135</v>
      </c>
      <c r="F67" t="s">
        <v>70</v>
      </c>
      <c r="G67">
        <v>66</v>
      </c>
      <c r="H67">
        <v>278</v>
      </c>
      <c r="I67">
        <v>36</v>
      </c>
      <c r="J67" t="s">
        <v>130</v>
      </c>
      <c r="K67" t="s">
        <v>47</v>
      </c>
      <c r="L67" t="s">
        <v>76</v>
      </c>
      <c r="M67" t="s">
        <v>40</v>
      </c>
      <c r="N67">
        <v>4.8</v>
      </c>
      <c r="O67">
        <v>1</v>
      </c>
      <c r="P67" t="s">
        <v>73</v>
      </c>
      <c r="Q67" t="s">
        <v>30</v>
      </c>
      <c r="R67" t="s">
        <v>30</v>
      </c>
      <c r="S67">
        <v>44</v>
      </c>
      <c r="T67" t="s">
        <v>31</v>
      </c>
      <c r="U67" t="s">
        <v>100</v>
      </c>
      <c r="V67" s="1">
        <v>45433</v>
      </c>
      <c r="W67">
        <f>Table1[[#This Row],[customer_purchase count]]+1</f>
        <v>45</v>
      </c>
      <c r="X67">
        <f>Table1[[#This Row],[customer_purchase count]]*Rules!$B$3</f>
        <v>2629.6317948717951</v>
      </c>
      <c r="Y67" t="str">
        <f>IF(Table1[[#This Row],[customer_subscription]]=1,"Subscribed","Not Subscribed")</f>
        <v>Subscribed</v>
      </c>
    </row>
    <row r="68" spans="1:26" x14ac:dyDescent="0.25">
      <c r="A68">
        <v>67</v>
      </c>
      <c r="B68">
        <v>31</v>
      </c>
      <c r="C68" t="s">
        <v>22</v>
      </c>
      <c r="D68">
        <v>67</v>
      </c>
      <c r="E68" t="s">
        <v>23</v>
      </c>
      <c r="F68" t="s">
        <v>24</v>
      </c>
      <c r="G68">
        <v>67</v>
      </c>
      <c r="H68">
        <v>279</v>
      </c>
      <c r="I68">
        <v>94</v>
      </c>
      <c r="J68" t="s">
        <v>141</v>
      </c>
      <c r="K68" t="s">
        <v>39</v>
      </c>
      <c r="L68" t="s">
        <v>139</v>
      </c>
      <c r="M68" t="s">
        <v>28</v>
      </c>
      <c r="N68">
        <v>4.7</v>
      </c>
      <c r="O68">
        <v>1</v>
      </c>
      <c r="P68" t="s">
        <v>73</v>
      </c>
      <c r="Q68" t="s">
        <v>30</v>
      </c>
      <c r="R68" t="s">
        <v>30</v>
      </c>
      <c r="S68">
        <v>3</v>
      </c>
      <c r="T68" t="s">
        <v>31</v>
      </c>
      <c r="U68" t="s">
        <v>100</v>
      </c>
      <c r="V68" s="1">
        <v>45308</v>
      </c>
      <c r="W68">
        <f>Table1[[#This Row],[customer_purchase count]]+1</f>
        <v>4</v>
      </c>
      <c r="X68">
        <f>Table1[[#This Row],[customer_purchase count]]*Rules!$B$3</f>
        <v>179.29307692307694</v>
      </c>
      <c r="Y68" t="str">
        <f>IF(Table1[[#This Row],[customer_subscription]]=1,"Subscribed","Not Subscribed")</f>
        <v>Subscribed</v>
      </c>
    </row>
    <row r="69" spans="1:26" x14ac:dyDescent="0.25">
      <c r="A69">
        <v>68</v>
      </c>
      <c r="B69">
        <v>45</v>
      </c>
      <c r="C69" t="s">
        <v>22</v>
      </c>
      <c r="D69">
        <v>68</v>
      </c>
      <c r="E69" t="s">
        <v>65</v>
      </c>
      <c r="F69" t="s">
        <v>66</v>
      </c>
      <c r="G69">
        <v>68</v>
      </c>
      <c r="H69">
        <v>280</v>
      </c>
      <c r="I69">
        <v>33</v>
      </c>
      <c r="J69" t="s">
        <v>142</v>
      </c>
      <c r="K69" t="s">
        <v>26</v>
      </c>
      <c r="L69" t="s">
        <v>27</v>
      </c>
      <c r="M69" t="s">
        <v>28</v>
      </c>
      <c r="N69">
        <v>4.4000000000000004</v>
      </c>
      <c r="O69">
        <v>1</v>
      </c>
      <c r="P69" t="s">
        <v>77</v>
      </c>
      <c r="Q69" t="s">
        <v>30</v>
      </c>
      <c r="R69" t="s">
        <v>30</v>
      </c>
      <c r="S69">
        <v>49</v>
      </c>
      <c r="T69" t="s">
        <v>89</v>
      </c>
      <c r="U69" t="s">
        <v>91</v>
      </c>
      <c r="V69" s="1">
        <v>45350</v>
      </c>
      <c r="W69">
        <f>Table1[[#This Row],[customer_purchase count]]+1</f>
        <v>50</v>
      </c>
      <c r="X69">
        <f>Table1[[#This Row],[customer_purchase count]]*Rules!$B$3</f>
        <v>2928.4535897435899</v>
      </c>
      <c r="Y69" t="str">
        <f>IF(Table1[[#This Row],[customer_subscription]]=1,"Subscribed","Not Subscribed")</f>
        <v>Subscribed</v>
      </c>
      <c r="Z69" t="s">
        <v>193</v>
      </c>
    </row>
    <row r="70" spans="1:26" x14ac:dyDescent="0.25">
      <c r="A70">
        <v>69</v>
      </c>
      <c r="B70">
        <v>57</v>
      </c>
      <c r="C70" t="s">
        <v>22</v>
      </c>
      <c r="D70">
        <v>69</v>
      </c>
      <c r="E70" t="s">
        <v>69</v>
      </c>
      <c r="F70" t="s">
        <v>70</v>
      </c>
      <c r="G70">
        <v>69</v>
      </c>
      <c r="H70">
        <v>281</v>
      </c>
      <c r="I70">
        <v>46</v>
      </c>
      <c r="J70" t="s">
        <v>143</v>
      </c>
      <c r="K70" t="s">
        <v>26</v>
      </c>
      <c r="L70" t="s">
        <v>68</v>
      </c>
      <c r="M70" t="s">
        <v>56</v>
      </c>
      <c r="N70">
        <v>3.9</v>
      </c>
      <c r="O70">
        <v>1</v>
      </c>
      <c r="P70" t="s">
        <v>48</v>
      </c>
      <c r="Q70" t="s">
        <v>30</v>
      </c>
      <c r="R70" t="s">
        <v>30</v>
      </c>
      <c r="S70">
        <v>21</v>
      </c>
      <c r="T70" t="s">
        <v>36</v>
      </c>
      <c r="U70" t="s">
        <v>100</v>
      </c>
      <c r="V70" s="1">
        <v>45515</v>
      </c>
      <c r="W70">
        <f>Table1[[#This Row],[customer_purchase count]]+1</f>
        <v>22</v>
      </c>
      <c r="X70">
        <f>Table1[[#This Row],[customer_purchase count]]*Rules!$B$3</f>
        <v>1255.0515384615385</v>
      </c>
      <c r="Y70" t="str">
        <f>IF(Table1[[#This Row],[customer_subscription]]=1,"Subscribed","Not Subscribed")</f>
        <v>Subscribed</v>
      </c>
    </row>
    <row r="71" spans="1:26" x14ac:dyDescent="0.25">
      <c r="A71">
        <v>70</v>
      </c>
      <c r="B71">
        <v>48</v>
      </c>
      <c r="C71" t="s">
        <v>22</v>
      </c>
      <c r="D71">
        <v>70</v>
      </c>
      <c r="E71" t="s">
        <v>136</v>
      </c>
      <c r="F71" t="s">
        <v>70</v>
      </c>
      <c r="G71">
        <v>70</v>
      </c>
      <c r="H71">
        <v>283</v>
      </c>
      <c r="I71">
        <v>70</v>
      </c>
      <c r="J71" t="s">
        <v>125</v>
      </c>
      <c r="K71" t="s">
        <v>39</v>
      </c>
      <c r="L71" t="s">
        <v>112</v>
      </c>
      <c r="M71" t="s">
        <v>56</v>
      </c>
      <c r="N71">
        <v>4.4000000000000004</v>
      </c>
      <c r="O71">
        <v>1</v>
      </c>
      <c r="P71" t="s">
        <v>29</v>
      </c>
      <c r="Q71" t="s">
        <v>30</v>
      </c>
      <c r="R71" t="s">
        <v>30</v>
      </c>
      <c r="S71">
        <v>5</v>
      </c>
      <c r="T71" t="s">
        <v>36</v>
      </c>
      <c r="U71" t="s">
        <v>43</v>
      </c>
      <c r="V71" s="1">
        <v>45447</v>
      </c>
      <c r="W71">
        <f>Table1[[#This Row],[customer_purchase count]]+1</f>
        <v>6</v>
      </c>
      <c r="X71">
        <f>Table1[[#This Row],[customer_purchase count]]*Rules!$B$3</f>
        <v>298.82179487179491</v>
      </c>
      <c r="Y71" t="str">
        <f>IF(Table1[[#This Row],[customer_subscription]]=1,"Subscribed","Not Subscribed")</f>
        <v>Subscribed</v>
      </c>
    </row>
    <row r="72" spans="1:26" x14ac:dyDescent="0.25">
      <c r="A72">
        <v>71</v>
      </c>
      <c r="B72">
        <v>22</v>
      </c>
      <c r="C72" t="s">
        <v>22</v>
      </c>
      <c r="D72">
        <v>71</v>
      </c>
      <c r="E72" t="s">
        <v>136</v>
      </c>
      <c r="F72" t="s">
        <v>70</v>
      </c>
      <c r="G72">
        <v>71</v>
      </c>
      <c r="H72">
        <v>284</v>
      </c>
      <c r="I72">
        <v>29</v>
      </c>
      <c r="J72" t="s">
        <v>93</v>
      </c>
      <c r="K72" t="s">
        <v>47</v>
      </c>
      <c r="L72" t="s">
        <v>139</v>
      </c>
      <c r="M72" t="s">
        <v>60</v>
      </c>
      <c r="N72">
        <v>4.2</v>
      </c>
      <c r="O72">
        <v>1</v>
      </c>
      <c r="P72" t="s">
        <v>29</v>
      </c>
      <c r="Q72" t="s">
        <v>30</v>
      </c>
      <c r="R72" t="s">
        <v>30</v>
      </c>
      <c r="S72">
        <v>32</v>
      </c>
      <c r="T72" t="s">
        <v>89</v>
      </c>
      <c r="U72" t="s">
        <v>100</v>
      </c>
      <c r="V72" s="1">
        <v>45581</v>
      </c>
      <c r="W72">
        <f>Table1[[#This Row],[customer_purchase count]]+1</f>
        <v>33</v>
      </c>
      <c r="X72">
        <f>Table1[[#This Row],[customer_purchase count]]*Rules!$B$3</f>
        <v>1912.4594871794873</v>
      </c>
      <c r="Y72" t="str">
        <f>IF(Table1[[#This Row],[customer_subscription]]=1,"Subscribed","Not Subscribed")</f>
        <v>Subscribed</v>
      </c>
    </row>
    <row r="73" spans="1:26" x14ac:dyDescent="0.25">
      <c r="A73">
        <v>72</v>
      </c>
      <c r="B73">
        <v>36</v>
      </c>
      <c r="C73" t="s">
        <v>22</v>
      </c>
      <c r="D73">
        <v>72</v>
      </c>
      <c r="E73" t="s">
        <v>84</v>
      </c>
      <c r="F73" t="s">
        <v>24</v>
      </c>
      <c r="G73">
        <v>72</v>
      </c>
      <c r="H73">
        <v>285</v>
      </c>
      <c r="I73">
        <v>48</v>
      </c>
      <c r="J73" t="s">
        <v>144</v>
      </c>
      <c r="K73" t="s">
        <v>26</v>
      </c>
      <c r="L73" t="s">
        <v>83</v>
      </c>
      <c r="M73" t="s">
        <v>56</v>
      </c>
      <c r="N73">
        <v>2.9</v>
      </c>
      <c r="O73">
        <v>1</v>
      </c>
      <c r="P73" t="s">
        <v>29</v>
      </c>
      <c r="Q73" t="s">
        <v>30</v>
      </c>
      <c r="R73" t="s">
        <v>30</v>
      </c>
      <c r="S73">
        <v>34</v>
      </c>
      <c r="T73" t="s">
        <v>78</v>
      </c>
      <c r="U73" t="s">
        <v>52</v>
      </c>
      <c r="V73" s="1">
        <v>45483</v>
      </c>
      <c r="W73">
        <f>Table1[[#This Row],[customer_purchase count]]+1</f>
        <v>35</v>
      </c>
      <c r="X73">
        <f>Table1[[#This Row],[customer_purchase count]]*Rules!$B$3</f>
        <v>2031.9882051282052</v>
      </c>
      <c r="Y73" t="str">
        <f>IF(Table1[[#This Row],[customer_subscription]]=1,"Subscribed","Not Subscribed")</f>
        <v>Subscribed</v>
      </c>
      <c r="Z73" t="s">
        <v>193</v>
      </c>
    </row>
    <row r="74" spans="1:26" x14ac:dyDescent="0.25">
      <c r="A74">
        <v>73</v>
      </c>
      <c r="B74">
        <v>18</v>
      </c>
      <c r="C74" t="s">
        <v>22</v>
      </c>
      <c r="D74">
        <v>73</v>
      </c>
      <c r="E74" t="s">
        <v>84</v>
      </c>
      <c r="F74" t="s">
        <v>24</v>
      </c>
      <c r="G74">
        <v>73</v>
      </c>
      <c r="H74">
        <v>286</v>
      </c>
      <c r="I74">
        <v>26</v>
      </c>
      <c r="J74" t="s">
        <v>145</v>
      </c>
      <c r="K74" t="s">
        <v>47</v>
      </c>
      <c r="L74" t="s">
        <v>81</v>
      </c>
      <c r="M74" t="s">
        <v>28</v>
      </c>
      <c r="N74">
        <v>2.9</v>
      </c>
      <c r="O74">
        <v>1</v>
      </c>
      <c r="P74" t="s">
        <v>77</v>
      </c>
      <c r="Q74" t="s">
        <v>30</v>
      </c>
      <c r="R74" t="s">
        <v>30</v>
      </c>
      <c r="S74">
        <v>21</v>
      </c>
      <c r="T74" t="s">
        <v>78</v>
      </c>
      <c r="U74" t="s">
        <v>100</v>
      </c>
      <c r="V74" s="1">
        <v>45344</v>
      </c>
      <c r="W74">
        <f>Table1[[#This Row],[customer_purchase count]]+1</f>
        <v>22</v>
      </c>
      <c r="X74">
        <f>Table1[[#This Row],[customer_purchase count]]*Rules!$B$3</f>
        <v>1255.0515384615385</v>
      </c>
      <c r="Y74" t="str">
        <f>IF(Table1[[#This Row],[customer_subscription]]=1,"Subscribed","Not Subscribed")</f>
        <v>Subscribed</v>
      </c>
    </row>
    <row r="75" spans="1:26" x14ac:dyDescent="0.25">
      <c r="A75">
        <v>74</v>
      </c>
      <c r="B75">
        <v>48</v>
      </c>
      <c r="C75" t="s">
        <v>22</v>
      </c>
      <c r="D75">
        <v>74</v>
      </c>
      <c r="E75" t="s">
        <v>98</v>
      </c>
      <c r="F75" t="s">
        <v>24</v>
      </c>
      <c r="G75">
        <v>74</v>
      </c>
      <c r="H75">
        <v>287</v>
      </c>
      <c r="I75">
        <v>85</v>
      </c>
      <c r="J75" t="s">
        <v>80</v>
      </c>
      <c r="K75" t="s">
        <v>47</v>
      </c>
      <c r="L75" t="s">
        <v>88</v>
      </c>
      <c r="M75" t="s">
        <v>40</v>
      </c>
      <c r="N75">
        <v>2.7</v>
      </c>
      <c r="O75">
        <v>1</v>
      </c>
      <c r="P75" t="s">
        <v>41</v>
      </c>
      <c r="Q75" t="s">
        <v>30</v>
      </c>
      <c r="R75" t="s">
        <v>30</v>
      </c>
      <c r="S75">
        <v>43</v>
      </c>
      <c r="T75" t="s">
        <v>78</v>
      </c>
      <c r="U75" t="s">
        <v>79</v>
      </c>
      <c r="V75" s="1">
        <v>45405</v>
      </c>
      <c r="W75">
        <f>Table1[[#This Row],[customer_purchase count]]+1</f>
        <v>44</v>
      </c>
      <c r="X75">
        <f>Table1[[#This Row],[customer_purchase count]]*Rules!$B$3</f>
        <v>2569.8674358974358</v>
      </c>
      <c r="Y75" t="str">
        <f>IF(Table1[[#This Row],[customer_subscription]]=1,"Subscribed","Not Subscribed")</f>
        <v>Subscribed</v>
      </c>
      <c r="Z75" t="s">
        <v>193</v>
      </c>
    </row>
    <row r="76" spans="1:26" x14ac:dyDescent="0.25">
      <c r="A76">
        <v>75</v>
      </c>
      <c r="B76">
        <v>49</v>
      </c>
      <c r="C76" t="s">
        <v>22</v>
      </c>
      <c r="D76">
        <v>75</v>
      </c>
      <c r="E76" t="s">
        <v>146</v>
      </c>
      <c r="F76" t="s">
        <v>70</v>
      </c>
      <c r="G76">
        <v>75</v>
      </c>
      <c r="H76">
        <v>289</v>
      </c>
      <c r="I76">
        <v>58</v>
      </c>
      <c r="J76" t="s">
        <v>119</v>
      </c>
      <c r="K76" t="s">
        <v>26</v>
      </c>
      <c r="L76" t="s">
        <v>86</v>
      </c>
      <c r="M76" t="s">
        <v>40</v>
      </c>
      <c r="N76">
        <v>4.5</v>
      </c>
      <c r="O76">
        <v>1</v>
      </c>
      <c r="P76" t="s">
        <v>29</v>
      </c>
      <c r="Q76" t="s">
        <v>30</v>
      </c>
      <c r="R76" t="s">
        <v>30</v>
      </c>
      <c r="S76">
        <v>3</v>
      </c>
      <c r="T76" t="s">
        <v>36</v>
      </c>
      <c r="U76" t="s">
        <v>91</v>
      </c>
      <c r="V76" s="1">
        <v>45415</v>
      </c>
      <c r="W76">
        <f>Table1[[#This Row],[customer_purchase count]]+1</f>
        <v>4</v>
      </c>
      <c r="X76">
        <f>Table1[[#This Row],[customer_purchase count]]*Rules!$B$3</f>
        <v>179.29307692307694</v>
      </c>
      <c r="Y76" t="str">
        <f>IF(Table1[[#This Row],[customer_subscription]]=1,"Subscribed","Not Subscribed")</f>
        <v>Subscribed</v>
      </c>
    </row>
    <row r="77" spans="1:26" x14ac:dyDescent="0.25">
      <c r="A77">
        <v>76</v>
      </c>
      <c r="B77">
        <v>64</v>
      </c>
      <c r="C77" t="s">
        <v>22</v>
      </c>
      <c r="D77">
        <v>76</v>
      </c>
      <c r="E77" t="s">
        <v>122</v>
      </c>
      <c r="F77" t="s">
        <v>70</v>
      </c>
      <c r="G77">
        <v>76</v>
      </c>
      <c r="H77">
        <v>290</v>
      </c>
      <c r="I77">
        <v>85</v>
      </c>
      <c r="J77" t="s">
        <v>143</v>
      </c>
      <c r="K77" t="s">
        <v>47</v>
      </c>
      <c r="L77" t="s">
        <v>147</v>
      </c>
      <c r="M77" t="s">
        <v>56</v>
      </c>
      <c r="N77">
        <v>2.7</v>
      </c>
      <c r="O77">
        <v>1</v>
      </c>
      <c r="P77" t="s">
        <v>41</v>
      </c>
      <c r="Q77" t="s">
        <v>30</v>
      </c>
      <c r="R77" t="s">
        <v>30</v>
      </c>
      <c r="S77">
        <v>21</v>
      </c>
      <c r="T77" t="s">
        <v>42</v>
      </c>
      <c r="U77" t="s">
        <v>52</v>
      </c>
      <c r="V77" s="1">
        <v>45449</v>
      </c>
      <c r="W77">
        <f>Table1[[#This Row],[customer_purchase count]]+1</f>
        <v>22</v>
      </c>
      <c r="X77">
        <f>Table1[[#This Row],[customer_purchase count]]*Rules!$B$3</f>
        <v>1255.0515384615385</v>
      </c>
      <c r="Y77" t="str">
        <f>IF(Table1[[#This Row],[customer_subscription]]=1,"Subscribed","Not Subscribed")</f>
        <v>Subscribed</v>
      </c>
    </row>
    <row r="78" spans="1:26" x14ac:dyDescent="0.25">
      <c r="A78">
        <v>77</v>
      </c>
      <c r="B78">
        <v>50</v>
      </c>
      <c r="C78" t="s">
        <v>22</v>
      </c>
      <c r="D78">
        <v>77</v>
      </c>
      <c r="E78" t="s">
        <v>127</v>
      </c>
      <c r="F78" t="s">
        <v>70</v>
      </c>
      <c r="G78">
        <v>77</v>
      </c>
      <c r="H78">
        <v>291</v>
      </c>
      <c r="I78">
        <v>43</v>
      </c>
      <c r="J78" t="s">
        <v>82</v>
      </c>
      <c r="K78" t="s">
        <v>39</v>
      </c>
      <c r="L78" t="s">
        <v>88</v>
      </c>
      <c r="M78" t="s">
        <v>56</v>
      </c>
      <c r="N78">
        <v>4.2</v>
      </c>
      <c r="O78">
        <v>1</v>
      </c>
      <c r="P78" t="s">
        <v>41</v>
      </c>
      <c r="Q78" t="s">
        <v>30</v>
      </c>
      <c r="R78" t="s">
        <v>30</v>
      </c>
      <c r="S78">
        <v>32</v>
      </c>
      <c r="T78" t="s">
        <v>31</v>
      </c>
      <c r="U78" t="s">
        <v>91</v>
      </c>
      <c r="V78" s="1">
        <v>45510</v>
      </c>
      <c r="W78">
        <f>Table1[[#This Row],[customer_purchase count]]+1</f>
        <v>33</v>
      </c>
      <c r="X78">
        <f>Table1[[#This Row],[customer_purchase count]]*Rules!$B$3</f>
        <v>1912.4594871794873</v>
      </c>
      <c r="Y78" t="str">
        <f>IF(Table1[[#This Row],[customer_subscription]]=1,"Subscribed","Not Subscribed")</f>
        <v>Subscribed</v>
      </c>
    </row>
    <row r="79" spans="1:26" x14ac:dyDescent="0.25">
      <c r="A79">
        <v>78</v>
      </c>
      <c r="B79">
        <v>22</v>
      </c>
      <c r="C79" t="s">
        <v>22</v>
      </c>
      <c r="D79">
        <v>78</v>
      </c>
      <c r="E79" t="s">
        <v>84</v>
      </c>
      <c r="F79" t="s">
        <v>24</v>
      </c>
      <c r="G79">
        <v>78</v>
      </c>
      <c r="H79">
        <v>292</v>
      </c>
      <c r="I79">
        <v>53</v>
      </c>
      <c r="J79" t="s">
        <v>82</v>
      </c>
      <c r="K79" t="s">
        <v>26</v>
      </c>
      <c r="L79" t="s">
        <v>83</v>
      </c>
      <c r="M79" t="s">
        <v>56</v>
      </c>
      <c r="N79">
        <v>3.3</v>
      </c>
      <c r="O79">
        <v>1</v>
      </c>
      <c r="P79" t="s">
        <v>48</v>
      </c>
      <c r="Q79" t="s">
        <v>30</v>
      </c>
      <c r="R79" t="s">
        <v>30</v>
      </c>
      <c r="S79">
        <v>36</v>
      </c>
      <c r="T79" t="s">
        <v>89</v>
      </c>
      <c r="U79" t="s">
        <v>32</v>
      </c>
      <c r="V79" s="1">
        <v>45455</v>
      </c>
      <c r="W79">
        <f>Table1[[#This Row],[customer_purchase count]]+1</f>
        <v>37</v>
      </c>
      <c r="X79">
        <f>Table1[[#This Row],[customer_purchase count]]*Rules!$B$3</f>
        <v>2151.5169230769234</v>
      </c>
      <c r="Y79" t="str">
        <f>IF(Table1[[#This Row],[customer_subscription]]=1,"Subscribed","Not Subscribed")</f>
        <v>Subscribed</v>
      </c>
    </row>
    <row r="80" spans="1:26" x14ac:dyDescent="0.25">
      <c r="A80">
        <v>79</v>
      </c>
      <c r="B80">
        <v>50</v>
      </c>
      <c r="C80" t="s">
        <v>22</v>
      </c>
      <c r="D80">
        <v>79</v>
      </c>
      <c r="E80" t="s">
        <v>90</v>
      </c>
      <c r="F80" t="s">
        <v>24</v>
      </c>
      <c r="G80">
        <v>79</v>
      </c>
      <c r="H80">
        <v>293</v>
      </c>
      <c r="I80">
        <v>91</v>
      </c>
      <c r="J80" t="s">
        <v>148</v>
      </c>
      <c r="K80" t="s">
        <v>47</v>
      </c>
      <c r="L80" t="s">
        <v>35</v>
      </c>
      <c r="M80" t="s">
        <v>40</v>
      </c>
      <c r="N80">
        <v>4.7</v>
      </c>
      <c r="O80">
        <v>1</v>
      </c>
      <c r="P80" t="s">
        <v>41</v>
      </c>
      <c r="Q80" t="s">
        <v>30</v>
      </c>
      <c r="R80" t="s">
        <v>30</v>
      </c>
      <c r="S80">
        <v>50</v>
      </c>
      <c r="T80" t="s">
        <v>31</v>
      </c>
      <c r="U80" t="s">
        <v>32</v>
      </c>
      <c r="V80" s="1">
        <v>45405</v>
      </c>
      <c r="W80">
        <f>Table1[[#This Row],[customer_purchase count]]+1</f>
        <v>51</v>
      </c>
      <c r="X80">
        <f>Table1[[#This Row],[customer_purchase count]]*Rules!$B$3</f>
        <v>2988.2179487179487</v>
      </c>
      <c r="Y80" t="str">
        <f>IF(Table1[[#This Row],[customer_subscription]]=1,"Subscribed","Not Subscribed")</f>
        <v>Subscribed</v>
      </c>
      <c r="Z80" t="s">
        <v>193</v>
      </c>
    </row>
    <row r="81" spans="1:26" x14ac:dyDescent="0.25">
      <c r="A81">
        <v>80</v>
      </c>
      <c r="B81">
        <v>38</v>
      </c>
      <c r="C81" t="s">
        <v>22</v>
      </c>
      <c r="D81">
        <v>80</v>
      </c>
      <c r="E81" t="s">
        <v>105</v>
      </c>
      <c r="F81" t="s">
        <v>66</v>
      </c>
      <c r="G81">
        <v>80</v>
      </c>
      <c r="H81">
        <v>295</v>
      </c>
      <c r="I81">
        <v>96</v>
      </c>
      <c r="J81" t="s">
        <v>149</v>
      </c>
      <c r="K81" t="s">
        <v>47</v>
      </c>
      <c r="L81" t="s">
        <v>81</v>
      </c>
      <c r="M81" t="s">
        <v>28</v>
      </c>
      <c r="N81">
        <v>2.6</v>
      </c>
      <c r="O81">
        <v>1</v>
      </c>
      <c r="P81" t="s">
        <v>73</v>
      </c>
      <c r="Q81" t="s">
        <v>30</v>
      </c>
      <c r="R81" t="s">
        <v>30</v>
      </c>
      <c r="S81">
        <v>43</v>
      </c>
      <c r="T81" t="s">
        <v>78</v>
      </c>
      <c r="U81" t="s">
        <v>100</v>
      </c>
      <c r="V81" s="1">
        <v>45629</v>
      </c>
      <c r="W81">
        <f>Table1[[#This Row],[customer_purchase count]]+1</f>
        <v>44</v>
      </c>
      <c r="X81">
        <f>Table1[[#This Row],[customer_purchase count]]*Rules!$B$3</f>
        <v>2569.8674358974358</v>
      </c>
      <c r="Y81" t="str">
        <f>IF(Table1[[#This Row],[customer_subscription]]=1,"Subscribed","Not Subscribed")</f>
        <v>Subscribed</v>
      </c>
      <c r="Z81" t="s">
        <v>193</v>
      </c>
    </row>
    <row r="82" spans="1:26" x14ac:dyDescent="0.25">
      <c r="A82">
        <v>81</v>
      </c>
      <c r="B82">
        <v>19</v>
      </c>
      <c r="C82" t="s">
        <v>22</v>
      </c>
      <c r="D82">
        <v>81</v>
      </c>
      <c r="E82" t="s">
        <v>44</v>
      </c>
      <c r="F82" t="s">
        <v>45</v>
      </c>
      <c r="G82">
        <v>81</v>
      </c>
      <c r="H82">
        <v>296</v>
      </c>
      <c r="I82">
        <v>72</v>
      </c>
      <c r="J82" t="s">
        <v>87</v>
      </c>
      <c r="K82" t="s">
        <v>95</v>
      </c>
      <c r="L82" t="s">
        <v>147</v>
      </c>
      <c r="M82" t="s">
        <v>56</v>
      </c>
      <c r="N82">
        <v>3.3</v>
      </c>
      <c r="O82">
        <v>1</v>
      </c>
      <c r="P82" t="s">
        <v>77</v>
      </c>
      <c r="Q82" t="s">
        <v>30</v>
      </c>
      <c r="R82" t="s">
        <v>30</v>
      </c>
      <c r="S82">
        <v>24</v>
      </c>
      <c r="T82" t="s">
        <v>42</v>
      </c>
      <c r="U82" t="s">
        <v>100</v>
      </c>
      <c r="V82" s="1">
        <v>45474</v>
      </c>
      <c r="W82">
        <f>Table1[[#This Row],[customer_purchase count]]+1</f>
        <v>25</v>
      </c>
      <c r="X82">
        <f>Table1[[#This Row],[customer_purchase count]]*Rules!$B$3</f>
        <v>1434.3446153846155</v>
      </c>
      <c r="Y82" t="str">
        <f>IF(Table1[[#This Row],[customer_subscription]]=1,"Subscribed","Not Subscribed")</f>
        <v>Subscribed</v>
      </c>
    </row>
    <row r="83" spans="1:26" x14ac:dyDescent="0.25">
      <c r="A83">
        <v>82</v>
      </c>
      <c r="B83">
        <v>67</v>
      </c>
      <c r="C83" t="s">
        <v>22</v>
      </c>
      <c r="D83">
        <v>82</v>
      </c>
      <c r="E83" t="s">
        <v>74</v>
      </c>
      <c r="F83" t="s">
        <v>45</v>
      </c>
      <c r="G83">
        <v>82</v>
      </c>
      <c r="H83">
        <v>297</v>
      </c>
      <c r="I83">
        <v>96</v>
      </c>
      <c r="J83" t="s">
        <v>144</v>
      </c>
      <c r="K83" t="s">
        <v>26</v>
      </c>
      <c r="L83" t="s">
        <v>35</v>
      </c>
      <c r="M83" t="s">
        <v>56</v>
      </c>
      <c r="N83">
        <v>2.6</v>
      </c>
      <c r="O83">
        <v>1</v>
      </c>
      <c r="P83" t="s">
        <v>29</v>
      </c>
      <c r="Q83" t="s">
        <v>30</v>
      </c>
      <c r="R83" t="s">
        <v>30</v>
      </c>
      <c r="S83">
        <v>36</v>
      </c>
      <c r="T83" t="s">
        <v>42</v>
      </c>
      <c r="U83" t="s">
        <v>100</v>
      </c>
      <c r="V83" s="1">
        <v>45518</v>
      </c>
      <c r="W83">
        <f>Table1[[#This Row],[customer_purchase count]]+1</f>
        <v>37</v>
      </c>
      <c r="X83">
        <f>Table1[[#This Row],[customer_purchase count]]*Rules!$B$3</f>
        <v>2151.5169230769234</v>
      </c>
      <c r="Y83" t="str">
        <f>IF(Table1[[#This Row],[customer_subscription]]=1,"Subscribed","Not Subscribed")</f>
        <v>Subscribed</v>
      </c>
    </row>
    <row r="84" spans="1:26" x14ac:dyDescent="0.25">
      <c r="A84">
        <v>83</v>
      </c>
      <c r="B84">
        <v>19</v>
      </c>
      <c r="C84" t="s">
        <v>22</v>
      </c>
      <c r="D84">
        <v>83</v>
      </c>
      <c r="E84" t="s">
        <v>98</v>
      </c>
      <c r="F84" t="s">
        <v>24</v>
      </c>
      <c r="G84">
        <v>83</v>
      </c>
      <c r="H84">
        <v>298</v>
      </c>
      <c r="I84">
        <v>28</v>
      </c>
      <c r="J84" t="s">
        <v>145</v>
      </c>
      <c r="K84" t="s">
        <v>39</v>
      </c>
      <c r="L84" t="s">
        <v>81</v>
      </c>
      <c r="M84" t="s">
        <v>40</v>
      </c>
      <c r="N84">
        <v>4</v>
      </c>
      <c r="O84">
        <v>1</v>
      </c>
      <c r="P84" t="s">
        <v>73</v>
      </c>
      <c r="Q84" t="s">
        <v>30</v>
      </c>
      <c r="R84" t="s">
        <v>30</v>
      </c>
      <c r="S84">
        <v>21</v>
      </c>
      <c r="T84" t="s">
        <v>42</v>
      </c>
      <c r="U84" t="s">
        <v>100</v>
      </c>
      <c r="V84" s="1">
        <v>45367</v>
      </c>
      <c r="W84">
        <f>Table1[[#This Row],[customer_purchase count]]+1</f>
        <v>22</v>
      </c>
      <c r="X84">
        <f>Table1[[#This Row],[customer_purchase count]]*Rules!$B$3</f>
        <v>1255.0515384615385</v>
      </c>
      <c r="Y84" t="str">
        <f>IF(Table1[[#This Row],[customer_subscription]]=1,"Subscribed","Not Subscribed")</f>
        <v>Subscribed</v>
      </c>
    </row>
    <row r="85" spans="1:26" x14ac:dyDescent="0.25">
      <c r="A85">
        <v>84</v>
      </c>
      <c r="B85">
        <v>36</v>
      </c>
      <c r="C85" t="s">
        <v>22</v>
      </c>
      <c r="D85">
        <v>84</v>
      </c>
      <c r="E85" t="s">
        <v>84</v>
      </c>
      <c r="F85" t="s">
        <v>24</v>
      </c>
      <c r="G85">
        <v>84</v>
      </c>
      <c r="H85">
        <v>299</v>
      </c>
      <c r="I85">
        <v>40</v>
      </c>
      <c r="J85" t="s">
        <v>108</v>
      </c>
      <c r="K85" t="s">
        <v>47</v>
      </c>
      <c r="L85" t="s">
        <v>51</v>
      </c>
      <c r="M85" t="s">
        <v>56</v>
      </c>
      <c r="N85">
        <v>4.0999999999999996</v>
      </c>
      <c r="O85">
        <v>1</v>
      </c>
      <c r="P85" t="s">
        <v>57</v>
      </c>
      <c r="Q85" t="s">
        <v>30</v>
      </c>
      <c r="R85" t="s">
        <v>30</v>
      </c>
      <c r="S85">
        <v>34</v>
      </c>
      <c r="T85" t="s">
        <v>78</v>
      </c>
      <c r="U85" t="s">
        <v>43</v>
      </c>
      <c r="V85" s="1">
        <v>45506</v>
      </c>
      <c r="W85">
        <f>Table1[[#This Row],[customer_purchase count]]+1</f>
        <v>35</v>
      </c>
      <c r="X85">
        <f>Table1[[#This Row],[customer_purchase count]]*Rules!$B$3</f>
        <v>2031.9882051282052</v>
      </c>
      <c r="Y85" t="str">
        <f>IF(Table1[[#This Row],[customer_subscription]]=1,"Subscribed","Not Subscribed")</f>
        <v>Subscribed</v>
      </c>
      <c r="Z85" t="s">
        <v>193</v>
      </c>
    </row>
    <row r="86" spans="1:26" x14ac:dyDescent="0.25">
      <c r="A86">
        <v>85</v>
      </c>
      <c r="B86">
        <v>52</v>
      </c>
      <c r="C86" t="s">
        <v>22</v>
      </c>
      <c r="D86">
        <v>85</v>
      </c>
      <c r="E86" t="s">
        <v>65</v>
      </c>
      <c r="F86" t="s">
        <v>66</v>
      </c>
      <c r="G86">
        <v>85</v>
      </c>
      <c r="H86">
        <v>301</v>
      </c>
      <c r="I86">
        <v>32</v>
      </c>
      <c r="J86" t="s">
        <v>120</v>
      </c>
      <c r="K86" t="s">
        <v>39</v>
      </c>
      <c r="L86" t="s">
        <v>103</v>
      </c>
      <c r="M86" t="s">
        <v>40</v>
      </c>
      <c r="N86">
        <v>4.4000000000000004</v>
      </c>
      <c r="O86">
        <v>1</v>
      </c>
      <c r="P86" t="s">
        <v>57</v>
      </c>
      <c r="Q86" t="s">
        <v>30</v>
      </c>
      <c r="R86" t="s">
        <v>30</v>
      </c>
      <c r="S86">
        <v>42</v>
      </c>
      <c r="T86" t="s">
        <v>78</v>
      </c>
      <c r="U86" t="s">
        <v>100</v>
      </c>
      <c r="V86" s="1">
        <v>45366</v>
      </c>
      <c r="W86">
        <f>Table1[[#This Row],[customer_purchase count]]+1</f>
        <v>43</v>
      </c>
      <c r="X86">
        <f>Table1[[#This Row],[customer_purchase count]]*Rules!$B$3</f>
        <v>2510.103076923077</v>
      </c>
      <c r="Y86" t="str">
        <f>IF(Table1[[#This Row],[customer_subscription]]=1,"Subscribed","Not Subscribed")</f>
        <v>Subscribed</v>
      </c>
      <c r="Z86" t="s">
        <v>193</v>
      </c>
    </row>
    <row r="87" spans="1:26" x14ac:dyDescent="0.25">
      <c r="A87">
        <v>86</v>
      </c>
      <c r="B87">
        <v>53</v>
      </c>
      <c r="C87" t="s">
        <v>22</v>
      </c>
      <c r="D87">
        <v>86</v>
      </c>
      <c r="E87" t="s">
        <v>92</v>
      </c>
      <c r="F87" t="s">
        <v>70</v>
      </c>
      <c r="G87">
        <v>86</v>
      </c>
      <c r="H87">
        <v>302</v>
      </c>
      <c r="I87">
        <v>95</v>
      </c>
      <c r="J87" t="s">
        <v>133</v>
      </c>
      <c r="K87" t="s">
        <v>47</v>
      </c>
      <c r="L87" t="s">
        <v>64</v>
      </c>
      <c r="M87" t="s">
        <v>28</v>
      </c>
      <c r="N87">
        <v>4.5</v>
      </c>
      <c r="O87">
        <v>1</v>
      </c>
      <c r="P87" t="s">
        <v>48</v>
      </c>
      <c r="Q87" t="s">
        <v>30</v>
      </c>
      <c r="R87" t="s">
        <v>30</v>
      </c>
      <c r="S87">
        <v>2</v>
      </c>
      <c r="T87" t="s">
        <v>89</v>
      </c>
      <c r="U87" t="s">
        <v>79</v>
      </c>
      <c r="V87" s="1">
        <v>45649</v>
      </c>
      <c r="W87">
        <f>Table1[[#This Row],[customer_purchase count]]+1</f>
        <v>3</v>
      </c>
      <c r="X87">
        <f>Table1[[#This Row],[customer_purchase count]]*Rules!$B$3</f>
        <v>119.52871794871795</v>
      </c>
      <c r="Y87" t="str">
        <f>IF(Table1[[#This Row],[customer_subscription]]=1,"Subscribed","Not Subscribed")</f>
        <v>Subscribed</v>
      </c>
    </row>
    <row r="88" spans="1:26" x14ac:dyDescent="0.25">
      <c r="A88">
        <v>87</v>
      </c>
      <c r="B88">
        <v>24</v>
      </c>
      <c r="C88" t="s">
        <v>22</v>
      </c>
      <c r="D88">
        <v>87</v>
      </c>
      <c r="E88" t="s">
        <v>107</v>
      </c>
      <c r="F88" t="s">
        <v>24</v>
      </c>
      <c r="G88">
        <v>87</v>
      </c>
      <c r="H88">
        <v>303</v>
      </c>
      <c r="I88">
        <v>41</v>
      </c>
      <c r="J88" t="s">
        <v>110</v>
      </c>
      <c r="K88" t="s">
        <v>26</v>
      </c>
      <c r="L88" t="s">
        <v>72</v>
      </c>
      <c r="M88" t="s">
        <v>40</v>
      </c>
      <c r="N88">
        <v>3.7</v>
      </c>
      <c r="O88">
        <v>1</v>
      </c>
      <c r="P88" t="s">
        <v>73</v>
      </c>
      <c r="Q88" t="s">
        <v>30</v>
      </c>
      <c r="R88" t="s">
        <v>30</v>
      </c>
      <c r="S88">
        <v>47</v>
      </c>
      <c r="T88" t="s">
        <v>36</v>
      </c>
      <c r="U88" t="s">
        <v>79</v>
      </c>
      <c r="V88" s="1">
        <v>45399</v>
      </c>
      <c r="W88">
        <f>Table1[[#This Row],[customer_purchase count]]+1</f>
        <v>48</v>
      </c>
      <c r="X88">
        <f>Table1[[#This Row],[customer_purchase count]]*Rules!$B$3</f>
        <v>2808.9248717948717</v>
      </c>
      <c r="Y88" t="str">
        <f>IF(Table1[[#This Row],[customer_subscription]]=1,"Subscribed","Not Subscribed")</f>
        <v>Subscribed</v>
      </c>
    </row>
    <row r="89" spans="1:26" x14ac:dyDescent="0.25">
      <c r="A89">
        <v>88</v>
      </c>
      <c r="B89">
        <v>52</v>
      </c>
      <c r="C89" t="s">
        <v>22</v>
      </c>
      <c r="D89">
        <v>88</v>
      </c>
      <c r="E89" t="s">
        <v>74</v>
      </c>
      <c r="F89" t="s">
        <v>45</v>
      </c>
      <c r="G89">
        <v>88</v>
      </c>
      <c r="H89">
        <v>304</v>
      </c>
      <c r="I89">
        <v>53</v>
      </c>
      <c r="J89" t="s">
        <v>126</v>
      </c>
      <c r="K89" t="s">
        <v>47</v>
      </c>
      <c r="L89" t="s">
        <v>99</v>
      </c>
      <c r="M89" t="s">
        <v>60</v>
      </c>
      <c r="N89">
        <v>3.7</v>
      </c>
      <c r="O89">
        <v>1</v>
      </c>
      <c r="P89" t="s">
        <v>73</v>
      </c>
      <c r="Q89" t="s">
        <v>30</v>
      </c>
      <c r="R89" t="s">
        <v>30</v>
      </c>
      <c r="S89">
        <v>44</v>
      </c>
      <c r="T89" t="s">
        <v>89</v>
      </c>
      <c r="U89" t="s">
        <v>32</v>
      </c>
      <c r="V89" s="1">
        <v>45536</v>
      </c>
      <c r="W89">
        <f>Table1[[#This Row],[customer_purchase count]]+1</f>
        <v>45</v>
      </c>
      <c r="X89">
        <f>Table1[[#This Row],[customer_purchase count]]*Rules!$B$3</f>
        <v>2629.6317948717951</v>
      </c>
      <c r="Y89" t="str">
        <f>IF(Table1[[#This Row],[customer_subscription]]=1,"Subscribed","Not Subscribed")</f>
        <v>Subscribed</v>
      </c>
      <c r="Z89" t="s">
        <v>193</v>
      </c>
    </row>
    <row r="90" spans="1:26" x14ac:dyDescent="0.25">
      <c r="A90">
        <v>89</v>
      </c>
      <c r="B90">
        <v>33</v>
      </c>
      <c r="C90" t="s">
        <v>22</v>
      </c>
      <c r="D90">
        <v>89</v>
      </c>
      <c r="E90" t="s">
        <v>116</v>
      </c>
      <c r="F90" t="s">
        <v>24</v>
      </c>
      <c r="G90">
        <v>89</v>
      </c>
      <c r="H90">
        <v>305</v>
      </c>
      <c r="I90">
        <v>47</v>
      </c>
      <c r="J90" t="s">
        <v>54</v>
      </c>
      <c r="K90" t="s">
        <v>47</v>
      </c>
      <c r="L90" t="s">
        <v>124</v>
      </c>
      <c r="M90" t="s">
        <v>60</v>
      </c>
      <c r="N90">
        <v>3.5</v>
      </c>
      <c r="O90">
        <v>1</v>
      </c>
      <c r="P90" t="s">
        <v>41</v>
      </c>
      <c r="Q90" t="s">
        <v>30</v>
      </c>
      <c r="R90" t="s">
        <v>30</v>
      </c>
      <c r="S90">
        <v>35</v>
      </c>
      <c r="T90" t="s">
        <v>42</v>
      </c>
      <c r="U90" t="s">
        <v>91</v>
      </c>
      <c r="V90" s="1">
        <v>45589</v>
      </c>
      <c r="W90">
        <f>Table1[[#This Row],[customer_purchase count]]+1</f>
        <v>36</v>
      </c>
      <c r="X90">
        <f>Table1[[#This Row],[customer_purchase count]]*Rules!$B$3</f>
        <v>2091.7525641025641</v>
      </c>
      <c r="Y90" t="str">
        <f>IF(Table1[[#This Row],[customer_subscription]]=1,"Subscribed","Not Subscribed")</f>
        <v>Subscribed</v>
      </c>
      <c r="Z90" t="s">
        <v>193</v>
      </c>
    </row>
    <row r="91" spans="1:26" x14ac:dyDescent="0.25">
      <c r="A91">
        <v>90</v>
      </c>
      <c r="B91">
        <v>47</v>
      </c>
      <c r="C91" t="s">
        <v>22</v>
      </c>
      <c r="D91">
        <v>90</v>
      </c>
      <c r="E91" t="s">
        <v>105</v>
      </c>
      <c r="F91" t="s">
        <v>66</v>
      </c>
      <c r="G91">
        <v>90</v>
      </c>
      <c r="H91">
        <v>307</v>
      </c>
      <c r="I91">
        <v>83</v>
      </c>
      <c r="J91" t="s">
        <v>102</v>
      </c>
      <c r="K91" t="s">
        <v>95</v>
      </c>
      <c r="L91" t="s">
        <v>72</v>
      </c>
      <c r="M91" t="s">
        <v>60</v>
      </c>
      <c r="N91">
        <v>3.6</v>
      </c>
      <c r="O91">
        <v>1</v>
      </c>
      <c r="P91" t="s">
        <v>48</v>
      </c>
      <c r="Q91" t="s">
        <v>30</v>
      </c>
      <c r="R91" t="s">
        <v>30</v>
      </c>
      <c r="S91">
        <v>15</v>
      </c>
      <c r="T91" t="s">
        <v>36</v>
      </c>
      <c r="U91" t="s">
        <v>61</v>
      </c>
      <c r="V91" s="1">
        <v>45571</v>
      </c>
      <c r="W91">
        <f>Table1[[#This Row],[customer_purchase count]]+1</f>
        <v>16</v>
      </c>
      <c r="X91">
        <f>Table1[[#This Row],[customer_purchase count]]*Rules!$B$3</f>
        <v>896.46538461538466</v>
      </c>
      <c r="Y91" t="str">
        <f>IF(Table1[[#This Row],[customer_subscription]]=1,"Subscribed","Not Subscribed")</f>
        <v>Subscribed</v>
      </c>
    </row>
    <row r="92" spans="1:26" x14ac:dyDescent="0.25">
      <c r="A92">
        <v>91</v>
      </c>
      <c r="B92">
        <v>25</v>
      </c>
      <c r="C92" t="s">
        <v>22</v>
      </c>
      <c r="D92">
        <v>91</v>
      </c>
      <c r="E92" t="s">
        <v>127</v>
      </c>
      <c r="F92" t="s">
        <v>70</v>
      </c>
      <c r="G92">
        <v>91</v>
      </c>
      <c r="H92">
        <v>308</v>
      </c>
      <c r="I92">
        <v>48</v>
      </c>
      <c r="J92" t="s">
        <v>134</v>
      </c>
      <c r="K92" t="s">
        <v>26</v>
      </c>
      <c r="L92" t="s">
        <v>86</v>
      </c>
      <c r="M92" t="s">
        <v>56</v>
      </c>
      <c r="N92">
        <v>2.9</v>
      </c>
      <c r="O92">
        <v>1</v>
      </c>
      <c r="P92" t="s">
        <v>29</v>
      </c>
      <c r="Q92" t="s">
        <v>30</v>
      </c>
      <c r="R92" t="s">
        <v>30</v>
      </c>
      <c r="S92">
        <v>29</v>
      </c>
      <c r="T92" t="s">
        <v>42</v>
      </c>
      <c r="U92" t="s">
        <v>91</v>
      </c>
      <c r="V92" s="1">
        <v>45496</v>
      </c>
      <c r="W92">
        <f>Table1[[#This Row],[customer_purchase count]]+1</f>
        <v>30</v>
      </c>
      <c r="X92">
        <f>Table1[[#This Row],[customer_purchase count]]*Rules!$B$3</f>
        <v>1733.1664102564102</v>
      </c>
      <c r="Y92" t="str">
        <f>IF(Table1[[#This Row],[customer_subscription]]=1,"Subscribed","Not Subscribed")</f>
        <v>Subscribed</v>
      </c>
    </row>
    <row r="93" spans="1:26" x14ac:dyDescent="0.25">
      <c r="A93">
        <v>92</v>
      </c>
      <c r="B93">
        <v>44</v>
      </c>
      <c r="C93" t="s">
        <v>22</v>
      </c>
      <c r="D93">
        <v>92</v>
      </c>
      <c r="E93" t="s">
        <v>122</v>
      </c>
      <c r="F93" t="s">
        <v>70</v>
      </c>
      <c r="G93">
        <v>92</v>
      </c>
      <c r="H93">
        <v>309</v>
      </c>
      <c r="I93">
        <v>99</v>
      </c>
      <c r="J93" t="s">
        <v>134</v>
      </c>
      <c r="K93" t="s">
        <v>39</v>
      </c>
      <c r="L93" t="s">
        <v>99</v>
      </c>
      <c r="M93" t="s">
        <v>28</v>
      </c>
      <c r="N93">
        <v>4.5999999999999996</v>
      </c>
      <c r="O93">
        <v>1</v>
      </c>
      <c r="P93" t="s">
        <v>57</v>
      </c>
      <c r="Q93" t="s">
        <v>30</v>
      </c>
      <c r="R93" t="s">
        <v>30</v>
      </c>
      <c r="S93">
        <v>18</v>
      </c>
      <c r="T93" t="s">
        <v>42</v>
      </c>
      <c r="U93" t="s">
        <v>100</v>
      </c>
      <c r="V93" s="1">
        <v>45305</v>
      </c>
      <c r="W93">
        <f>Table1[[#This Row],[customer_purchase count]]+1</f>
        <v>19</v>
      </c>
      <c r="X93">
        <f>Table1[[#This Row],[customer_purchase count]]*Rules!$B$3</f>
        <v>1075.7584615384617</v>
      </c>
      <c r="Y93" t="str">
        <f>IF(Table1[[#This Row],[customer_subscription]]=1,"Subscribed","Not Subscribed")</f>
        <v>Subscribed</v>
      </c>
    </row>
    <row r="94" spans="1:26" x14ac:dyDescent="0.25">
      <c r="A94">
        <v>93</v>
      </c>
      <c r="B94">
        <v>61</v>
      </c>
      <c r="C94" t="s">
        <v>22</v>
      </c>
      <c r="D94">
        <v>93</v>
      </c>
      <c r="E94" t="s">
        <v>105</v>
      </c>
      <c r="F94" t="s">
        <v>66</v>
      </c>
      <c r="G94">
        <v>93</v>
      </c>
      <c r="H94">
        <v>310</v>
      </c>
      <c r="I94">
        <v>87</v>
      </c>
      <c r="J94" t="s">
        <v>108</v>
      </c>
      <c r="K94" t="s">
        <v>47</v>
      </c>
      <c r="L94" t="s">
        <v>81</v>
      </c>
      <c r="M94" t="s">
        <v>28</v>
      </c>
      <c r="N94">
        <v>4.4000000000000004</v>
      </c>
      <c r="O94">
        <v>1</v>
      </c>
      <c r="P94" t="s">
        <v>73</v>
      </c>
      <c r="Q94" t="s">
        <v>30</v>
      </c>
      <c r="R94" t="s">
        <v>30</v>
      </c>
      <c r="S94">
        <v>13</v>
      </c>
      <c r="T94" t="s">
        <v>31</v>
      </c>
      <c r="U94" t="s">
        <v>100</v>
      </c>
      <c r="V94" s="1">
        <v>45640</v>
      </c>
      <c r="W94">
        <f>Table1[[#This Row],[customer_purchase count]]+1</f>
        <v>14</v>
      </c>
      <c r="X94">
        <f>Table1[[#This Row],[customer_purchase count]]*Rules!$B$3</f>
        <v>776.93666666666672</v>
      </c>
      <c r="Y94" t="str">
        <f>IF(Table1[[#This Row],[customer_subscription]]=1,"Subscribed","Not Subscribed")</f>
        <v>Subscribed</v>
      </c>
    </row>
    <row r="95" spans="1:26" x14ac:dyDescent="0.25">
      <c r="A95">
        <v>94</v>
      </c>
      <c r="B95">
        <v>37</v>
      </c>
      <c r="C95" t="s">
        <v>22</v>
      </c>
      <c r="D95">
        <v>94</v>
      </c>
      <c r="E95" t="s">
        <v>33</v>
      </c>
      <c r="F95" t="s">
        <v>24</v>
      </c>
      <c r="G95">
        <v>94</v>
      </c>
      <c r="H95">
        <v>311</v>
      </c>
      <c r="I95">
        <v>62</v>
      </c>
      <c r="J95" t="s">
        <v>106</v>
      </c>
      <c r="K95" t="s">
        <v>47</v>
      </c>
      <c r="L95" t="s">
        <v>76</v>
      </c>
      <c r="M95" t="s">
        <v>60</v>
      </c>
      <c r="N95">
        <v>4.5</v>
      </c>
      <c r="O95">
        <v>1</v>
      </c>
      <c r="P95" t="s">
        <v>57</v>
      </c>
      <c r="Q95" t="s">
        <v>30</v>
      </c>
      <c r="R95" t="s">
        <v>30</v>
      </c>
      <c r="S95">
        <v>46</v>
      </c>
      <c r="T95" t="s">
        <v>42</v>
      </c>
      <c r="U95" t="s">
        <v>43</v>
      </c>
      <c r="V95" s="1">
        <v>45614</v>
      </c>
      <c r="W95">
        <f>Table1[[#This Row],[customer_purchase count]]+1</f>
        <v>47</v>
      </c>
      <c r="X95">
        <f>Table1[[#This Row],[customer_purchase count]]*Rules!$B$3</f>
        <v>2749.1605128205128</v>
      </c>
      <c r="Y95" t="str">
        <f>IF(Table1[[#This Row],[customer_subscription]]=1,"Subscribed","Not Subscribed")</f>
        <v>Subscribed</v>
      </c>
      <c r="Z95" t="s">
        <v>193</v>
      </c>
    </row>
    <row r="96" spans="1:26" x14ac:dyDescent="0.25">
      <c r="A96">
        <v>95</v>
      </c>
      <c r="B96">
        <v>58</v>
      </c>
      <c r="C96" t="s">
        <v>22</v>
      </c>
      <c r="D96">
        <v>95</v>
      </c>
      <c r="E96" t="s">
        <v>90</v>
      </c>
      <c r="F96" t="s">
        <v>24</v>
      </c>
      <c r="G96">
        <v>95</v>
      </c>
      <c r="H96">
        <v>313</v>
      </c>
      <c r="I96">
        <v>76</v>
      </c>
      <c r="J96" t="s">
        <v>110</v>
      </c>
      <c r="K96" t="s">
        <v>39</v>
      </c>
      <c r="L96" t="s">
        <v>68</v>
      </c>
      <c r="M96" t="s">
        <v>40</v>
      </c>
      <c r="N96">
        <v>4.5999999999999996</v>
      </c>
      <c r="O96">
        <v>1</v>
      </c>
      <c r="P96" t="s">
        <v>41</v>
      </c>
      <c r="Q96" t="s">
        <v>30</v>
      </c>
      <c r="R96" t="s">
        <v>30</v>
      </c>
      <c r="S96">
        <v>28</v>
      </c>
      <c r="T96" t="s">
        <v>42</v>
      </c>
      <c r="U96" t="s">
        <v>43</v>
      </c>
      <c r="V96" s="1">
        <v>45394</v>
      </c>
      <c r="W96">
        <f>Table1[[#This Row],[customer_purchase count]]+1</f>
        <v>29</v>
      </c>
      <c r="X96">
        <f>Table1[[#This Row],[customer_purchase count]]*Rules!$B$3</f>
        <v>1673.4020512820514</v>
      </c>
      <c r="Y96" t="str">
        <f>IF(Table1[[#This Row],[customer_subscription]]=1,"Subscribed","Not Subscribed")</f>
        <v>Subscribed</v>
      </c>
    </row>
    <row r="97" spans="1:26" x14ac:dyDescent="0.25">
      <c r="A97">
        <v>96</v>
      </c>
      <c r="B97">
        <v>37</v>
      </c>
      <c r="C97" t="s">
        <v>22</v>
      </c>
      <c r="D97">
        <v>96</v>
      </c>
      <c r="E97" t="s">
        <v>53</v>
      </c>
      <c r="F97" t="s">
        <v>45</v>
      </c>
      <c r="G97">
        <v>96</v>
      </c>
      <c r="H97">
        <v>314</v>
      </c>
      <c r="I97">
        <v>100</v>
      </c>
      <c r="J97" t="s">
        <v>71</v>
      </c>
      <c r="K97" t="s">
        <v>26</v>
      </c>
      <c r="L97" t="s">
        <v>72</v>
      </c>
      <c r="M97" t="s">
        <v>60</v>
      </c>
      <c r="N97">
        <v>3.8</v>
      </c>
      <c r="O97">
        <v>1</v>
      </c>
      <c r="P97" t="s">
        <v>41</v>
      </c>
      <c r="Q97" t="s">
        <v>30</v>
      </c>
      <c r="R97" t="s">
        <v>30</v>
      </c>
      <c r="S97">
        <v>48</v>
      </c>
      <c r="T97" t="s">
        <v>49</v>
      </c>
      <c r="U97" t="s">
        <v>91</v>
      </c>
      <c r="V97" s="1">
        <v>45568</v>
      </c>
      <c r="W97">
        <f>Table1[[#This Row],[customer_purchase count]]+1</f>
        <v>49</v>
      </c>
      <c r="X97">
        <f>Table1[[#This Row],[customer_purchase count]]*Rules!$B$3</f>
        <v>2868.689230769231</v>
      </c>
      <c r="Y97" t="str">
        <f>IF(Table1[[#This Row],[customer_subscription]]=1,"Subscribed","Not Subscribed")</f>
        <v>Subscribed</v>
      </c>
      <c r="Z97" t="s">
        <v>193</v>
      </c>
    </row>
    <row r="98" spans="1:26" x14ac:dyDescent="0.25">
      <c r="A98">
        <v>97</v>
      </c>
      <c r="B98">
        <v>32</v>
      </c>
      <c r="C98" t="s">
        <v>22</v>
      </c>
      <c r="D98">
        <v>97</v>
      </c>
      <c r="E98" t="s">
        <v>146</v>
      </c>
      <c r="F98" t="s">
        <v>70</v>
      </c>
      <c r="G98">
        <v>97</v>
      </c>
      <c r="H98">
        <v>315</v>
      </c>
      <c r="I98">
        <v>73</v>
      </c>
      <c r="J98" t="s">
        <v>82</v>
      </c>
      <c r="K98" t="s">
        <v>39</v>
      </c>
      <c r="L98" t="s">
        <v>83</v>
      </c>
      <c r="M98" t="s">
        <v>40</v>
      </c>
      <c r="N98">
        <v>3.6</v>
      </c>
      <c r="O98">
        <v>1</v>
      </c>
      <c r="P98" t="s">
        <v>29</v>
      </c>
      <c r="Q98" t="s">
        <v>30</v>
      </c>
      <c r="R98" t="s">
        <v>30</v>
      </c>
      <c r="S98">
        <v>43</v>
      </c>
      <c r="T98" t="s">
        <v>31</v>
      </c>
      <c r="U98" t="s">
        <v>100</v>
      </c>
      <c r="V98" s="1">
        <v>45438</v>
      </c>
      <c r="W98">
        <f>Table1[[#This Row],[customer_purchase count]]+1</f>
        <v>44</v>
      </c>
      <c r="X98">
        <f>Table1[[#This Row],[customer_purchase count]]*Rules!$B$3</f>
        <v>2569.8674358974358</v>
      </c>
      <c r="Y98" t="str">
        <f>IF(Table1[[#This Row],[customer_subscription]]=1,"Subscribed","Not Subscribed")</f>
        <v>Subscribed</v>
      </c>
      <c r="Z98" t="s">
        <v>193</v>
      </c>
    </row>
    <row r="99" spans="1:26" x14ac:dyDescent="0.25">
      <c r="A99">
        <v>98</v>
      </c>
      <c r="B99">
        <v>21</v>
      </c>
      <c r="C99" t="s">
        <v>22</v>
      </c>
      <c r="D99">
        <v>98</v>
      </c>
      <c r="E99" t="s">
        <v>74</v>
      </c>
      <c r="F99" t="s">
        <v>45</v>
      </c>
      <c r="G99">
        <v>98</v>
      </c>
      <c r="H99">
        <v>316</v>
      </c>
      <c r="I99">
        <v>92</v>
      </c>
      <c r="J99" t="s">
        <v>144</v>
      </c>
      <c r="K99" t="s">
        <v>47</v>
      </c>
      <c r="L99" t="s">
        <v>88</v>
      </c>
      <c r="M99" t="s">
        <v>28</v>
      </c>
      <c r="N99">
        <v>4.8</v>
      </c>
      <c r="O99">
        <v>1</v>
      </c>
      <c r="P99" t="s">
        <v>77</v>
      </c>
      <c r="Q99" t="s">
        <v>30</v>
      </c>
      <c r="R99" t="s">
        <v>30</v>
      </c>
      <c r="S99">
        <v>37</v>
      </c>
      <c r="T99" t="s">
        <v>36</v>
      </c>
      <c r="U99" t="s">
        <v>52</v>
      </c>
      <c r="V99" s="1">
        <v>45326</v>
      </c>
      <c r="W99">
        <f>Table1[[#This Row],[customer_purchase count]]+1</f>
        <v>38</v>
      </c>
      <c r="X99">
        <f>Table1[[#This Row],[customer_purchase count]]*Rules!$B$3</f>
        <v>2211.2812820512822</v>
      </c>
      <c r="Y99" t="str">
        <f>IF(Table1[[#This Row],[customer_subscription]]=1,"Subscribed","Not Subscribed")</f>
        <v>Subscribed</v>
      </c>
    </row>
    <row r="100" spans="1:26" x14ac:dyDescent="0.25">
      <c r="A100">
        <v>99</v>
      </c>
      <c r="B100">
        <v>20</v>
      </c>
      <c r="C100" t="s">
        <v>22</v>
      </c>
      <c r="D100">
        <v>99</v>
      </c>
      <c r="E100" t="s">
        <v>37</v>
      </c>
      <c r="F100" t="s">
        <v>24</v>
      </c>
      <c r="G100">
        <v>99</v>
      </c>
      <c r="H100">
        <v>317</v>
      </c>
      <c r="I100">
        <v>67</v>
      </c>
      <c r="J100" t="s">
        <v>87</v>
      </c>
      <c r="K100" t="s">
        <v>95</v>
      </c>
      <c r="L100" t="s">
        <v>88</v>
      </c>
      <c r="M100" t="s">
        <v>40</v>
      </c>
      <c r="N100">
        <v>2.6</v>
      </c>
      <c r="O100">
        <v>1</v>
      </c>
      <c r="P100" t="s">
        <v>48</v>
      </c>
      <c r="Q100" t="s">
        <v>30</v>
      </c>
      <c r="R100" t="s">
        <v>30</v>
      </c>
      <c r="S100">
        <v>20</v>
      </c>
      <c r="T100" t="s">
        <v>78</v>
      </c>
      <c r="U100" t="s">
        <v>52</v>
      </c>
      <c r="V100" s="1">
        <v>45435</v>
      </c>
      <c r="W100">
        <f>Table1[[#This Row],[customer_purchase count]]+1</f>
        <v>21</v>
      </c>
      <c r="X100">
        <f>Table1[[#This Row],[customer_purchase count]]*Rules!$B$3</f>
        <v>1195.2871794871796</v>
      </c>
      <c r="Y100" t="str">
        <f>IF(Table1[[#This Row],[customer_subscription]]=1,"Subscribed","Not Subscribed")</f>
        <v>Subscribed</v>
      </c>
    </row>
    <row r="101" spans="1:26" x14ac:dyDescent="0.25">
      <c r="A101">
        <v>100</v>
      </c>
      <c r="B101">
        <v>26</v>
      </c>
      <c r="C101" t="s">
        <v>22</v>
      </c>
      <c r="D101">
        <v>100</v>
      </c>
      <c r="E101" t="s">
        <v>107</v>
      </c>
      <c r="F101" t="s">
        <v>24</v>
      </c>
      <c r="G101">
        <v>100</v>
      </c>
      <c r="H101">
        <v>319</v>
      </c>
      <c r="I101">
        <v>40</v>
      </c>
      <c r="J101" t="s">
        <v>71</v>
      </c>
      <c r="K101" t="s">
        <v>95</v>
      </c>
      <c r="L101" t="s">
        <v>129</v>
      </c>
      <c r="M101" t="s">
        <v>56</v>
      </c>
      <c r="N101">
        <v>3.7</v>
      </c>
      <c r="O101">
        <v>1</v>
      </c>
      <c r="P101" t="s">
        <v>29</v>
      </c>
      <c r="Q101" t="s">
        <v>30</v>
      </c>
      <c r="R101" t="s">
        <v>30</v>
      </c>
      <c r="S101">
        <v>33</v>
      </c>
      <c r="T101" t="s">
        <v>89</v>
      </c>
      <c r="U101" t="s">
        <v>61</v>
      </c>
      <c r="V101" s="1">
        <v>45496</v>
      </c>
      <c r="W101">
        <f>Table1[[#This Row],[customer_purchase count]]+1</f>
        <v>34</v>
      </c>
      <c r="X101">
        <f>Table1[[#This Row],[customer_purchase count]]*Rules!$B$3</f>
        <v>1972.2238461538464</v>
      </c>
      <c r="Y101" t="str">
        <f>IF(Table1[[#This Row],[customer_subscription]]=1,"Subscribed","Not Subscribed")</f>
        <v>Subscribed</v>
      </c>
    </row>
    <row r="102" spans="1:26" x14ac:dyDescent="0.25">
      <c r="A102">
        <v>101</v>
      </c>
      <c r="B102">
        <v>62</v>
      </c>
      <c r="C102" t="s">
        <v>22</v>
      </c>
      <c r="D102">
        <v>101</v>
      </c>
      <c r="E102" t="s">
        <v>92</v>
      </c>
      <c r="F102" t="s">
        <v>70</v>
      </c>
      <c r="G102">
        <v>101</v>
      </c>
      <c r="H102">
        <v>320</v>
      </c>
      <c r="I102">
        <v>98</v>
      </c>
      <c r="J102" t="s">
        <v>150</v>
      </c>
      <c r="K102" t="s">
        <v>47</v>
      </c>
      <c r="L102" t="s">
        <v>35</v>
      </c>
      <c r="M102" t="s">
        <v>60</v>
      </c>
      <c r="N102">
        <v>2.7</v>
      </c>
      <c r="O102">
        <v>1</v>
      </c>
      <c r="P102" t="s">
        <v>29</v>
      </c>
      <c r="Q102" t="s">
        <v>30</v>
      </c>
      <c r="R102" t="s">
        <v>30</v>
      </c>
      <c r="S102">
        <v>31</v>
      </c>
      <c r="T102" t="s">
        <v>36</v>
      </c>
      <c r="U102" t="s">
        <v>32</v>
      </c>
      <c r="V102" s="1">
        <v>45623</v>
      </c>
      <c r="W102">
        <f>Table1[[#This Row],[customer_purchase count]]+1</f>
        <v>32</v>
      </c>
      <c r="X102">
        <f>Table1[[#This Row],[customer_purchase count]]*Rules!$B$3</f>
        <v>1852.6951282051282</v>
      </c>
      <c r="Y102" t="str">
        <f>IF(Table1[[#This Row],[customer_subscription]]=1,"Subscribed","Not Subscribed")</f>
        <v>Subscribed</v>
      </c>
    </row>
    <row r="103" spans="1:26" x14ac:dyDescent="0.25">
      <c r="A103">
        <v>102</v>
      </c>
      <c r="B103">
        <v>27</v>
      </c>
      <c r="C103" t="s">
        <v>22</v>
      </c>
      <c r="D103">
        <v>102</v>
      </c>
      <c r="E103" t="s">
        <v>65</v>
      </c>
      <c r="F103" t="s">
        <v>66</v>
      </c>
      <c r="G103">
        <v>102</v>
      </c>
      <c r="H103">
        <v>321</v>
      </c>
      <c r="I103">
        <v>85</v>
      </c>
      <c r="J103" t="s">
        <v>117</v>
      </c>
      <c r="K103" t="s">
        <v>95</v>
      </c>
      <c r="L103" t="s">
        <v>55</v>
      </c>
      <c r="M103" t="s">
        <v>40</v>
      </c>
      <c r="N103">
        <v>4.5999999999999996</v>
      </c>
      <c r="O103">
        <v>1</v>
      </c>
      <c r="P103" t="s">
        <v>29</v>
      </c>
      <c r="Q103" t="s">
        <v>30</v>
      </c>
      <c r="R103" t="s">
        <v>30</v>
      </c>
      <c r="S103">
        <v>50</v>
      </c>
      <c r="T103" t="s">
        <v>42</v>
      </c>
      <c r="U103" t="s">
        <v>79</v>
      </c>
      <c r="V103" s="1">
        <v>45418</v>
      </c>
      <c r="W103">
        <f>Table1[[#This Row],[customer_purchase count]]+1</f>
        <v>51</v>
      </c>
      <c r="X103">
        <f>Table1[[#This Row],[customer_purchase count]]*Rules!$B$3</f>
        <v>2988.2179487179487</v>
      </c>
      <c r="Y103" t="str">
        <f>IF(Table1[[#This Row],[customer_subscription]]=1,"Subscribed","Not Subscribed")</f>
        <v>Subscribed</v>
      </c>
    </row>
    <row r="104" spans="1:26" x14ac:dyDescent="0.25">
      <c r="A104">
        <v>103</v>
      </c>
      <c r="B104">
        <v>51</v>
      </c>
      <c r="C104" t="s">
        <v>22</v>
      </c>
      <c r="D104">
        <v>103</v>
      </c>
      <c r="E104" t="s">
        <v>128</v>
      </c>
      <c r="F104" t="s">
        <v>24</v>
      </c>
      <c r="G104">
        <v>103</v>
      </c>
      <c r="H104">
        <v>322</v>
      </c>
      <c r="I104">
        <v>67</v>
      </c>
      <c r="J104" t="s">
        <v>104</v>
      </c>
      <c r="K104" t="s">
        <v>26</v>
      </c>
      <c r="L104" t="s">
        <v>86</v>
      </c>
      <c r="M104" t="s">
        <v>28</v>
      </c>
      <c r="N104">
        <v>4.8</v>
      </c>
      <c r="O104">
        <v>1</v>
      </c>
      <c r="P104" t="s">
        <v>48</v>
      </c>
      <c r="Q104" t="s">
        <v>30</v>
      </c>
      <c r="R104" t="s">
        <v>30</v>
      </c>
      <c r="S104">
        <v>35</v>
      </c>
      <c r="T104" t="s">
        <v>42</v>
      </c>
      <c r="U104" t="s">
        <v>61</v>
      </c>
      <c r="V104" s="1">
        <v>45345</v>
      </c>
      <c r="W104">
        <f>Table1[[#This Row],[customer_purchase count]]+1</f>
        <v>36</v>
      </c>
      <c r="X104">
        <f>Table1[[#This Row],[customer_purchase count]]*Rules!$B$3</f>
        <v>2091.7525641025641</v>
      </c>
      <c r="Y104" t="str">
        <f>IF(Table1[[#This Row],[customer_subscription]]=1,"Subscribed","Not Subscribed")</f>
        <v>Subscribed</v>
      </c>
      <c r="Z104" t="s">
        <v>193</v>
      </c>
    </row>
    <row r="105" spans="1:26" x14ac:dyDescent="0.25">
      <c r="A105">
        <v>104</v>
      </c>
      <c r="B105">
        <v>54</v>
      </c>
      <c r="C105" t="s">
        <v>22</v>
      </c>
      <c r="D105">
        <v>104</v>
      </c>
      <c r="E105" t="s">
        <v>140</v>
      </c>
      <c r="F105" t="s">
        <v>45</v>
      </c>
      <c r="G105">
        <v>104</v>
      </c>
      <c r="H105">
        <v>323</v>
      </c>
      <c r="I105">
        <v>89</v>
      </c>
      <c r="J105" t="s">
        <v>67</v>
      </c>
      <c r="K105" t="s">
        <v>26</v>
      </c>
      <c r="L105" t="s">
        <v>111</v>
      </c>
      <c r="M105" t="s">
        <v>28</v>
      </c>
      <c r="N105">
        <v>4</v>
      </c>
      <c r="O105">
        <v>1</v>
      </c>
      <c r="P105" t="s">
        <v>48</v>
      </c>
      <c r="Q105" t="s">
        <v>30</v>
      </c>
      <c r="R105" t="s">
        <v>30</v>
      </c>
      <c r="S105">
        <v>22</v>
      </c>
      <c r="T105" t="s">
        <v>31</v>
      </c>
      <c r="U105" t="s">
        <v>79</v>
      </c>
      <c r="V105" s="1">
        <v>45339</v>
      </c>
      <c r="W105">
        <f>Table1[[#This Row],[customer_purchase count]]+1</f>
        <v>23</v>
      </c>
      <c r="X105">
        <f>Table1[[#This Row],[customer_purchase count]]*Rules!$B$3</f>
        <v>1314.8158974358976</v>
      </c>
      <c r="Y105" t="str">
        <f>IF(Table1[[#This Row],[customer_subscription]]=1,"Subscribed","Not Subscribed")</f>
        <v>Subscribed</v>
      </c>
    </row>
    <row r="106" spans="1:26" x14ac:dyDescent="0.25">
      <c r="A106">
        <v>105</v>
      </c>
      <c r="B106">
        <v>55</v>
      </c>
      <c r="C106" t="s">
        <v>22</v>
      </c>
      <c r="D106">
        <v>105</v>
      </c>
      <c r="E106" t="s">
        <v>92</v>
      </c>
      <c r="F106" t="s">
        <v>70</v>
      </c>
      <c r="G106">
        <v>105</v>
      </c>
      <c r="H106">
        <v>325</v>
      </c>
      <c r="I106">
        <v>24</v>
      </c>
      <c r="J106" t="s">
        <v>85</v>
      </c>
      <c r="K106" t="s">
        <v>26</v>
      </c>
      <c r="L106" t="s">
        <v>72</v>
      </c>
      <c r="M106" t="s">
        <v>40</v>
      </c>
      <c r="N106">
        <v>4.4000000000000004</v>
      </c>
      <c r="O106">
        <v>1</v>
      </c>
      <c r="P106" t="s">
        <v>73</v>
      </c>
      <c r="Q106" t="s">
        <v>30</v>
      </c>
      <c r="R106" t="s">
        <v>30</v>
      </c>
      <c r="S106">
        <v>1</v>
      </c>
      <c r="T106" t="s">
        <v>49</v>
      </c>
      <c r="U106" t="s">
        <v>91</v>
      </c>
      <c r="V106" s="1">
        <v>45415</v>
      </c>
      <c r="W106">
        <f>Table1[[#This Row],[customer_purchase count]]+1</f>
        <v>2</v>
      </c>
      <c r="X106">
        <f>Table1[[#This Row],[customer_purchase count]]*Rules!$B$3</f>
        <v>59.764358974358977</v>
      </c>
      <c r="Y106" t="str">
        <f>IF(Table1[[#This Row],[customer_subscription]]=1,"Subscribed","Not Subscribed")</f>
        <v>Subscribed</v>
      </c>
    </row>
    <row r="107" spans="1:26" x14ac:dyDescent="0.25">
      <c r="A107">
        <v>106</v>
      </c>
      <c r="B107">
        <v>69</v>
      </c>
      <c r="C107" t="s">
        <v>22</v>
      </c>
      <c r="D107">
        <v>106</v>
      </c>
      <c r="E107" t="s">
        <v>135</v>
      </c>
      <c r="F107" t="s">
        <v>70</v>
      </c>
      <c r="G107">
        <v>106</v>
      </c>
      <c r="H107">
        <v>326</v>
      </c>
      <c r="I107">
        <v>96</v>
      </c>
      <c r="J107" t="s">
        <v>87</v>
      </c>
      <c r="K107" t="s">
        <v>47</v>
      </c>
      <c r="L107" t="s">
        <v>64</v>
      </c>
      <c r="M107" t="s">
        <v>60</v>
      </c>
      <c r="N107">
        <v>3.6</v>
      </c>
      <c r="O107">
        <v>1</v>
      </c>
      <c r="P107" t="s">
        <v>48</v>
      </c>
      <c r="Q107" t="s">
        <v>30</v>
      </c>
      <c r="R107" t="s">
        <v>30</v>
      </c>
      <c r="S107">
        <v>4</v>
      </c>
      <c r="T107" t="s">
        <v>78</v>
      </c>
      <c r="U107" t="s">
        <v>52</v>
      </c>
      <c r="V107" s="1">
        <v>45568</v>
      </c>
      <c r="W107">
        <f>Table1[[#This Row],[customer_purchase count]]+1</f>
        <v>5</v>
      </c>
      <c r="X107">
        <f>Table1[[#This Row],[customer_purchase count]]*Rules!$B$3</f>
        <v>239.05743589743591</v>
      </c>
      <c r="Y107" t="str">
        <f>IF(Table1[[#This Row],[customer_subscription]]=1,"Subscribed","Not Subscribed")</f>
        <v>Subscribed</v>
      </c>
    </row>
    <row r="108" spans="1:26" x14ac:dyDescent="0.25">
      <c r="A108">
        <v>107</v>
      </c>
      <c r="B108">
        <v>64</v>
      </c>
      <c r="C108" t="s">
        <v>22</v>
      </c>
      <c r="D108">
        <v>107</v>
      </c>
      <c r="E108" t="s">
        <v>105</v>
      </c>
      <c r="F108" t="s">
        <v>66</v>
      </c>
      <c r="G108">
        <v>107</v>
      </c>
      <c r="H108">
        <v>327</v>
      </c>
      <c r="I108">
        <v>35</v>
      </c>
      <c r="J108" t="s">
        <v>151</v>
      </c>
      <c r="K108" t="s">
        <v>26</v>
      </c>
      <c r="L108" t="s">
        <v>55</v>
      </c>
      <c r="M108" t="s">
        <v>56</v>
      </c>
      <c r="N108">
        <v>3.7</v>
      </c>
      <c r="O108">
        <v>1</v>
      </c>
      <c r="P108" t="s">
        <v>57</v>
      </c>
      <c r="Q108" t="s">
        <v>30</v>
      </c>
      <c r="R108" t="s">
        <v>30</v>
      </c>
      <c r="S108">
        <v>31</v>
      </c>
      <c r="T108" t="s">
        <v>42</v>
      </c>
      <c r="U108" t="s">
        <v>91</v>
      </c>
      <c r="V108" s="1">
        <v>45464</v>
      </c>
      <c r="W108">
        <f>Table1[[#This Row],[customer_purchase count]]+1</f>
        <v>32</v>
      </c>
      <c r="X108">
        <f>Table1[[#This Row],[customer_purchase count]]*Rules!$B$3</f>
        <v>1852.6951282051282</v>
      </c>
      <c r="Y108" t="str">
        <f>IF(Table1[[#This Row],[customer_subscription]]=1,"Subscribed","Not Subscribed")</f>
        <v>Subscribed</v>
      </c>
    </row>
    <row r="109" spans="1:26" x14ac:dyDescent="0.25">
      <c r="A109">
        <v>108</v>
      </c>
      <c r="B109">
        <v>28</v>
      </c>
      <c r="C109" t="s">
        <v>22</v>
      </c>
      <c r="D109">
        <v>108</v>
      </c>
      <c r="E109" t="s">
        <v>53</v>
      </c>
      <c r="F109" t="s">
        <v>45</v>
      </c>
      <c r="G109">
        <v>108</v>
      </c>
      <c r="H109">
        <v>328</v>
      </c>
      <c r="I109">
        <v>67</v>
      </c>
      <c r="J109" t="s">
        <v>131</v>
      </c>
      <c r="K109" t="s">
        <v>26</v>
      </c>
      <c r="L109" t="s">
        <v>81</v>
      </c>
      <c r="M109" t="s">
        <v>28</v>
      </c>
      <c r="N109">
        <v>3.1</v>
      </c>
      <c r="O109">
        <v>1</v>
      </c>
      <c r="P109" t="s">
        <v>48</v>
      </c>
      <c r="Q109" t="s">
        <v>30</v>
      </c>
      <c r="R109" t="s">
        <v>30</v>
      </c>
      <c r="S109">
        <v>46</v>
      </c>
      <c r="T109" t="s">
        <v>49</v>
      </c>
      <c r="U109" t="s">
        <v>32</v>
      </c>
      <c r="V109" s="1">
        <v>45301</v>
      </c>
      <c r="W109">
        <f>Table1[[#This Row],[customer_purchase count]]+1</f>
        <v>47</v>
      </c>
      <c r="X109">
        <f>Table1[[#This Row],[customer_purchase count]]*Rules!$B$3</f>
        <v>2749.1605128205128</v>
      </c>
      <c r="Y109" t="str">
        <f>IF(Table1[[#This Row],[customer_subscription]]=1,"Subscribed","Not Subscribed")</f>
        <v>Subscribed</v>
      </c>
    </row>
    <row r="110" spans="1:26" x14ac:dyDescent="0.25">
      <c r="A110">
        <v>109</v>
      </c>
      <c r="B110">
        <v>70</v>
      </c>
      <c r="C110" t="s">
        <v>22</v>
      </c>
      <c r="D110">
        <v>109</v>
      </c>
      <c r="E110" t="s">
        <v>128</v>
      </c>
      <c r="F110" t="s">
        <v>24</v>
      </c>
      <c r="G110">
        <v>109</v>
      </c>
      <c r="H110">
        <v>329</v>
      </c>
      <c r="I110">
        <v>79</v>
      </c>
      <c r="J110" t="s">
        <v>59</v>
      </c>
      <c r="K110" t="s">
        <v>26</v>
      </c>
      <c r="L110" t="s">
        <v>76</v>
      </c>
      <c r="M110" t="s">
        <v>40</v>
      </c>
      <c r="N110">
        <v>3.4</v>
      </c>
      <c r="O110">
        <v>1</v>
      </c>
      <c r="P110" t="s">
        <v>48</v>
      </c>
      <c r="Q110" t="s">
        <v>30</v>
      </c>
      <c r="R110" t="s">
        <v>30</v>
      </c>
      <c r="S110">
        <v>32</v>
      </c>
      <c r="T110" t="s">
        <v>78</v>
      </c>
      <c r="U110" t="s">
        <v>79</v>
      </c>
      <c r="V110" s="1">
        <v>45373</v>
      </c>
      <c r="W110">
        <f>Table1[[#This Row],[customer_purchase count]]+1</f>
        <v>33</v>
      </c>
      <c r="X110">
        <f>Table1[[#This Row],[customer_purchase count]]*Rules!$B$3</f>
        <v>1912.4594871794873</v>
      </c>
      <c r="Y110" t="str">
        <f>IF(Table1[[#This Row],[customer_subscription]]=1,"Subscribed","Not Subscribed")</f>
        <v>Subscribed</v>
      </c>
    </row>
    <row r="111" spans="1:26" x14ac:dyDescent="0.25">
      <c r="A111">
        <v>110</v>
      </c>
      <c r="B111">
        <v>58</v>
      </c>
      <c r="C111" t="s">
        <v>22</v>
      </c>
      <c r="D111">
        <v>110</v>
      </c>
      <c r="E111" t="s">
        <v>116</v>
      </c>
      <c r="F111" t="s">
        <v>24</v>
      </c>
      <c r="G111">
        <v>110</v>
      </c>
      <c r="H111">
        <v>331</v>
      </c>
      <c r="I111">
        <v>85</v>
      </c>
      <c r="J111" t="s">
        <v>93</v>
      </c>
      <c r="K111" t="s">
        <v>47</v>
      </c>
      <c r="L111" t="s">
        <v>86</v>
      </c>
      <c r="M111" t="s">
        <v>40</v>
      </c>
      <c r="N111">
        <v>2.6</v>
      </c>
      <c r="O111">
        <v>1</v>
      </c>
      <c r="P111" t="s">
        <v>48</v>
      </c>
      <c r="Q111" t="s">
        <v>30</v>
      </c>
      <c r="R111" t="s">
        <v>30</v>
      </c>
      <c r="S111">
        <v>43</v>
      </c>
      <c r="T111" t="s">
        <v>78</v>
      </c>
      <c r="U111" t="s">
        <v>32</v>
      </c>
      <c r="V111" s="1">
        <v>45396</v>
      </c>
      <c r="W111">
        <f>Table1[[#This Row],[customer_purchase count]]+1</f>
        <v>44</v>
      </c>
      <c r="X111">
        <f>Table1[[#This Row],[customer_purchase count]]*Rules!$B$3</f>
        <v>2569.8674358974358</v>
      </c>
      <c r="Y111" t="str">
        <f>IF(Table1[[#This Row],[customer_subscription]]=1,"Subscribed","Not Subscribed")</f>
        <v>Subscribed</v>
      </c>
      <c r="Z111" t="s">
        <v>193</v>
      </c>
    </row>
    <row r="112" spans="1:26" x14ac:dyDescent="0.25">
      <c r="A112">
        <v>111</v>
      </c>
      <c r="B112">
        <v>56</v>
      </c>
      <c r="C112" t="s">
        <v>22</v>
      </c>
      <c r="D112">
        <v>111</v>
      </c>
      <c r="E112" t="s">
        <v>135</v>
      </c>
      <c r="F112" t="s">
        <v>70</v>
      </c>
      <c r="G112">
        <v>111</v>
      </c>
      <c r="H112">
        <v>332</v>
      </c>
      <c r="I112">
        <v>26</v>
      </c>
      <c r="J112" t="s">
        <v>87</v>
      </c>
      <c r="K112" t="s">
        <v>47</v>
      </c>
      <c r="L112" t="s">
        <v>97</v>
      </c>
      <c r="M112" t="s">
        <v>56</v>
      </c>
      <c r="N112">
        <v>4</v>
      </c>
      <c r="O112">
        <v>1</v>
      </c>
      <c r="P112" t="s">
        <v>57</v>
      </c>
      <c r="Q112" t="s">
        <v>30</v>
      </c>
      <c r="R112" t="s">
        <v>30</v>
      </c>
      <c r="S112">
        <v>26</v>
      </c>
      <c r="T112" t="s">
        <v>31</v>
      </c>
      <c r="U112" t="s">
        <v>32</v>
      </c>
      <c r="V112" s="1">
        <v>45514</v>
      </c>
      <c r="W112">
        <f>Table1[[#This Row],[customer_purchase count]]+1</f>
        <v>27</v>
      </c>
      <c r="X112">
        <f>Table1[[#This Row],[customer_purchase count]]*Rules!$B$3</f>
        <v>1553.8733333333334</v>
      </c>
      <c r="Y112" t="str">
        <f>IF(Table1[[#This Row],[customer_subscription]]=1,"Subscribed","Not Subscribed")</f>
        <v>Subscribed</v>
      </c>
    </row>
    <row r="113" spans="1:26" x14ac:dyDescent="0.25">
      <c r="A113">
        <v>112</v>
      </c>
      <c r="B113">
        <v>26</v>
      </c>
      <c r="C113" t="s">
        <v>22</v>
      </c>
      <c r="D113">
        <v>112</v>
      </c>
      <c r="E113" t="s">
        <v>136</v>
      </c>
      <c r="F113" t="s">
        <v>70</v>
      </c>
      <c r="G113">
        <v>112</v>
      </c>
      <c r="H113">
        <v>333</v>
      </c>
      <c r="I113">
        <v>75</v>
      </c>
      <c r="J113" t="s">
        <v>38</v>
      </c>
      <c r="K113" t="s">
        <v>26</v>
      </c>
      <c r="L113" t="s">
        <v>76</v>
      </c>
      <c r="M113" t="s">
        <v>56</v>
      </c>
      <c r="N113">
        <v>5</v>
      </c>
      <c r="O113">
        <v>1</v>
      </c>
      <c r="P113" t="s">
        <v>41</v>
      </c>
      <c r="Q113" t="s">
        <v>30</v>
      </c>
      <c r="R113" t="s">
        <v>30</v>
      </c>
      <c r="S113">
        <v>9</v>
      </c>
      <c r="T113" t="s">
        <v>42</v>
      </c>
      <c r="U113" t="s">
        <v>52</v>
      </c>
      <c r="V113" s="1">
        <v>45477</v>
      </c>
      <c r="W113">
        <f>Table1[[#This Row],[customer_purchase count]]+1</f>
        <v>10</v>
      </c>
      <c r="X113">
        <f>Table1[[#This Row],[customer_purchase count]]*Rules!$B$3</f>
        <v>537.87923076923084</v>
      </c>
      <c r="Y113" t="str">
        <f>IF(Table1[[#This Row],[customer_subscription]]=1,"Subscribed","Not Subscribed")</f>
        <v>Subscribed</v>
      </c>
      <c r="Z113" t="s">
        <v>187</v>
      </c>
    </row>
    <row r="114" spans="1:26" x14ac:dyDescent="0.25">
      <c r="A114">
        <v>113</v>
      </c>
      <c r="B114">
        <v>37</v>
      </c>
      <c r="C114" t="s">
        <v>22</v>
      </c>
      <c r="D114">
        <v>113</v>
      </c>
      <c r="E114" t="s">
        <v>146</v>
      </c>
      <c r="F114" t="s">
        <v>70</v>
      </c>
      <c r="G114">
        <v>113</v>
      </c>
      <c r="H114">
        <v>334</v>
      </c>
      <c r="I114">
        <v>65</v>
      </c>
      <c r="J114" t="s">
        <v>106</v>
      </c>
      <c r="K114" t="s">
        <v>47</v>
      </c>
      <c r="L114" t="s">
        <v>111</v>
      </c>
      <c r="M114" t="s">
        <v>40</v>
      </c>
      <c r="N114">
        <v>4.3</v>
      </c>
      <c r="O114">
        <v>1</v>
      </c>
      <c r="P114" t="s">
        <v>41</v>
      </c>
      <c r="Q114" t="s">
        <v>30</v>
      </c>
      <c r="R114" t="s">
        <v>30</v>
      </c>
      <c r="S114">
        <v>28</v>
      </c>
      <c r="T114" t="s">
        <v>49</v>
      </c>
      <c r="U114" t="s">
        <v>79</v>
      </c>
      <c r="V114" s="1">
        <v>45425</v>
      </c>
      <c r="W114">
        <f>Table1[[#This Row],[customer_purchase count]]+1</f>
        <v>29</v>
      </c>
      <c r="X114">
        <f>Table1[[#This Row],[customer_purchase count]]*Rules!$B$3</f>
        <v>1673.4020512820514</v>
      </c>
      <c r="Y114" t="str">
        <f>IF(Table1[[#This Row],[customer_subscription]]=1,"Subscribed","Not Subscribed")</f>
        <v>Subscribed</v>
      </c>
    </row>
    <row r="115" spans="1:26" x14ac:dyDescent="0.25">
      <c r="A115">
        <v>114</v>
      </c>
      <c r="B115">
        <v>44</v>
      </c>
      <c r="C115" t="s">
        <v>22</v>
      </c>
      <c r="D115">
        <v>114</v>
      </c>
      <c r="E115" t="s">
        <v>127</v>
      </c>
      <c r="F115" t="s">
        <v>70</v>
      </c>
      <c r="G115">
        <v>114</v>
      </c>
      <c r="H115">
        <v>335</v>
      </c>
      <c r="I115">
        <v>54</v>
      </c>
      <c r="J115" t="s">
        <v>130</v>
      </c>
      <c r="K115" t="s">
        <v>26</v>
      </c>
      <c r="L115" t="s">
        <v>35</v>
      </c>
      <c r="M115" t="s">
        <v>28</v>
      </c>
      <c r="N115">
        <v>3.1</v>
      </c>
      <c r="O115">
        <v>1</v>
      </c>
      <c r="P115" t="s">
        <v>48</v>
      </c>
      <c r="Q115" t="s">
        <v>30</v>
      </c>
      <c r="R115" t="s">
        <v>30</v>
      </c>
      <c r="S115">
        <v>20</v>
      </c>
      <c r="T115" t="s">
        <v>49</v>
      </c>
      <c r="U115" t="s">
        <v>61</v>
      </c>
      <c r="V115" s="1">
        <v>45633</v>
      </c>
      <c r="W115">
        <f>Table1[[#This Row],[customer_purchase count]]+1</f>
        <v>21</v>
      </c>
      <c r="X115">
        <f>Table1[[#This Row],[customer_purchase count]]*Rules!$B$3</f>
        <v>1195.2871794871796</v>
      </c>
      <c r="Y115" t="str">
        <f>IF(Table1[[#This Row],[customer_subscription]]=1,"Subscribed","Not Subscribed")</f>
        <v>Subscribed</v>
      </c>
    </row>
    <row r="116" spans="1:26" x14ac:dyDescent="0.25">
      <c r="A116">
        <v>115</v>
      </c>
      <c r="B116">
        <v>70</v>
      </c>
      <c r="C116" t="s">
        <v>22</v>
      </c>
      <c r="D116">
        <v>115</v>
      </c>
      <c r="E116" t="s">
        <v>65</v>
      </c>
      <c r="F116" t="s">
        <v>66</v>
      </c>
      <c r="G116">
        <v>115</v>
      </c>
      <c r="H116">
        <v>337</v>
      </c>
      <c r="I116">
        <v>95</v>
      </c>
      <c r="J116" t="s">
        <v>38</v>
      </c>
      <c r="K116" t="s">
        <v>39</v>
      </c>
      <c r="L116" t="s">
        <v>147</v>
      </c>
      <c r="M116" t="s">
        <v>56</v>
      </c>
      <c r="N116">
        <v>3.7</v>
      </c>
      <c r="O116">
        <v>1</v>
      </c>
      <c r="P116" t="s">
        <v>77</v>
      </c>
      <c r="Q116" t="s">
        <v>30</v>
      </c>
      <c r="R116" t="s">
        <v>30</v>
      </c>
      <c r="S116">
        <v>9</v>
      </c>
      <c r="T116" t="s">
        <v>36</v>
      </c>
      <c r="U116" t="s">
        <v>43</v>
      </c>
      <c r="V116" s="1">
        <v>45474</v>
      </c>
      <c r="W116">
        <f>Table1[[#This Row],[customer_purchase count]]+1</f>
        <v>10</v>
      </c>
      <c r="X116">
        <f>Table1[[#This Row],[customer_purchase count]]*Rules!$B$3</f>
        <v>537.87923076923084</v>
      </c>
      <c r="Y116" t="str">
        <f>IF(Table1[[#This Row],[customer_subscription]]=1,"Subscribed","Not Subscribed")</f>
        <v>Subscribed</v>
      </c>
    </row>
    <row r="117" spans="1:26" x14ac:dyDescent="0.25">
      <c r="A117">
        <v>116</v>
      </c>
      <c r="B117">
        <v>53</v>
      </c>
      <c r="C117" t="s">
        <v>22</v>
      </c>
      <c r="D117">
        <v>116</v>
      </c>
      <c r="E117" t="s">
        <v>90</v>
      </c>
      <c r="F117" t="s">
        <v>24</v>
      </c>
      <c r="G117">
        <v>116</v>
      </c>
      <c r="H117">
        <v>338</v>
      </c>
      <c r="I117">
        <v>94</v>
      </c>
      <c r="J117" t="s">
        <v>54</v>
      </c>
      <c r="K117" t="s">
        <v>47</v>
      </c>
      <c r="L117" t="s">
        <v>27</v>
      </c>
      <c r="M117" t="s">
        <v>40</v>
      </c>
      <c r="N117">
        <v>3.8</v>
      </c>
      <c r="O117">
        <v>1</v>
      </c>
      <c r="P117" t="s">
        <v>57</v>
      </c>
      <c r="Q117" t="s">
        <v>30</v>
      </c>
      <c r="R117" t="s">
        <v>30</v>
      </c>
      <c r="S117">
        <v>48</v>
      </c>
      <c r="T117" t="s">
        <v>89</v>
      </c>
      <c r="U117" t="s">
        <v>100</v>
      </c>
      <c r="V117" s="1">
        <v>45383</v>
      </c>
      <c r="W117">
        <f>Table1[[#This Row],[customer_purchase count]]+1</f>
        <v>49</v>
      </c>
      <c r="X117">
        <f>Table1[[#This Row],[customer_purchase count]]*Rules!$B$3</f>
        <v>2868.689230769231</v>
      </c>
      <c r="Y117" t="str">
        <f>IF(Table1[[#This Row],[customer_subscription]]=1,"Subscribed","Not Subscribed")</f>
        <v>Subscribed</v>
      </c>
      <c r="Z117" t="s">
        <v>193</v>
      </c>
    </row>
    <row r="118" spans="1:26" x14ac:dyDescent="0.25">
      <c r="A118">
        <v>117</v>
      </c>
      <c r="B118">
        <v>55</v>
      </c>
      <c r="C118" t="s">
        <v>22</v>
      </c>
      <c r="D118">
        <v>117</v>
      </c>
      <c r="E118" t="s">
        <v>74</v>
      </c>
      <c r="F118" t="s">
        <v>45</v>
      </c>
      <c r="G118">
        <v>117</v>
      </c>
      <c r="H118">
        <v>339</v>
      </c>
      <c r="I118">
        <v>86</v>
      </c>
      <c r="J118" t="s">
        <v>144</v>
      </c>
      <c r="K118" t="s">
        <v>39</v>
      </c>
      <c r="L118" t="s">
        <v>147</v>
      </c>
      <c r="M118" t="s">
        <v>40</v>
      </c>
      <c r="N118">
        <v>3.4</v>
      </c>
      <c r="O118">
        <v>1</v>
      </c>
      <c r="P118" t="s">
        <v>41</v>
      </c>
      <c r="Q118" t="s">
        <v>30</v>
      </c>
      <c r="R118" t="s">
        <v>30</v>
      </c>
      <c r="S118">
        <v>12</v>
      </c>
      <c r="T118" t="s">
        <v>31</v>
      </c>
      <c r="U118" t="s">
        <v>52</v>
      </c>
      <c r="V118" s="1">
        <v>45409</v>
      </c>
      <c r="W118">
        <f>Table1[[#This Row],[customer_purchase count]]+1</f>
        <v>13</v>
      </c>
      <c r="X118">
        <f>Table1[[#This Row],[customer_purchase count]]*Rules!$B$3</f>
        <v>717.17230769230775</v>
      </c>
      <c r="Y118" t="str">
        <f>IF(Table1[[#This Row],[customer_subscription]]=1,"Subscribed","Not Subscribed")</f>
        <v>Subscribed</v>
      </c>
    </row>
    <row r="119" spans="1:26" x14ac:dyDescent="0.25">
      <c r="A119">
        <v>118</v>
      </c>
      <c r="B119">
        <v>50</v>
      </c>
      <c r="C119" t="s">
        <v>22</v>
      </c>
      <c r="D119">
        <v>118</v>
      </c>
      <c r="E119" t="s">
        <v>44</v>
      </c>
      <c r="F119" t="s">
        <v>45</v>
      </c>
      <c r="G119">
        <v>118</v>
      </c>
      <c r="H119">
        <v>340</v>
      </c>
      <c r="I119">
        <v>32</v>
      </c>
      <c r="J119" t="s">
        <v>150</v>
      </c>
      <c r="K119" t="s">
        <v>26</v>
      </c>
      <c r="L119" t="s">
        <v>137</v>
      </c>
      <c r="M119" t="s">
        <v>56</v>
      </c>
      <c r="N119">
        <v>4.5999999999999996</v>
      </c>
      <c r="O119">
        <v>1</v>
      </c>
      <c r="P119" t="s">
        <v>29</v>
      </c>
      <c r="Q119" t="s">
        <v>30</v>
      </c>
      <c r="R119" t="s">
        <v>30</v>
      </c>
      <c r="S119">
        <v>29</v>
      </c>
      <c r="T119" t="s">
        <v>36</v>
      </c>
      <c r="U119" t="s">
        <v>32</v>
      </c>
      <c r="V119" s="1">
        <v>45466</v>
      </c>
      <c r="W119">
        <f>Table1[[#This Row],[customer_purchase count]]+1</f>
        <v>30</v>
      </c>
      <c r="X119">
        <f>Table1[[#This Row],[customer_purchase count]]*Rules!$B$3</f>
        <v>1733.1664102564102</v>
      </c>
      <c r="Y119" t="str">
        <f>IF(Table1[[#This Row],[customer_subscription]]=1,"Subscribed","Not Subscribed")</f>
        <v>Subscribed</v>
      </c>
    </row>
    <row r="120" spans="1:26" x14ac:dyDescent="0.25">
      <c r="A120">
        <v>119</v>
      </c>
      <c r="B120">
        <v>50</v>
      </c>
      <c r="C120" t="s">
        <v>22</v>
      </c>
      <c r="D120">
        <v>119</v>
      </c>
      <c r="E120" t="s">
        <v>33</v>
      </c>
      <c r="F120" t="s">
        <v>24</v>
      </c>
      <c r="G120">
        <v>119</v>
      </c>
      <c r="H120">
        <v>341</v>
      </c>
      <c r="I120">
        <v>45</v>
      </c>
      <c r="J120" t="s">
        <v>25</v>
      </c>
      <c r="K120" t="s">
        <v>26</v>
      </c>
      <c r="L120" t="s">
        <v>124</v>
      </c>
      <c r="M120" t="s">
        <v>60</v>
      </c>
      <c r="N120">
        <v>4.8</v>
      </c>
      <c r="O120">
        <v>1</v>
      </c>
      <c r="P120" t="s">
        <v>73</v>
      </c>
      <c r="Q120" t="s">
        <v>30</v>
      </c>
      <c r="R120" t="s">
        <v>30</v>
      </c>
      <c r="S120">
        <v>27</v>
      </c>
      <c r="T120" t="s">
        <v>36</v>
      </c>
      <c r="U120" t="s">
        <v>79</v>
      </c>
      <c r="V120" s="1">
        <v>45623</v>
      </c>
      <c r="W120">
        <f>Table1[[#This Row],[customer_purchase count]]+1</f>
        <v>28</v>
      </c>
      <c r="X120">
        <f>Table1[[#This Row],[customer_purchase count]]*Rules!$B$3</f>
        <v>1613.6376923076923</v>
      </c>
      <c r="Y120" t="str">
        <f>IF(Table1[[#This Row],[customer_subscription]]=1,"Subscribed","Not Subscribed")</f>
        <v>Subscribed</v>
      </c>
    </row>
    <row r="121" spans="1:26" x14ac:dyDescent="0.25">
      <c r="A121">
        <v>120</v>
      </c>
      <c r="B121">
        <v>38</v>
      </c>
      <c r="C121" t="s">
        <v>22</v>
      </c>
      <c r="D121">
        <v>120</v>
      </c>
      <c r="E121" t="s">
        <v>65</v>
      </c>
      <c r="F121" t="s">
        <v>66</v>
      </c>
      <c r="G121">
        <v>120</v>
      </c>
      <c r="H121">
        <v>343</v>
      </c>
      <c r="I121">
        <v>76</v>
      </c>
      <c r="J121" t="s">
        <v>54</v>
      </c>
      <c r="K121" t="s">
        <v>47</v>
      </c>
      <c r="L121" t="s">
        <v>124</v>
      </c>
      <c r="M121" t="s">
        <v>60</v>
      </c>
      <c r="N121">
        <v>4.3</v>
      </c>
      <c r="O121">
        <v>1</v>
      </c>
      <c r="P121" t="s">
        <v>29</v>
      </c>
      <c r="Q121" t="s">
        <v>30</v>
      </c>
      <c r="R121" t="s">
        <v>30</v>
      </c>
      <c r="S121">
        <v>44</v>
      </c>
      <c r="T121" t="s">
        <v>36</v>
      </c>
      <c r="U121" t="s">
        <v>52</v>
      </c>
      <c r="V121" s="1">
        <v>45560</v>
      </c>
      <c r="W121">
        <f>Table1[[#This Row],[customer_purchase count]]+1</f>
        <v>45</v>
      </c>
      <c r="X121">
        <f>Table1[[#This Row],[customer_purchase count]]*Rules!$B$3</f>
        <v>2629.6317948717951</v>
      </c>
      <c r="Y121" t="str">
        <f>IF(Table1[[#This Row],[customer_subscription]]=1,"Subscribed","Not Subscribed")</f>
        <v>Subscribed</v>
      </c>
      <c r="Z121" t="s">
        <v>193</v>
      </c>
    </row>
    <row r="122" spans="1:26" x14ac:dyDescent="0.25">
      <c r="A122">
        <v>121</v>
      </c>
      <c r="B122">
        <v>64</v>
      </c>
      <c r="C122" t="s">
        <v>22</v>
      </c>
      <c r="D122">
        <v>121</v>
      </c>
      <c r="E122" t="s">
        <v>127</v>
      </c>
      <c r="F122" t="s">
        <v>70</v>
      </c>
      <c r="G122">
        <v>121</v>
      </c>
      <c r="H122">
        <v>344</v>
      </c>
      <c r="I122">
        <v>84</v>
      </c>
      <c r="J122" t="s">
        <v>67</v>
      </c>
      <c r="K122" t="s">
        <v>26</v>
      </c>
      <c r="L122" t="s">
        <v>111</v>
      </c>
      <c r="M122" t="s">
        <v>56</v>
      </c>
      <c r="N122">
        <v>4</v>
      </c>
      <c r="O122">
        <v>1</v>
      </c>
      <c r="P122" t="s">
        <v>29</v>
      </c>
      <c r="Q122" t="s">
        <v>30</v>
      </c>
      <c r="R122" t="s">
        <v>30</v>
      </c>
      <c r="S122">
        <v>32</v>
      </c>
      <c r="T122" t="s">
        <v>78</v>
      </c>
      <c r="U122" t="s">
        <v>52</v>
      </c>
      <c r="V122" s="1">
        <v>45457</v>
      </c>
      <c r="W122">
        <f>Table1[[#This Row],[customer_purchase count]]+1</f>
        <v>33</v>
      </c>
      <c r="X122">
        <f>Table1[[#This Row],[customer_purchase count]]*Rules!$B$3</f>
        <v>1912.4594871794873</v>
      </c>
      <c r="Y122" t="str">
        <f>IF(Table1[[#This Row],[customer_subscription]]=1,"Subscribed","Not Subscribed")</f>
        <v>Subscribed</v>
      </c>
    </row>
    <row r="123" spans="1:26" x14ac:dyDescent="0.25">
      <c r="A123">
        <v>122</v>
      </c>
      <c r="B123">
        <v>19</v>
      </c>
      <c r="C123" t="s">
        <v>22</v>
      </c>
      <c r="D123">
        <v>122</v>
      </c>
      <c r="E123" t="s">
        <v>62</v>
      </c>
      <c r="F123" t="s">
        <v>24</v>
      </c>
      <c r="G123">
        <v>122</v>
      </c>
      <c r="H123">
        <v>345</v>
      </c>
      <c r="I123">
        <v>72</v>
      </c>
      <c r="J123" t="s">
        <v>144</v>
      </c>
      <c r="K123" t="s">
        <v>47</v>
      </c>
      <c r="L123" t="s">
        <v>81</v>
      </c>
      <c r="M123" t="s">
        <v>28</v>
      </c>
      <c r="N123">
        <v>4.2</v>
      </c>
      <c r="O123">
        <v>1</v>
      </c>
      <c r="P123" t="s">
        <v>57</v>
      </c>
      <c r="Q123" t="s">
        <v>30</v>
      </c>
      <c r="R123" t="s">
        <v>30</v>
      </c>
      <c r="S123">
        <v>11</v>
      </c>
      <c r="T123" t="s">
        <v>36</v>
      </c>
      <c r="U123" t="s">
        <v>32</v>
      </c>
      <c r="V123" s="1">
        <v>45311</v>
      </c>
      <c r="W123">
        <f>Table1[[#This Row],[customer_purchase count]]+1</f>
        <v>12</v>
      </c>
      <c r="X123">
        <f>Table1[[#This Row],[customer_purchase count]]*Rules!$B$3</f>
        <v>657.40794871794878</v>
      </c>
      <c r="Y123" t="str">
        <f>IF(Table1[[#This Row],[customer_subscription]]=1,"Subscribed","Not Subscribed")</f>
        <v>Subscribed</v>
      </c>
      <c r="Z123" t="s">
        <v>187</v>
      </c>
    </row>
    <row r="124" spans="1:26" x14ac:dyDescent="0.25">
      <c r="A124">
        <v>123</v>
      </c>
      <c r="B124">
        <v>40</v>
      </c>
      <c r="C124" t="s">
        <v>22</v>
      </c>
      <c r="D124">
        <v>123</v>
      </c>
      <c r="E124" t="s">
        <v>135</v>
      </c>
      <c r="F124" t="s">
        <v>70</v>
      </c>
      <c r="G124">
        <v>123</v>
      </c>
      <c r="H124">
        <v>346</v>
      </c>
      <c r="I124">
        <v>40</v>
      </c>
      <c r="J124" t="s">
        <v>152</v>
      </c>
      <c r="K124" t="s">
        <v>26</v>
      </c>
      <c r="L124" t="s">
        <v>113</v>
      </c>
      <c r="M124" t="s">
        <v>40</v>
      </c>
      <c r="N124">
        <v>4.8</v>
      </c>
      <c r="O124">
        <v>1</v>
      </c>
      <c r="P124" t="s">
        <v>73</v>
      </c>
      <c r="Q124" t="s">
        <v>30</v>
      </c>
      <c r="R124" t="s">
        <v>30</v>
      </c>
      <c r="S124">
        <v>44</v>
      </c>
      <c r="T124" t="s">
        <v>36</v>
      </c>
      <c r="U124" t="s">
        <v>32</v>
      </c>
      <c r="V124" s="1">
        <v>45399</v>
      </c>
      <c r="W124">
        <f>Table1[[#This Row],[customer_purchase count]]+1</f>
        <v>45</v>
      </c>
      <c r="X124">
        <f>Table1[[#This Row],[customer_purchase count]]*Rules!$B$3</f>
        <v>2629.6317948717951</v>
      </c>
      <c r="Y124" t="str">
        <f>IF(Table1[[#This Row],[customer_subscription]]=1,"Subscribed","Not Subscribed")</f>
        <v>Subscribed</v>
      </c>
      <c r="Z124" t="s">
        <v>193</v>
      </c>
    </row>
    <row r="125" spans="1:26" x14ac:dyDescent="0.25">
      <c r="A125">
        <v>124</v>
      </c>
      <c r="B125">
        <v>57</v>
      </c>
      <c r="C125" t="s">
        <v>22</v>
      </c>
      <c r="D125">
        <v>124</v>
      </c>
      <c r="E125" t="s">
        <v>33</v>
      </c>
      <c r="F125" t="s">
        <v>24</v>
      </c>
      <c r="G125">
        <v>124</v>
      </c>
      <c r="H125">
        <v>347</v>
      </c>
      <c r="I125">
        <v>89</v>
      </c>
      <c r="J125" t="s">
        <v>63</v>
      </c>
      <c r="K125" t="s">
        <v>26</v>
      </c>
      <c r="L125" t="s">
        <v>113</v>
      </c>
      <c r="M125" t="s">
        <v>60</v>
      </c>
      <c r="N125">
        <v>3.1</v>
      </c>
      <c r="O125">
        <v>1</v>
      </c>
      <c r="P125" t="s">
        <v>41</v>
      </c>
      <c r="Q125" t="s">
        <v>30</v>
      </c>
      <c r="R125" t="s">
        <v>30</v>
      </c>
      <c r="S125">
        <v>46</v>
      </c>
      <c r="T125" t="s">
        <v>36</v>
      </c>
      <c r="U125" t="s">
        <v>43</v>
      </c>
      <c r="V125" s="1">
        <v>45575</v>
      </c>
      <c r="W125">
        <f>Table1[[#This Row],[customer_purchase count]]+1</f>
        <v>47</v>
      </c>
      <c r="X125">
        <f>Table1[[#This Row],[customer_purchase count]]*Rules!$B$3</f>
        <v>2749.1605128205128</v>
      </c>
      <c r="Y125" t="str">
        <f>IF(Table1[[#This Row],[customer_subscription]]=1,"Subscribed","Not Subscribed")</f>
        <v>Subscribed</v>
      </c>
      <c r="Z125" t="s">
        <v>193</v>
      </c>
    </row>
    <row r="126" spans="1:26" x14ac:dyDescent="0.25">
      <c r="A126">
        <v>125</v>
      </c>
      <c r="B126">
        <v>44</v>
      </c>
      <c r="C126" t="s">
        <v>22</v>
      </c>
      <c r="D126">
        <v>125</v>
      </c>
      <c r="E126" t="s">
        <v>33</v>
      </c>
      <c r="F126" t="s">
        <v>24</v>
      </c>
      <c r="G126">
        <v>125</v>
      </c>
      <c r="H126">
        <v>349</v>
      </c>
      <c r="I126">
        <v>86</v>
      </c>
      <c r="J126" t="s">
        <v>110</v>
      </c>
      <c r="K126" t="s">
        <v>47</v>
      </c>
      <c r="L126" t="s">
        <v>27</v>
      </c>
      <c r="M126" t="s">
        <v>40</v>
      </c>
      <c r="N126">
        <v>3.1</v>
      </c>
      <c r="O126">
        <v>1</v>
      </c>
      <c r="P126" t="s">
        <v>48</v>
      </c>
      <c r="Q126" t="s">
        <v>30</v>
      </c>
      <c r="R126" t="s">
        <v>30</v>
      </c>
      <c r="S126">
        <v>50</v>
      </c>
      <c r="T126" t="s">
        <v>49</v>
      </c>
      <c r="U126" t="s">
        <v>52</v>
      </c>
      <c r="V126" s="1">
        <v>45403</v>
      </c>
      <c r="W126">
        <f>Table1[[#This Row],[customer_purchase count]]+1</f>
        <v>51</v>
      </c>
      <c r="X126">
        <f>Table1[[#This Row],[customer_purchase count]]*Rules!$B$3</f>
        <v>2988.2179487179487</v>
      </c>
      <c r="Y126" t="str">
        <f>IF(Table1[[#This Row],[customer_subscription]]=1,"Subscribed","Not Subscribed")</f>
        <v>Subscribed</v>
      </c>
      <c r="Z126" t="s">
        <v>193</v>
      </c>
    </row>
    <row r="127" spans="1:26" x14ac:dyDescent="0.25">
      <c r="A127">
        <v>126</v>
      </c>
      <c r="B127">
        <v>49</v>
      </c>
      <c r="C127" t="s">
        <v>22</v>
      </c>
      <c r="D127">
        <v>126</v>
      </c>
      <c r="E127" t="s">
        <v>62</v>
      </c>
      <c r="F127" t="s">
        <v>24</v>
      </c>
      <c r="G127">
        <v>126</v>
      </c>
      <c r="H127">
        <v>350</v>
      </c>
      <c r="I127">
        <v>54</v>
      </c>
      <c r="J127" t="s">
        <v>102</v>
      </c>
      <c r="K127" t="s">
        <v>47</v>
      </c>
      <c r="L127" t="s">
        <v>129</v>
      </c>
      <c r="M127" t="s">
        <v>28</v>
      </c>
      <c r="N127">
        <v>3.6</v>
      </c>
      <c r="O127">
        <v>1</v>
      </c>
      <c r="P127" t="s">
        <v>48</v>
      </c>
      <c r="Q127" t="s">
        <v>30</v>
      </c>
      <c r="R127" t="s">
        <v>30</v>
      </c>
      <c r="S127">
        <v>45</v>
      </c>
      <c r="T127" t="s">
        <v>31</v>
      </c>
      <c r="U127" t="s">
        <v>100</v>
      </c>
      <c r="V127" s="1">
        <v>45349</v>
      </c>
      <c r="W127">
        <f>Table1[[#This Row],[customer_purchase count]]+1</f>
        <v>46</v>
      </c>
      <c r="X127">
        <f>Table1[[#This Row],[customer_purchase count]]*Rules!$B$3</f>
        <v>2689.396153846154</v>
      </c>
      <c r="Y127" t="str">
        <f>IF(Table1[[#This Row],[customer_subscription]]=1,"Subscribed","Not Subscribed")</f>
        <v>Subscribed</v>
      </c>
      <c r="Z127" t="s">
        <v>193</v>
      </c>
    </row>
    <row r="128" spans="1:26" x14ac:dyDescent="0.25">
      <c r="A128">
        <v>127</v>
      </c>
      <c r="B128">
        <v>43</v>
      </c>
      <c r="C128" t="s">
        <v>22</v>
      </c>
      <c r="D128">
        <v>127</v>
      </c>
      <c r="E128" t="s">
        <v>62</v>
      </c>
      <c r="F128" t="s">
        <v>24</v>
      </c>
      <c r="G128">
        <v>127</v>
      </c>
      <c r="H128">
        <v>351</v>
      </c>
      <c r="I128">
        <v>36</v>
      </c>
      <c r="J128" t="s">
        <v>94</v>
      </c>
      <c r="K128" t="s">
        <v>26</v>
      </c>
      <c r="L128" t="s">
        <v>72</v>
      </c>
      <c r="M128" t="s">
        <v>40</v>
      </c>
      <c r="N128">
        <v>3.9</v>
      </c>
      <c r="O128">
        <v>1</v>
      </c>
      <c r="P128" t="s">
        <v>77</v>
      </c>
      <c r="Q128" t="s">
        <v>30</v>
      </c>
      <c r="R128" t="s">
        <v>30</v>
      </c>
      <c r="S128">
        <v>48</v>
      </c>
      <c r="T128" t="s">
        <v>36</v>
      </c>
      <c r="U128" t="s">
        <v>100</v>
      </c>
      <c r="V128" s="1">
        <v>45431</v>
      </c>
      <c r="W128">
        <f>Table1[[#This Row],[customer_purchase count]]+1</f>
        <v>49</v>
      </c>
      <c r="X128">
        <f>Table1[[#This Row],[customer_purchase count]]*Rules!$B$3</f>
        <v>2868.689230769231</v>
      </c>
      <c r="Y128" t="str">
        <f>IF(Table1[[#This Row],[customer_subscription]]=1,"Subscribed","Not Subscribed")</f>
        <v>Subscribed</v>
      </c>
      <c r="Z128" t="s">
        <v>193</v>
      </c>
    </row>
    <row r="129" spans="1:26" x14ac:dyDescent="0.25">
      <c r="A129">
        <v>128</v>
      </c>
      <c r="B129">
        <v>24</v>
      </c>
      <c r="C129" t="s">
        <v>22</v>
      </c>
      <c r="D129">
        <v>128</v>
      </c>
      <c r="E129" t="s">
        <v>33</v>
      </c>
      <c r="F129" t="s">
        <v>24</v>
      </c>
      <c r="G129">
        <v>128</v>
      </c>
      <c r="H129">
        <v>352</v>
      </c>
      <c r="I129">
        <v>89</v>
      </c>
      <c r="J129" t="s">
        <v>94</v>
      </c>
      <c r="K129" t="s">
        <v>47</v>
      </c>
      <c r="L129" t="s">
        <v>27</v>
      </c>
      <c r="M129" t="s">
        <v>28</v>
      </c>
      <c r="N129">
        <v>4.8</v>
      </c>
      <c r="O129">
        <v>1</v>
      </c>
      <c r="P129" t="s">
        <v>48</v>
      </c>
      <c r="Q129" t="s">
        <v>30</v>
      </c>
      <c r="R129" t="s">
        <v>30</v>
      </c>
      <c r="S129">
        <v>26</v>
      </c>
      <c r="T129" t="s">
        <v>42</v>
      </c>
      <c r="U129" t="s">
        <v>43</v>
      </c>
      <c r="V129" s="1">
        <v>45637</v>
      </c>
      <c r="W129">
        <f>Table1[[#This Row],[customer_purchase count]]+1</f>
        <v>27</v>
      </c>
      <c r="X129">
        <f>Table1[[#This Row],[customer_purchase count]]*Rules!$B$3</f>
        <v>1553.8733333333334</v>
      </c>
      <c r="Y129" t="str">
        <f>IF(Table1[[#This Row],[customer_subscription]]=1,"Subscribed","Not Subscribed")</f>
        <v>Subscribed</v>
      </c>
    </row>
    <row r="130" spans="1:26" x14ac:dyDescent="0.25">
      <c r="A130">
        <v>129</v>
      </c>
      <c r="B130">
        <v>20</v>
      </c>
      <c r="C130" t="s">
        <v>22</v>
      </c>
      <c r="D130">
        <v>129</v>
      </c>
      <c r="E130" t="s">
        <v>122</v>
      </c>
      <c r="F130" t="s">
        <v>70</v>
      </c>
      <c r="G130">
        <v>129</v>
      </c>
      <c r="H130">
        <v>353</v>
      </c>
      <c r="I130">
        <v>32</v>
      </c>
      <c r="J130" t="s">
        <v>102</v>
      </c>
      <c r="K130" t="s">
        <v>47</v>
      </c>
      <c r="L130" t="s">
        <v>83</v>
      </c>
      <c r="M130" t="s">
        <v>40</v>
      </c>
      <c r="N130">
        <v>4.7</v>
      </c>
      <c r="O130">
        <v>1</v>
      </c>
      <c r="P130" t="s">
        <v>57</v>
      </c>
      <c r="Q130" t="s">
        <v>30</v>
      </c>
      <c r="R130" t="s">
        <v>30</v>
      </c>
      <c r="S130">
        <v>21</v>
      </c>
      <c r="T130" t="s">
        <v>42</v>
      </c>
      <c r="U130" t="s">
        <v>32</v>
      </c>
      <c r="V130" s="1">
        <v>45423</v>
      </c>
      <c r="W130">
        <f>Table1[[#This Row],[customer_purchase count]]+1</f>
        <v>22</v>
      </c>
      <c r="X130">
        <f>Table1[[#This Row],[customer_purchase count]]*Rules!$B$3</f>
        <v>1255.0515384615385</v>
      </c>
      <c r="Y130" t="str">
        <f>IF(Table1[[#This Row],[customer_subscription]]=1,"Subscribed","Not Subscribed")</f>
        <v>Subscribed</v>
      </c>
    </row>
    <row r="131" spans="1:26" x14ac:dyDescent="0.25">
      <c r="A131">
        <v>130</v>
      </c>
      <c r="B131">
        <v>24</v>
      </c>
      <c r="C131" t="s">
        <v>22</v>
      </c>
      <c r="D131">
        <v>130</v>
      </c>
      <c r="E131" t="s">
        <v>84</v>
      </c>
      <c r="F131" t="s">
        <v>24</v>
      </c>
      <c r="G131">
        <v>130</v>
      </c>
      <c r="H131">
        <v>355</v>
      </c>
      <c r="I131">
        <v>67</v>
      </c>
      <c r="J131" t="s">
        <v>141</v>
      </c>
      <c r="K131" t="s">
        <v>95</v>
      </c>
      <c r="L131" t="s">
        <v>81</v>
      </c>
      <c r="M131" t="s">
        <v>56</v>
      </c>
      <c r="N131">
        <v>4.2</v>
      </c>
      <c r="O131">
        <v>1</v>
      </c>
      <c r="P131" t="s">
        <v>73</v>
      </c>
      <c r="Q131" t="s">
        <v>30</v>
      </c>
      <c r="R131" t="s">
        <v>30</v>
      </c>
      <c r="S131">
        <v>49</v>
      </c>
      <c r="T131" t="s">
        <v>49</v>
      </c>
      <c r="U131" t="s">
        <v>79</v>
      </c>
      <c r="V131" s="1">
        <v>45516</v>
      </c>
      <c r="W131">
        <f>Table1[[#This Row],[customer_purchase count]]+1</f>
        <v>50</v>
      </c>
      <c r="X131">
        <f>Table1[[#This Row],[customer_purchase count]]*Rules!$B$3</f>
        <v>2928.4535897435899</v>
      </c>
      <c r="Y131" t="str">
        <f>IF(Table1[[#This Row],[customer_subscription]]=1,"Subscribed","Not Subscribed")</f>
        <v>Subscribed</v>
      </c>
    </row>
    <row r="132" spans="1:26" x14ac:dyDescent="0.25">
      <c r="A132">
        <v>131</v>
      </c>
      <c r="B132">
        <v>44</v>
      </c>
      <c r="C132" t="s">
        <v>22</v>
      </c>
      <c r="D132">
        <v>131</v>
      </c>
      <c r="E132" t="s">
        <v>122</v>
      </c>
      <c r="F132" t="s">
        <v>70</v>
      </c>
      <c r="G132">
        <v>131</v>
      </c>
      <c r="H132">
        <v>356</v>
      </c>
      <c r="I132">
        <v>39</v>
      </c>
      <c r="J132" t="s">
        <v>25</v>
      </c>
      <c r="K132" t="s">
        <v>26</v>
      </c>
      <c r="L132" t="s">
        <v>86</v>
      </c>
      <c r="M132" t="s">
        <v>60</v>
      </c>
      <c r="N132">
        <v>3.7</v>
      </c>
      <c r="O132">
        <v>1</v>
      </c>
      <c r="P132" t="s">
        <v>48</v>
      </c>
      <c r="Q132" t="s">
        <v>30</v>
      </c>
      <c r="R132" t="s">
        <v>30</v>
      </c>
      <c r="S132">
        <v>13</v>
      </c>
      <c r="T132" t="s">
        <v>49</v>
      </c>
      <c r="U132" t="s">
        <v>32</v>
      </c>
      <c r="V132" s="1">
        <v>45621</v>
      </c>
      <c r="W132">
        <f>Table1[[#This Row],[customer_purchase count]]+1</f>
        <v>14</v>
      </c>
      <c r="X132">
        <f>Table1[[#This Row],[customer_purchase count]]*Rules!$B$3</f>
        <v>776.93666666666672</v>
      </c>
      <c r="Y132" t="str">
        <f>IF(Table1[[#This Row],[customer_subscription]]=1,"Subscribed","Not Subscribed")</f>
        <v>Subscribed</v>
      </c>
    </row>
    <row r="133" spans="1:26" x14ac:dyDescent="0.25">
      <c r="A133">
        <v>132</v>
      </c>
      <c r="B133">
        <v>28</v>
      </c>
      <c r="C133" t="s">
        <v>22</v>
      </c>
      <c r="D133">
        <v>132</v>
      </c>
      <c r="E133" t="s">
        <v>90</v>
      </c>
      <c r="F133" t="s">
        <v>24</v>
      </c>
      <c r="G133">
        <v>132</v>
      </c>
      <c r="H133">
        <v>357</v>
      </c>
      <c r="I133">
        <v>29</v>
      </c>
      <c r="J133" t="s">
        <v>34</v>
      </c>
      <c r="K133" t="s">
        <v>26</v>
      </c>
      <c r="L133" t="s">
        <v>129</v>
      </c>
      <c r="M133" t="s">
        <v>56</v>
      </c>
      <c r="N133">
        <v>3.9</v>
      </c>
      <c r="O133">
        <v>1</v>
      </c>
      <c r="P133" t="s">
        <v>57</v>
      </c>
      <c r="Q133" t="s">
        <v>30</v>
      </c>
      <c r="R133" t="s">
        <v>30</v>
      </c>
      <c r="S133">
        <v>46</v>
      </c>
      <c r="T133" t="s">
        <v>42</v>
      </c>
      <c r="U133" t="s">
        <v>43</v>
      </c>
      <c r="V133" s="1">
        <v>45483</v>
      </c>
      <c r="W133">
        <f>Table1[[#This Row],[customer_purchase count]]+1</f>
        <v>47</v>
      </c>
      <c r="X133">
        <f>Table1[[#This Row],[customer_purchase count]]*Rules!$B$3</f>
        <v>2749.1605128205128</v>
      </c>
      <c r="Y133" t="str">
        <f>IF(Table1[[#This Row],[customer_subscription]]=1,"Subscribed","Not Subscribed")</f>
        <v>Subscribed</v>
      </c>
    </row>
    <row r="134" spans="1:26" x14ac:dyDescent="0.25">
      <c r="A134">
        <v>133</v>
      </c>
      <c r="B134">
        <v>30</v>
      </c>
      <c r="C134" t="s">
        <v>22</v>
      </c>
      <c r="D134">
        <v>133</v>
      </c>
      <c r="E134" t="s">
        <v>135</v>
      </c>
      <c r="F134" t="s">
        <v>70</v>
      </c>
      <c r="G134">
        <v>133</v>
      </c>
      <c r="H134">
        <v>358</v>
      </c>
      <c r="I134">
        <v>58</v>
      </c>
      <c r="J134" t="s">
        <v>133</v>
      </c>
      <c r="K134" t="s">
        <v>47</v>
      </c>
      <c r="L134" t="s">
        <v>124</v>
      </c>
      <c r="M134" t="s">
        <v>60</v>
      </c>
      <c r="N134">
        <v>4.7</v>
      </c>
      <c r="O134">
        <v>1</v>
      </c>
      <c r="P134" t="s">
        <v>73</v>
      </c>
      <c r="Q134" t="s">
        <v>30</v>
      </c>
      <c r="R134" t="s">
        <v>30</v>
      </c>
      <c r="S134">
        <v>42</v>
      </c>
      <c r="T134" t="s">
        <v>49</v>
      </c>
      <c r="U134" t="s">
        <v>43</v>
      </c>
      <c r="V134" s="1">
        <v>45553</v>
      </c>
      <c r="W134">
        <f>Table1[[#This Row],[customer_purchase count]]+1</f>
        <v>43</v>
      </c>
      <c r="X134">
        <f>Table1[[#This Row],[customer_purchase count]]*Rules!$B$3</f>
        <v>2510.103076923077</v>
      </c>
      <c r="Y134" t="str">
        <f>IF(Table1[[#This Row],[customer_subscription]]=1,"Subscribed","Not Subscribed")</f>
        <v>Subscribed</v>
      </c>
      <c r="Z134" t="s">
        <v>193</v>
      </c>
    </row>
    <row r="135" spans="1:26" x14ac:dyDescent="0.25">
      <c r="A135">
        <v>134</v>
      </c>
      <c r="B135">
        <v>52</v>
      </c>
      <c r="C135" t="s">
        <v>22</v>
      </c>
      <c r="D135">
        <v>134</v>
      </c>
      <c r="E135" t="s">
        <v>33</v>
      </c>
      <c r="F135" t="s">
        <v>24</v>
      </c>
      <c r="G135">
        <v>134</v>
      </c>
      <c r="H135">
        <v>359</v>
      </c>
      <c r="I135">
        <v>65</v>
      </c>
      <c r="J135" t="s">
        <v>59</v>
      </c>
      <c r="K135" t="s">
        <v>47</v>
      </c>
      <c r="L135" t="s">
        <v>86</v>
      </c>
      <c r="M135" t="s">
        <v>28</v>
      </c>
      <c r="N135">
        <v>2.5</v>
      </c>
      <c r="O135">
        <v>1</v>
      </c>
      <c r="P135" t="s">
        <v>48</v>
      </c>
      <c r="Q135" t="s">
        <v>30</v>
      </c>
      <c r="R135" t="s">
        <v>30</v>
      </c>
      <c r="S135">
        <v>25</v>
      </c>
      <c r="T135" t="s">
        <v>31</v>
      </c>
      <c r="U135" t="s">
        <v>52</v>
      </c>
      <c r="V135" s="1">
        <v>45302</v>
      </c>
      <c r="W135">
        <f>Table1[[#This Row],[customer_purchase count]]+1</f>
        <v>26</v>
      </c>
      <c r="X135">
        <f>Table1[[#This Row],[customer_purchase count]]*Rules!$B$3</f>
        <v>1494.1089743589744</v>
      </c>
      <c r="Y135" t="str">
        <f>IF(Table1[[#This Row],[customer_subscription]]=1,"Subscribed","Not Subscribed")</f>
        <v>Subscribed</v>
      </c>
    </row>
    <row r="136" spans="1:26" x14ac:dyDescent="0.25">
      <c r="A136">
        <v>135</v>
      </c>
      <c r="B136">
        <v>43</v>
      </c>
      <c r="C136" t="s">
        <v>22</v>
      </c>
      <c r="D136">
        <v>135</v>
      </c>
      <c r="E136" t="s">
        <v>127</v>
      </c>
      <c r="F136" t="s">
        <v>70</v>
      </c>
      <c r="G136">
        <v>135</v>
      </c>
      <c r="H136">
        <v>361</v>
      </c>
      <c r="I136">
        <v>94</v>
      </c>
      <c r="J136" t="s">
        <v>108</v>
      </c>
      <c r="K136" t="s">
        <v>26</v>
      </c>
      <c r="L136" t="s">
        <v>27</v>
      </c>
      <c r="M136" t="s">
        <v>60</v>
      </c>
      <c r="N136">
        <v>4.9000000000000004</v>
      </c>
      <c r="O136">
        <v>1</v>
      </c>
      <c r="P136" t="s">
        <v>77</v>
      </c>
      <c r="Q136" t="s">
        <v>30</v>
      </c>
      <c r="R136" t="s">
        <v>30</v>
      </c>
      <c r="S136">
        <v>25</v>
      </c>
      <c r="T136" t="s">
        <v>36</v>
      </c>
      <c r="U136" t="s">
        <v>91</v>
      </c>
      <c r="V136" s="1">
        <v>45575</v>
      </c>
      <c r="W136">
        <f>Table1[[#This Row],[customer_purchase count]]+1</f>
        <v>26</v>
      </c>
      <c r="X136">
        <f>Table1[[#This Row],[customer_purchase count]]*Rules!$B$3</f>
        <v>1494.1089743589744</v>
      </c>
      <c r="Y136" t="str">
        <f>IF(Table1[[#This Row],[customer_subscription]]=1,"Subscribed","Not Subscribed")</f>
        <v>Subscribed</v>
      </c>
    </row>
    <row r="137" spans="1:26" x14ac:dyDescent="0.25">
      <c r="A137">
        <v>136</v>
      </c>
      <c r="B137">
        <v>43</v>
      </c>
      <c r="C137" t="s">
        <v>22</v>
      </c>
      <c r="D137">
        <v>136</v>
      </c>
      <c r="E137" t="s">
        <v>44</v>
      </c>
      <c r="F137" t="s">
        <v>45</v>
      </c>
      <c r="G137">
        <v>136</v>
      </c>
      <c r="H137">
        <v>362</v>
      </c>
      <c r="I137">
        <v>81</v>
      </c>
      <c r="J137" t="s">
        <v>114</v>
      </c>
      <c r="K137" t="s">
        <v>47</v>
      </c>
      <c r="L137" t="s">
        <v>76</v>
      </c>
      <c r="M137" t="s">
        <v>60</v>
      </c>
      <c r="N137">
        <v>4.0999999999999996</v>
      </c>
      <c r="O137">
        <v>1</v>
      </c>
      <c r="P137" t="s">
        <v>29</v>
      </c>
      <c r="Q137" t="s">
        <v>30</v>
      </c>
      <c r="R137" t="s">
        <v>30</v>
      </c>
      <c r="S137">
        <v>12</v>
      </c>
      <c r="T137" t="s">
        <v>49</v>
      </c>
      <c r="U137" t="s">
        <v>61</v>
      </c>
      <c r="V137" s="1">
        <v>45611</v>
      </c>
      <c r="W137">
        <f>Table1[[#This Row],[customer_purchase count]]+1</f>
        <v>13</v>
      </c>
      <c r="X137">
        <f>Table1[[#This Row],[customer_purchase count]]*Rules!$B$3</f>
        <v>717.17230769230775</v>
      </c>
      <c r="Y137" t="str">
        <f>IF(Table1[[#This Row],[customer_subscription]]=1,"Subscribed","Not Subscribed")</f>
        <v>Subscribed</v>
      </c>
    </row>
    <row r="138" spans="1:26" x14ac:dyDescent="0.25">
      <c r="A138">
        <v>137</v>
      </c>
      <c r="B138">
        <v>39</v>
      </c>
      <c r="C138" t="s">
        <v>22</v>
      </c>
      <c r="D138">
        <v>137</v>
      </c>
      <c r="E138" t="s">
        <v>23</v>
      </c>
      <c r="F138" t="s">
        <v>24</v>
      </c>
      <c r="G138">
        <v>137</v>
      </c>
      <c r="H138">
        <v>363</v>
      </c>
      <c r="I138">
        <v>86</v>
      </c>
      <c r="J138" t="s">
        <v>134</v>
      </c>
      <c r="K138" t="s">
        <v>47</v>
      </c>
      <c r="L138" t="s">
        <v>55</v>
      </c>
      <c r="M138" t="s">
        <v>28</v>
      </c>
      <c r="N138">
        <v>3.3</v>
      </c>
      <c r="O138">
        <v>1</v>
      </c>
      <c r="P138" t="s">
        <v>41</v>
      </c>
      <c r="Q138" t="s">
        <v>30</v>
      </c>
      <c r="R138" t="s">
        <v>30</v>
      </c>
      <c r="S138">
        <v>4</v>
      </c>
      <c r="T138" t="s">
        <v>89</v>
      </c>
      <c r="U138" t="s">
        <v>61</v>
      </c>
      <c r="V138" s="1">
        <v>45333</v>
      </c>
      <c r="W138">
        <f>Table1[[#This Row],[customer_purchase count]]+1</f>
        <v>5</v>
      </c>
      <c r="X138">
        <f>Table1[[#This Row],[customer_purchase count]]*Rules!$B$3</f>
        <v>239.05743589743591</v>
      </c>
      <c r="Y138" t="str">
        <f>IF(Table1[[#This Row],[customer_subscription]]=1,"Subscribed","Not Subscribed")</f>
        <v>Subscribed</v>
      </c>
    </row>
    <row r="139" spans="1:26" x14ac:dyDescent="0.25">
      <c r="A139">
        <v>138</v>
      </c>
      <c r="B139">
        <v>68</v>
      </c>
      <c r="C139" t="s">
        <v>22</v>
      </c>
      <c r="D139">
        <v>138</v>
      </c>
      <c r="E139" t="s">
        <v>53</v>
      </c>
      <c r="F139" t="s">
        <v>45</v>
      </c>
      <c r="G139">
        <v>138</v>
      </c>
      <c r="H139">
        <v>364</v>
      </c>
      <c r="I139">
        <v>43</v>
      </c>
      <c r="J139" t="s">
        <v>115</v>
      </c>
      <c r="K139" t="s">
        <v>47</v>
      </c>
      <c r="L139" t="s">
        <v>51</v>
      </c>
      <c r="M139" t="s">
        <v>40</v>
      </c>
      <c r="N139">
        <v>4.7</v>
      </c>
      <c r="O139">
        <v>1</v>
      </c>
      <c r="P139" t="s">
        <v>41</v>
      </c>
      <c r="Q139" t="s">
        <v>30</v>
      </c>
      <c r="R139" t="s">
        <v>30</v>
      </c>
      <c r="S139">
        <v>38</v>
      </c>
      <c r="T139" t="s">
        <v>49</v>
      </c>
      <c r="U139" t="s">
        <v>43</v>
      </c>
      <c r="V139" s="1">
        <v>45353</v>
      </c>
      <c r="W139">
        <f>Table1[[#This Row],[customer_purchase count]]+1</f>
        <v>39</v>
      </c>
      <c r="X139">
        <f>Table1[[#This Row],[customer_purchase count]]*Rules!$B$3</f>
        <v>2271.0456410256411</v>
      </c>
      <c r="Y139" t="str">
        <f>IF(Table1[[#This Row],[customer_subscription]]=1,"Subscribed","Not Subscribed")</f>
        <v>Subscribed</v>
      </c>
    </row>
    <row r="140" spans="1:26" x14ac:dyDescent="0.25">
      <c r="A140">
        <v>139</v>
      </c>
      <c r="B140">
        <v>68</v>
      </c>
      <c r="C140" t="s">
        <v>22</v>
      </c>
      <c r="D140">
        <v>139</v>
      </c>
      <c r="E140" t="s">
        <v>90</v>
      </c>
      <c r="F140" t="s">
        <v>24</v>
      </c>
      <c r="G140">
        <v>139</v>
      </c>
      <c r="H140">
        <v>365</v>
      </c>
      <c r="I140">
        <v>29</v>
      </c>
      <c r="J140" t="s">
        <v>145</v>
      </c>
      <c r="K140" t="s">
        <v>47</v>
      </c>
      <c r="L140" t="s">
        <v>35</v>
      </c>
      <c r="M140" t="s">
        <v>28</v>
      </c>
      <c r="N140">
        <v>4.4000000000000004</v>
      </c>
      <c r="O140">
        <v>1</v>
      </c>
      <c r="P140" t="s">
        <v>77</v>
      </c>
      <c r="Q140" t="s">
        <v>30</v>
      </c>
      <c r="R140" t="s">
        <v>30</v>
      </c>
      <c r="S140">
        <v>42</v>
      </c>
      <c r="T140" t="s">
        <v>78</v>
      </c>
      <c r="U140" t="s">
        <v>43</v>
      </c>
      <c r="V140" s="1">
        <v>45347</v>
      </c>
      <c r="W140">
        <f>Table1[[#This Row],[customer_purchase count]]+1</f>
        <v>43</v>
      </c>
      <c r="X140">
        <f>Table1[[#This Row],[customer_purchase count]]*Rules!$B$3</f>
        <v>2510.103076923077</v>
      </c>
      <c r="Y140" t="str">
        <f>IF(Table1[[#This Row],[customer_subscription]]=1,"Subscribed","Not Subscribed")</f>
        <v>Subscribed</v>
      </c>
    </row>
    <row r="141" spans="1:26" x14ac:dyDescent="0.25">
      <c r="A141">
        <v>140</v>
      </c>
      <c r="B141">
        <v>49</v>
      </c>
      <c r="C141" t="s">
        <v>22</v>
      </c>
      <c r="D141">
        <v>140</v>
      </c>
      <c r="E141" t="s">
        <v>65</v>
      </c>
      <c r="F141" t="s">
        <v>66</v>
      </c>
      <c r="G141">
        <v>140</v>
      </c>
      <c r="H141">
        <v>367</v>
      </c>
      <c r="I141">
        <v>95</v>
      </c>
      <c r="J141" t="s">
        <v>106</v>
      </c>
      <c r="K141" t="s">
        <v>47</v>
      </c>
      <c r="L141" t="s">
        <v>55</v>
      </c>
      <c r="M141" t="s">
        <v>60</v>
      </c>
      <c r="N141">
        <v>3.8</v>
      </c>
      <c r="O141">
        <v>1</v>
      </c>
      <c r="P141" t="s">
        <v>77</v>
      </c>
      <c r="Q141" t="s">
        <v>30</v>
      </c>
      <c r="R141" t="s">
        <v>30</v>
      </c>
      <c r="S141">
        <v>30</v>
      </c>
      <c r="T141" t="s">
        <v>31</v>
      </c>
      <c r="U141" t="s">
        <v>52</v>
      </c>
      <c r="V141" s="1">
        <v>45568</v>
      </c>
      <c r="W141">
        <f>Table1[[#This Row],[customer_purchase count]]+1</f>
        <v>31</v>
      </c>
      <c r="X141">
        <f>Table1[[#This Row],[customer_purchase count]]*Rules!$B$3</f>
        <v>1792.9307692307693</v>
      </c>
      <c r="Y141" t="str">
        <f>IF(Table1[[#This Row],[customer_subscription]]=1,"Subscribed","Not Subscribed")</f>
        <v>Subscribed</v>
      </c>
    </row>
    <row r="142" spans="1:26" x14ac:dyDescent="0.25">
      <c r="A142">
        <v>141</v>
      </c>
      <c r="B142">
        <v>63</v>
      </c>
      <c r="C142" t="s">
        <v>22</v>
      </c>
      <c r="D142">
        <v>141</v>
      </c>
      <c r="E142" t="s">
        <v>58</v>
      </c>
      <c r="F142" t="s">
        <v>24</v>
      </c>
      <c r="G142">
        <v>141</v>
      </c>
      <c r="H142">
        <v>368</v>
      </c>
      <c r="I142">
        <v>28</v>
      </c>
      <c r="J142" t="s">
        <v>101</v>
      </c>
      <c r="K142" t="s">
        <v>26</v>
      </c>
      <c r="L142" t="s">
        <v>137</v>
      </c>
      <c r="M142" t="s">
        <v>60</v>
      </c>
      <c r="N142">
        <v>3.9</v>
      </c>
      <c r="O142">
        <v>1</v>
      </c>
      <c r="P142" t="s">
        <v>73</v>
      </c>
      <c r="Q142" t="s">
        <v>30</v>
      </c>
      <c r="R142" t="s">
        <v>30</v>
      </c>
      <c r="S142">
        <v>50</v>
      </c>
      <c r="T142" t="s">
        <v>42</v>
      </c>
      <c r="U142" t="s">
        <v>43</v>
      </c>
      <c r="V142" s="1">
        <v>45539</v>
      </c>
      <c r="W142">
        <f>Table1[[#This Row],[customer_purchase count]]+1</f>
        <v>51</v>
      </c>
      <c r="X142">
        <f>Table1[[#This Row],[customer_purchase count]]*Rules!$B$3</f>
        <v>2988.2179487179487</v>
      </c>
      <c r="Y142" t="str">
        <f>IF(Table1[[#This Row],[customer_subscription]]=1,"Subscribed","Not Subscribed")</f>
        <v>Subscribed</v>
      </c>
    </row>
    <row r="143" spans="1:26" x14ac:dyDescent="0.25">
      <c r="A143">
        <v>142</v>
      </c>
      <c r="B143">
        <v>56</v>
      </c>
      <c r="C143" t="s">
        <v>22</v>
      </c>
      <c r="D143">
        <v>142</v>
      </c>
      <c r="E143" t="s">
        <v>146</v>
      </c>
      <c r="F143" t="s">
        <v>70</v>
      </c>
      <c r="G143">
        <v>142</v>
      </c>
      <c r="H143">
        <v>369</v>
      </c>
      <c r="I143">
        <v>46</v>
      </c>
      <c r="J143" t="s">
        <v>144</v>
      </c>
      <c r="K143" t="s">
        <v>47</v>
      </c>
      <c r="L143" t="s">
        <v>51</v>
      </c>
      <c r="M143" t="s">
        <v>60</v>
      </c>
      <c r="N143">
        <v>4.9000000000000004</v>
      </c>
      <c r="O143">
        <v>1</v>
      </c>
      <c r="P143" t="s">
        <v>41</v>
      </c>
      <c r="Q143" t="s">
        <v>30</v>
      </c>
      <c r="R143" t="s">
        <v>30</v>
      </c>
      <c r="S143">
        <v>45</v>
      </c>
      <c r="T143" t="s">
        <v>49</v>
      </c>
      <c r="U143" t="s">
        <v>43</v>
      </c>
      <c r="V143" s="1">
        <v>45568</v>
      </c>
      <c r="W143">
        <f>Table1[[#This Row],[customer_purchase count]]+1</f>
        <v>46</v>
      </c>
      <c r="X143">
        <f>Table1[[#This Row],[customer_purchase count]]*Rules!$B$3</f>
        <v>2689.396153846154</v>
      </c>
      <c r="Y143" t="str">
        <f>IF(Table1[[#This Row],[customer_subscription]]=1,"Subscribed","Not Subscribed")</f>
        <v>Subscribed</v>
      </c>
      <c r="Z143" t="s">
        <v>193</v>
      </c>
    </row>
    <row r="144" spans="1:26" x14ac:dyDescent="0.25">
      <c r="A144">
        <v>143</v>
      </c>
      <c r="B144">
        <v>37</v>
      </c>
      <c r="C144" t="s">
        <v>22</v>
      </c>
      <c r="D144">
        <v>143</v>
      </c>
      <c r="E144" t="s">
        <v>105</v>
      </c>
      <c r="F144" t="s">
        <v>66</v>
      </c>
      <c r="G144">
        <v>143</v>
      </c>
      <c r="H144">
        <v>370</v>
      </c>
      <c r="I144">
        <v>58</v>
      </c>
      <c r="J144" t="s">
        <v>148</v>
      </c>
      <c r="K144" t="s">
        <v>26</v>
      </c>
      <c r="L144" t="s">
        <v>86</v>
      </c>
      <c r="M144" t="s">
        <v>60</v>
      </c>
      <c r="N144">
        <v>3.1</v>
      </c>
      <c r="O144">
        <v>1</v>
      </c>
      <c r="P144" t="s">
        <v>41</v>
      </c>
      <c r="Q144" t="s">
        <v>30</v>
      </c>
      <c r="R144" t="s">
        <v>30</v>
      </c>
      <c r="S144">
        <v>33</v>
      </c>
      <c r="T144" t="s">
        <v>42</v>
      </c>
      <c r="U144" t="s">
        <v>32</v>
      </c>
      <c r="V144" s="1">
        <v>45618</v>
      </c>
      <c r="W144">
        <f>Table1[[#This Row],[customer_purchase count]]+1</f>
        <v>34</v>
      </c>
      <c r="X144">
        <f>Table1[[#This Row],[customer_purchase count]]*Rules!$B$3</f>
        <v>1972.2238461538464</v>
      </c>
      <c r="Y144" t="str">
        <f>IF(Table1[[#This Row],[customer_subscription]]=1,"Subscribed","Not Subscribed")</f>
        <v>Subscribed</v>
      </c>
      <c r="Z144" t="s">
        <v>193</v>
      </c>
    </row>
    <row r="145" spans="1:26" x14ac:dyDescent="0.25">
      <c r="A145">
        <v>144</v>
      </c>
      <c r="B145">
        <v>30</v>
      </c>
      <c r="C145" t="s">
        <v>22</v>
      </c>
      <c r="D145">
        <v>144</v>
      </c>
      <c r="E145" t="s">
        <v>65</v>
      </c>
      <c r="F145" t="s">
        <v>66</v>
      </c>
      <c r="G145">
        <v>144</v>
      </c>
      <c r="H145">
        <v>371</v>
      </c>
      <c r="I145">
        <v>48</v>
      </c>
      <c r="J145" t="s">
        <v>71</v>
      </c>
      <c r="K145" t="s">
        <v>47</v>
      </c>
      <c r="L145" t="s">
        <v>121</v>
      </c>
      <c r="M145" t="s">
        <v>60</v>
      </c>
      <c r="N145">
        <v>2.7</v>
      </c>
      <c r="O145">
        <v>1</v>
      </c>
      <c r="P145" t="s">
        <v>77</v>
      </c>
      <c r="Q145" t="s">
        <v>30</v>
      </c>
      <c r="R145" t="s">
        <v>30</v>
      </c>
      <c r="S145">
        <v>25</v>
      </c>
      <c r="T145" t="s">
        <v>49</v>
      </c>
      <c r="U145" t="s">
        <v>61</v>
      </c>
      <c r="V145" s="1">
        <v>45584</v>
      </c>
      <c r="W145">
        <f>Table1[[#This Row],[customer_purchase count]]+1</f>
        <v>26</v>
      </c>
      <c r="X145">
        <f>Table1[[#This Row],[customer_purchase count]]*Rules!$B$3</f>
        <v>1494.1089743589744</v>
      </c>
      <c r="Y145" t="str">
        <f>IF(Table1[[#This Row],[customer_subscription]]=1,"Subscribed","Not Subscribed")</f>
        <v>Subscribed</v>
      </c>
    </row>
    <row r="146" spans="1:26" x14ac:dyDescent="0.25">
      <c r="A146">
        <v>145</v>
      </c>
      <c r="B146">
        <v>19</v>
      </c>
      <c r="C146" t="s">
        <v>22</v>
      </c>
      <c r="D146">
        <v>145</v>
      </c>
      <c r="E146" t="s">
        <v>74</v>
      </c>
      <c r="F146" t="s">
        <v>45</v>
      </c>
      <c r="G146">
        <v>145</v>
      </c>
      <c r="H146">
        <v>373</v>
      </c>
      <c r="I146">
        <v>43</v>
      </c>
      <c r="J146" t="s">
        <v>130</v>
      </c>
      <c r="K146" t="s">
        <v>47</v>
      </c>
      <c r="L146" t="s">
        <v>68</v>
      </c>
      <c r="M146" t="s">
        <v>60</v>
      </c>
      <c r="N146">
        <v>3.2</v>
      </c>
      <c r="O146">
        <v>1</v>
      </c>
      <c r="P146" t="s">
        <v>29</v>
      </c>
      <c r="Q146" t="s">
        <v>30</v>
      </c>
      <c r="R146" t="s">
        <v>30</v>
      </c>
      <c r="S146">
        <v>25</v>
      </c>
      <c r="T146" t="s">
        <v>36</v>
      </c>
      <c r="U146" t="s">
        <v>91</v>
      </c>
      <c r="V146" s="1">
        <v>45541</v>
      </c>
      <c r="W146">
        <f>Table1[[#This Row],[customer_purchase count]]+1</f>
        <v>26</v>
      </c>
      <c r="X146">
        <f>Table1[[#This Row],[customer_purchase count]]*Rules!$B$3</f>
        <v>1494.1089743589744</v>
      </c>
      <c r="Y146" t="str">
        <f>IF(Table1[[#This Row],[customer_subscription]]=1,"Subscribed","Not Subscribed")</f>
        <v>Subscribed</v>
      </c>
    </row>
    <row r="147" spans="1:26" x14ac:dyDescent="0.25">
      <c r="A147">
        <v>146</v>
      </c>
      <c r="B147">
        <v>24</v>
      </c>
      <c r="C147" t="s">
        <v>22</v>
      </c>
      <c r="D147">
        <v>146</v>
      </c>
      <c r="E147" t="s">
        <v>109</v>
      </c>
      <c r="F147" t="s">
        <v>70</v>
      </c>
      <c r="G147">
        <v>146</v>
      </c>
      <c r="H147">
        <v>374</v>
      </c>
      <c r="I147">
        <v>95</v>
      </c>
      <c r="J147" t="s">
        <v>71</v>
      </c>
      <c r="K147" t="s">
        <v>47</v>
      </c>
      <c r="L147" t="s">
        <v>88</v>
      </c>
      <c r="M147" t="s">
        <v>60</v>
      </c>
      <c r="N147">
        <v>4.5</v>
      </c>
      <c r="O147">
        <v>1</v>
      </c>
      <c r="P147" t="s">
        <v>57</v>
      </c>
      <c r="Q147" t="s">
        <v>30</v>
      </c>
      <c r="R147" t="s">
        <v>30</v>
      </c>
      <c r="S147">
        <v>44</v>
      </c>
      <c r="T147" t="s">
        <v>89</v>
      </c>
      <c r="U147" t="s">
        <v>61</v>
      </c>
      <c r="V147" s="1">
        <v>45610</v>
      </c>
      <c r="W147">
        <f>Table1[[#This Row],[customer_purchase count]]+1</f>
        <v>45</v>
      </c>
      <c r="X147">
        <f>Table1[[#This Row],[customer_purchase count]]*Rules!$B$3</f>
        <v>2629.6317948717951</v>
      </c>
      <c r="Y147" t="str">
        <f>IF(Table1[[#This Row],[customer_subscription]]=1,"Subscribed","Not Subscribed")</f>
        <v>Subscribed</v>
      </c>
    </row>
    <row r="148" spans="1:26" x14ac:dyDescent="0.25">
      <c r="A148">
        <v>147</v>
      </c>
      <c r="B148">
        <v>52</v>
      </c>
      <c r="C148" t="s">
        <v>22</v>
      </c>
      <c r="D148">
        <v>147</v>
      </c>
      <c r="E148" t="s">
        <v>90</v>
      </c>
      <c r="F148" t="s">
        <v>24</v>
      </c>
      <c r="G148">
        <v>147</v>
      </c>
      <c r="H148">
        <v>375</v>
      </c>
      <c r="I148">
        <v>30</v>
      </c>
      <c r="J148" t="s">
        <v>115</v>
      </c>
      <c r="K148" t="s">
        <v>39</v>
      </c>
      <c r="L148" t="s">
        <v>97</v>
      </c>
      <c r="M148" t="s">
        <v>60</v>
      </c>
      <c r="N148">
        <v>4</v>
      </c>
      <c r="O148">
        <v>1</v>
      </c>
      <c r="P148" t="s">
        <v>57</v>
      </c>
      <c r="Q148" t="s">
        <v>30</v>
      </c>
      <c r="R148" t="s">
        <v>30</v>
      </c>
      <c r="S148">
        <v>21</v>
      </c>
      <c r="T148" t="s">
        <v>31</v>
      </c>
      <c r="U148" t="s">
        <v>32</v>
      </c>
      <c r="V148" s="1">
        <v>45607</v>
      </c>
      <c r="W148">
        <f>Table1[[#This Row],[customer_purchase count]]+1</f>
        <v>22</v>
      </c>
      <c r="X148">
        <f>Table1[[#This Row],[customer_purchase count]]*Rules!$B$3</f>
        <v>1255.0515384615385</v>
      </c>
      <c r="Y148" t="str">
        <f>IF(Table1[[#This Row],[customer_subscription]]=1,"Subscribed","Not Subscribed")</f>
        <v>Subscribed</v>
      </c>
    </row>
    <row r="149" spans="1:26" x14ac:dyDescent="0.25">
      <c r="A149">
        <v>148</v>
      </c>
      <c r="B149">
        <v>63</v>
      </c>
      <c r="C149" t="s">
        <v>22</v>
      </c>
      <c r="D149">
        <v>148</v>
      </c>
      <c r="E149" t="s">
        <v>74</v>
      </c>
      <c r="F149" t="s">
        <v>45</v>
      </c>
      <c r="G149">
        <v>148</v>
      </c>
      <c r="H149">
        <v>376</v>
      </c>
      <c r="I149">
        <v>64</v>
      </c>
      <c r="J149" t="s">
        <v>138</v>
      </c>
      <c r="K149" t="s">
        <v>47</v>
      </c>
      <c r="L149" t="s">
        <v>76</v>
      </c>
      <c r="M149" t="s">
        <v>56</v>
      </c>
      <c r="N149">
        <v>3.5</v>
      </c>
      <c r="O149">
        <v>1</v>
      </c>
      <c r="P149" t="s">
        <v>73</v>
      </c>
      <c r="Q149" t="s">
        <v>30</v>
      </c>
      <c r="R149" t="s">
        <v>30</v>
      </c>
      <c r="S149">
        <v>31</v>
      </c>
      <c r="T149" t="s">
        <v>78</v>
      </c>
      <c r="U149" t="s">
        <v>32</v>
      </c>
      <c r="V149" s="1">
        <v>45528</v>
      </c>
      <c r="W149">
        <f>Table1[[#This Row],[customer_purchase count]]+1</f>
        <v>32</v>
      </c>
      <c r="X149">
        <f>Table1[[#This Row],[customer_purchase count]]*Rules!$B$3</f>
        <v>1852.6951282051282</v>
      </c>
      <c r="Y149" t="str">
        <f>IF(Table1[[#This Row],[customer_subscription]]=1,"Subscribed","Not Subscribed")</f>
        <v>Subscribed</v>
      </c>
    </row>
    <row r="150" spans="1:26" x14ac:dyDescent="0.25">
      <c r="A150">
        <v>149</v>
      </c>
      <c r="B150">
        <v>37</v>
      </c>
      <c r="C150" t="s">
        <v>22</v>
      </c>
      <c r="D150">
        <v>149</v>
      </c>
      <c r="E150" t="s">
        <v>146</v>
      </c>
      <c r="F150" t="s">
        <v>70</v>
      </c>
      <c r="G150">
        <v>149</v>
      </c>
      <c r="H150">
        <v>377</v>
      </c>
      <c r="I150">
        <v>90</v>
      </c>
      <c r="J150" t="s">
        <v>54</v>
      </c>
      <c r="K150" t="s">
        <v>47</v>
      </c>
      <c r="L150" t="s">
        <v>27</v>
      </c>
      <c r="M150" t="s">
        <v>60</v>
      </c>
      <c r="N150">
        <v>2.6</v>
      </c>
      <c r="O150">
        <v>1</v>
      </c>
      <c r="P150" t="s">
        <v>77</v>
      </c>
      <c r="Q150" t="s">
        <v>30</v>
      </c>
      <c r="R150" t="s">
        <v>30</v>
      </c>
      <c r="S150">
        <v>47</v>
      </c>
      <c r="T150" t="s">
        <v>89</v>
      </c>
      <c r="U150" t="s">
        <v>52</v>
      </c>
      <c r="V150" s="1">
        <v>45559</v>
      </c>
      <c r="W150">
        <f>Table1[[#This Row],[customer_purchase count]]+1</f>
        <v>48</v>
      </c>
      <c r="X150">
        <f>Table1[[#This Row],[customer_purchase count]]*Rules!$B$3</f>
        <v>2808.9248717948717</v>
      </c>
      <c r="Y150" t="str">
        <f>IF(Table1[[#This Row],[customer_subscription]]=1,"Subscribed","Not Subscribed")</f>
        <v>Subscribed</v>
      </c>
      <c r="Z150" t="s">
        <v>193</v>
      </c>
    </row>
    <row r="151" spans="1:26" x14ac:dyDescent="0.25">
      <c r="A151">
        <v>150</v>
      </c>
      <c r="B151">
        <v>38</v>
      </c>
      <c r="C151" t="s">
        <v>22</v>
      </c>
      <c r="D151">
        <v>150</v>
      </c>
      <c r="E151" t="s">
        <v>98</v>
      </c>
      <c r="F151" t="s">
        <v>24</v>
      </c>
      <c r="G151">
        <v>150</v>
      </c>
      <c r="H151">
        <v>379</v>
      </c>
      <c r="I151">
        <v>76</v>
      </c>
      <c r="J151" t="s">
        <v>82</v>
      </c>
      <c r="K151" t="s">
        <v>47</v>
      </c>
      <c r="L151" t="s">
        <v>55</v>
      </c>
      <c r="M151" t="s">
        <v>56</v>
      </c>
      <c r="N151">
        <v>3.2</v>
      </c>
      <c r="O151">
        <v>1</v>
      </c>
      <c r="P151" t="s">
        <v>41</v>
      </c>
      <c r="Q151" t="s">
        <v>30</v>
      </c>
      <c r="R151" t="s">
        <v>30</v>
      </c>
      <c r="S151">
        <v>14</v>
      </c>
      <c r="T151" t="s">
        <v>49</v>
      </c>
      <c r="U151" t="s">
        <v>91</v>
      </c>
      <c r="V151" s="1">
        <v>45516</v>
      </c>
      <c r="W151">
        <f>Table1[[#This Row],[customer_purchase count]]+1</f>
        <v>15</v>
      </c>
      <c r="X151">
        <f>Table1[[#This Row],[customer_purchase count]]*Rules!$B$3</f>
        <v>836.70102564102569</v>
      </c>
      <c r="Y151" t="str">
        <f>IF(Table1[[#This Row],[customer_subscription]]=1,"Subscribed","Not Subscribed")</f>
        <v>Subscribed</v>
      </c>
    </row>
    <row r="152" spans="1:26" x14ac:dyDescent="0.25">
      <c r="A152">
        <v>151</v>
      </c>
      <c r="B152">
        <v>35</v>
      </c>
      <c r="C152" t="s">
        <v>22</v>
      </c>
      <c r="D152">
        <v>151</v>
      </c>
      <c r="E152" t="s">
        <v>140</v>
      </c>
      <c r="F152" t="s">
        <v>45</v>
      </c>
      <c r="G152">
        <v>151</v>
      </c>
      <c r="H152">
        <v>380</v>
      </c>
      <c r="I152">
        <v>96</v>
      </c>
      <c r="J152" t="s">
        <v>102</v>
      </c>
      <c r="K152" t="s">
        <v>26</v>
      </c>
      <c r="L152" t="s">
        <v>112</v>
      </c>
      <c r="M152" t="s">
        <v>60</v>
      </c>
      <c r="N152">
        <v>4.9000000000000004</v>
      </c>
      <c r="O152">
        <v>1</v>
      </c>
      <c r="P152" t="s">
        <v>57</v>
      </c>
      <c r="Q152" t="s">
        <v>30</v>
      </c>
      <c r="R152" t="s">
        <v>30</v>
      </c>
      <c r="S152">
        <v>17</v>
      </c>
      <c r="T152" t="s">
        <v>89</v>
      </c>
      <c r="U152" t="s">
        <v>100</v>
      </c>
      <c r="V152" s="1">
        <v>45561</v>
      </c>
      <c r="W152">
        <f>Table1[[#This Row],[customer_purchase count]]+1</f>
        <v>18</v>
      </c>
      <c r="X152">
        <f>Table1[[#This Row],[customer_purchase count]]*Rules!$B$3</f>
        <v>1015.9941025641026</v>
      </c>
      <c r="Y152" t="str">
        <f>IF(Table1[[#This Row],[customer_subscription]]=1,"Subscribed","Not Subscribed")</f>
        <v>Subscribed</v>
      </c>
    </row>
    <row r="153" spans="1:26" x14ac:dyDescent="0.25">
      <c r="A153">
        <v>152</v>
      </c>
      <c r="B153">
        <v>28</v>
      </c>
      <c r="C153" t="s">
        <v>22</v>
      </c>
      <c r="D153">
        <v>152</v>
      </c>
      <c r="E153" t="s">
        <v>92</v>
      </c>
      <c r="F153" t="s">
        <v>70</v>
      </c>
      <c r="G153">
        <v>152</v>
      </c>
      <c r="H153">
        <v>381</v>
      </c>
      <c r="I153">
        <v>47</v>
      </c>
      <c r="J153" t="s">
        <v>117</v>
      </c>
      <c r="K153" t="s">
        <v>26</v>
      </c>
      <c r="L153" t="s">
        <v>51</v>
      </c>
      <c r="M153" t="s">
        <v>60</v>
      </c>
      <c r="N153">
        <v>4.5</v>
      </c>
      <c r="O153">
        <v>1</v>
      </c>
      <c r="P153" t="s">
        <v>48</v>
      </c>
      <c r="Q153" t="s">
        <v>30</v>
      </c>
      <c r="R153" t="s">
        <v>30</v>
      </c>
      <c r="S153">
        <v>3</v>
      </c>
      <c r="T153" t="s">
        <v>31</v>
      </c>
      <c r="U153" t="s">
        <v>52</v>
      </c>
      <c r="V153" s="1">
        <v>45604</v>
      </c>
      <c r="W153">
        <f>Table1[[#This Row],[customer_purchase count]]+1</f>
        <v>4</v>
      </c>
      <c r="X153">
        <f>Table1[[#This Row],[customer_purchase count]]*Rules!$B$3</f>
        <v>179.29307692307694</v>
      </c>
      <c r="Y153" t="str">
        <f>IF(Table1[[#This Row],[customer_subscription]]=1,"Subscribed","Not Subscribed")</f>
        <v>Subscribed</v>
      </c>
    </row>
    <row r="154" spans="1:26" x14ac:dyDescent="0.25">
      <c r="A154">
        <v>153</v>
      </c>
      <c r="B154">
        <v>30</v>
      </c>
      <c r="C154" t="s">
        <v>22</v>
      </c>
      <c r="D154">
        <v>153</v>
      </c>
      <c r="E154" t="s">
        <v>58</v>
      </c>
      <c r="F154" t="s">
        <v>24</v>
      </c>
      <c r="G154">
        <v>153</v>
      </c>
      <c r="H154">
        <v>382</v>
      </c>
      <c r="I154">
        <v>85</v>
      </c>
      <c r="J154" t="s">
        <v>134</v>
      </c>
      <c r="K154" t="s">
        <v>39</v>
      </c>
      <c r="L154" t="s">
        <v>113</v>
      </c>
      <c r="M154" t="s">
        <v>56</v>
      </c>
      <c r="N154">
        <v>4.3</v>
      </c>
      <c r="O154">
        <v>1</v>
      </c>
      <c r="P154" t="s">
        <v>29</v>
      </c>
      <c r="Q154" t="s">
        <v>30</v>
      </c>
      <c r="R154" t="s">
        <v>30</v>
      </c>
      <c r="S154">
        <v>42</v>
      </c>
      <c r="T154" t="s">
        <v>31</v>
      </c>
      <c r="U154" t="s">
        <v>52</v>
      </c>
      <c r="V154" s="1">
        <v>45445</v>
      </c>
      <c r="W154">
        <f>Table1[[#This Row],[customer_purchase count]]+1</f>
        <v>43</v>
      </c>
      <c r="X154">
        <f>Table1[[#This Row],[customer_purchase count]]*Rules!$B$3</f>
        <v>2510.103076923077</v>
      </c>
      <c r="Y154" t="str">
        <f>IF(Table1[[#This Row],[customer_subscription]]=1,"Subscribed","Not Subscribed")</f>
        <v>Subscribed</v>
      </c>
      <c r="Z154" t="s">
        <v>193</v>
      </c>
    </row>
    <row r="155" spans="1:26" x14ac:dyDescent="0.25">
      <c r="A155">
        <v>154</v>
      </c>
      <c r="B155">
        <v>69</v>
      </c>
      <c r="C155" t="s">
        <v>22</v>
      </c>
      <c r="D155">
        <v>154</v>
      </c>
      <c r="E155" t="s">
        <v>107</v>
      </c>
      <c r="F155" t="s">
        <v>24</v>
      </c>
      <c r="G155">
        <v>154</v>
      </c>
      <c r="H155">
        <v>383</v>
      </c>
      <c r="I155">
        <v>55</v>
      </c>
      <c r="J155" t="s">
        <v>101</v>
      </c>
      <c r="K155" t="s">
        <v>47</v>
      </c>
      <c r="L155" t="s">
        <v>35</v>
      </c>
      <c r="M155" t="s">
        <v>28</v>
      </c>
      <c r="N155">
        <v>3.2</v>
      </c>
      <c r="O155">
        <v>1</v>
      </c>
      <c r="P155" t="s">
        <v>57</v>
      </c>
      <c r="Q155" t="s">
        <v>30</v>
      </c>
      <c r="R155" t="s">
        <v>30</v>
      </c>
      <c r="S155">
        <v>22</v>
      </c>
      <c r="T155" t="s">
        <v>89</v>
      </c>
      <c r="U155" t="s">
        <v>52</v>
      </c>
      <c r="V155" s="1">
        <v>45312</v>
      </c>
      <c r="W155">
        <f>Table1[[#This Row],[customer_purchase count]]+1</f>
        <v>23</v>
      </c>
      <c r="X155">
        <f>Table1[[#This Row],[customer_purchase count]]*Rules!$B$3</f>
        <v>1314.8158974358976</v>
      </c>
      <c r="Y155" t="str">
        <f>IF(Table1[[#This Row],[customer_subscription]]=1,"Subscribed","Not Subscribed")</f>
        <v>Subscribed</v>
      </c>
    </row>
    <row r="156" spans="1:26" x14ac:dyDescent="0.25">
      <c r="A156">
        <v>155</v>
      </c>
      <c r="B156">
        <v>41</v>
      </c>
      <c r="C156" t="s">
        <v>22</v>
      </c>
      <c r="D156">
        <v>155</v>
      </c>
      <c r="E156" t="s">
        <v>84</v>
      </c>
      <c r="F156" t="s">
        <v>24</v>
      </c>
      <c r="G156">
        <v>155</v>
      </c>
      <c r="H156">
        <v>385</v>
      </c>
      <c r="I156">
        <v>98</v>
      </c>
      <c r="J156" t="s">
        <v>104</v>
      </c>
      <c r="K156" t="s">
        <v>47</v>
      </c>
      <c r="L156" t="s">
        <v>64</v>
      </c>
      <c r="M156" t="s">
        <v>60</v>
      </c>
      <c r="N156">
        <v>3.6</v>
      </c>
      <c r="O156">
        <v>1</v>
      </c>
      <c r="P156" t="s">
        <v>48</v>
      </c>
      <c r="Q156" t="s">
        <v>30</v>
      </c>
      <c r="R156" t="s">
        <v>30</v>
      </c>
      <c r="S156">
        <v>21</v>
      </c>
      <c r="T156" t="s">
        <v>31</v>
      </c>
      <c r="U156" t="s">
        <v>61</v>
      </c>
      <c r="V156" s="1">
        <v>45583</v>
      </c>
      <c r="W156">
        <f>Table1[[#This Row],[customer_purchase count]]+1</f>
        <v>22</v>
      </c>
      <c r="X156">
        <f>Table1[[#This Row],[customer_purchase count]]*Rules!$B$3</f>
        <v>1255.0515384615385</v>
      </c>
      <c r="Y156" t="str">
        <f>IF(Table1[[#This Row],[customer_subscription]]=1,"Subscribed","Not Subscribed")</f>
        <v>Subscribed</v>
      </c>
    </row>
    <row r="157" spans="1:26" x14ac:dyDescent="0.25">
      <c r="A157">
        <v>156</v>
      </c>
      <c r="B157">
        <v>63</v>
      </c>
      <c r="C157" t="s">
        <v>22</v>
      </c>
      <c r="D157">
        <v>156</v>
      </c>
      <c r="E157" t="s">
        <v>128</v>
      </c>
      <c r="F157" t="s">
        <v>24</v>
      </c>
      <c r="G157">
        <v>156</v>
      </c>
      <c r="H157">
        <v>386</v>
      </c>
      <c r="I157">
        <v>77</v>
      </c>
      <c r="J157" t="s">
        <v>34</v>
      </c>
      <c r="K157" t="s">
        <v>39</v>
      </c>
      <c r="L157" t="s">
        <v>81</v>
      </c>
      <c r="M157" t="s">
        <v>40</v>
      </c>
      <c r="N157">
        <v>4.3</v>
      </c>
      <c r="O157">
        <v>1</v>
      </c>
      <c r="P157" t="s">
        <v>41</v>
      </c>
      <c r="Q157" t="s">
        <v>30</v>
      </c>
      <c r="R157" t="s">
        <v>30</v>
      </c>
      <c r="S157">
        <v>21</v>
      </c>
      <c r="T157" t="s">
        <v>78</v>
      </c>
      <c r="U157" t="s">
        <v>61</v>
      </c>
      <c r="V157" s="1">
        <v>45420</v>
      </c>
      <c r="W157">
        <f>Table1[[#This Row],[customer_purchase count]]+1</f>
        <v>22</v>
      </c>
      <c r="X157">
        <f>Table1[[#This Row],[customer_purchase count]]*Rules!$B$3</f>
        <v>1255.0515384615385</v>
      </c>
      <c r="Y157" t="str">
        <f>IF(Table1[[#This Row],[customer_subscription]]=1,"Subscribed","Not Subscribed")</f>
        <v>Subscribed</v>
      </c>
    </row>
    <row r="158" spans="1:26" x14ac:dyDescent="0.25">
      <c r="A158">
        <v>157</v>
      </c>
      <c r="B158">
        <v>35</v>
      </c>
      <c r="C158" t="s">
        <v>22</v>
      </c>
      <c r="D158">
        <v>157</v>
      </c>
      <c r="E158" t="s">
        <v>62</v>
      </c>
      <c r="F158" t="s">
        <v>24</v>
      </c>
      <c r="G158">
        <v>157</v>
      </c>
      <c r="H158">
        <v>387</v>
      </c>
      <c r="I158">
        <v>26</v>
      </c>
      <c r="J158" t="s">
        <v>71</v>
      </c>
      <c r="K158" t="s">
        <v>47</v>
      </c>
      <c r="L158" t="s">
        <v>96</v>
      </c>
      <c r="M158" t="s">
        <v>60</v>
      </c>
      <c r="N158">
        <v>4</v>
      </c>
      <c r="O158">
        <v>1</v>
      </c>
      <c r="P158" t="s">
        <v>57</v>
      </c>
      <c r="Q158" t="s">
        <v>30</v>
      </c>
      <c r="R158" t="s">
        <v>30</v>
      </c>
      <c r="S158">
        <v>40</v>
      </c>
      <c r="T158" t="s">
        <v>89</v>
      </c>
      <c r="U158" t="s">
        <v>52</v>
      </c>
      <c r="V158" s="1">
        <v>45570</v>
      </c>
      <c r="W158">
        <f>Table1[[#This Row],[customer_purchase count]]+1</f>
        <v>41</v>
      </c>
      <c r="X158">
        <f>Table1[[#This Row],[customer_purchase count]]*Rules!$B$3</f>
        <v>2390.5743589743593</v>
      </c>
      <c r="Y158" t="str">
        <f>IF(Table1[[#This Row],[customer_subscription]]=1,"Subscribed","Not Subscribed")</f>
        <v>Subscribed</v>
      </c>
      <c r="Z158" t="s">
        <v>193</v>
      </c>
    </row>
    <row r="159" spans="1:26" x14ac:dyDescent="0.25">
      <c r="A159">
        <v>158</v>
      </c>
      <c r="B159">
        <v>36</v>
      </c>
      <c r="C159" t="s">
        <v>22</v>
      </c>
      <c r="D159">
        <v>158</v>
      </c>
      <c r="E159" t="s">
        <v>127</v>
      </c>
      <c r="F159" t="s">
        <v>70</v>
      </c>
      <c r="G159">
        <v>158</v>
      </c>
      <c r="H159">
        <v>388</v>
      </c>
      <c r="I159">
        <v>68</v>
      </c>
      <c r="J159" t="s">
        <v>132</v>
      </c>
      <c r="K159" t="s">
        <v>39</v>
      </c>
      <c r="L159" t="s">
        <v>137</v>
      </c>
      <c r="M159" t="s">
        <v>60</v>
      </c>
      <c r="N159">
        <v>3</v>
      </c>
      <c r="O159">
        <v>1</v>
      </c>
      <c r="P159" t="s">
        <v>48</v>
      </c>
      <c r="Q159" t="s">
        <v>30</v>
      </c>
      <c r="R159" t="s">
        <v>30</v>
      </c>
      <c r="S159">
        <v>1</v>
      </c>
      <c r="T159" t="s">
        <v>78</v>
      </c>
      <c r="U159" t="s">
        <v>32</v>
      </c>
      <c r="V159" s="1">
        <v>45620</v>
      </c>
      <c r="W159">
        <f>Table1[[#This Row],[customer_purchase count]]+1</f>
        <v>2</v>
      </c>
      <c r="X159">
        <f>Table1[[#This Row],[customer_purchase count]]*Rules!$B$3</f>
        <v>59.764358974358977</v>
      </c>
      <c r="Y159" t="str">
        <f>IF(Table1[[#This Row],[customer_subscription]]=1,"Subscribed","Not Subscribed")</f>
        <v>Subscribed</v>
      </c>
    </row>
    <row r="160" spans="1:26" x14ac:dyDescent="0.25">
      <c r="A160">
        <v>159</v>
      </c>
      <c r="B160">
        <v>25</v>
      </c>
      <c r="C160" t="s">
        <v>22</v>
      </c>
      <c r="D160">
        <v>159</v>
      </c>
      <c r="E160" t="s">
        <v>58</v>
      </c>
      <c r="F160" t="s">
        <v>24</v>
      </c>
      <c r="G160">
        <v>159</v>
      </c>
      <c r="H160">
        <v>389</v>
      </c>
      <c r="I160">
        <v>73</v>
      </c>
      <c r="J160" t="s">
        <v>142</v>
      </c>
      <c r="K160" t="s">
        <v>95</v>
      </c>
      <c r="L160" t="s">
        <v>88</v>
      </c>
      <c r="M160" t="s">
        <v>60</v>
      </c>
      <c r="N160">
        <v>4.0999999999999996</v>
      </c>
      <c r="O160">
        <v>1</v>
      </c>
      <c r="P160" t="s">
        <v>57</v>
      </c>
      <c r="Q160" t="s">
        <v>30</v>
      </c>
      <c r="R160" t="s">
        <v>30</v>
      </c>
      <c r="S160">
        <v>50</v>
      </c>
      <c r="T160" t="s">
        <v>78</v>
      </c>
      <c r="U160" t="s">
        <v>91</v>
      </c>
      <c r="V160" s="1">
        <v>45537</v>
      </c>
      <c r="W160">
        <f>Table1[[#This Row],[customer_purchase count]]+1</f>
        <v>51</v>
      </c>
      <c r="X160">
        <f>Table1[[#This Row],[customer_purchase count]]*Rules!$B$3</f>
        <v>2988.2179487179487</v>
      </c>
      <c r="Y160" t="str">
        <f>IF(Table1[[#This Row],[customer_subscription]]=1,"Subscribed","Not Subscribed")</f>
        <v>Subscribed</v>
      </c>
    </row>
    <row r="161" spans="1:26" x14ac:dyDescent="0.25">
      <c r="A161">
        <v>160</v>
      </c>
      <c r="B161">
        <v>58</v>
      </c>
      <c r="C161" t="s">
        <v>22</v>
      </c>
      <c r="D161">
        <v>160</v>
      </c>
      <c r="E161" t="s">
        <v>146</v>
      </c>
      <c r="F161" t="s">
        <v>70</v>
      </c>
      <c r="G161">
        <v>160</v>
      </c>
      <c r="H161">
        <v>391</v>
      </c>
      <c r="I161">
        <v>27</v>
      </c>
      <c r="J161" t="s">
        <v>85</v>
      </c>
      <c r="K161" t="s">
        <v>47</v>
      </c>
      <c r="L161" t="s">
        <v>64</v>
      </c>
      <c r="M161" t="s">
        <v>60</v>
      </c>
      <c r="N161">
        <v>3.8</v>
      </c>
      <c r="O161">
        <v>1</v>
      </c>
      <c r="P161" t="s">
        <v>77</v>
      </c>
      <c r="Q161" t="s">
        <v>30</v>
      </c>
      <c r="R161" t="s">
        <v>30</v>
      </c>
      <c r="S161">
        <v>39</v>
      </c>
      <c r="T161" t="s">
        <v>78</v>
      </c>
      <c r="U161" t="s">
        <v>100</v>
      </c>
      <c r="V161" s="1">
        <v>45618</v>
      </c>
      <c r="W161">
        <f>Table1[[#This Row],[customer_purchase count]]+1</f>
        <v>40</v>
      </c>
      <c r="X161">
        <f>Table1[[#This Row],[customer_purchase count]]*Rules!$B$3</f>
        <v>2330.81</v>
      </c>
      <c r="Y161" t="str">
        <f>IF(Table1[[#This Row],[customer_subscription]]=1,"Subscribed","Not Subscribed")</f>
        <v>Subscribed</v>
      </c>
      <c r="Z161" t="s">
        <v>193</v>
      </c>
    </row>
    <row r="162" spans="1:26" x14ac:dyDescent="0.25">
      <c r="A162">
        <v>161</v>
      </c>
      <c r="B162">
        <v>27</v>
      </c>
      <c r="C162" t="s">
        <v>22</v>
      </c>
      <c r="D162">
        <v>161</v>
      </c>
      <c r="E162" t="s">
        <v>146</v>
      </c>
      <c r="F162" t="s">
        <v>70</v>
      </c>
      <c r="G162">
        <v>161</v>
      </c>
      <c r="H162">
        <v>392</v>
      </c>
      <c r="I162">
        <v>23</v>
      </c>
      <c r="J162" t="s">
        <v>108</v>
      </c>
      <c r="K162" t="s">
        <v>47</v>
      </c>
      <c r="L162" t="s">
        <v>124</v>
      </c>
      <c r="M162" t="s">
        <v>56</v>
      </c>
      <c r="N162">
        <v>4.5999999999999996</v>
      </c>
      <c r="O162">
        <v>1</v>
      </c>
      <c r="P162" t="s">
        <v>41</v>
      </c>
      <c r="Q162" t="s">
        <v>30</v>
      </c>
      <c r="R162" t="s">
        <v>30</v>
      </c>
      <c r="S162">
        <v>34</v>
      </c>
      <c r="T162" t="s">
        <v>31</v>
      </c>
      <c r="U162" t="s">
        <v>91</v>
      </c>
      <c r="V162" s="1">
        <v>45475</v>
      </c>
      <c r="W162">
        <f>Table1[[#This Row],[customer_purchase count]]+1</f>
        <v>35</v>
      </c>
      <c r="X162">
        <f>Table1[[#This Row],[customer_purchase count]]*Rules!$B$3</f>
        <v>2031.9882051282052</v>
      </c>
      <c r="Y162" t="str">
        <f>IF(Table1[[#This Row],[customer_subscription]]=1,"Subscribed","Not Subscribed")</f>
        <v>Subscribed</v>
      </c>
    </row>
    <row r="163" spans="1:26" x14ac:dyDescent="0.25">
      <c r="A163">
        <v>162</v>
      </c>
      <c r="B163">
        <v>65</v>
      </c>
      <c r="C163" t="s">
        <v>22</v>
      </c>
      <c r="D163">
        <v>162</v>
      </c>
      <c r="E163" t="s">
        <v>135</v>
      </c>
      <c r="F163" t="s">
        <v>70</v>
      </c>
      <c r="G163">
        <v>162</v>
      </c>
      <c r="H163">
        <v>393</v>
      </c>
      <c r="I163">
        <v>49</v>
      </c>
      <c r="J163" t="s">
        <v>117</v>
      </c>
      <c r="K163" t="s">
        <v>47</v>
      </c>
      <c r="L163" t="s">
        <v>81</v>
      </c>
      <c r="M163" t="s">
        <v>60</v>
      </c>
      <c r="N163">
        <v>3</v>
      </c>
      <c r="O163">
        <v>1</v>
      </c>
      <c r="P163" t="s">
        <v>29</v>
      </c>
      <c r="Q163" t="s">
        <v>30</v>
      </c>
      <c r="R163" t="s">
        <v>30</v>
      </c>
      <c r="S163">
        <v>29</v>
      </c>
      <c r="T163" t="s">
        <v>31</v>
      </c>
      <c r="U163" t="s">
        <v>32</v>
      </c>
      <c r="V163" s="1">
        <v>45606</v>
      </c>
      <c r="W163">
        <f>Table1[[#This Row],[customer_purchase count]]+1</f>
        <v>30</v>
      </c>
      <c r="X163">
        <f>Table1[[#This Row],[customer_purchase count]]*Rules!$B$3</f>
        <v>1733.1664102564102</v>
      </c>
      <c r="Y163" t="str">
        <f>IF(Table1[[#This Row],[customer_subscription]]=1,"Subscribed","Not Subscribed")</f>
        <v>Subscribed</v>
      </c>
    </row>
    <row r="164" spans="1:26" x14ac:dyDescent="0.25">
      <c r="A164">
        <v>163</v>
      </c>
      <c r="B164">
        <v>54</v>
      </c>
      <c r="C164" t="s">
        <v>22</v>
      </c>
      <c r="D164">
        <v>163</v>
      </c>
      <c r="E164" t="s">
        <v>92</v>
      </c>
      <c r="F164" t="s">
        <v>70</v>
      </c>
      <c r="G164">
        <v>163</v>
      </c>
      <c r="H164">
        <v>394</v>
      </c>
      <c r="I164">
        <v>74</v>
      </c>
      <c r="J164" t="s">
        <v>102</v>
      </c>
      <c r="K164" t="s">
        <v>47</v>
      </c>
      <c r="L164" t="s">
        <v>51</v>
      </c>
      <c r="M164" t="s">
        <v>56</v>
      </c>
      <c r="N164">
        <v>3</v>
      </c>
      <c r="O164">
        <v>1</v>
      </c>
      <c r="P164" t="s">
        <v>77</v>
      </c>
      <c r="Q164" t="s">
        <v>30</v>
      </c>
      <c r="R164" t="s">
        <v>30</v>
      </c>
      <c r="S164">
        <v>31</v>
      </c>
      <c r="T164" t="s">
        <v>49</v>
      </c>
      <c r="U164" t="s">
        <v>79</v>
      </c>
      <c r="V164" s="1">
        <v>45498</v>
      </c>
      <c r="W164">
        <f>Table1[[#This Row],[customer_purchase count]]+1</f>
        <v>32</v>
      </c>
      <c r="X164">
        <f>Table1[[#This Row],[customer_purchase count]]*Rules!$B$3</f>
        <v>1852.6951282051282</v>
      </c>
      <c r="Y164" t="str">
        <f>IF(Table1[[#This Row],[customer_subscription]]=1,"Subscribed","Not Subscribed")</f>
        <v>Subscribed</v>
      </c>
    </row>
    <row r="165" spans="1:26" x14ac:dyDescent="0.25">
      <c r="A165">
        <v>164</v>
      </c>
      <c r="B165">
        <v>54</v>
      </c>
      <c r="C165" t="s">
        <v>22</v>
      </c>
      <c r="D165">
        <v>164</v>
      </c>
      <c r="E165" t="s">
        <v>90</v>
      </c>
      <c r="F165" t="s">
        <v>24</v>
      </c>
      <c r="G165">
        <v>164</v>
      </c>
      <c r="H165">
        <v>395</v>
      </c>
      <c r="I165">
        <v>67</v>
      </c>
      <c r="J165" t="s">
        <v>144</v>
      </c>
      <c r="K165" t="s">
        <v>47</v>
      </c>
      <c r="L165" t="s">
        <v>76</v>
      </c>
      <c r="M165" t="s">
        <v>56</v>
      </c>
      <c r="N165">
        <v>3.4</v>
      </c>
      <c r="O165">
        <v>1</v>
      </c>
      <c r="P165" t="s">
        <v>57</v>
      </c>
      <c r="Q165" t="s">
        <v>30</v>
      </c>
      <c r="R165" t="s">
        <v>30</v>
      </c>
      <c r="S165">
        <v>8</v>
      </c>
      <c r="T165" t="s">
        <v>89</v>
      </c>
      <c r="U165" t="s">
        <v>43</v>
      </c>
      <c r="V165" s="1">
        <v>45463</v>
      </c>
      <c r="W165">
        <f>Table1[[#This Row],[customer_purchase count]]+1</f>
        <v>9</v>
      </c>
      <c r="X165">
        <f>Table1[[#This Row],[customer_purchase count]]*Rules!$B$3</f>
        <v>478.11487179487182</v>
      </c>
      <c r="Y165" t="str">
        <f>IF(Table1[[#This Row],[customer_subscription]]=1,"Subscribed","Not Subscribed")</f>
        <v>Subscribed</v>
      </c>
    </row>
    <row r="166" spans="1:26" x14ac:dyDescent="0.25">
      <c r="A166">
        <v>165</v>
      </c>
      <c r="B166">
        <v>59</v>
      </c>
      <c r="C166" t="s">
        <v>22</v>
      </c>
      <c r="D166">
        <v>165</v>
      </c>
      <c r="E166" t="s">
        <v>69</v>
      </c>
      <c r="F166" t="s">
        <v>70</v>
      </c>
      <c r="G166">
        <v>165</v>
      </c>
      <c r="H166">
        <v>397</v>
      </c>
      <c r="I166">
        <v>65</v>
      </c>
      <c r="J166" t="s">
        <v>82</v>
      </c>
      <c r="K166" t="s">
        <v>39</v>
      </c>
      <c r="L166" t="s">
        <v>76</v>
      </c>
      <c r="M166" t="s">
        <v>40</v>
      </c>
      <c r="N166">
        <v>2.6</v>
      </c>
      <c r="O166">
        <v>1</v>
      </c>
      <c r="P166" t="s">
        <v>41</v>
      </c>
      <c r="Q166" t="s">
        <v>30</v>
      </c>
      <c r="R166" t="s">
        <v>30</v>
      </c>
      <c r="S166">
        <v>5</v>
      </c>
      <c r="T166" t="s">
        <v>42</v>
      </c>
      <c r="U166" t="s">
        <v>32</v>
      </c>
      <c r="V166" s="1">
        <v>45360</v>
      </c>
      <c r="W166">
        <f>Table1[[#This Row],[customer_purchase count]]+1</f>
        <v>6</v>
      </c>
      <c r="X166">
        <f>Table1[[#This Row],[customer_purchase count]]*Rules!$B$3</f>
        <v>298.82179487179491</v>
      </c>
      <c r="Y166" t="str">
        <f>IF(Table1[[#This Row],[customer_subscription]]=1,"Subscribed","Not Subscribed")</f>
        <v>Subscribed</v>
      </c>
    </row>
    <row r="167" spans="1:26" x14ac:dyDescent="0.25">
      <c r="A167">
        <v>166</v>
      </c>
      <c r="B167">
        <v>42</v>
      </c>
      <c r="C167" t="s">
        <v>22</v>
      </c>
      <c r="D167">
        <v>166</v>
      </c>
      <c r="E167" t="s">
        <v>69</v>
      </c>
      <c r="F167" t="s">
        <v>70</v>
      </c>
      <c r="G167">
        <v>166</v>
      </c>
      <c r="H167">
        <v>398</v>
      </c>
      <c r="I167">
        <v>60</v>
      </c>
      <c r="J167" t="s">
        <v>25</v>
      </c>
      <c r="K167" t="s">
        <v>39</v>
      </c>
      <c r="L167" t="s">
        <v>137</v>
      </c>
      <c r="M167" t="s">
        <v>28</v>
      </c>
      <c r="N167">
        <v>2.8</v>
      </c>
      <c r="O167">
        <v>1</v>
      </c>
      <c r="P167" t="s">
        <v>77</v>
      </c>
      <c r="Q167" t="s">
        <v>30</v>
      </c>
      <c r="R167" t="s">
        <v>30</v>
      </c>
      <c r="S167">
        <v>7</v>
      </c>
      <c r="T167" t="s">
        <v>36</v>
      </c>
      <c r="U167" t="s">
        <v>91</v>
      </c>
      <c r="V167" s="1">
        <v>45324</v>
      </c>
      <c r="W167">
        <f>Table1[[#This Row],[customer_purchase count]]+1</f>
        <v>8</v>
      </c>
      <c r="X167">
        <f>Table1[[#This Row],[customer_purchase count]]*Rules!$B$3</f>
        <v>418.35051282051285</v>
      </c>
      <c r="Y167" t="str">
        <f>IF(Table1[[#This Row],[customer_subscription]]=1,"Subscribed","Not Subscribed")</f>
        <v>Subscribed</v>
      </c>
    </row>
    <row r="168" spans="1:26" x14ac:dyDescent="0.25">
      <c r="A168">
        <v>167</v>
      </c>
      <c r="B168">
        <v>46</v>
      </c>
      <c r="C168" t="s">
        <v>22</v>
      </c>
      <c r="D168">
        <v>167</v>
      </c>
      <c r="E168" t="s">
        <v>53</v>
      </c>
      <c r="F168" t="s">
        <v>45</v>
      </c>
      <c r="G168">
        <v>167</v>
      </c>
      <c r="H168">
        <v>399</v>
      </c>
      <c r="I168">
        <v>31</v>
      </c>
      <c r="J168" t="s">
        <v>82</v>
      </c>
      <c r="K168" t="s">
        <v>95</v>
      </c>
      <c r="L168" t="s">
        <v>129</v>
      </c>
      <c r="M168" t="s">
        <v>60</v>
      </c>
      <c r="N168">
        <v>4</v>
      </c>
      <c r="O168">
        <v>1</v>
      </c>
      <c r="P168" t="s">
        <v>77</v>
      </c>
      <c r="Q168" t="s">
        <v>30</v>
      </c>
      <c r="R168" t="s">
        <v>30</v>
      </c>
      <c r="S168">
        <v>30</v>
      </c>
      <c r="T168" t="s">
        <v>36</v>
      </c>
      <c r="U168" t="s">
        <v>91</v>
      </c>
      <c r="V168" s="1">
        <v>45536</v>
      </c>
      <c r="W168">
        <f>Table1[[#This Row],[customer_purchase count]]+1</f>
        <v>31</v>
      </c>
      <c r="X168">
        <f>Table1[[#This Row],[customer_purchase count]]*Rules!$B$3</f>
        <v>1792.9307692307693</v>
      </c>
      <c r="Y168" t="str">
        <f>IF(Table1[[#This Row],[customer_subscription]]=1,"Subscribed","Not Subscribed")</f>
        <v>Subscribed</v>
      </c>
    </row>
    <row r="169" spans="1:26" x14ac:dyDescent="0.25">
      <c r="A169">
        <v>168</v>
      </c>
      <c r="B169">
        <v>33</v>
      </c>
      <c r="C169" t="s">
        <v>22</v>
      </c>
      <c r="D169">
        <v>168</v>
      </c>
      <c r="E169" t="s">
        <v>146</v>
      </c>
      <c r="F169" t="s">
        <v>70</v>
      </c>
      <c r="G169">
        <v>168</v>
      </c>
      <c r="H169">
        <v>400</v>
      </c>
      <c r="I169">
        <v>27</v>
      </c>
      <c r="J169" t="s">
        <v>75</v>
      </c>
      <c r="K169" t="s">
        <v>47</v>
      </c>
      <c r="L169" t="s">
        <v>99</v>
      </c>
      <c r="M169" t="s">
        <v>60</v>
      </c>
      <c r="N169">
        <v>4</v>
      </c>
      <c r="O169">
        <v>1</v>
      </c>
      <c r="P169" t="s">
        <v>29</v>
      </c>
      <c r="Q169" t="s">
        <v>30</v>
      </c>
      <c r="R169" t="s">
        <v>30</v>
      </c>
      <c r="S169">
        <v>14</v>
      </c>
      <c r="T169" t="s">
        <v>42</v>
      </c>
      <c r="U169" t="s">
        <v>100</v>
      </c>
      <c r="V169" s="1">
        <v>45605</v>
      </c>
      <c r="W169">
        <f>Table1[[#This Row],[customer_purchase count]]+1</f>
        <v>15</v>
      </c>
      <c r="X169">
        <f>Table1[[#This Row],[customer_purchase count]]*Rules!$B$3</f>
        <v>836.70102564102569</v>
      </c>
      <c r="Y169" t="str">
        <f>IF(Table1[[#This Row],[customer_subscription]]=1,"Subscribed","Not Subscribed")</f>
        <v>Subscribed</v>
      </c>
    </row>
    <row r="170" spans="1:26" x14ac:dyDescent="0.25">
      <c r="A170">
        <v>169</v>
      </c>
      <c r="B170">
        <v>34</v>
      </c>
      <c r="C170" t="s">
        <v>22</v>
      </c>
      <c r="D170">
        <v>169</v>
      </c>
      <c r="E170" t="s">
        <v>74</v>
      </c>
      <c r="F170" t="s">
        <v>45</v>
      </c>
      <c r="G170">
        <v>169</v>
      </c>
      <c r="H170">
        <v>401</v>
      </c>
      <c r="I170">
        <v>80</v>
      </c>
      <c r="J170" t="s">
        <v>63</v>
      </c>
      <c r="K170" t="s">
        <v>47</v>
      </c>
      <c r="L170" t="s">
        <v>139</v>
      </c>
      <c r="M170" t="s">
        <v>56</v>
      </c>
      <c r="N170">
        <v>3</v>
      </c>
      <c r="O170">
        <v>1</v>
      </c>
      <c r="P170" t="s">
        <v>29</v>
      </c>
      <c r="Q170" t="s">
        <v>30</v>
      </c>
      <c r="R170" t="s">
        <v>30</v>
      </c>
      <c r="S170">
        <v>5</v>
      </c>
      <c r="T170" t="s">
        <v>36</v>
      </c>
      <c r="U170" t="s">
        <v>32</v>
      </c>
      <c r="V170" s="1">
        <v>45465</v>
      </c>
      <c r="W170">
        <f>Table1[[#This Row],[customer_purchase count]]+1</f>
        <v>6</v>
      </c>
      <c r="X170">
        <f>Table1[[#This Row],[customer_purchase count]]*Rules!$B$3</f>
        <v>298.82179487179491</v>
      </c>
      <c r="Y170" t="str">
        <f>IF(Table1[[#This Row],[customer_subscription]]=1,"Subscribed","Not Subscribed")</f>
        <v>Subscribed</v>
      </c>
    </row>
    <row r="171" spans="1:26" x14ac:dyDescent="0.25">
      <c r="A171">
        <v>170</v>
      </c>
      <c r="B171">
        <v>27</v>
      </c>
      <c r="C171" t="s">
        <v>22</v>
      </c>
      <c r="D171">
        <v>170</v>
      </c>
      <c r="E171" t="s">
        <v>105</v>
      </c>
      <c r="F171" t="s">
        <v>66</v>
      </c>
      <c r="G171">
        <v>170</v>
      </c>
      <c r="H171">
        <v>403</v>
      </c>
      <c r="I171">
        <v>30</v>
      </c>
      <c r="J171" t="s">
        <v>110</v>
      </c>
      <c r="K171" t="s">
        <v>39</v>
      </c>
      <c r="L171" t="s">
        <v>83</v>
      </c>
      <c r="M171" t="s">
        <v>56</v>
      </c>
      <c r="N171">
        <v>3.3</v>
      </c>
      <c r="O171">
        <v>1</v>
      </c>
      <c r="P171" t="s">
        <v>57</v>
      </c>
      <c r="Q171" t="s">
        <v>30</v>
      </c>
      <c r="R171" t="s">
        <v>30</v>
      </c>
      <c r="S171">
        <v>3</v>
      </c>
      <c r="T171" t="s">
        <v>49</v>
      </c>
      <c r="U171" t="s">
        <v>100</v>
      </c>
      <c r="V171" s="1">
        <v>45490</v>
      </c>
      <c r="W171">
        <f>Table1[[#This Row],[customer_purchase count]]+1</f>
        <v>4</v>
      </c>
      <c r="X171">
        <f>Table1[[#This Row],[customer_purchase count]]*Rules!$B$3</f>
        <v>179.29307692307694</v>
      </c>
      <c r="Y171" t="str">
        <f>IF(Table1[[#This Row],[customer_subscription]]=1,"Subscribed","Not Subscribed")</f>
        <v>Subscribed</v>
      </c>
    </row>
    <row r="172" spans="1:26" x14ac:dyDescent="0.25">
      <c r="A172">
        <v>171</v>
      </c>
      <c r="B172">
        <v>52</v>
      </c>
      <c r="C172" t="s">
        <v>22</v>
      </c>
      <c r="D172">
        <v>171</v>
      </c>
      <c r="E172" t="s">
        <v>58</v>
      </c>
      <c r="F172" t="s">
        <v>24</v>
      </c>
      <c r="G172">
        <v>171</v>
      </c>
      <c r="H172">
        <v>404</v>
      </c>
      <c r="I172">
        <v>25</v>
      </c>
      <c r="J172" t="s">
        <v>54</v>
      </c>
      <c r="K172" t="s">
        <v>47</v>
      </c>
      <c r="L172" t="s">
        <v>35</v>
      </c>
      <c r="M172" t="s">
        <v>60</v>
      </c>
      <c r="N172">
        <v>2.6</v>
      </c>
      <c r="O172">
        <v>1</v>
      </c>
      <c r="P172" t="s">
        <v>77</v>
      </c>
      <c r="Q172" t="s">
        <v>30</v>
      </c>
      <c r="R172" t="s">
        <v>30</v>
      </c>
      <c r="S172">
        <v>46</v>
      </c>
      <c r="T172" t="s">
        <v>31</v>
      </c>
      <c r="U172" t="s">
        <v>79</v>
      </c>
      <c r="V172" s="1">
        <v>45586</v>
      </c>
      <c r="W172">
        <f>Table1[[#This Row],[customer_purchase count]]+1</f>
        <v>47</v>
      </c>
      <c r="X172">
        <f>Table1[[#This Row],[customer_purchase count]]*Rules!$B$3</f>
        <v>2749.1605128205128</v>
      </c>
      <c r="Y172" t="str">
        <f>IF(Table1[[#This Row],[customer_subscription]]=1,"Subscribed","Not Subscribed")</f>
        <v>Subscribed</v>
      </c>
      <c r="Z172" t="s">
        <v>193</v>
      </c>
    </row>
    <row r="173" spans="1:26" x14ac:dyDescent="0.25">
      <c r="A173">
        <v>172</v>
      </c>
      <c r="B173">
        <v>29</v>
      </c>
      <c r="C173" t="s">
        <v>22</v>
      </c>
      <c r="D173">
        <v>172</v>
      </c>
      <c r="E173" t="s">
        <v>62</v>
      </c>
      <c r="F173" t="s">
        <v>24</v>
      </c>
      <c r="G173">
        <v>172</v>
      </c>
      <c r="H173">
        <v>405</v>
      </c>
      <c r="I173">
        <v>35</v>
      </c>
      <c r="J173" t="s">
        <v>144</v>
      </c>
      <c r="K173" t="s">
        <v>47</v>
      </c>
      <c r="L173" t="s">
        <v>147</v>
      </c>
      <c r="M173" t="s">
        <v>56</v>
      </c>
      <c r="N173">
        <v>3.6</v>
      </c>
      <c r="O173">
        <v>1</v>
      </c>
      <c r="P173" t="s">
        <v>77</v>
      </c>
      <c r="Q173" t="s">
        <v>30</v>
      </c>
      <c r="R173" t="s">
        <v>30</v>
      </c>
      <c r="S173">
        <v>4</v>
      </c>
      <c r="T173" t="s">
        <v>42</v>
      </c>
      <c r="U173" t="s">
        <v>43</v>
      </c>
      <c r="V173" s="1">
        <v>45482</v>
      </c>
      <c r="W173">
        <f>Table1[[#This Row],[customer_purchase count]]+1</f>
        <v>5</v>
      </c>
      <c r="X173">
        <f>Table1[[#This Row],[customer_purchase count]]*Rules!$B$3</f>
        <v>239.05743589743591</v>
      </c>
      <c r="Y173" t="str">
        <f>IF(Table1[[#This Row],[customer_subscription]]=1,"Subscribed","Not Subscribed")</f>
        <v>Subscribed</v>
      </c>
    </row>
    <row r="174" spans="1:26" x14ac:dyDescent="0.25">
      <c r="A174">
        <v>173</v>
      </c>
      <c r="B174">
        <v>54</v>
      </c>
      <c r="C174" t="s">
        <v>22</v>
      </c>
      <c r="D174">
        <v>173</v>
      </c>
      <c r="E174" t="s">
        <v>109</v>
      </c>
      <c r="F174" t="s">
        <v>70</v>
      </c>
      <c r="G174">
        <v>173</v>
      </c>
      <c r="H174">
        <v>406</v>
      </c>
      <c r="I174">
        <v>67</v>
      </c>
      <c r="J174" t="s">
        <v>148</v>
      </c>
      <c r="K174" t="s">
        <v>47</v>
      </c>
      <c r="L174" t="s">
        <v>86</v>
      </c>
      <c r="M174" t="s">
        <v>56</v>
      </c>
      <c r="N174">
        <v>3.9</v>
      </c>
      <c r="O174">
        <v>1</v>
      </c>
      <c r="P174" t="s">
        <v>48</v>
      </c>
      <c r="Q174" t="s">
        <v>30</v>
      </c>
      <c r="R174" t="s">
        <v>30</v>
      </c>
      <c r="S174">
        <v>42</v>
      </c>
      <c r="T174" t="s">
        <v>42</v>
      </c>
      <c r="U174" t="s">
        <v>79</v>
      </c>
      <c r="V174" s="1">
        <v>45506</v>
      </c>
      <c r="W174">
        <f>Table1[[#This Row],[customer_purchase count]]+1</f>
        <v>43</v>
      </c>
      <c r="X174">
        <f>Table1[[#This Row],[customer_purchase count]]*Rules!$B$3</f>
        <v>2510.103076923077</v>
      </c>
      <c r="Y174" t="str">
        <f>IF(Table1[[#This Row],[customer_subscription]]=1,"Subscribed","Not Subscribed")</f>
        <v>Subscribed</v>
      </c>
      <c r="Z174" t="s">
        <v>193</v>
      </c>
    </row>
    <row r="175" spans="1:26" x14ac:dyDescent="0.25">
      <c r="A175">
        <v>174</v>
      </c>
      <c r="B175">
        <v>25</v>
      </c>
      <c r="C175" t="s">
        <v>22</v>
      </c>
      <c r="D175">
        <v>174</v>
      </c>
      <c r="E175" t="s">
        <v>127</v>
      </c>
      <c r="F175" t="s">
        <v>70</v>
      </c>
      <c r="G175">
        <v>174</v>
      </c>
      <c r="H175">
        <v>407</v>
      </c>
      <c r="I175">
        <v>46</v>
      </c>
      <c r="J175" t="s">
        <v>80</v>
      </c>
      <c r="K175" t="s">
        <v>47</v>
      </c>
      <c r="L175" t="s">
        <v>51</v>
      </c>
      <c r="M175" t="s">
        <v>60</v>
      </c>
      <c r="N175">
        <v>3.4</v>
      </c>
      <c r="O175">
        <v>1</v>
      </c>
      <c r="P175" t="s">
        <v>57</v>
      </c>
      <c r="Q175" t="s">
        <v>30</v>
      </c>
      <c r="R175" t="s">
        <v>30</v>
      </c>
      <c r="S175">
        <v>30</v>
      </c>
      <c r="T175" t="s">
        <v>36</v>
      </c>
      <c r="U175" t="s">
        <v>52</v>
      </c>
      <c r="V175" s="1">
        <v>45562</v>
      </c>
      <c r="W175">
        <f>Table1[[#This Row],[customer_purchase count]]+1</f>
        <v>31</v>
      </c>
      <c r="X175">
        <f>Table1[[#This Row],[customer_purchase count]]*Rules!$B$3</f>
        <v>1792.9307692307693</v>
      </c>
      <c r="Y175" t="str">
        <f>IF(Table1[[#This Row],[customer_subscription]]=1,"Subscribed","Not Subscribed")</f>
        <v>Subscribed</v>
      </c>
    </row>
    <row r="176" spans="1:26" x14ac:dyDescent="0.25">
      <c r="A176">
        <v>175</v>
      </c>
      <c r="B176">
        <v>41</v>
      </c>
      <c r="C176" t="s">
        <v>22</v>
      </c>
      <c r="D176">
        <v>175</v>
      </c>
      <c r="E176" t="s">
        <v>74</v>
      </c>
      <c r="F176" t="s">
        <v>45</v>
      </c>
      <c r="G176">
        <v>175</v>
      </c>
      <c r="H176">
        <v>409</v>
      </c>
      <c r="I176">
        <v>35</v>
      </c>
      <c r="J176" t="s">
        <v>132</v>
      </c>
      <c r="K176" t="s">
        <v>26</v>
      </c>
      <c r="L176" t="s">
        <v>113</v>
      </c>
      <c r="M176" t="s">
        <v>28</v>
      </c>
      <c r="N176">
        <v>3.5</v>
      </c>
      <c r="O176">
        <v>1</v>
      </c>
      <c r="P176" t="s">
        <v>29</v>
      </c>
      <c r="Q176" t="s">
        <v>30</v>
      </c>
      <c r="R176" t="s">
        <v>30</v>
      </c>
      <c r="S176">
        <v>37</v>
      </c>
      <c r="T176" t="s">
        <v>31</v>
      </c>
      <c r="U176" t="s">
        <v>52</v>
      </c>
      <c r="V176" s="1">
        <v>45635</v>
      </c>
      <c r="W176">
        <f>Table1[[#This Row],[customer_purchase count]]+1</f>
        <v>38</v>
      </c>
      <c r="X176">
        <f>Table1[[#This Row],[customer_purchase count]]*Rules!$B$3</f>
        <v>2211.2812820512822</v>
      </c>
      <c r="Y176" t="str">
        <f>IF(Table1[[#This Row],[customer_subscription]]=1,"Subscribed","Not Subscribed")</f>
        <v>Subscribed</v>
      </c>
      <c r="Z176" t="s">
        <v>193</v>
      </c>
    </row>
    <row r="177" spans="1:26" x14ac:dyDescent="0.25">
      <c r="A177">
        <v>176</v>
      </c>
      <c r="B177">
        <v>53</v>
      </c>
      <c r="C177" t="s">
        <v>22</v>
      </c>
      <c r="D177">
        <v>176</v>
      </c>
      <c r="E177" t="s">
        <v>65</v>
      </c>
      <c r="F177" t="s">
        <v>66</v>
      </c>
      <c r="G177">
        <v>176</v>
      </c>
      <c r="H177">
        <v>410</v>
      </c>
      <c r="I177">
        <v>86</v>
      </c>
      <c r="J177" t="s">
        <v>104</v>
      </c>
      <c r="K177" t="s">
        <v>26</v>
      </c>
      <c r="L177" t="s">
        <v>86</v>
      </c>
      <c r="M177" t="s">
        <v>60</v>
      </c>
      <c r="N177">
        <v>2.8</v>
      </c>
      <c r="O177">
        <v>1</v>
      </c>
      <c r="P177" t="s">
        <v>48</v>
      </c>
      <c r="Q177" t="s">
        <v>30</v>
      </c>
      <c r="R177" t="s">
        <v>30</v>
      </c>
      <c r="S177">
        <v>2</v>
      </c>
      <c r="T177" t="s">
        <v>78</v>
      </c>
      <c r="U177" t="s">
        <v>52</v>
      </c>
      <c r="V177" s="1">
        <v>45583</v>
      </c>
      <c r="W177">
        <f>Table1[[#This Row],[customer_purchase count]]+1</f>
        <v>3</v>
      </c>
      <c r="X177">
        <f>Table1[[#This Row],[customer_purchase count]]*Rules!$B$3</f>
        <v>119.52871794871795</v>
      </c>
      <c r="Y177" t="str">
        <f>IF(Table1[[#This Row],[customer_subscription]]=1,"Subscribed","Not Subscribed")</f>
        <v>Subscribed</v>
      </c>
    </row>
    <row r="178" spans="1:26" x14ac:dyDescent="0.25">
      <c r="A178">
        <v>177</v>
      </c>
      <c r="B178">
        <v>53</v>
      </c>
      <c r="C178" t="s">
        <v>22</v>
      </c>
      <c r="D178">
        <v>177</v>
      </c>
      <c r="E178" t="s">
        <v>135</v>
      </c>
      <c r="F178" t="s">
        <v>70</v>
      </c>
      <c r="G178">
        <v>177</v>
      </c>
      <c r="H178">
        <v>411</v>
      </c>
      <c r="I178">
        <v>81</v>
      </c>
      <c r="J178" t="s">
        <v>85</v>
      </c>
      <c r="K178" t="s">
        <v>26</v>
      </c>
      <c r="L178" t="s">
        <v>97</v>
      </c>
      <c r="M178" t="s">
        <v>40</v>
      </c>
      <c r="N178">
        <v>2.7</v>
      </c>
      <c r="O178">
        <v>1</v>
      </c>
      <c r="P178" t="s">
        <v>48</v>
      </c>
      <c r="Q178" t="s">
        <v>30</v>
      </c>
      <c r="R178" t="s">
        <v>30</v>
      </c>
      <c r="S178">
        <v>30</v>
      </c>
      <c r="T178" t="s">
        <v>42</v>
      </c>
      <c r="U178" t="s">
        <v>61</v>
      </c>
      <c r="V178" s="1">
        <v>45439</v>
      </c>
      <c r="W178">
        <f>Table1[[#This Row],[customer_purchase count]]+1</f>
        <v>31</v>
      </c>
      <c r="X178">
        <f>Table1[[#This Row],[customer_purchase count]]*Rules!$B$3</f>
        <v>1792.9307692307693</v>
      </c>
      <c r="Y178" t="str">
        <f>IF(Table1[[#This Row],[customer_subscription]]=1,"Subscribed","Not Subscribed")</f>
        <v>Subscribed</v>
      </c>
    </row>
    <row r="179" spans="1:26" x14ac:dyDescent="0.25">
      <c r="A179">
        <v>178</v>
      </c>
      <c r="B179">
        <v>21</v>
      </c>
      <c r="C179" t="s">
        <v>22</v>
      </c>
      <c r="D179">
        <v>178</v>
      </c>
      <c r="E179" t="s">
        <v>107</v>
      </c>
      <c r="F179" t="s">
        <v>24</v>
      </c>
      <c r="G179">
        <v>178</v>
      </c>
      <c r="H179">
        <v>412</v>
      </c>
      <c r="I179">
        <v>42</v>
      </c>
      <c r="J179" t="s">
        <v>114</v>
      </c>
      <c r="K179" t="s">
        <v>26</v>
      </c>
      <c r="L179" t="s">
        <v>139</v>
      </c>
      <c r="M179" t="s">
        <v>60</v>
      </c>
      <c r="N179">
        <v>3.7</v>
      </c>
      <c r="O179">
        <v>1</v>
      </c>
      <c r="P179" t="s">
        <v>48</v>
      </c>
      <c r="Q179" t="s">
        <v>30</v>
      </c>
      <c r="R179" t="s">
        <v>30</v>
      </c>
      <c r="S179">
        <v>47</v>
      </c>
      <c r="T179" t="s">
        <v>78</v>
      </c>
      <c r="U179" t="s">
        <v>91</v>
      </c>
      <c r="V179" s="1">
        <v>45574</v>
      </c>
      <c r="W179">
        <f>Table1[[#This Row],[customer_purchase count]]+1</f>
        <v>48</v>
      </c>
      <c r="X179">
        <f>Table1[[#This Row],[customer_purchase count]]*Rules!$B$3</f>
        <v>2808.9248717948717</v>
      </c>
      <c r="Y179" t="str">
        <f>IF(Table1[[#This Row],[customer_subscription]]=1,"Subscribed","Not Subscribed")</f>
        <v>Subscribed</v>
      </c>
    </row>
    <row r="180" spans="1:26" x14ac:dyDescent="0.25">
      <c r="A180">
        <v>179</v>
      </c>
      <c r="B180">
        <v>61</v>
      </c>
      <c r="C180" t="s">
        <v>22</v>
      </c>
      <c r="D180">
        <v>179</v>
      </c>
      <c r="E180" t="s">
        <v>90</v>
      </c>
      <c r="F180" t="s">
        <v>24</v>
      </c>
      <c r="G180">
        <v>179</v>
      </c>
      <c r="H180">
        <v>413</v>
      </c>
      <c r="I180">
        <v>43</v>
      </c>
      <c r="J180" t="s">
        <v>138</v>
      </c>
      <c r="K180" t="s">
        <v>26</v>
      </c>
      <c r="L180" t="s">
        <v>96</v>
      </c>
      <c r="M180" t="s">
        <v>60</v>
      </c>
      <c r="N180">
        <v>4.3</v>
      </c>
      <c r="O180">
        <v>1</v>
      </c>
      <c r="P180" t="s">
        <v>73</v>
      </c>
      <c r="Q180" t="s">
        <v>30</v>
      </c>
      <c r="R180" t="s">
        <v>30</v>
      </c>
      <c r="S180">
        <v>21</v>
      </c>
      <c r="T180" t="s">
        <v>49</v>
      </c>
      <c r="U180" t="s">
        <v>61</v>
      </c>
      <c r="V180" s="1">
        <v>45575</v>
      </c>
      <c r="W180">
        <f>Table1[[#This Row],[customer_purchase count]]+1</f>
        <v>22</v>
      </c>
      <c r="X180">
        <f>Table1[[#This Row],[customer_purchase count]]*Rules!$B$3</f>
        <v>1255.0515384615385</v>
      </c>
      <c r="Y180" t="str">
        <f>IF(Table1[[#This Row],[customer_subscription]]=1,"Subscribed","Not Subscribed")</f>
        <v>Subscribed</v>
      </c>
    </row>
    <row r="181" spans="1:26" x14ac:dyDescent="0.25">
      <c r="A181">
        <v>180</v>
      </c>
      <c r="B181">
        <v>64</v>
      </c>
      <c r="C181" t="s">
        <v>22</v>
      </c>
      <c r="D181">
        <v>180</v>
      </c>
      <c r="E181" t="s">
        <v>140</v>
      </c>
      <c r="F181" t="s">
        <v>45</v>
      </c>
      <c r="G181">
        <v>180</v>
      </c>
      <c r="H181">
        <v>415</v>
      </c>
      <c r="I181">
        <v>31</v>
      </c>
      <c r="J181" t="s">
        <v>118</v>
      </c>
      <c r="K181" t="s">
        <v>47</v>
      </c>
      <c r="L181" t="s">
        <v>86</v>
      </c>
      <c r="M181" t="s">
        <v>60</v>
      </c>
      <c r="N181">
        <v>4.9000000000000004</v>
      </c>
      <c r="O181">
        <v>1</v>
      </c>
      <c r="P181" t="s">
        <v>77</v>
      </c>
      <c r="Q181" t="s">
        <v>30</v>
      </c>
      <c r="R181" t="s">
        <v>30</v>
      </c>
      <c r="S181">
        <v>9</v>
      </c>
      <c r="T181" t="s">
        <v>78</v>
      </c>
      <c r="U181" t="s">
        <v>32</v>
      </c>
      <c r="V181" s="1">
        <v>45607</v>
      </c>
      <c r="W181">
        <f>Table1[[#This Row],[customer_purchase count]]+1</f>
        <v>10</v>
      </c>
      <c r="X181">
        <f>Table1[[#This Row],[customer_purchase count]]*Rules!$B$3</f>
        <v>537.87923076923084</v>
      </c>
      <c r="Y181" t="str">
        <f>IF(Table1[[#This Row],[customer_subscription]]=1,"Subscribed","Not Subscribed")</f>
        <v>Subscribed</v>
      </c>
    </row>
    <row r="182" spans="1:26" x14ac:dyDescent="0.25">
      <c r="A182">
        <v>181</v>
      </c>
      <c r="B182">
        <v>51</v>
      </c>
      <c r="C182" t="s">
        <v>22</v>
      </c>
      <c r="D182">
        <v>181</v>
      </c>
      <c r="E182" t="s">
        <v>44</v>
      </c>
      <c r="F182" t="s">
        <v>45</v>
      </c>
      <c r="G182">
        <v>181</v>
      </c>
      <c r="H182">
        <v>416</v>
      </c>
      <c r="I182">
        <v>81</v>
      </c>
      <c r="J182" t="s">
        <v>150</v>
      </c>
      <c r="K182" t="s">
        <v>26</v>
      </c>
      <c r="L182" t="s">
        <v>99</v>
      </c>
      <c r="M182" t="s">
        <v>60</v>
      </c>
      <c r="N182">
        <v>3.3</v>
      </c>
      <c r="O182">
        <v>1</v>
      </c>
      <c r="P182" t="s">
        <v>77</v>
      </c>
      <c r="Q182" t="s">
        <v>30</v>
      </c>
      <c r="R182" t="s">
        <v>30</v>
      </c>
      <c r="S182">
        <v>12</v>
      </c>
      <c r="T182" t="s">
        <v>89</v>
      </c>
      <c r="U182" t="s">
        <v>32</v>
      </c>
      <c r="V182" s="1">
        <v>45566</v>
      </c>
      <c r="W182">
        <f>Table1[[#This Row],[customer_purchase count]]+1</f>
        <v>13</v>
      </c>
      <c r="X182">
        <f>Table1[[#This Row],[customer_purchase count]]*Rules!$B$3</f>
        <v>717.17230769230775</v>
      </c>
      <c r="Y182" t="str">
        <f>IF(Table1[[#This Row],[customer_subscription]]=1,"Subscribed","Not Subscribed")</f>
        <v>Subscribed</v>
      </c>
    </row>
    <row r="183" spans="1:26" x14ac:dyDescent="0.25">
      <c r="A183">
        <v>182</v>
      </c>
      <c r="B183">
        <v>32</v>
      </c>
      <c r="C183" t="s">
        <v>22</v>
      </c>
      <c r="D183">
        <v>182</v>
      </c>
      <c r="E183" t="s">
        <v>98</v>
      </c>
      <c r="F183" t="s">
        <v>24</v>
      </c>
      <c r="G183">
        <v>182</v>
      </c>
      <c r="H183">
        <v>417</v>
      </c>
      <c r="I183">
        <v>61</v>
      </c>
      <c r="J183" t="s">
        <v>38</v>
      </c>
      <c r="K183" t="s">
        <v>47</v>
      </c>
      <c r="L183" t="s">
        <v>121</v>
      </c>
      <c r="M183" t="s">
        <v>56</v>
      </c>
      <c r="N183">
        <v>4.7</v>
      </c>
      <c r="O183">
        <v>1</v>
      </c>
      <c r="P183" t="s">
        <v>48</v>
      </c>
      <c r="Q183" t="s">
        <v>30</v>
      </c>
      <c r="R183" t="s">
        <v>30</v>
      </c>
      <c r="S183">
        <v>4</v>
      </c>
      <c r="T183" t="s">
        <v>78</v>
      </c>
      <c r="U183" t="s">
        <v>43</v>
      </c>
      <c r="V183" s="1">
        <v>45474</v>
      </c>
      <c r="W183">
        <f>Table1[[#This Row],[customer_purchase count]]+1</f>
        <v>5</v>
      </c>
      <c r="X183">
        <f>Table1[[#This Row],[customer_purchase count]]*Rules!$B$3</f>
        <v>239.05743589743591</v>
      </c>
      <c r="Y183" t="str">
        <f>IF(Table1[[#This Row],[customer_subscription]]=1,"Subscribed","Not Subscribed")</f>
        <v>Subscribed</v>
      </c>
    </row>
    <row r="184" spans="1:26" x14ac:dyDescent="0.25">
      <c r="A184">
        <v>183</v>
      </c>
      <c r="B184">
        <v>38</v>
      </c>
      <c r="C184" t="s">
        <v>22</v>
      </c>
      <c r="D184">
        <v>183</v>
      </c>
      <c r="E184" t="s">
        <v>146</v>
      </c>
      <c r="F184" t="s">
        <v>70</v>
      </c>
      <c r="G184">
        <v>183</v>
      </c>
      <c r="H184">
        <v>418</v>
      </c>
      <c r="I184">
        <v>96</v>
      </c>
      <c r="J184" t="s">
        <v>93</v>
      </c>
      <c r="K184" t="s">
        <v>95</v>
      </c>
      <c r="L184" t="s">
        <v>76</v>
      </c>
      <c r="M184" t="s">
        <v>56</v>
      </c>
      <c r="N184">
        <v>2.8</v>
      </c>
      <c r="O184">
        <v>1</v>
      </c>
      <c r="P184" t="s">
        <v>77</v>
      </c>
      <c r="Q184" t="s">
        <v>30</v>
      </c>
      <c r="R184" t="s">
        <v>30</v>
      </c>
      <c r="S184">
        <v>10</v>
      </c>
      <c r="T184" t="s">
        <v>89</v>
      </c>
      <c r="U184" t="s">
        <v>52</v>
      </c>
      <c r="V184" s="1">
        <v>45482</v>
      </c>
      <c r="W184">
        <f>Table1[[#This Row],[customer_purchase count]]+1</f>
        <v>11</v>
      </c>
      <c r="X184">
        <f>Table1[[#This Row],[customer_purchase count]]*Rules!$B$3</f>
        <v>597.64358974358981</v>
      </c>
      <c r="Y184" t="str">
        <f>IF(Table1[[#This Row],[customer_subscription]]=1,"Subscribed","Not Subscribed")</f>
        <v>Subscribed</v>
      </c>
    </row>
    <row r="185" spans="1:26" x14ac:dyDescent="0.25">
      <c r="A185">
        <v>184</v>
      </c>
      <c r="B185">
        <v>58</v>
      </c>
      <c r="C185" t="s">
        <v>22</v>
      </c>
      <c r="D185">
        <v>184</v>
      </c>
      <c r="E185" t="s">
        <v>90</v>
      </c>
      <c r="F185" t="s">
        <v>24</v>
      </c>
      <c r="G185">
        <v>184</v>
      </c>
      <c r="H185">
        <v>419</v>
      </c>
      <c r="I185">
        <v>29</v>
      </c>
      <c r="J185" t="s">
        <v>126</v>
      </c>
      <c r="K185" t="s">
        <v>95</v>
      </c>
      <c r="L185" t="s">
        <v>121</v>
      </c>
      <c r="M185" t="s">
        <v>40</v>
      </c>
      <c r="N185">
        <v>3.6</v>
      </c>
      <c r="O185">
        <v>1</v>
      </c>
      <c r="P185" t="s">
        <v>73</v>
      </c>
      <c r="Q185" t="s">
        <v>30</v>
      </c>
      <c r="R185" t="s">
        <v>30</v>
      </c>
      <c r="S185">
        <v>26</v>
      </c>
      <c r="T185" t="s">
        <v>42</v>
      </c>
      <c r="U185" t="s">
        <v>43</v>
      </c>
      <c r="V185" s="1">
        <v>45358</v>
      </c>
      <c r="W185">
        <f>Table1[[#This Row],[customer_purchase count]]+1</f>
        <v>27</v>
      </c>
      <c r="X185">
        <f>Table1[[#This Row],[customer_purchase count]]*Rules!$B$3</f>
        <v>1553.8733333333334</v>
      </c>
      <c r="Y185" t="str">
        <f>IF(Table1[[#This Row],[customer_subscription]]=1,"Subscribed","Not Subscribed")</f>
        <v>Subscribed</v>
      </c>
    </row>
    <row r="186" spans="1:26" x14ac:dyDescent="0.25">
      <c r="A186">
        <v>185</v>
      </c>
      <c r="B186">
        <v>32</v>
      </c>
      <c r="C186" t="s">
        <v>22</v>
      </c>
      <c r="D186">
        <v>185</v>
      </c>
      <c r="E186" t="s">
        <v>53</v>
      </c>
      <c r="F186" t="s">
        <v>45</v>
      </c>
      <c r="G186">
        <v>185</v>
      </c>
      <c r="H186">
        <v>421</v>
      </c>
      <c r="I186">
        <v>33</v>
      </c>
      <c r="J186" t="s">
        <v>80</v>
      </c>
      <c r="K186" t="s">
        <v>26</v>
      </c>
      <c r="L186" t="s">
        <v>112</v>
      </c>
      <c r="M186" t="s">
        <v>40</v>
      </c>
      <c r="N186">
        <v>3</v>
      </c>
      <c r="O186">
        <v>1</v>
      </c>
      <c r="P186" t="s">
        <v>29</v>
      </c>
      <c r="Q186" t="s">
        <v>30</v>
      </c>
      <c r="R186" t="s">
        <v>30</v>
      </c>
      <c r="S186">
        <v>40</v>
      </c>
      <c r="T186" t="s">
        <v>36</v>
      </c>
      <c r="U186" t="s">
        <v>32</v>
      </c>
      <c r="V186" s="1">
        <v>45372</v>
      </c>
      <c r="W186">
        <f>Table1[[#This Row],[customer_purchase count]]+1</f>
        <v>41</v>
      </c>
      <c r="X186">
        <f>Table1[[#This Row],[customer_purchase count]]*Rules!$B$3</f>
        <v>2390.5743589743593</v>
      </c>
      <c r="Y186" t="str">
        <f>IF(Table1[[#This Row],[customer_subscription]]=1,"Subscribed","Not Subscribed")</f>
        <v>Subscribed</v>
      </c>
      <c r="Z186" t="s">
        <v>193</v>
      </c>
    </row>
    <row r="187" spans="1:26" x14ac:dyDescent="0.25">
      <c r="A187">
        <v>186</v>
      </c>
      <c r="B187">
        <v>46</v>
      </c>
      <c r="C187" t="s">
        <v>22</v>
      </c>
      <c r="D187">
        <v>186</v>
      </c>
      <c r="E187" t="s">
        <v>116</v>
      </c>
      <c r="F187" t="s">
        <v>24</v>
      </c>
      <c r="G187">
        <v>186</v>
      </c>
      <c r="H187">
        <v>422</v>
      </c>
      <c r="I187">
        <v>32</v>
      </c>
      <c r="J187" t="s">
        <v>153</v>
      </c>
      <c r="K187" t="s">
        <v>95</v>
      </c>
      <c r="L187" t="s">
        <v>68</v>
      </c>
      <c r="M187" t="s">
        <v>56</v>
      </c>
      <c r="N187">
        <v>4.5</v>
      </c>
      <c r="O187">
        <v>1</v>
      </c>
      <c r="P187" t="s">
        <v>77</v>
      </c>
      <c r="Q187" t="s">
        <v>30</v>
      </c>
      <c r="R187" t="s">
        <v>30</v>
      </c>
      <c r="S187">
        <v>34</v>
      </c>
      <c r="T187" t="s">
        <v>78</v>
      </c>
      <c r="U187" t="s">
        <v>32</v>
      </c>
      <c r="V187" s="1">
        <v>45529</v>
      </c>
      <c r="W187">
        <f>Table1[[#This Row],[customer_purchase count]]+1</f>
        <v>35</v>
      </c>
      <c r="X187">
        <f>Table1[[#This Row],[customer_purchase count]]*Rules!$B$3</f>
        <v>2031.9882051282052</v>
      </c>
      <c r="Y187" t="str">
        <f>IF(Table1[[#This Row],[customer_subscription]]=1,"Subscribed","Not Subscribed")</f>
        <v>Subscribed</v>
      </c>
      <c r="Z187" t="s">
        <v>193</v>
      </c>
    </row>
    <row r="188" spans="1:26" x14ac:dyDescent="0.25">
      <c r="A188">
        <v>187</v>
      </c>
      <c r="B188">
        <v>39</v>
      </c>
      <c r="C188" t="s">
        <v>22</v>
      </c>
      <c r="D188">
        <v>187</v>
      </c>
      <c r="E188" t="s">
        <v>135</v>
      </c>
      <c r="F188" t="s">
        <v>70</v>
      </c>
      <c r="G188">
        <v>187</v>
      </c>
      <c r="H188">
        <v>423</v>
      </c>
      <c r="I188">
        <v>56</v>
      </c>
      <c r="J188" t="s">
        <v>151</v>
      </c>
      <c r="K188" t="s">
        <v>39</v>
      </c>
      <c r="L188" t="s">
        <v>96</v>
      </c>
      <c r="M188" t="s">
        <v>56</v>
      </c>
      <c r="N188">
        <v>2.9</v>
      </c>
      <c r="O188">
        <v>1</v>
      </c>
      <c r="P188" t="s">
        <v>57</v>
      </c>
      <c r="Q188" t="s">
        <v>30</v>
      </c>
      <c r="R188" t="s">
        <v>30</v>
      </c>
      <c r="S188">
        <v>31</v>
      </c>
      <c r="T188" t="s">
        <v>89</v>
      </c>
      <c r="U188" t="s">
        <v>52</v>
      </c>
      <c r="V188" s="1">
        <v>45445</v>
      </c>
      <c r="W188">
        <f>Table1[[#This Row],[customer_purchase count]]+1</f>
        <v>32</v>
      </c>
      <c r="X188">
        <f>Table1[[#This Row],[customer_purchase count]]*Rules!$B$3</f>
        <v>1852.6951282051282</v>
      </c>
      <c r="Y188" t="str">
        <f>IF(Table1[[#This Row],[customer_subscription]]=1,"Subscribed","Not Subscribed")</f>
        <v>Subscribed</v>
      </c>
    </row>
    <row r="189" spans="1:26" x14ac:dyDescent="0.25">
      <c r="A189">
        <v>188</v>
      </c>
      <c r="B189">
        <v>19</v>
      </c>
      <c r="C189" t="s">
        <v>22</v>
      </c>
      <c r="D189">
        <v>188</v>
      </c>
      <c r="E189" t="s">
        <v>74</v>
      </c>
      <c r="F189" t="s">
        <v>45</v>
      </c>
      <c r="G189">
        <v>188</v>
      </c>
      <c r="H189">
        <v>424</v>
      </c>
      <c r="I189">
        <v>94</v>
      </c>
      <c r="J189" t="s">
        <v>145</v>
      </c>
      <c r="K189" t="s">
        <v>39</v>
      </c>
      <c r="L189" t="s">
        <v>76</v>
      </c>
      <c r="M189" t="s">
        <v>40</v>
      </c>
      <c r="N189">
        <v>3.3</v>
      </c>
      <c r="O189">
        <v>1</v>
      </c>
      <c r="P189" t="s">
        <v>77</v>
      </c>
      <c r="Q189" t="s">
        <v>30</v>
      </c>
      <c r="R189" t="s">
        <v>30</v>
      </c>
      <c r="S189">
        <v>1</v>
      </c>
      <c r="T189" t="s">
        <v>78</v>
      </c>
      <c r="U189" t="s">
        <v>79</v>
      </c>
      <c r="V189" s="1">
        <v>45397</v>
      </c>
      <c r="W189">
        <f>Table1[[#This Row],[customer_purchase count]]+1</f>
        <v>2</v>
      </c>
      <c r="X189">
        <f>Table1[[#This Row],[customer_purchase count]]*Rules!$B$3</f>
        <v>59.764358974358977</v>
      </c>
      <c r="Y189" t="str">
        <f>IF(Table1[[#This Row],[customer_subscription]]=1,"Subscribed","Not Subscribed")</f>
        <v>Subscribed</v>
      </c>
    </row>
    <row r="190" spans="1:26" x14ac:dyDescent="0.25">
      <c r="A190">
        <v>189</v>
      </c>
      <c r="B190">
        <v>50</v>
      </c>
      <c r="C190" t="s">
        <v>22</v>
      </c>
      <c r="D190">
        <v>189</v>
      </c>
      <c r="E190" t="s">
        <v>107</v>
      </c>
      <c r="F190" t="s">
        <v>24</v>
      </c>
      <c r="G190">
        <v>189</v>
      </c>
      <c r="H190">
        <v>425</v>
      </c>
      <c r="I190">
        <v>53</v>
      </c>
      <c r="J190" t="s">
        <v>75</v>
      </c>
      <c r="K190" t="s">
        <v>47</v>
      </c>
      <c r="L190" t="s">
        <v>72</v>
      </c>
      <c r="M190" t="s">
        <v>40</v>
      </c>
      <c r="N190">
        <v>3.1</v>
      </c>
      <c r="O190">
        <v>1</v>
      </c>
      <c r="P190" t="s">
        <v>29</v>
      </c>
      <c r="Q190" t="s">
        <v>30</v>
      </c>
      <c r="R190" t="s">
        <v>30</v>
      </c>
      <c r="S190">
        <v>5</v>
      </c>
      <c r="T190" t="s">
        <v>78</v>
      </c>
      <c r="U190" t="s">
        <v>79</v>
      </c>
      <c r="V190" s="1">
        <v>45407</v>
      </c>
      <c r="W190">
        <f>Table1[[#This Row],[customer_purchase count]]+1</f>
        <v>6</v>
      </c>
      <c r="X190">
        <f>Table1[[#This Row],[customer_purchase count]]*Rules!$B$3</f>
        <v>298.82179487179491</v>
      </c>
      <c r="Y190" t="str">
        <f>IF(Table1[[#This Row],[customer_subscription]]=1,"Subscribed","Not Subscribed")</f>
        <v>Subscribed</v>
      </c>
    </row>
    <row r="191" spans="1:26" x14ac:dyDescent="0.25">
      <c r="A191">
        <v>190</v>
      </c>
      <c r="B191">
        <v>36</v>
      </c>
      <c r="C191" t="s">
        <v>22</v>
      </c>
      <c r="D191">
        <v>190</v>
      </c>
      <c r="E191" t="s">
        <v>23</v>
      </c>
      <c r="F191" t="s">
        <v>24</v>
      </c>
      <c r="G191">
        <v>190</v>
      </c>
      <c r="H191">
        <v>427</v>
      </c>
      <c r="I191">
        <v>82</v>
      </c>
      <c r="J191" t="s">
        <v>67</v>
      </c>
      <c r="K191" t="s">
        <v>47</v>
      </c>
      <c r="L191" t="s">
        <v>35</v>
      </c>
      <c r="M191" t="s">
        <v>60</v>
      </c>
      <c r="N191">
        <v>4.4000000000000004</v>
      </c>
      <c r="O191">
        <v>1</v>
      </c>
      <c r="P191" t="s">
        <v>48</v>
      </c>
      <c r="Q191" t="s">
        <v>30</v>
      </c>
      <c r="R191" t="s">
        <v>30</v>
      </c>
      <c r="S191">
        <v>4</v>
      </c>
      <c r="T191" t="s">
        <v>42</v>
      </c>
      <c r="U191" t="s">
        <v>43</v>
      </c>
      <c r="V191" s="1">
        <v>45584</v>
      </c>
      <c r="W191">
        <f>Table1[[#This Row],[customer_purchase count]]+1</f>
        <v>5</v>
      </c>
      <c r="X191">
        <f>Table1[[#This Row],[customer_purchase count]]*Rules!$B$3</f>
        <v>239.05743589743591</v>
      </c>
      <c r="Y191" t="str">
        <f>IF(Table1[[#This Row],[customer_subscription]]=1,"Subscribed","Not Subscribed")</f>
        <v>Subscribed</v>
      </c>
    </row>
    <row r="192" spans="1:26" x14ac:dyDescent="0.25">
      <c r="A192">
        <v>191</v>
      </c>
      <c r="B192">
        <v>65</v>
      </c>
      <c r="C192" t="s">
        <v>22</v>
      </c>
      <c r="D192">
        <v>191</v>
      </c>
      <c r="E192" t="s">
        <v>65</v>
      </c>
      <c r="F192" t="s">
        <v>66</v>
      </c>
      <c r="G192">
        <v>191</v>
      </c>
      <c r="H192">
        <v>428</v>
      </c>
      <c r="I192">
        <v>70</v>
      </c>
      <c r="J192" t="s">
        <v>119</v>
      </c>
      <c r="K192" t="s">
        <v>95</v>
      </c>
      <c r="L192" t="s">
        <v>121</v>
      </c>
      <c r="M192" t="s">
        <v>60</v>
      </c>
      <c r="N192">
        <v>3</v>
      </c>
      <c r="O192">
        <v>1</v>
      </c>
      <c r="P192" t="s">
        <v>41</v>
      </c>
      <c r="Q192" t="s">
        <v>30</v>
      </c>
      <c r="R192" t="s">
        <v>30</v>
      </c>
      <c r="S192">
        <v>48</v>
      </c>
      <c r="T192" t="s">
        <v>31</v>
      </c>
      <c r="U192" t="s">
        <v>61</v>
      </c>
      <c r="V192" s="1">
        <v>45572</v>
      </c>
      <c r="W192">
        <f>Table1[[#This Row],[customer_purchase count]]+1</f>
        <v>49</v>
      </c>
      <c r="X192">
        <f>Table1[[#This Row],[customer_purchase count]]*Rules!$B$3</f>
        <v>2868.689230769231</v>
      </c>
      <c r="Y192" t="str">
        <f>IF(Table1[[#This Row],[customer_subscription]]=1,"Subscribed","Not Subscribed")</f>
        <v>Subscribed</v>
      </c>
    </row>
    <row r="193" spans="1:26" x14ac:dyDescent="0.25">
      <c r="A193">
        <v>192</v>
      </c>
      <c r="B193">
        <v>64</v>
      </c>
      <c r="C193" t="s">
        <v>22</v>
      </c>
      <c r="D193">
        <v>192</v>
      </c>
      <c r="E193" t="s">
        <v>127</v>
      </c>
      <c r="F193" t="s">
        <v>70</v>
      </c>
      <c r="G193">
        <v>192</v>
      </c>
      <c r="H193">
        <v>429</v>
      </c>
      <c r="I193">
        <v>76</v>
      </c>
      <c r="J193" t="s">
        <v>143</v>
      </c>
      <c r="K193" t="s">
        <v>47</v>
      </c>
      <c r="L193" t="s">
        <v>27</v>
      </c>
      <c r="M193" t="s">
        <v>60</v>
      </c>
      <c r="N193">
        <v>3.9</v>
      </c>
      <c r="O193">
        <v>1</v>
      </c>
      <c r="P193" t="s">
        <v>41</v>
      </c>
      <c r="Q193" t="s">
        <v>30</v>
      </c>
      <c r="R193" t="s">
        <v>30</v>
      </c>
      <c r="S193">
        <v>29</v>
      </c>
      <c r="T193" t="s">
        <v>36</v>
      </c>
      <c r="U193" t="s">
        <v>100</v>
      </c>
      <c r="V193" s="1">
        <v>45624</v>
      </c>
      <c r="W193">
        <f>Table1[[#This Row],[customer_purchase count]]+1</f>
        <v>30</v>
      </c>
      <c r="X193">
        <f>Table1[[#This Row],[customer_purchase count]]*Rules!$B$3</f>
        <v>1733.1664102564102</v>
      </c>
      <c r="Y193" t="str">
        <f>IF(Table1[[#This Row],[customer_subscription]]=1,"Subscribed","Not Subscribed")</f>
        <v>Subscribed</v>
      </c>
    </row>
    <row r="194" spans="1:26" x14ac:dyDescent="0.25">
      <c r="A194">
        <v>193</v>
      </c>
      <c r="B194">
        <v>46</v>
      </c>
      <c r="C194" t="s">
        <v>22</v>
      </c>
      <c r="D194">
        <v>193</v>
      </c>
      <c r="E194" t="s">
        <v>74</v>
      </c>
      <c r="F194" t="s">
        <v>45</v>
      </c>
      <c r="G194">
        <v>193</v>
      </c>
      <c r="H194">
        <v>430</v>
      </c>
      <c r="I194">
        <v>29</v>
      </c>
      <c r="J194" t="s">
        <v>148</v>
      </c>
      <c r="K194" t="s">
        <v>26</v>
      </c>
      <c r="L194" t="s">
        <v>51</v>
      </c>
      <c r="M194" t="s">
        <v>56</v>
      </c>
      <c r="N194">
        <v>2.9</v>
      </c>
      <c r="O194">
        <v>1</v>
      </c>
      <c r="P194" t="s">
        <v>29</v>
      </c>
      <c r="Q194" t="s">
        <v>30</v>
      </c>
      <c r="R194" t="s">
        <v>30</v>
      </c>
      <c r="S194">
        <v>12</v>
      </c>
      <c r="T194" t="s">
        <v>49</v>
      </c>
      <c r="U194" t="s">
        <v>79</v>
      </c>
      <c r="V194" s="1">
        <v>45532</v>
      </c>
      <c r="W194">
        <f>Table1[[#This Row],[customer_purchase count]]+1</f>
        <v>13</v>
      </c>
      <c r="X194">
        <f>Table1[[#This Row],[customer_purchase count]]*Rules!$B$3</f>
        <v>717.17230769230775</v>
      </c>
      <c r="Y194" t="str">
        <f>IF(Table1[[#This Row],[customer_subscription]]=1,"Subscribed","Not Subscribed")</f>
        <v>Subscribed</v>
      </c>
    </row>
    <row r="195" spans="1:26" x14ac:dyDescent="0.25">
      <c r="A195">
        <v>194</v>
      </c>
      <c r="B195">
        <v>36</v>
      </c>
      <c r="C195" t="s">
        <v>22</v>
      </c>
      <c r="D195">
        <v>194</v>
      </c>
      <c r="E195" t="s">
        <v>136</v>
      </c>
      <c r="F195" t="s">
        <v>70</v>
      </c>
      <c r="G195">
        <v>194</v>
      </c>
      <c r="H195">
        <v>431</v>
      </c>
      <c r="I195">
        <v>100</v>
      </c>
      <c r="J195" t="s">
        <v>117</v>
      </c>
      <c r="K195" t="s">
        <v>39</v>
      </c>
      <c r="L195" t="s">
        <v>68</v>
      </c>
      <c r="M195" t="s">
        <v>60</v>
      </c>
      <c r="N195">
        <v>3</v>
      </c>
      <c r="O195">
        <v>1</v>
      </c>
      <c r="P195" t="s">
        <v>57</v>
      </c>
      <c r="Q195" t="s">
        <v>30</v>
      </c>
      <c r="R195" t="s">
        <v>30</v>
      </c>
      <c r="S195">
        <v>29</v>
      </c>
      <c r="T195" t="s">
        <v>31</v>
      </c>
      <c r="U195" t="s">
        <v>52</v>
      </c>
      <c r="V195" s="1">
        <v>45558</v>
      </c>
      <c r="W195">
        <f>Table1[[#This Row],[customer_purchase count]]+1</f>
        <v>30</v>
      </c>
      <c r="X195">
        <f>Table1[[#This Row],[customer_purchase count]]*Rules!$B$3</f>
        <v>1733.1664102564102</v>
      </c>
      <c r="Y195" t="str">
        <f>IF(Table1[[#This Row],[customer_subscription]]=1,"Subscribed","Not Subscribed")</f>
        <v>Subscribed</v>
      </c>
    </row>
    <row r="196" spans="1:26" x14ac:dyDescent="0.25">
      <c r="A196">
        <v>195</v>
      </c>
      <c r="B196">
        <v>51</v>
      </c>
      <c r="C196" t="s">
        <v>22</v>
      </c>
      <c r="D196">
        <v>195</v>
      </c>
      <c r="E196" t="s">
        <v>135</v>
      </c>
      <c r="F196" t="s">
        <v>70</v>
      </c>
      <c r="G196">
        <v>195</v>
      </c>
      <c r="H196">
        <v>433</v>
      </c>
      <c r="I196">
        <v>94</v>
      </c>
      <c r="J196" t="s">
        <v>71</v>
      </c>
      <c r="K196" t="s">
        <v>47</v>
      </c>
      <c r="L196" t="s">
        <v>81</v>
      </c>
      <c r="M196" t="s">
        <v>40</v>
      </c>
      <c r="N196">
        <v>3.1</v>
      </c>
      <c r="O196">
        <v>1</v>
      </c>
      <c r="P196" t="s">
        <v>29</v>
      </c>
      <c r="Q196" t="s">
        <v>30</v>
      </c>
      <c r="R196" t="s">
        <v>30</v>
      </c>
      <c r="S196">
        <v>15</v>
      </c>
      <c r="T196" t="s">
        <v>89</v>
      </c>
      <c r="U196" t="s">
        <v>61</v>
      </c>
      <c r="V196" s="1">
        <v>45392</v>
      </c>
      <c r="W196">
        <f>Table1[[#This Row],[customer_purchase count]]+1</f>
        <v>16</v>
      </c>
      <c r="X196">
        <f>Table1[[#This Row],[customer_purchase count]]*Rules!$B$3</f>
        <v>896.46538461538466</v>
      </c>
      <c r="Y196" t="str">
        <f>IF(Table1[[#This Row],[customer_subscription]]=1,"Subscribed","Not Subscribed")</f>
        <v>Subscribed</v>
      </c>
    </row>
    <row r="197" spans="1:26" x14ac:dyDescent="0.25">
      <c r="A197">
        <v>196</v>
      </c>
      <c r="B197">
        <v>51</v>
      </c>
      <c r="C197" t="s">
        <v>22</v>
      </c>
      <c r="D197">
        <v>196</v>
      </c>
      <c r="E197" t="s">
        <v>105</v>
      </c>
      <c r="F197" t="s">
        <v>66</v>
      </c>
      <c r="G197">
        <v>196</v>
      </c>
      <c r="H197">
        <v>434</v>
      </c>
      <c r="I197">
        <v>25</v>
      </c>
      <c r="J197" t="s">
        <v>87</v>
      </c>
      <c r="K197" t="s">
        <v>47</v>
      </c>
      <c r="L197" t="s">
        <v>139</v>
      </c>
      <c r="M197" t="s">
        <v>60</v>
      </c>
      <c r="N197">
        <v>4.3</v>
      </c>
      <c r="O197">
        <v>1</v>
      </c>
      <c r="P197" t="s">
        <v>41</v>
      </c>
      <c r="Q197" t="s">
        <v>30</v>
      </c>
      <c r="R197" t="s">
        <v>30</v>
      </c>
      <c r="S197">
        <v>34</v>
      </c>
      <c r="T197" t="s">
        <v>42</v>
      </c>
      <c r="U197" t="s">
        <v>91</v>
      </c>
      <c r="V197" s="1">
        <v>45553</v>
      </c>
      <c r="W197">
        <f>Table1[[#This Row],[customer_purchase count]]+1</f>
        <v>35</v>
      </c>
      <c r="X197">
        <f>Table1[[#This Row],[customer_purchase count]]*Rules!$B$3</f>
        <v>2031.9882051282052</v>
      </c>
      <c r="Y197" t="str">
        <f>IF(Table1[[#This Row],[customer_subscription]]=1,"Subscribed","Not Subscribed")</f>
        <v>Subscribed</v>
      </c>
      <c r="Z197" t="s">
        <v>193</v>
      </c>
    </row>
    <row r="198" spans="1:26" x14ac:dyDescent="0.25">
      <c r="A198">
        <v>197</v>
      </c>
      <c r="B198">
        <v>38</v>
      </c>
      <c r="C198" t="s">
        <v>22</v>
      </c>
      <c r="D198">
        <v>197</v>
      </c>
      <c r="E198" t="s">
        <v>140</v>
      </c>
      <c r="F198" t="s">
        <v>45</v>
      </c>
      <c r="G198">
        <v>197</v>
      </c>
      <c r="H198">
        <v>435</v>
      </c>
      <c r="I198">
        <v>88</v>
      </c>
      <c r="J198" t="s">
        <v>152</v>
      </c>
      <c r="K198" t="s">
        <v>47</v>
      </c>
      <c r="L198" t="s">
        <v>96</v>
      </c>
      <c r="M198" t="s">
        <v>56</v>
      </c>
      <c r="N198">
        <v>3.9</v>
      </c>
      <c r="O198">
        <v>1</v>
      </c>
      <c r="P198" t="s">
        <v>48</v>
      </c>
      <c r="Q198" t="s">
        <v>30</v>
      </c>
      <c r="R198" t="s">
        <v>30</v>
      </c>
      <c r="S198">
        <v>41</v>
      </c>
      <c r="T198" t="s">
        <v>42</v>
      </c>
      <c r="U198" t="s">
        <v>32</v>
      </c>
      <c r="V198" s="1">
        <v>45478</v>
      </c>
      <c r="W198">
        <f>Table1[[#This Row],[customer_purchase count]]+1</f>
        <v>42</v>
      </c>
      <c r="X198">
        <f>Table1[[#This Row],[customer_purchase count]]*Rules!$B$3</f>
        <v>2450.3387179487181</v>
      </c>
      <c r="Y198" t="str">
        <f>IF(Table1[[#This Row],[customer_subscription]]=1,"Subscribed","Not Subscribed")</f>
        <v>Subscribed</v>
      </c>
      <c r="Z198" t="s">
        <v>193</v>
      </c>
    </row>
    <row r="199" spans="1:26" x14ac:dyDescent="0.25">
      <c r="A199">
        <v>198</v>
      </c>
      <c r="B199">
        <v>59</v>
      </c>
      <c r="C199" t="s">
        <v>22</v>
      </c>
      <c r="D199">
        <v>198</v>
      </c>
      <c r="E199" t="s">
        <v>122</v>
      </c>
      <c r="F199" t="s">
        <v>70</v>
      </c>
      <c r="G199">
        <v>198</v>
      </c>
      <c r="H199">
        <v>436</v>
      </c>
      <c r="I199">
        <v>78</v>
      </c>
      <c r="J199" t="s">
        <v>134</v>
      </c>
      <c r="K199" t="s">
        <v>47</v>
      </c>
      <c r="L199" t="s">
        <v>97</v>
      </c>
      <c r="M199" t="s">
        <v>60</v>
      </c>
      <c r="N199">
        <v>3.2</v>
      </c>
      <c r="O199">
        <v>1</v>
      </c>
      <c r="P199" t="s">
        <v>73</v>
      </c>
      <c r="Q199" t="s">
        <v>30</v>
      </c>
      <c r="R199" t="s">
        <v>30</v>
      </c>
      <c r="S199">
        <v>41</v>
      </c>
      <c r="T199" t="s">
        <v>42</v>
      </c>
      <c r="U199" t="s">
        <v>91</v>
      </c>
      <c r="V199" s="1">
        <v>45553</v>
      </c>
      <c r="W199">
        <f>Table1[[#This Row],[customer_purchase count]]+1</f>
        <v>42</v>
      </c>
      <c r="X199">
        <f>Table1[[#This Row],[customer_purchase count]]*Rules!$B$3</f>
        <v>2450.3387179487181</v>
      </c>
      <c r="Y199" t="str">
        <f>IF(Table1[[#This Row],[customer_subscription]]=1,"Subscribed","Not Subscribed")</f>
        <v>Subscribed</v>
      </c>
      <c r="Z199" t="s">
        <v>193</v>
      </c>
    </row>
    <row r="200" spans="1:26" x14ac:dyDescent="0.25">
      <c r="A200">
        <v>199</v>
      </c>
      <c r="B200">
        <v>57</v>
      </c>
      <c r="C200" t="s">
        <v>22</v>
      </c>
      <c r="D200">
        <v>199</v>
      </c>
      <c r="E200" t="s">
        <v>109</v>
      </c>
      <c r="F200" t="s">
        <v>70</v>
      </c>
      <c r="G200">
        <v>199</v>
      </c>
      <c r="H200">
        <v>437</v>
      </c>
      <c r="I200">
        <v>45</v>
      </c>
      <c r="J200" t="s">
        <v>143</v>
      </c>
      <c r="K200" t="s">
        <v>47</v>
      </c>
      <c r="L200" t="s">
        <v>51</v>
      </c>
      <c r="M200" t="s">
        <v>28</v>
      </c>
      <c r="N200">
        <v>4.8</v>
      </c>
      <c r="O200">
        <v>1</v>
      </c>
      <c r="P200" t="s">
        <v>57</v>
      </c>
      <c r="Q200" t="s">
        <v>30</v>
      </c>
      <c r="R200" t="s">
        <v>30</v>
      </c>
      <c r="S200">
        <v>39</v>
      </c>
      <c r="T200" t="s">
        <v>42</v>
      </c>
      <c r="U200" t="s">
        <v>32</v>
      </c>
      <c r="V200" s="1">
        <v>45650</v>
      </c>
      <c r="W200">
        <f>Table1[[#This Row],[customer_purchase count]]+1</f>
        <v>40</v>
      </c>
      <c r="X200">
        <f>Table1[[#This Row],[customer_purchase count]]*Rules!$B$3</f>
        <v>2330.81</v>
      </c>
      <c r="Y200" t="str">
        <f>IF(Table1[[#This Row],[customer_subscription]]=1,"Subscribed","Not Subscribed")</f>
        <v>Subscribed</v>
      </c>
      <c r="Z200" t="s">
        <v>193</v>
      </c>
    </row>
    <row r="201" spans="1:26" x14ac:dyDescent="0.25">
      <c r="A201">
        <v>200</v>
      </c>
      <c r="B201">
        <v>54</v>
      </c>
      <c r="C201" t="s">
        <v>22</v>
      </c>
      <c r="D201">
        <v>200</v>
      </c>
      <c r="E201" t="s">
        <v>127</v>
      </c>
      <c r="F201" t="s">
        <v>70</v>
      </c>
      <c r="G201">
        <v>200</v>
      </c>
      <c r="H201">
        <v>439</v>
      </c>
      <c r="I201">
        <v>73</v>
      </c>
      <c r="J201" t="s">
        <v>138</v>
      </c>
      <c r="K201" t="s">
        <v>95</v>
      </c>
      <c r="L201" t="s">
        <v>99</v>
      </c>
      <c r="M201" t="s">
        <v>56</v>
      </c>
      <c r="N201">
        <v>3.8</v>
      </c>
      <c r="O201">
        <v>1</v>
      </c>
      <c r="P201" t="s">
        <v>29</v>
      </c>
      <c r="Q201" t="s">
        <v>30</v>
      </c>
      <c r="R201" t="s">
        <v>30</v>
      </c>
      <c r="S201">
        <v>32</v>
      </c>
      <c r="T201" t="s">
        <v>36</v>
      </c>
      <c r="U201" t="s">
        <v>43</v>
      </c>
      <c r="V201" s="1">
        <v>45470</v>
      </c>
      <c r="W201">
        <f>Table1[[#This Row],[customer_purchase count]]+1</f>
        <v>33</v>
      </c>
      <c r="X201">
        <f>Table1[[#This Row],[customer_purchase count]]*Rules!$B$3</f>
        <v>1912.4594871794873</v>
      </c>
      <c r="Y201" t="str">
        <f>IF(Table1[[#This Row],[customer_subscription]]=1,"Subscribed","Not Subscribed")</f>
        <v>Subscribed</v>
      </c>
    </row>
    <row r="202" spans="1:26" x14ac:dyDescent="0.25">
      <c r="A202">
        <v>201</v>
      </c>
      <c r="B202">
        <v>25</v>
      </c>
      <c r="C202" t="s">
        <v>22</v>
      </c>
      <c r="D202">
        <v>201</v>
      </c>
      <c r="E202" t="s">
        <v>84</v>
      </c>
      <c r="F202" t="s">
        <v>24</v>
      </c>
      <c r="G202">
        <v>201</v>
      </c>
      <c r="H202">
        <v>440</v>
      </c>
      <c r="I202">
        <v>61</v>
      </c>
      <c r="J202" t="s">
        <v>141</v>
      </c>
      <c r="K202" t="s">
        <v>39</v>
      </c>
      <c r="L202" t="s">
        <v>88</v>
      </c>
      <c r="M202" t="s">
        <v>56</v>
      </c>
      <c r="N202">
        <v>3.3</v>
      </c>
      <c r="O202">
        <v>1</v>
      </c>
      <c r="P202" t="s">
        <v>48</v>
      </c>
      <c r="Q202" t="s">
        <v>30</v>
      </c>
      <c r="R202" t="s">
        <v>30</v>
      </c>
      <c r="S202">
        <v>29</v>
      </c>
      <c r="T202" t="s">
        <v>31</v>
      </c>
      <c r="U202" t="s">
        <v>91</v>
      </c>
      <c r="V202" s="1">
        <v>45475</v>
      </c>
      <c r="W202">
        <f>Table1[[#This Row],[customer_purchase count]]+1</f>
        <v>30</v>
      </c>
      <c r="X202">
        <f>Table1[[#This Row],[customer_purchase count]]*Rules!$B$3</f>
        <v>1733.1664102564102</v>
      </c>
      <c r="Y202" t="str">
        <f>IF(Table1[[#This Row],[customer_subscription]]=1,"Subscribed","Not Subscribed")</f>
        <v>Subscribed</v>
      </c>
    </row>
    <row r="203" spans="1:26" x14ac:dyDescent="0.25">
      <c r="A203">
        <v>202</v>
      </c>
      <c r="B203">
        <v>69</v>
      </c>
      <c r="C203" t="s">
        <v>22</v>
      </c>
      <c r="D203">
        <v>202</v>
      </c>
      <c r="E203" t="s">
        <v>23</v>
      </c>
      <c r="F203" t="s">
        <v>24</v>
      </c>
      <c r="G203">
        <v>202</v>
      </c>
      <c r="H203">
        <v>441</v>
      </c>
      <c r="I203">
        <v>22</v>
      </c>
      <c r="J203" t="s">
        <v>71</v>
      </c>
      <c r="K203" t="s">
        <v>39</v>
      </c>
      <c r="L203" t="s">
        <v>121</v>
      </c>
      <c r="M203" t="s">
        <v>60</v>
      </c>
      <c r="N203">
        <v>4.3</v>
      </c>
      <c r="O203">
        <v>1</v>
      </c>
      <c r="P203" t="s">
        <v>41</v>
      </c>
      <c r="Q203" t="s">
        <v>30</v>
      </c>
      <c r="R203" t="s">
        <v>30</v>
      </c>
      <c r="S203">
        <v>15</v>
      </c>
      <c r="T203" t="s">
        <v>78</v>
      </c>
      <c r="U203" t="s">
        <v>52</v>
      </c>
      <c r="V203" s="1">
        <v>45617</v>
      </c>
      <c r="W203">
        <f>Table1[[#This Row],[customer_purchase count]]+1</f>
        <v>16</v>
      </c>
      <c r="X203">
        <f>Table1[[#This Row],[customer_purchase count]]*Rules!$B$3</f>
        <v>896.46538461538466</v>
      </c>
      <c r="Y203" t="str">
        <f>IF(Table1[[#This Row],[customer_subscription]]=1,"Subscribed","Not Subscribed")</f>
        <v>Subscribed</v>
      </c>
    </row>
    <row r="204" spans="1:26" x14ac:dyDescent="0.25">
      <c r="A204">
        <v>203</v>
      </c>
      <c r="B204">
        <v>57</v>
      </c>
      <c r="C204" t="s">
        <v>22</v>
      </c>
      <c r="D204">
        <v>203</v>
      </c>
      <c r="E204" t="s">
        <v>127</v>
      </c>
      <c r="F204" t="s">
        <v>70</v>
      </c>
      <c r="G204">
        <v>203</v>
      </c>
      <c r="H204">
        <v>442</v>
      </c>
      <c r="I204">
        <v>38</v>
      </c>
      <c r="J204" t="s">
        <v>148</v>
      </c>
      <c r="K204" t="s">
        <v>26</v>
      </c>
      <c r="L204" t="s">
        <v>139</v>
      </c>
      <c r="M204" t="s">
        <v>40</v>
      </c>
      <c r="N204">
        <v>2.7</v>
      </c>
      <c r="O204">
        <v>1</v>
      </c>
      <c r="P204" t="s">
        <v>29</v>
      </c>
      <c r="Q204" t="s">
        <v>30</v>
      </c>
      <c r="R204" t="s">
        <v>30</v>
      </c>
      <c r="S204">
        <v>33</v>
      </c>
      <c r="T204" t="s">
        <v>31</v>
      </c>
      <c r="U204" t="s">
        <v>52</v>
      </c>
      <c r="V204" s="1">
        <v>45402</v>
      </c>
      <c r="W204">
        <f>Table1[[#This Row],[customer_purchase count]]+1</f>
        <v>34</v>
      </c>
      <c r="X204">
        <f>Table1[[#This Row],[customer_purchase count]]*Rules!$B$3</f>
        <v>1972.2238461538464</v>
      </c>
      <c r="Y204" t="str">
        <f>IF(Table1[[#This Row],[customer_subscription]]=1,"Subscribed","Not Subscribed")</f>
        <v>Subscribed</v>
      </c>
      <c r="Z204" t="s">
        <v>193</v>
      </c>
    </row>
    <row r="205" spans="1:26" x14ac:dyDescent="0.25">
      <c r="A205">
        <v>204</v>
      </c>
      <c r="B205">
        <v>70</v>
      </c>
      <c r="C205" t="s">
        <v>22</v>
      </c>
      <c r="D205">
        <v>204</v>
      </c>
      <c r="E205" t="s">
        <v>122</v>
      </c>
      <c r="F205" t="s">
        <v>70</v>
      </c>
      <c r="G205">
        <v>204</v>
      </c>
      <c r="H205">
        <v>443</v>
      </c>
      <c r="I205">
        <v>38</v>
      </c>
      <c r="J205" t="s">
        <v>119</v>
      </c>
      <c r="K205" t="s">
        <v>39</v>
      </c>
      <c r="L205" t="s">
        <v>137</v>
      </c>
      <c r="M205" t="s">
        <v>60</v>
      </c>
      <c r="N205">
        <v>3.2</v>
      </c>
      <c r="O205">
        <v>1</v>
      </c>
      <c r="P205" t="s">
        <v>48</v>
      </c>
      <c r="Q205" t="s">
        <v>30</v>
      </c>
      <c r="R205" t="s">
        <v>30</v>
      </c>
      <c r="S205">
        <v>18</v>
      </c>
      <c r="T205" t="s">
        <v>78</v>
      </c>
      <c r="U205" t="s">
        <v>43</v>
      </c>
      <c r="V205" s="1">
        <v>45604</v>
      </c>
      <c r="W205">
        <f>Table1[[#This Row],[customer_purchase count]]+1</f>
        <v>19</v>
      </c>
      <c r="X205">
        <f>Table1[[#This Row],[customer_purchase count]]*Rules!$B$3</f>
        <v>1075.7584615384617</v>
      </c>
      <c r="Y205" t="str">
        <f>IF(Table1[[#This Row],[customer_subscription]]=1,"Subscribed","Not Subscribed")</f>
        <v>Subscribed</v>
      </c>
    </row>
    <row r="206" spans="1:26" x14ac:dyDescent="0.25">
      <c r="A206">
        <v>205</v>
      </c>
      <c r="B206">
        <v>24</v>
      </c>
      <c r="C206" t="s">
        <v>22</v>
      </c>
      <c r="D206">
        <v>205</v>
      </c>
      <c r="E206" t="s">
        <v>53</v>
      </c>
      <c r="F206" t="s">
        <v>45</v>
      </c>
      <c r="G206">
        <v>205</v>
      </c>
      <c r="H206">
        <v>445</v>
      </c>
      <c r="I206">
        <v>100</v>
      </c>
      <c r="J206" t="s">
        <v>120</v>
      </c>
      <c r="K206" t="s">
        <v>47</v>
      </c>
      <c r="L206" t="s">
        <v>137</v>
      </c>
      <c r="M206" t="s">
        <v>60</v>
      </c>
      <c r="N206">
        <v>4</v>
      </c>
      <c r="O206">
        <v>1</v>
      </c>
      <c r="P206" t="s">
        <v>77</v>
      </c>
      <c r="Q206" t="s">
        <v>30</v>
      </c>
      <c r="R206" t="s">
        <v>30</v>
      </c>
      <c r="S206">
        <v>35</v>
      </c>
      <c r="T206" t="s">
        <v>36</v>
      </c>
      <c r="U206" t="s">
        <v>79</v>
      </c>
      <c r="V206" s="1">
        <v>45616</v>
      </c>
      <c r="W206">
        <f>Table1[[#This Row],[customer_purchase count]]+1</f>
        <v>36</v>
      </c>
      <c r="X206">
        <f>Table1[[#This Row],[customer_purchase count]]*Rules!$B$3</f>
        <v>2091.7525641025641</v>
      </c>
      <c r="Y206" t="str">
        <f>IF(Table1[[#This Row],[customer_subscription]]=1,"Subscribed","Not Subscribed")</f>
        <v>Subscribed</v>
      </c>
    </row>
    <row r="207" spans="1:26" x14ac:dyDescent="0.25">
      <c r="A207">
        <v>206</v>
      </c>
      <c r="B207">
        <v>67</v>
      </c>
      <c r="C207" t="s">
        <v>22</v>
      </c>
      <c r="D207">
        <v>206</v>
      </c>
      <c r="E207" t="s">
        <v>58</v>
      </c>
      <c r="F207" t="s">
        <v>24</v>
      </c>
      <c r="G207">
        <v>206</v>
      </c>
      <c r="H207">
        <v>446</v>
      </c>
      <c r="I207">
        <v>64</v>
      </c>
      <c r="J207" t="s">
        <v>80</v>
      </c>
      <c r="K207" t="s">
        <v>47</v>
      </c>
      <c r="L207" t="s">
        <v>68</v>
      </c>
      <c r="M207" t="s">
        <v>28</v>
      </c>
      <c r="N207">
        <v>3</v>
      </c>
      <c r="O207">
        <v>1</v>
      </c>
      <c r="P207" t="s">
        <v>57</v>
      </c>
      <c r="Q207" t="s">
        <v>30</v>
      </c>
      <c r="R207" t="s">
        <v>30</v>
      </c>
      <c r="S207">
        <v>25</v>
      </c>
      <c r="T207" t="s">
        <v>49</v>
      </c>
      <c r="U207" t="s">
        <v>43</v>
      </c>
      <c r="V207" s="1">
        <v>45338</v>
      </c>
      <c r="W207">
        <f>Table1[[#This Row],[customer_purchase count]]+1</f>
        <v>26</v>
      </c>
      <c r="X207">
        <f>Table1[[#This Row],[customer_purchase count]]*Rules!$B$3</f>
        <v>1494.1089743589744</v>
      </c>
      <c r="Y207" t="str">
        <f>IF(Table1[[#This Row],[customer_subscription]]=1,"Subscribed","Not Subscribed")</f>
        <v>Subscribed</v>
      </c>
    </row>
    <row r="208" spans="1:26" x14ac:dyDescent="0.25">
      <c r="A208">
        <v>207</v>
      </c>
      <c r="B208">
        <v>24</v>
      </c>
      <c r="C208" t="s">
        <v>22</v>
      </c>
      <c r="D208">
        <v>207</v>
      </c>
      <c r="E208" t="s">
        <v>116</v>
      </c>
      <c r="F208" t="s">
        <v>24</v>
      </c>
      <c r="G208">
        <v>207</v>
      </c>
      <c r="H208">
        <v>447</v>
      </c>
      <c r="I208">
        <v>55</v>
      </c>
      <c r="J208" t="s">
        <v>153</v>
      </c>
      <c r="K208" t="s">
        <v>26</v>
      </c>
      <c r="L208" t="s">
        <v>68</v>
      </c>
      <c r="M208" t="s">
        <v>56</v>
      </c>
      <c r="N208">
        <v>4.2</v>
      </c>
      <c r="O208">
        <v>1</v>
      </c>
      <c r="P208" t="s">
        <v>41</v>
      </c>
      <c r="Q208" t="s">
        <v>30</v>
      </c>
      <c r="R208" t="s">
        <v>30</v>
      </c>
      <c r="S208">
        <v>6</v>
      </c>
      <c r="T208" t="s">
        <v>31</v>
      </c>
      <c r="U208" t="s">
        <v>32</v>
      </c>
      <c r="V208" s="1">
        <v>45525</v>
      </c>
      <c r="W208">
        <f>Table1[[#This Row],[customer_purchase count]]+1</f>
        <v>7</v>
      </c>
      <c r="X208">
        <f>Table1[[#This Row],[customer_purchase count]]*Rules!$B$3</f>
        <v>358.58615384615388</v>
      </c>
      <c r="Y208" t="str">
        <f>IF(Table1[[#This Row],[customer_subscription]]=1,"Subscribed","Not Subscribed")</f>
        <v>Subscribed</v>
      </c>
    </row>
    <row r="209" spans="1:26" x14ac:dyDescent="0.25">
      <c r="A209">
        <v>208</v>
      </c>
      <c r="B209">
        <v>62</v>
      </c>
      <c r="C209" t="s">
        <v>22</v>
      </c>
      <c r="D209">
        <v>208</v>
      </c>
      <c r="E209" t="s">
        <v>146</v>
      </c>
      <c r="F209" t="s">
        <v>70</v>
      </c>
      <c r="G209">
        <v>208</v>
      </c>
      <c r="H209">
        <v>448</v>
      </c>
      <c r="I209">
        <v>91</v>
      </c>
      <c r="J209" t="s">
        <v>46</v>
      </c>
      <c r="K209" t="s">
        <v>47</v>
      </c>
      <c r="L209" t="s">
        <v>68</v>
      </c>
      <c r="M209" t="s">
        <v>56</v>
      </c>
      <c r="N209">
        <v>2.9</v>
      </c>
      <c r="O209">
        <v>1</v>
      </c>
      <c r="P209" t="s">
        <v>29</v>
      </c>
      <c r="Q209" t="s">
        <v>30</v>
      </c>
      <c r="R209" t="s">
        <v>30</v>
      </c>
      <c r="S209">
        <v>17</v>
      </c>
      <c r="T209" t="s">
        <v>78</v>
      </c>
      <c r="U209" t="s">
        <v>79</v>
      </c>
      <c r="V209" s="1">
        <v>45520</v>
      </c>
      <c r="W209">
        <f>Table1[[#This Row],[customer_purchase count]]+1</f>
        <v>18</v>
      </c>
      <c r="X209">
        <f>Table1[[#This Row],[customer_purchase count]]*Rules!$B$3</f>
        <v>1015.9941025641026</v>
      </c>
      <c r="Y209" t="str">
        <f>IF(Table1[[#This Row],[customer_subscription]]=1,"Subscribed","Not Subscribed")</f>
        <v>Subscribed</v>
      </c>
    </row>
    <row r="210" spans="1:26" x14ac:dyDescent="0.25">
      <c r="A210">
        <v>209</v>
      </c>
      <c r="B210">
        <v>57</v>
      </c>
      <c r="C210" t="s">
        <v>22</v>
      </c>
      <c r="D210">
        <v>209</v>
      </c>
      <c r="E210" t="s">
        <v>90</v>
      </c>
      <c r="F210" t="s">
        <v>24</v>
      </c>
      <c r="G210">
        <v>209</v>
      </c>
      <c r="H210">
        <v>449</v>
      </c>
      <c r="I210">
        <v>38</v>
      </c>
      <c r="J210" t="s">
        <v>153</v>
      </c>
      <c r="K210" t="s">
        <v>47</v>
      </c>
      <c r="L210" t="s">
        <v>83</v>
      </c>
      <c r="M210" t="s">
        <v>40</v>
      </c>
      <c r="N210">
        <v>4.0999999999999996</v>
      </c>
      <c r="O210">
        <v>1</v>
      </c>
      <c r="P210" t="s">
        <v>77</v>
      </c>
      <c r="Q210" t="s">
        <v>30</v>
      </c>
      <c r="R210" t="s">
        <v>30</v>
      </c>
      <c r="S210">
        <v>17</v>
      </c>
      <c r="T210" t="s">
        <v>42</v>
      </c>
      <c r="U210" t="s">
        <v>91</v>
      </c>
      <c r="V210" s="1">
        <v>45435</v>
      </c>
      <c r="W210">
        <f>Table1[[#This Row],[customer_purchase count]]+1</f>
        <v>18</v>
      </c>
      <c r="X210">
        <f>Table1[[#This Row],[customer_purchase count]]*Rules!$B$3</f>
        <v>1015.9941025641026</v>
      </c>
      <c r="Y210" t="str">
        <f>IF(Table1[[#This Row],[customer_subscription]]=1,"Subscribed","Not Subscribed")</f>
        <v>Subscribed</v>
      </c>
    </row>
    <row r="211" spans="1:26" x14ac:dyDescent="0.25">
      <c r="A211">
        <v>210</v>
      </c>
      <c r="B211">
        <v>55</v>
      </c>
      <c r="C211" t="s">
        <v>22</v>
      </c>
      <c r="D211">
        <v>210</v>
      </c>
      <c r="E211" t="s">
        <v>44</v>
      </c>
      <c r="F211" t="s">
        <v>45</v>
      </c>
      <c r="G211">
        <v>210</v>
      </c>
      <c r="H211">
        <v>451</v>
      </c>
      <c r="I211">
        <v>97</v>
      </c>
      <c r="J211" t="s">
        <v>151</v>
      </c>
      <c r="K211" t="s">
        <v>39</v>
      </c>
      <c r="L211" t="s">
        <v>81</v>
      </c>
      <c r="M211" t="s">
        <v>28</v>
      </c>
      <c r="N211">
        <v>3.2</v>
      </c>
      <c r="O211">
        <v>1</v>
      </c>
      <c r="P211" t="s">
        <v>77</v>
      </c>
      <c r="Q211" t="s">
        <v>30</v>
      </c>
      <c r="R211" t="s">
        <v>30</v>
      </c>
      <c r="S211">
        <v>44</v>
      </c>
      <c r="T211" t="s">
        <v>36</v>
      </c>
      <c r="U211" t="s">
        <v>100</v>
      </c>
      <c r="V211" s="1">
        <v>45635</v>
      </c>
      <c r="W211">
        <f>Table1[[#This Row],[customer_purchase count]]+1</f>
        <v>45</v>
      </c>
      <c r="X211">
        <f>Table1[[#This Row],[customer_purchase count]]*Rules!$B$3</f>
        <v>2629.6317948717951</v>
      </c>
      <c r="Y211" t="str">
        <f>IF(Table1[[#This Row],[customer_subscription]]=1,"Subscribed","Not Subscribed")</f>
        <v>Subscribed</v>
      </c>
      <c r="Z211" t="s">
        <v>193</v>
      </c>
    </row>
    <row r="212" spans="1:26" x14ac:dyDescent="0.25">
      <c r="A212">
        <v>211</v>
      </c>
      <c r="B212">
        <v>45</v>
      </c>
      <c r="C212" t="s">
        <v>22</v>
      </c>
      <c r="D212">
        <v>211</v>
      </c>
      <c r="E212" t="s">
        <v>105</v>
      </c>
      <c r="F212" t="s">
        <v>66</v>
      </c>
      <c r="G212">
        <v>211</v>
      </c>
      <c r="H212">
        <v>452</v>
      </c>
      <c r="I212">
        <v>22</v>
      </c>
      <c r="J212" t="s">
        <v>132</v>
      </c>
      <c r="K212" t="s">
        <v>26</v>
      </c>
      <c r="L212" t="s">
        <v>88</v>
      </c>
      <c r="M212" t="s">
        <v>60</v>
      </c>
      <c r="N212">
        <v>3</v>
      </c>
      <c r="O212">
        <v>1</v>
      </c>
      <c r="P212" t="s">
        <v>73</v>
      </c>
      <c r="Q212" t="s">
        <v>30</v>
      </c>
      <c r="R212" t="s">
        <v>30</v>
      </c>
      <c r="S212">
        <v>6</v>
      </c>
      <c r="T212" t="s">
        <v>49</v>
      </c>
      <c r="U212" t="s">
        <v>32</v>
      </c>
      <c r="V212" s="1">
        <v>45620</v>
      </c>
      <c r="W212">
        <f>Table1[[#This Row],[customer_purchase count]]+1</f>
        <v>7</v>
      </c>
      <c r="X212">
        <f>Table1[[#This Row],[customer_purchase count]]*Rules!$B$3</f>
        <v>358.58615384615388</v>
      </c>
      <c r="Y212" t="str">
        <f>IF(Table1[[#This Row],[customer_subscription]]=1,"Subscribed","Not Subscribed")</f>
        <v>Subscribed</v>
      </c>
    </row>
    <row r="213" spans="1:26" x14ac:dyDescent="0.25">
      <c r="A213">
        <v>212</v>
      </c>
      <c r="B213">
        <v>69</v>
      </c>
      <c r="C213" t="s">
        <v>22</v>
      </c>
      <c r="D213">
        <v>212</v>
      </c>
      <c r="E213" t="s">
        <v>90</v>
      </c>
      <c r="F213" t="s">
        <v>24</v>
      </c>
      <c r="G213">
        <v>212</v>
      </c>
      <c r="H213">
        <v>453</v>
      </c>
      <c r="I213">
        <v>92</v>
      </c>
      <c r="J213" t="s">
        <v>150</v>
      </c>
      <c r="K213" t="s">
        <v>26</v>
      </c>
      <c r="L213" t="s">
        <v>35</v>
      </c>
      <c r="M213" t="s">
        <v>60</v>
      </c>
      <c r="N213">
        <v>4.2</v>
      </c>
      <c r="O213">
        <v>1</v>
      </c>
      <c r="P213" t="s">
        <v>73</v>
      </c>
      <c r="Q213" t="s">
        <v>30</v>
      </c>
      <c r="R213" t="s">
        <v>30</v>
      </c>
      <c r="S213">
        <v>45</v>
      </c>
      <c r="T213" t="s">
        <v>89</v>
      </c>
      <c r="U213" t="s">
        <v>32</v>
      </c>
      <c r="V213" s="1">
        <v>45589</v>
      </c>
      <c r="W213">
        <f>Table1[[#This Row],[customer_purchase count]]+1</f>
        <v>46</v>
      </c>
      <c r="X213">
        <f>Table1[[#This Row],[customer_purchase count]]*Rules!$B$3</f>
        <v>2689.396153846154</v>
      </c>
      <c r="Y213" t="str">
        <f>IF(Table1[[#This Row],[customer_subscription]]=1,"Subscribed","Not Subscribed")</f>
        <v>Subscribed</v>
      </c>
    </row>
    <row r="214" spans="1:26" x14ac:dyDescent="0.25">
      <c r="A214">
        <v>213</v>
      </c>
      <c r="B214">
        <v>67</v>
      </c>
      <c r="C214" t="s">
        <v>22</v>
      </c>
      <c r="D214">
        <v>213</v>
      </c>
      <c r="E214" t="s">
        <v>69</v>
      </c>
      <c r="F214" t="s">
        <v>70</v>
      </c>
      <c r="G214">
        <v>213</v>
      </c>
      <c r="H214">
        <v>454</v>
      </c>
      <c r="I214">
        <v>84</v>
      </c>
      <c r="J214" t="s">
        <v>144</v>
      </c>
      <c r="K214" t="s">
        <v>26</v>
      </c>
      <c r="L214" t="s">
        <v>147</v>
      </c>
      <c r="M214" t="s">
        <v>60</v>
      </c>
      <c r="N214">
        <v>4.2</v>
      </c>
      <c r="O214">
        <v>1</v>
      </c>
      <c r="P214" t="s">
        <v>29</v>
      </c>
      <c r="Q214" t="s">
        <v>30</v>
      </c>
      <c r="R214" t="s">
        <v>30</v>
      </c>
      <c r="S214">
        <v>7</v>
      </c>
      <c r="T214" t="s">
        <v>89</v>
      </c>
      <c r="U214" t="s">
        <v>52</v>
      </c>
      <c r="V214" s="1">
        <v>45558</v>
      </c>
      <c r="W214">
        <f>Table1[[#This Row],[customer_purchase count]]+1</f>
        <v>8</v>
      </c>
      <c r="X214">
        <f>Table1[[#This Row],[customer_purchase count]]*Rules!$B$3</f>
        <v>418.35051282051285</v>
      </c>
      <c r="Y214" t="str">
        <f>IF(Table1[[#This Row],[customer_subscription]]=1,"Subscribed","Not Subscribed")</f>
        <v>Subscribed</v>
      </c>
    </row>
    <row r="215" spans="1:26" x14ac:dyDescent="0.25">
      <c r="A215">
        <v>214</v>
      </c>
      <c r="B215">
        <v>30</v>
      </c>
      <c r="C215" t="s">
        <v>22</v>
      </c>
      <c r="D215">
        <v>214</v>
      </c>
      <c r="E215" t="s">
        <v>69</v>
      </c>
      <c r="F215" t="s">
        <v>70</v>
      </c>
      <c r="G215">
        <v>214</v>
      </c>
      <c r="H215">
        <v>455</v>
      </c>
      <c r="I215">
        <v>93</v>
      </c>
      <c r="J215" t="s">
        <v>110</v>
      </c>
      <c r="K215" t="s">
        <v>26</v>
      </c>
      <c r="L215" t="s">
        <v>103</v>
      </c>
      <c r="M215" t="s">
        <v>60</v>
      </c>
      <c r="N215">
        <v>4.4000000000000004</v>
      </c>
      <c r="O215">
        <v>1</v>
      </c>
      <c r="P215" t="s">
        <v>77</v>
      </c>
      <c r="Q215" t="s">
        <v>30</v>
      </c>
      <c r="R215" t="s">
        <v>30</v>
      </c>
      <c r="S215">
        <v>11</v>
      </c>
      <c r="T215" t="s">
        <v>89</v>
      </c>
      <c r="U215" t="s">
        <v>100</v>
      </c>
      <c r="V215" s="1">
        <v>45622</v>
      </c>
      <c r="W215">
        <f>Table1[[#This Row],[customer_purchase count]]+1</f>
        <v>12</v>
      </c>
      <c r="X215">
        <f>Table1[[#This Row],[customer_purchase count]]*Rules!$B$3</f>
        <v>657.40794871794878</v>
      </c>
      <c r="Y215" t="str">
        <f>IF(Table1[[#This Row],[customer_subscription]]=1,"Subscribed","Not Subscribed")</f>
        <v>Subscribed</v>
      </c>
    </row>
    <row r="216" spans="1:26" x14ac:dyDescent="0.25">
      <c r="A216">
        <v>215</v>
      </c>
      <c r="B216">
        <v>24</v>
      </c>
      <c r="C216" t="s">
        <v>22</v>
      </c>
      <c r="D216">
        <v>215</v>
      </c>
      <c r="E216" t="s">
        <v>105</v>
      </c>
      <c r="F216" t="s">
        <v>66</v>
      </c>
      <c r="G216">
        <v>215</v>
      </c>
      <c r="H216">
        <v>457</v>
      </c>
      <c r="I216">
        <v>50</v>
      </c>
      <c r="J216" t="s">
        <v>80</v>
      </c>
      <c r="K216" t="s">
        <v>26</v>
      </c>
      <c r="L216" t="s">
        <v>147</v>
      </c>
      <c r="M216" t="s">
        <v>56</v>
      </c>
      <c r="N216">
        <v>4.2</v>
      </c>
      <c r="O216">
        <v>1</v>
      </c>
      <c r="P216" t="s">
        <v>48</v>
      </c>
      <c r="Q216" t="s">
        <v>30</v>
      </c>
      <c r="R216" t="s">
        <v>30</v>
      </c>
      <c r="S216">
        <v>41</v>
      </c>
      <c r="T216" t="s">
        <v>36</v>
      </c>
      <c r="U216" t="s">
        <v>100</v>
      </c>
      <c r="V216" s="1">
        <v>45507</v>
      </c>
      <c r="W216">
        <f>Table1[[#This Row],[customer_purchase count]]+1</f>
        <v>42</v>
      </c>
      <c r="X216">
        <f>Table1[[#This Row],[customer_purchase count]]*Rules!$B$3</f>
        <v>2450.3387179487181</v>
      </c>
      <c r="Y216" t="str">
        <f>IF(Table1[[#This Row],[customer_subscription]]=1,"Subscribed","Not Subscribed")</f>
        <v>Subscribed</v>
      </c>
    </row>
    <row r="217" spans="1:26" x14ac:dyDescent="0.25">
      <c r="A217">
        <v>216</v>
      </c>
      <c r="B217">
        <v>62</v>
      </c>
      <c r="C217" t="s">
        <v>22</v>
      </c>
      <c r="D217">
        <v>216</v>
      </c>
      <c r="E217" t="s">
        <v>122</v>
      </c>
      <c r="F217" t="s">
        <v>70</v>
      </c>
      <c r="G217">
        <v>216</v>
      </c>
      <c r="H217">
        <v>458</v>
      </c>
      <c r="I217">
        <v>64</v>
      </c>
      <c r="J217" t="s">
        <v>130</v>
      </c>
      <c r="K217" t="s">
        <v>39</v>
      </c>
      <c r="L217" t="s">
        <v>124</v>
      </c>
      <c r="M217" t="s">
        <v>40</v>
      </c>
      <c r="N217">
        <v>2.8</v>
      </c>
      <c r="O217">
        <v>1</v>
      </c>
      <c r="P217" t="s">
        <v>73</v>
      </c>
      <c r="Q217" t="s">
        <v>30</v>
      </c>
      <c r="R217" t="s">
        <v>30</v>
      </c>
      <c r="S217">
        <v>24</v>
      </c>
      <c r="T217" t="s">
        <v>49</v>
      </c>
      <c r="U217" t="s">
        <v>79</v>
      </c>
      <c r="V217" s="1">
        <v>45385</v>
      </c>
      <c r="W217">
        <f>Table1[[#This Row],[customer_purchase count]]+1</f>
        <v>25</v>
      </c>
      <c r="X217">
        <f>Table1[[#This Row],[customer_purchase count]]*Rules!$B$3</f>
        <v>1434.3446153846155</v>
      </c>
      <c r="Y217" t="str">
        <f>IF(Table1[[#This Row],[customer_subscription]]=1,"Subscribed","Not Subscribed")</f>
        <v>Subscribed</v>
      </c>
    </row>
    <row r="218" spans="1:26" x14ac:dyDescent="0.25">
      <c r="A218">
        <v>217</v>
      </c>
      <c r="B218">
        <v>43</v>
      </c>
      <c r="C218" t="s">
        <v>22</v>
      </c>
      <c r="D218">
        <v>217</v>
      </c>
      <c r="E218" t="s">
        <v>62</v>
      </c>
      <c r="F218" t="s">
        <v>24</v>
      </c>
      <c r="G218">
        <v>217</v>
      </c>
      <c r="H218">
        <v>459</v>
      </c>
      <c r="I218">
        <v>61</v>
      </c>
      <c r="J218" t="s">
        <v>38</v>
      </c>
      <c r="K218" t="s">
        <v>26</v>
      </c>
      <c r="L218" t="s">
        <v>137</v>
      </c>
      <c r="M218" t="s">
        <v>40</v>
      </c>
      <c r="N218">
        <v>3.7</v>
      </c>
      <c r="O218">
        <v>1</v>
      </c>
      <c r="P218" t="s">
        <v>41</v>
      </c>
      <c r="Q218" t="s">
        <v>30</v>
      </c>
      <c r="R218" t="s">
        <v>30</v>
      </c>
      <c r="S218">
        <v>21</v>
      </c>
      <c r="T218" t="s">
        <v>31</v>
      </c>
      <c r="U218" t="s">
        <v>43</v>
      </c>
      <c r="V218" s="1">
        <v>45438</v>
      </c>
      <c r="W218">
        <f>Table1[[#This Row],[customer_purchase count]]+1</f>
        <v>22</v>
      </c>
      <c r="X218">
        <f>Table1[[#This Row],[customer_purchase count]]*Rules!$B$3</f>
        <v>1255.0515384615385</v>
      </c>
      <c r="Y218" t="str">
        <f>IF(Table1[[#This Row],[customer_subscription]]=1,"Subscribed","Not Subscribed")</f>
        <v>Subscribed</v>
      </c>
    </row>
    <row r="219" spans="1:26" x14ac:dyDescent="0.25">
      <c r="A219">
        <v>218</v>
      </c>
      <c r="B219">
        <v>35</v>
      </c>
      <c r="C219" t="s">
        <v>22</v>
      </c>
      <c r="D219">
        <v>218</v>
      </c>
      <c r="E219" t="s">
        <v>92</v>
      </c>
      <c r="F219" t="s">
        <v>70</v>
      </c>
      <c r="G219">
        <v>218</v>
      </c>
      <c r="H219">
        <v>460</v>
      </c>
      <c r="I219">
        <v>48</v>
      </c>
      <c r="J219" t="s">
        <v>104</v>
      </c>
      <c r="K219" t="s">
        <v>47</v>
      </c>
      <c r="L219" t="s">
        <v>76</v>
      </c>
      <c r="M219" t="s">
        <v>28</v>
      </c>
      <c r="N219">
        <v>3.5</v>
      </c>
      <c r="O219">
        <v>1</v>
      </c>
      <c r="P219" t="s">
        <v>48</v>
      </c>
      <c r="Q219" t="s">
        <v>30</v>
      </c>
      <c r="R219" t="s">
        <v>30</v>
      </c>
      <c r="S219">
        <v>24</v>
      </c>
      <c r="T219" t="s">
        <v>78</v>
      </c>
      <c r="U219" t="s">
        <v>52</v>
      </c>
      <c r="V219" s="1">
        <v>45318</v>
      </c>
      <c r="W219">
        <f>Table1[[#This Row],[customer_purchase count]]+1</f>
        <v>25</v>
      </c>
      <c r="X219">
        <f>Table1[[#This Row],[customer_purchase count]]*Rules!$B$3</f>
        <v>1434.3446153846155</v>
      </c>
      <c r="Y219" t="str">
        <f>IF(Table1[[#This Row],[customer_subscription]]=1,"Subscribed","Not Subscribed")</f>
        <v>Subscribed</v>
      </c>
    </row>
    <row r="220" spans="1:26" x14ac:dyDescent="0.25">
      <c r="A220">
        <v>219</v>
      </c>
      <c r="B220">
        <v>28</v>
      </c>
      <c r="C220" t="s">
        <v>22</v>
      </c>
      <c r="D220">
        <v>219</v>
      </c>
      <c r="E220" t="s">
        <v>116</v>
      </c>
      <c r="F220" t="s">
        <v>24</v>
      </c>
      <c r="G220">
        <v>219</v>
      </c>
      <c r="H220">
        <v>461</v>
      </c>
      <c r="I220">
        <v>45</v>
      </c>
      <c r="J220" t="s">
        <v>102</v>
      </c>
      <c r="K220" t="s">
        <v>39</v>
      </c>
      <c r="L220" t="s">
        <v>139</v>
      </c>
      <c r="M220" t="s">
        <v>40</v>
      </c>
      <c r="N220">
        <v>2.9</v>
      </c>
      <c r="O220">
        <v>1</v>
      </c>
      <c r="P220" t="s">
        <v>77</v>
      </c>
      <c r="Q220" t="s">
        <v>30</v>
      </c>
      <c r="R220" t="s">
        <v>30</v>
      </c>
      <c r="S220">
        <v>8</v>
      </c>
      <c r="T220" t="s">
        <v>42</v>
      </c>
      <c r="U220" t="s">
        <v>61</v>
      </c>
      <c r="V220" s="1">
        <v>45388</v>
      </c>
      <c r="W220">
        <f>Table1[[#This Row],[customer_purchase count]]+1</f>
        <v>9</v>
      </c>
      <c r="X220">
        <f>Table1[[#This Row],[customer_purchase count]]*Rules!$B$3</f>
        <v>478.11487179487182</v>
      </c>
      <c r="Y220" t="str">
        <f>IF(Table1[[#This Row],[customer_subscription]]=1,"Subscribed","Not Subscribed")</f>
        <v>Subscribed</v>
      </c>
    </row>
    <row r="221" spans="1:26" x14ac:dyDescent="0.25">
      <c r="A221">
        <v>220</v>
      </c>
      <c r="B221">
        <v>32</v>
      </c>
      <c r="C221" t="s">
        <v>22</v>
      </c>
      <c r="D221">
        <v>220</v>
      </c>
      <c r="E221" t="s">
        <v>136</v>
      </c>
      <c r="F221" t="s">
        <v>70</v>
      </c>
      <c r="G221">
        <v>220</v>
      </c>
      <c r="H221">
        <v>463</v>
      </c>
      <c r="I221">
        <v>88</v>
      </c>
      <c r="J221" t="s">
        <v>110</v>
      </c>
      <c r="K221" t="s">
        <v>47</v>
      </c>
      <c r="L221" t="s">
        <v>112</v>
      </c>
      <c r="M221" t="s">
        <v>40</v>
      </c>
      <c r="N221">
        <v>3</v>
      </c>
      <c r="O221">
        <v>1</v>
      </c>
      <c r="P221" t="s">
        <v>41</v>
      </c>
      <c r="Q221" t="s">
        <v>30</v>
      </c>
      <c r="R221" t="s">
        <v>30</v>
      </c>
      <c r="S221">
        <v>12</v>
      </c>
      <c r="T221" t="s">
        <v>36</v>
      </c>
      <c r="U221" t="s">
        <v>32</v>
      </c>
      <c r="V221" s="1">
        <v>45378</v>
      </c>
      <c r="W221">
        <f>Table1[[#This Row],[customer_purchase count]]+1</f>
        <v>13</v>
      </c>
      <c r="X221">
        <f>Table1[[#This Row],[customer_purchase count]]*Rules!$B$3</f>
        <v>717.17230769230775</v>
      </c>
      <c r="Y221" t="str">
        <f>IF(Table1[[#This Row],[customer_subscription]]=1,"Subscribed","Not Subscribed")</f>
        <v>Subscribed</v>
      </c>
    </row>
    <row r="222" spans="1:26" x14ac:dyDescent="0.25">
      <c r="A222">
        <v>221</v>
      </c>
      <c r="B222">
        <v>39</v>
      </c>
      <c r="C222" t="s">
        <v>22</v>
      </c>
      <c r="D222">
        <v>221</v>
      </c>
      <c r="E222" t="s">
        <v>53</v>
      </c>
      <c r="F222" t="s">
        <v>45</v>
      </c>
      <c r="G222">
        <v>221</v>
      </c>
      <c r="H222">
        <v>464</v>
      </c>
      <c r="I222">
        <v>57</v>
      </c>
      <c r="J222" t="s">
        <v>120</v>
      </c>
      <c r="K222" t="s">
        <v>39</v>
      </c>
      <c r="L222" t="s">
        <v>129</v>
      </c>
      <c r="M222" t="s">
        <v>40</v>
      </c>
      <c r="N222">
        <v>3.7</v>
      </c>
      <c r="O222">
        <v>1</v>
      </c>
      <c r="P222" t="s">
        <v>29</v>
      </c>
      <c r="Q222" t="s">
        <v>30</v>
      </c>
      <c r="R222" t="s">
        <v>30</v>
      </c>
      <c r="S222">
        <v>48</v>
      </c>
      <c r="T222" t="s">
        <v>89</v>
      </c>
      <c r="U222" t="s">
        <v>32</v>
      </c>
      <c r="V222" s="1">
        <v>45419</v>
      </c>
      <c r="W222">
        <f>Table1[[#This Row],[customer_purchase count]]+1</f>
        <v>49</v>
      </c>
      <c r="X222">
        <f>Table1[[#This Row],[customer_purchase count]]*Rules!$B$3</f>
        <v>2868.689230769231</v>
      </c>
      <c r="Y222" t="str">
        <f>IF(Table1[[#This Row],[customer_subscription]]=1,"Subscribed","Not Subscribed")</f>
        <v>Subscribed</v>
      </c>
      <c r="Z222" t="s">
        <v>193</v>
      </c>
    </row>
    <row r="223" spans="1:26" x14ac:dyDescent="0.25">
      <c r="A223">
        <v>222</v>
      </c>
      <c r="B223">
        <v>28</v>
      </c>
      <c r="C223" t="s">
        <v>22</v>
      </c>
      <c r="D223">
        <v>222</v>
      </c>
      <c r="E223" t="s">
        <v>127</v>
      </c>
      <c r="F223" t="s">
        <v>70</v>
      </c>
      <c r="G223">
        <v>222</v>
      </c>
      <c r="H223">
        <v>465</v>
      </c>
      <c r="I223">
        <v>68</v>
      </c>
      <c r="J223" t="s">
        <v>101</v>
      </c>
      <c r="K223" t="s">
        <v>95</v>
      </c>
      <c r="L223" t="s">
        <v>139</v>
      </c>
      <c r="M223" t="s">
        <v>56</v>
      </c>
      <c r="N223">
        <v>4.4000000000000004</v>
      </c>
      <c r="O223">
        <v>1</v>
      </c>
      <c r="P223" t="s">
        <v>77</v>
      </c>
      <c r="Q223" t="s">
        <v>30</v>
      </c>
      <c r="R223" t="s">
        <v>30</v>
      </c>
      <c r="S223">
        <v>6</v>
      </c>
      <c r="T223" t="s">
        <v>78</v>
      </c>
      <c r="U223" t="s">
        <v>61</v>
      </c>
      <c r="V223" s="1">
        <v>45491</v>
      </c>
      <c r="W223">
        <f>Table1[[#This Row],[customer_purchase count]]+1</f>
        <v>7</v>
      </c>
      <c r="X223">
        <f>Table1[[#This Row],[customer_purchase count]]*Rules!$B$3</f>
        <v>358.58615384615388</v>
      </c>
      <c r="Y223" t="str">
        <f>IF(Table1[[#This Row],[customer_subscription]]=1,"Subscribed","Not Subscribed")</f>
        <v>Subscribed</v>
      </c>
    </row>
    <row r="224" spans="1:26" x14ac:dyDescent="0.25">
      <c r="A224">
        <v>223</v>
      </c>
      <c r="B224">
        <v>47</v>
      </c>
      <c r="C224" t="s">
        <v>22</v>
      </c>
      <c r="D224">
        <v>223</v>
      </c>
      <c r="E224" t="s">
        <v>146</v>
      </c>
      <c r="F224" t="s">
        <v>70</v>
      </c>
      <c r="G224">
        <v>223</v>
      </c>
      <c r="H224">
        <v>466</v>
      </c>
      <c r="I224">
        <v>94</v>
      </c>
      <c r="J224" t="s">
        <v>87</v>
      </c>
      <c r="K224" t="s">
        <v>95</v>
      </c>
      <c r="L224" t="s">
        <v>27</v>
      </c>
      <c r="M224" t="s">
        <v>40</v>
      </c>
      <c r="N224">
        <v>4.5</v>
      </c>
      <c r="O224">
        <v>1</v>
      </c>
      <c r="P224" t="s">
        <v>73</v>
      </c>
      <c r="Q224" t="s">
        <v>30</v>
      </c>
      <c r="R224" t="s">
        <v>30</v>
      </c>
      <c r="S224">
        <v>14</v>
      </c>
      <c r="T224" t="s">
        <v>49</v>
      </c>
      <c r="U224" t="s">
        <v>32</v>
      </c>
      <c r="V224" s="1">
        <v>45355</v>
      </c>
      <c r="W224">
        <f>Table1[[#This Row],[customer_purchase count]]+1</f>
        <v>15</v>
      </c>
      <c r="X224">
        <f>Table1[[#This Row],[customer_purchase count]]*Rules!$B$3</f>
        <v>836.70102564102569</v>
      </c>
      <c r="Y224" t="str">
        <f>IF(Table1[[#This Row],[customer_subscription]]=1,"Subscribed","Not Subscribed")</f>
        <v>Subscribed</v>
      </c>
    </row>
    <row r="225" spans="1:26" x14ac:dyDescent="0.25">
      <c r="A225">
        <v>224</v>
      </c>
      <c r="B225">
        <v>20</v>
      </c>
      <c r="C225" t="s">
        <v>22</v>
      </c>
      <c r="D225">
        <v>224</v>
      </c>
      <c r="E225" t="s">
        <v>98</v>
      </c>
      <c r="F225" t="s">
        <v>24</v>
      </c>
      <c r="G225">
        <v>224</v>
      </c>
      <c r="H225">
        <v>467</v>
      </c>
      <c r="I225">
        <v>41</v>
      </c>
      <c r="J225" t="s">
        <v>54</v>
      </c>
      <c r="K225" t="s">
        <v>47</v>
      </c>
      <c r="L225" t="s">
        <v>51</v>
      </c>
      <c r="M225" t="s">
        <v>40</v>
      </c>
      <c r="N225">
        <v>4.8</v>
      </c>
      <c r="O225">
        <v>1</v>
      </c>
      <c r="P225" t="s">
        <v>41</v>
      </c>
      <c r="Q225" t="s">
        <v>30</v>
      </c>
      <c r="R225" t="s">
        <v>30</v>
      </c>
      <c r="S225">
        <v>34</v>
      </c>
      <c r="T225" t="s">
        <v>49</v>
      </c>
      <c r="U225" t="s">
        <v>52</v>
      </c>
      <c r="V225" s="1">
        <v>45428</v>
      </c>
      <c r="W225">
        <f>Table1[[#This Row],[customer_purchase count]]+1</f>
        <v>35</v>
      </c>
      <c r="X225">
        <f>Table1[[#This Row],[customer_purchase count]]*Rules!$B$3</f>
        <v>2031.9882051282052</v>
      </c>
      <c r="Y225" t="str">
        <f>IF(Table1[[#This Row],[customer_subscription]]=1,"Subscribed","Not Subscribed")</f>
        <v>Subscribed</v>
      </c>
    </row>
    <row r="226" spans="1:26" x14ac:dyDescent="0.25">
      <c r="A226">
        <v>225</v>
      </c>
      <c r="B226">
        <v>63</v>
      </c>
      <c r="C226" t="s">
        <v>22</v>
      </c>
      <c r="D226">
        <v>225</v>
      </c>
      <c r="E226" t="s">
        <v>128</v>
      </c>
      <c r="F226" t="s">
        <v>24</v>
      </c>
      <c r="G226">
        <v>225</v>
      </c>
      <c r="H226">
        <v>469</v>
      </c>
      <c r="I226">
        <v>83</v>
      </c>
      <c r="J226" t="s">
        <v>150</v>
      </c>
      <c r="K226" t="s">
        <v>39</v>
      </c>
      <c r="L226" t="s">
        <v>121</v>
      </c>
      <c r="M226" t="s">
        <v>56</v>
      </c>
      <c r="N226">
        <v>2.9</v>
      </c>
      <c r="O226">
        <v>1</v>
      </c>
      <c r="P226" t="s">
        <v>41</v>
      </c>
      <c r="Q226" t="s">
        <v>30</v>
      </c>
      <c r="R226" t="s">
        <v>30</v>
      </c>
      <c r="S226">
        <v>12</v>
      </c>
      <c r="T226" t="s">
        <v>36</v>
      </c>
      <c r="U226" t="s">
        <v>100</v>
      </c>
      <c r="V226" s="1">
        <v>45522</v>
      </c>
      <c r="W226">
        <f>Table1[[#This Row],[customer_purchase count]]+1</f>
        <v>13</v>
      </c>
      <c r="X226">
        <f>Table1[[#This Row],[customer_purchase count]]*Rules!$B$3</f>
        <v>717.17230769230775</v>
      </c>
      <c r="Y226" t="str">
        <f>IF(Table1[[#This Row],[customer_subscription]]=1,"Subscribed","Not Subscribed")</f>
        <v>Subscribed</v>
      </c>
    </row>
    <row r="227" spans="1:26" x14ac:dyDescent="0.25">
      <c r="A227">
        <v>226</v>
      </c>
      <c r="B227">
        <v>25</v>
      </c>
      <c r="C227" t="s">
        <v>22</v>
      </c>
      <c r="D227">
        <v>226</v>
      </c>
      <c r="E227" t="s">
        <v>105</v>
      </c>
      <c r="F227" t="s">
        <v>66</v>
      </c>
      <c r="G227">
        <v>226</v>
      </c>
      <c r="H227">
        <v>470</v>
      </c>
      <c r="I227">
        <v>22</v>
      </c>
      <c r="J227" t="s">
        <v>75</v>
      </c>
      <c r="K227" t="s">
        <v>47</v>
      </c>
      <c r="L227" t="s">
        <v>81</v>
      </c>
      <c r="M227" t="s">
        <v>40</v>
      </c>
      <c r="N227">
        <v>3.2</v>
      </c>
      <c r="O227">
        <v>1</v>
      </c>
      <c r="P227" t="s">
        <v>48</v>
      </c>
      <c r="Q227" t="s">
        <v>30</v>
      </c>
      <c r="R227" t="s">
        <v>30</v>
      </c>
      <c r="S227">
        <v>11</v>
      </c>
      <c r="T227" t="s">
        <v>78</v>
      </c>
      <c r="U227" t="s">
        <v>52</v>
      </c>
      <c r="V227" s="1">
        <v>45390</v>
      </c>
      <c r="W227">
        <f>Table1[[#This Row],[customer_purchase count]]+1</f>
        <v>12</v>
      </c>
      <c r="X227">
        <f>Table1[[#This Row],[customer_purchase count]]*Rules!$B$3</f>
        <v>657.40794871794878</v>
      </c>
      <c r="Y227" t="str">
        <f>IF(Table1[[#This Row],[customer_subscription]]=1,"Subscribed","Not Subscribed")</f>
        <v>Subscribed</v>
      </c>
      <c r="Z227" t="s">
        <v>187</v>
      </c>
    </row>
    <row r="228" spans="1:26" x14ac:dyDescent="0.25">
      <c r="A228">
        <v>227</v>
      </c>
      <c r="B228">
        <v>29</v>
      </c>
      <c r="C228" t="s">
        <v>22</v>
      </c>
      <c r="D228">
        <v>227</v>
      </c>
      <c r="E228" t="s">
        <v>74</v>
      </c>
      <c r="F228" t="s">
        <v>45</v>
      </c>
      <c r="G228">
        <v>227</v>
      </c>
      <c r="H228">
        <v>471</v>
      </c>
      <c r="I228">
        <v>74</v>
      </c>
      <c r="J228" t="s">
        <v>108</v>
      </c>
      <c r="K228" t="s">
        <v>26</v>
      </c>
      <c r="L228" t="s">
        <v>86</v>
      </c>
      <c r="M228" t="s">
        <v>40</v>
      </c>
      <c r="N228">
        <v>3.3</v>
      </c>
      <c r="O228">
        <v>1</v>
      </c>
      <c r="P228" t="s">
        <v>41</v>
      </c>
      <c r="Q228" t="s">
        <v>30</v>
      </c>
      <c r="R228" t="s">
        <v>30</v>
      </c>
      <c r="S228">
        <v>5</v>
      </c>
      <c r="T228" t="s">
        <v>49</v>
      </c>
      <c r="U228" t="s">
        <v>91</v>
      </c>
      <c r="V228" s="1">
        <v>45358</v>
      </c>
      <c r="W228">
        <f>Table1[[#This Row],[customer_purchase count]]+1</f>
        <v>6</v>
      </c>
      <c r="X228">
        <f>Table1[[#This Row],[customer_purchase count]]*Rules!$B$3</f>
        <v>298.82179487179491</v>
      </c>
      <c r="Y228" t="str">
        <f>IF(Table1[[#This Row],[customer_subscription]]=1,"Subscribed","Not Subscribed")</f>
        <v>Subscribed</v>
      </c>
    </row>
    <row r="229" spans="1:26" x14ac:dyDescent="0.25">
      <c r="A229">
        <v>228</v>
      </c>
      <c r="B229">
        <v>50</v>
      </c>
      <c r="C229" t="s">
        <v>22</v>
      </c>
      <c r="D229">
        <v>228</v>
      </c>
      <c r="E229" t="s">
        <v>37</v>
      </c>
      <c r="F229" t="s">
        <v>24</v>
      </c>
      <c r="G229">
        <v>228</v>
      </c>
      <c r="H229">
        <v>472</v>
      </c>
      <c r="I229">
        <v>90</v>
      </c>
      <c r="J229" t="s">
        <v>46</v>
      </c>
      <c r="K229" t="s">
        <v>47</v>
      </c>
      <c r="L229" t="s">
        <v>51</v>
      </c>
      <c r="M229" t="s">
        <v>28</v>
      </c>
      <c r="N229">
        <v>4.2</v>
      </c>
      <c r="O229">
        <v>1</v>
      </c>
      <c r="P229" t="s">
        <v>57</v>
      </c>
      <c r="Q229" t="s">
        <v>30</v>
      </c>
      <c r="R229" t="s">
        <v>30</v>
      </c>
      <c r="S229">
        <v>25</v>
      </c>
      <c r="T229" t="s">
        <v>31</v>
      </c>
      <c r="U229" t="s">
        <v>32</v>
      </c>
      <c r="V229" s="1">
        <v>45317</v>
      </c>
      <c r="W229">
        <f>Table1[[#This Row],[customer_purchase count]]+1</f>
        <v>26</v>
      </c>
      <c r="X229">
        <f>Table1[[#This Row],[customer_purchase count]]*Rules!$B$3</f>
        <v>1494.1089743589744</v>
      </c>
      <c r="Y229" t="str">
        <f>IF(Table1[[#This Row],[customer_subscription]]=1,"Subscribed","Not Subscribed")</f>
        <v>Subscribed</v>
      </c>
    </row>
    <row r="230" spans="1:26" x14ac:dyDescent="0.25">
      <c r="A230">
        <v>229</v>
      </c>
      <c r="B230">
        <v>18</v>
      </c>
      <c r="C230" t="s">
        <v>22</v>
      </c>
      <c r="D230">
        <v>229</v>
      </c>
      <c r="E230" t="s">
        <v>128</v>
      </c>
      <c r="F230" t="s">
        <v>24</v>
      </c>
      <c r="G230">
        <v>229</v>
      </c>
      <c r="H230">
        <v>473</v>
      </c>
      <c r="I230">
        <v>79</v>
      </c>
      <c r="J230" t="s">
        <v>85</v>
      </c>
      <c r="K230" t="s">
        <v>47</v>
      </c>
      <c r="L230" t="s">
        <v>55</v>
      </c>
      <c r="M230" t="s">
        <v>40</v>
      </c>
      <c r="N230">
        <v>2.9</v>
      </c>
      <c r="O230">
        <v>1</v>
      </c>
      <c r="P230" t="s">
        <v>77</v>
      </c>
      <c r="Q230" t="s">
        <v>30</v>
      </c>
      <c r="R230" t="s">
        <v>30</v>
      </c>
      <c r="S230">
        <v>11</v>
      </c>
      <c r="T230" t="s">
        <v>42</v>
      </c>
      <c r="U230" t="s">
        <v>52</v>
      </c>
      <c r="V230" s="1">
        <v>45353</v>
      </c>
      <c r="W230">
        <f>Table1[[#This Row],[customer_purchase count]]+1</f>
        <v>12</v>
      </c>
      <c r="X230">
        <f>Table1[[#This Row],[customer_purchase count]]*Rules!$B$3</f>
        <v>657.40794871794878</v>
      </c>
      <c r="Y230" t="str">
        <f>IF(Table1[[#This Row],[customer_subscription]]=1,"Subscribed","Not Subscribed")</f>
        <v>Subscribed</v>
      </c>
      <c r="Z230" t="s">
        <v>187</v>
      </c>
    </row>
    <row r="231" spans="1:26" x14ac:dyDescent="0.25">
      <c r="A231">
        <v>230</v>
      </c>
      <c r="B231">
        <v>70</v>
      </c>
      <c r="C231" t="s">
        <v>22</v>
      </c>
      <c r="D231">
        <v>230</v>
      </c>
      <c r="E231" t="s">
        <v>44</v>
      </c>
      <c r="F231" t="s">
        <v>45</v>
      </c>
      <c r="G231">
        <v>230</v>
      </c>
      <c r="H231">
        <v>475</v>
      </c>
      <c r="I231">
        <v>28</v>
      </c>
      <c r="J231" t="s">
        <v>126</v>
      </c>
      <c r="K231" t="s">
        <v>39</v>
      </c>
      <c r="L231" t="s">
        <v>68</v>
      </c>
      <c r="M231" t="s">
        <v>40</v>
      </c>
      <c r="N231">
        <v>4.5999999999999996</v>
      </c>
      <c r="O231">
        <v>1</v>
      </c>
      <c r="P231" t="s">
        <v>48</v>
      </c>
      <c r="Q231" t="s">
        <v>30</v>
      </c>
      <c r="R231" t="s">
        <v>30</v>
      </c>
      <c r="S231">
        <v>27</v>
      </c>
      <c r="T231" t="s">
        <v>49</v>
      </c>
      <c r="U231" t="s">
        <v>100</v>
      </c>
      <c r="V231" s="1">
        <v>45352</v>
      </c>
      <c r="W231">
        <f>Table1[[#This Row],[customer_purchase count]]+1</f>
        <v>28</v>
      </c>
      <c r="X231">
        <f>Table1[[#This Row],[customer_purchase count]]*Rules!$B$3</f>
        <v>1613.6376923076923</v>
      </c>
      <c r="Y231" t="str">
        <f>IF(Table1[[#This Row],[customer_subscription]]=1,"Subscribed","Not Subscribed")</f>
        <v>Subscribed</v>
      </c>
    </row>
    <row r="232" spans="1:26" x14ac:dyDescent="0.25">
      <c r="A232">
        <v>231</v>
      </c>
      <c r="B232">
        <v>66</v>
      </c>
      <c r="C232" t="s">
        <v>22</v>
      </c>
      <c r="D232">
        <v>231</v>
      </c>
      <c r="E232" t="s">
        <v>122</v>
      </c>
      <c r="F232" t="s">
        <v>70</v>
      </c>
      <c r="G232">
        <v>231</v>
      </c>
      <c r="H232">
        <v>476</v>
      </c>
      <c r="I232">
        <v>88</v>
      </c>
      <c r="J232" t="s">
        <v>143</v>
      </c>
      <c r="K232" t="s">
        <v>26</v>
      </c>
      <c r="L232" t="s">
        <v>81</v>
      </c>
      <c r="M232" t="s">
        <v>60</v>
      </c>
      <c r="N232">
        <v>4.0999999999999996</v>
      </c>
      <c r="O232">
        <v>1</v>
      </c>
      <c r="P232" t="s">
        <v>57</v>
      </c>
      <c r="Q232" t="s">
        <v>30</v>
      </c>
      <c r="R232" t="s">
        <v>30</v>
      </c>
      <c r="S232">
        <v>43</v>
      </c>
      <c r="T232" t="s">
        <v>42</v>
      </c>
      <c r="U232" t="s">
        <v>52</v>
      </c>
      <c r="V232" s="1">
        <v>45578</v>
      </c>
      <c r="W232">
        <f>Table1[[#This Row],[customer_purchase count]]+1</f>
        <v>44</v>
      </c>
      <c r="X232">
        <f>Table1[[#This Row],[customer_purchase count]]*Rules!$B$3</f>
        <v>2569.8674358974358</v>
      </c>
      <c r="Y232" t="str">
        <f>IF(Table1[[#This Row],[customer_subscription]]=1,"Subscribed","Not Subscribed")</f>
        <v>Subscribed</v>
      </c>
    </row>
    <row r="233" spans="1:26" x14ac:dyDescent="0.25">
      <c r="A233">
        <v>232</v>
      </c>
      <c r="B233">
        <v>28</v>
      </c>
      <c r="C233" t="s">
        <v>22</v>
      </c>
      <c r="D233">
        <v>232</v>
      </c>
      <c r="E233" t="s">
        <v>23</v>
      </c>
      <c r="F233" t="s">
        <v>24</v>
      </c>
      <c r="G233">
        <v>232</v>
      </c>
      <c r="H233">
        <v>477</v>
      </c>
      <c r="I233">
        <v>26</v>
      </c>
      <c r="J233" t="s">
        <v>125</v>
      </c>
      <c r="K233" t="s">
        <v>47</v>
      </c>
      <c r="L233" t="s">
        <v>147</v>
      </c>
      <c r="M233" t="s">
        <v>40</v>
      </c>
      <c r="N233">
        <v>3.1</v>
      </c>
      <c r="O233">
        <v>1</v>
      </c>
      <c r="P233" t="s">
        <v>73</v>
      </c>
      <c r="Q233" t="s">
        <v>30</v>
      </c>
      <c r="R233" t="s">
        <v>30</v>
      </c>
      <c r="S233">
        <v>18</v>
      </c>
      <c r="T233" t="s">
        <v>89</v>
      </c>
      <c r="U233" t="s">
        <v>100</v>
      </c>
      <c r="V233" s="1">
        <v>45399</v>
      </c>
      <c r="W233">
        <f>Table1[[#This Row],[customer_purchase count]]+1</f>
        <v>19</v>
      </c>
      <c r="X233">
        <f>Table1[[#This Row],[customer_purchase count]]*Rules!$B$3</f>
        <v>1075.7584615384617</v>
      </c>
      <c r="Y233" t="str">
        <f>IF(Table1[[#This Row],[customer_subscription]]=1,"Subscribed","Not Subscribed")</f>
        <v>Subscribed</v>
      </c>
    </row>
    <row r="234" spans="1:26" x14ac:dyDescent="0.25">
      <c r="A234">
        <v>233</v>
      </c>
      <c r="B234">
        <v>54</v>
      </c>
      <c r="C234" t="s">
        <v>22</v>
      </c>
      <c r="D234">
        <v>233</v>
      </c>
      <c r="E234" t="s">
        <v>109</v>
      </c>
      <c r="F234" t="s">
        <v>70</v>
      </c>
      <c r="G234">
        <v>233</v>
      </c>
      <c r="H234">
        <v>478</v>
      </c>
      <c r="I234">
        <v>27</v>
      </c>
      <c r="J234" t="s">
        <v>80</v>
      </c>
      <c r="K234" t="s">
        <v>26</v>
      </c>
      <c r="L234" t="s">
        <v>76</v>
      </c>
      <c r="M234" t="s">
        <v>28</v>
      </c>
      <c r="N234">
        <v>4.2</v>
      </c>
      <c r="O234">
        <v>1</v>
      </c>
      <c r="P234" t="s">
        <v>29</v>
      </c>
      <c r="Q234" t="s">
        <v>30</v>
      </c>
      <c r="R234" t="s">
        <v>30</v>
      </c>
      <c r="S234">
        <v>32</v>
      </c>
      <c r="T234" t="s">
        <v>78</v>
      </c>
      <c r="U234" t="s">
        <v>79</v>
      </c>
      <c r="V234" s="1">
        <v>45304</v>
      </c>
      <c r="W234">
        <f>Table1[[#This Row],[customer_purchase count]]+1</f>
        <v>33</v>
      </c>
      <c r="X234">
        <f>Table1[[#This Row],[customer_purchase count]]*Rules!$B$3</f>
        <v>1912.4594871794873</v>
      </c>
      <c r="Y234" t="str">
        <f>IF(Table1[[#This Row],[customer_subscription]]=1,"Subscribed","Not Subscribed")</f>
        <v>Subscribed</v>
      </c>
    </row>
    <row r="235" spans="1:26" x14ac:dyDescent="0.25">
      <c r="A235">
        <v>234</v>
      </c>
      <c r="B235">
        <v>19</v>
      </c>
      <c r="C235" t="s">
        <v>22</v>
      </c>
      <c r="D235">
        <v>234</v>
      </c>
      <c r="E235" t="s">
        <v>33</v>
      </c>
      <c r="F235" t="s">
        <v>24</v>
      </c>
      <c r="G235">
        <v>234</v>
      </c>
      <c r="H235">
        <v>479</v>
      </c>
      <c r="I235">
        <v>83</v>
      </c>
      <c r="J235" t="s">
        <v>120</v>
      </c>
      <c r="K235" t="s">
        <v>95</v>
      </c>
      <c r="L235" t="s">
        <v>137</v>
      </c>
      <c r="M235" t="s">
        <v>60</v>
      </c>
      <c r="N235">
        <v>4.5</v>
      </c>
      <c r="O235">
        <v>1</v>
      </c>
      <c r="P235" t="s">
        <v>48</v>
      </c>
      <c r="Q235" t="s">
        <v>30</v>
      </c>
      <c r="R235" t="s">
        <v>30</v>
      </c>
      <c r="S235">
        <v>27</v>
      </c>
      <c r="T235" t="s">
        <v>78</v>
      </c>
      <c r="U235" t="s">
        <v>100</v>
      </c>
      <c r="V235" s="1">
        <v>45545</v>
      </c>
      <c r="W235">
        <f>Table1[[#This Row],[customer_purchase count]]+1</f>
        <v>28</v>
      </c>
      <c r="X235">
        <f>Table1[[#This Row],[customer_purchase count]]*Rules!$B$3</f>
        <v>1613.6376923076923</v>
      </c>
      <c r="Y235" t="str">
        <f>IF(Table1[[#This Row],[customer_subscription]]=1,"Subscribed","Not Subscribed")</f>
        <v>Subscribed</v>
      </c>
    </row>
    <row r="236" spans="1:26" x14ac:dyDescent="0.25">
      <c r="A236">
        <v>235</v>
      </c>
      <c r="B236">
        <v>20</v>
      </c>
      <c r="C236" t="s">
        <v>22</v>
      </c>
      <c r="D236">
        <v>235</v>
      </c>
      <c r="E236" t="s">
        <v>146</v>
      </c>
      <c r="F236" t="s">
        <v>70</v>
      </c>
      <c r="G236">
        <v>235</v>
      </c>
      <c r="H236">
        <v>481</v>
      </c>
      <c r="I236">
        <v>39</v>
      </c>
      <c r="J236" t="s">
        <v>150</v>
      </c>
      <c r="K236" t="s">
        <v>39</v>
      </c>
      <c r="L236" t="s">
        <v>68</v>
      </c>
      <c r="M236" t="s">
        <v>56</v>
      </c>
      <c r="N236">
        <v>3.7</v>
      </c>
      <c r="O236">
        <v>1</v>
      </c>
      <c r="P236" t="s">
        <v>48</v>
      </c>
      <c r="Q236" t="s">
        <v>30</v>
      </c>
      <c r="R236" t="s">
        <v>30</v>
      </c>
      <c r="S236">
        <v>24</v>
      </c>
      <c r="T236" t="s">
        <v>42</v>
      </c>
      <c r="U236" t="s">
        <v>43</v>
      </c>
      <c r="V236" s="1">
        <v>45513</v>
      </c>
      <c r="W236">
        <f>Table1[[#This Row],[customer_purchase count]]+1</f>
        <v>25</v>
      </c>
      <c r="X236">
        <f>Table1[[#This Row],[customer_purchase count]]*Rules!$B$3</f>
        <v>1434.3446153846155</v>
      </c>
      <c r="Y236" t="str">
        <f>IF(Table1[[#This Row],[customer_subscription]]=1,"Subscribed","Not Subscribed")</f>
        <v>Subscribed</v>
      </c>
    </row>
    <row r="237" spans="1:26" x14ac:dyDescent="0.25">
      <c r="A237">
        <v>236</v>
      </c>
      <c r="B237">
        <v>43</v>
      </c>
      <c r="C237" t="s">
        <v>22</v>
      </c>
      <c r="D237">
        <v>236</v>
      </c>
      <c r="E237" t="s">
        <v>92</v>
      </c>
      <c r="F237" t="s">
        <v>70</v>
      </c>
      <c r="G237">
        <v>236</v>
      </c>
      <c r="H237">
        <v>482</v>
      </c>
      <c r="I237">
        <v>89</v>
      </c>
      <c r="J237" t="s">
        <v>130</v>
      </c>
      <c r="K237" t="s">
        <v>47</v>
      </c>
      <c r="L237" t="s">
        <v>112</v>
      </c>
      <c r="M237" t="s">
        <v>28</v>
      </c>
      <c r="N237">
        <v>3.7</v>
      </c>
      <c r="O237">
        <v>1</v>
      </c>
      <c r="P237" t="s">
        <v>41</v>
      </c>
      <c r="Q237" t="s">
        <v>30</v>
      </c>
      <c r="R237" t="s">
        <v>30</v>
      </c>
      <c r="S237">
        <v>31</v>
      </c>
      <c r="T237" t="s">
        <v>89</v>
      </c>
      <c r="U237" t="s">
        <v>61</v>
      </c>
      <c r="V237" s="1">
        <v>45292</v>
      </c>
      <c r="W237">
        <f>Table1[[#This Row],[customer_purchase count]]+1</f>
        <v>32</v>
      </c>
      <c r="X237">
        <f>Table1[[#This Row],[customer_purchase count]]*Rules!$B$3</f>
        <v>1852.6951282051282</v>
      </c>
      <c r="Y237" t="str">
        <f>IF(Table1[[#This Row],[customer_subscription]]=1,"Subscribed","Not Subscribed")</f>
        <v>Subscribed</v>
      </c>
    </row>
    <row r="238" spans="1:26" x14ac:dyDescent="0.25">
      <c r="A238">
        <v>237</v>
      </c>
      <c r="B238">
        <v>38</v>
      </c>
      <c r="C238" t="s">
        <v>22</v>
      </c>
      <c r="D238">
        <v>237</v>
      </c>
      <c r="E238" t="s">
        <v>65</v>
      </c>
      <c r="F238" t="s">
        <v>66</v>
      </c>
      <c r="G238">
        <v>237</v>
      </c>
      <c r="H238">
        <v>483</v>
      </c>
      <c r="I238">
        <v>68</v>
      </c>
      <c r="J238" t="s">
        <v>117</v>
      </c>
      <c r="K238" t="s">
        <v>26</v>
      </c>
      <c r="L238" t="s">
        <v>99</v>
      </c>
      <c r="M238" t="s">
        <v>28</v>
      </c>
      <c r="N238">
        <v>3.4</v>
      </c>
      <c r="O238">
        <v>1</v>
      </c>
      <c r="P238" t="s">
        <v>48</v>
      </c>
      <c r="Q238" t="s">
        <v>30</v>
      </c>
      <c r="R238" t="s">
        <v>30</v>
      </c>
      <c r="S238">
        <v>39</v>
      </c>
      <c r="T238" t="s">
        <v>49</v>
      </c>
      <c r="U238" t="s">
        <v>32</v>
      </c>
      <c r="V238" s="1">
        <v>45318</v>
      </c>
      <c r="W238">
        <f>Table1[[#This Row],[customer_purchase count]]+1</f>
        <v>40</v>
      </c>
      <c r="X238">
        <f>Table1[[#This Row],[customer_purchase count]]*Rules!$B$3</f>
        <v>2330.81</v>
      </c>
      <c r="Y238" t="str">
        <f>IF(Table1[[#This Row],[customer_subscription]]=1,"Subscribed","Not Subscribed")</f>
        <v>Subscribed</v>
      </c>
      <c r="Z238" t="s">
        <v>193</v>
      </c>
    </row>
    <row r="239" spans="1:26" x14ac:dyDescent="0.25">
      <c r="A239">
        <v>238</v>
      </c>
      <c r="B239">
        <v>50</v>
      </c>
      <c r="C239" t="s">
        <v>22</v>
      </c>
      <c r="D239">
        <v>238</v>
      </c>
      <c r="E239" t="s">
        <v>84</v>
      </c>
      <c r="F239" t="s">
        <v>24</v>
      </c>
      <c r="G239">
        <v>238</v>
      </c>
      <c r="H239">
        <v>484</v>
      </c>
      <c r="I239">
        <v>90</v>
      </c>
      <c r="J239" t="s">
        <v>149</v>
      </c>
      <c r="K239" t="s">
        <v>47</v>
      </c>
      <c r="L239" t="s">
        <v>121</v>
      </c>
      <c r="M239" t="s">
        <v>56</v>
      </c>
      <c r="N239">
        <v>3</v>
      </c>
      <c r="O239">
        <v>1</v>
      </c>
      <c r="P239" t="s">
        <v>77</v>
      </c>
      <c r="Q239" t="s">
        <v>30</v>
      </c>
      <c r="R239" t="s">
        <v>30</v>
      </c>
      <c r="S239">
        <v>36</v>
      </c>
      <c r="T239" t="s">
        <v>89</v>
      </c>
      <c r="U239" t="s">
        <v>32</v>
      </c>
      <c r="V239" s="1">
        <v>45487</v>
      </c>
      <c r="W239">
        <f>Table1[[#This Row],[customer_purchase count]]+1</f>
        <v>37</v>
      </c>
      <c r="X239">
        <f>Table1[[#This Row],[customer_purchase count]]*Rules!$B$3</f>
        <v>2151.5169230769234</v>
      </c>
      <c r="Y239" t="str">
        <f>IF(Table1[[#This Row],[customer_subscription]]=1,"Subscribed","Not Subscribed")</f>
        <v>Subscribed</v>
      </c>
      <c r="Z239" t="s">
        <v>193</v>
      </c>
    </row>
    <row r="240" spans="1:26" x14ac:dyDescent="0.25">
      <c r="A240">
        <v>239</v>
      </c>
      <c r="B240">
        <v>64</v>
      </c>
      <c r="C240" t="s">
        <v>22</v>
      </c>
      <c r="D240">
        <v>239</v>
      </c>
      <c r="E240" t="s">
        <v>90</v>
      </c>
      <c r="F240" t="s">
        <v>24</v>
      </c>
      <c r="G240">
        <v>239</v>
      </c>
      <c r="H240">
        <v>485</v>
      </c>
      <c r="I240">
        <v>34</v>
      </c>
      <c r="J240" t="s">
        <v>126</v>
      </c>
      <c r="K240" t="s">
        <v>47</v>
      </c>
      <c r="L240" t="s">
        <v>103</v>
      </c>
      <c r="M240" t="s">
        <v>60</v>
      </c>
      <c r="N240">
        <v>4.2</v>
      </c>
      <c r="O240">
        <v>1</v>
      </c>
      <c r="P240" t="s">
        <v>41</v>
      </c>
      <c r="Q240" t="s">
        <v>30</v>
      </c>
      <c r="R240" t="s">
        <v>30</v>
      </c>
      <c r="S240">
        <v>5</v>
      </c>
      <c r="T240" t="s">
        <v>36</v>
      </c>
      <c r="U240" t="s">
        <v>52</v>
      </c>
      <c r="V240" s="1">
        <v>45602</v>
      </c>
      <c r="W240">
        <f>Table1[[#This Row],[customer_purchase count]]+1</f>
        <v>6</v>
      </c>
      <c r="X240">
        <f>Table1[[#This Row],[customer_purchase count]]*Rules!$B$3</f>
        <v>298.82179487179491</v>
      </c>
      <c r="Y240" t="str">
        <f>IF(Table1[[#This Row],[customer_subscription]]=1,"Subscribed","Not Subscribed")</f>
        <v>Subscribed</v>
      </c>
    </row>
    <row r="241" spans="1:26" x14ac:dyDescent="0.25">
      <c r="A241">
        <v>240</v>
      </c>
      <c r="B241">
        <v>49</v>
      </c>
      <c r="C241" t="s">
        <v>22</v>
      </c>
      <c r="D241">
        <v>240</v>
      </c>
      <c r="E241" t="s">
        <v>98</v>
      </c>
      <c r="F241" t="s">
        <v>24</v>
      </c>
      <c r="G241">
        <v>240</v>
      </c>
      <c r="H241">
        <v>487</v>
      </c>
      <c r="I241">
        <v>51</v>
      </c>
      <c r="J241" t="s">
        <v>132</v>
      </c>
      <c r="K241" t="s">
        <v>26</v>
      </c>
      <c r="L241" t="s">
        <v>137</v>
      </c>
      <c r="M241" t="s">
        <v>56</v>
      </c>
      <c r="N241">
        <v>2.9</v>
      </c>
      <c r="O241">
        <v>1</v>
      </c>
      <c r="P241" t="s">
        <v>29</v>
      </c>
      <c r="Q241" t="s">
        <v>30</v>
      </c>
      <c r="R241" t="s">
        <v>30</v>
      </c>
      <c r="S241">
        <v>47</v>
      </c>
      <c r="T241" t="s">
        <v>42</v>
      </c>
      <c r="U241" t="s">
        <v>79</v>
      </c>
      <c r="V241" s="1">
        <v>45523</v>
      </c>
      <c r="W241">
        <f>Table1[[#This Row],[customer_purchase count]]+1</f>
        <v>48</v>
      </c>
      <c r="X241">
        <f>Table1[[#This Row],[customer_purchase count]]*Rules!$B$3</f>
        <v>2808.9248717948717</v>
      </c>
      <c r="Y241" t="str">
        <f>IF(Table1[[#This Row],[customer_subscription]]=1,"Subscribed","Not Subscribed")</f>
        <v>Subscribed</v>
      </c>
      <c r="Z241" t="s">
        <v>193</v>
      </c>
    </row>
    <row r="242" spans="1:26" x14ac:dyDescent="0.25">
      <c r="A242">
        <v>241</v>
      </c>
      <c r="B242">
        <v>47</v>
      </c>
      <c r="C242" t="s">
        <v>22</v>
      </c>
      <c r="D242">
        <v>241</v>
      </c>
      <c r="E242" t="s">
        <v>33</v>
      </c>
      <c r="F242" t="s">
        <v>24</v>
      </c>
      <c r="G242">
        <v>241</v>
      </c>
      <c r="H242">
        <v>488</v>
      </c>
      <c r="I242">
        <v>45</v>
      </c>
      <c r="J242" t="s">
        <v>59</v>
      </c>
      <c r="K242" t="s">
        <v>95</v>
      </c>
      <c r="L242" t="s">
        <v>51</v>
      </c>
      <c r="M242" t="s">
        <v>28</v>
      </c>
      <c r="N242">
        <v>3.5</v>
      </c>
      <c r="O242">
        <v>1</v>
      </c>
      <c r="P242" t="s">
        <v>41</v>
      </c>
      <c r="Q242" t="s">
        <v>30</v>
      </c>
      <c r="R242" t="s">
        <v>30</v>
      </c>
      <c r="S242">
        <v>29</v>
      </c>
      <c r="T242" t="s">
        <v>78</v>
      </c>
      <c r="U242" t="s">
        <v>32</v>
      </c>
      <c r="V242" s="1">
        <v>45313</v>
      </c>
      <c r="W242">
        <f>Table1[[#This Row],[customer_purchase count]]+1</f>
        <v>30</v>
      </c>
      <c r="X242">
        <f>Table1[[#This Row],[customer_purchase count]]*Rules!$B$3</f>
        <v>1733.1664102564102</v>
      </c>
      <c r="Y242" t="str">
        <f>IF(Table1[[#This Row],[customer_subscription]]=1,"Subscribed","Not Subscribed")</f>
        <v>Subscribed</v>
      </c>
    </row>
    <row r="243" spans="1:26" x14ac:dyDescent="0.25">
      <c r="A243">
        <v>242</v>
      </c>
      <c r="B243">
        <v>36</v>
      </c>
      <c r="C243" t="s">
        <v>22</v>
      </c>
      <c r="D243">
        <v>242</v>
      </c>
      <c r="E243" t="s">
        <v>107</v>
      </c>
      <c r="F243" t="s">
        <v>24</v>
      </c>
      <c r="G243">
        <v>242</v>
      </c>
      <c r="H243">
        <v>489</v>
      </c>
      <c r="I243">
        <v>88</v>
      </c>
      <c r="J243" t="s">
        <v>82</v>
      </c>
      <c r="K243" t="s">
        <v>47</v>
      </c>
      <c r="L243" t="s">
        <v>103</v>
      </c>
      <c r="M243" t="s">
        <v>28</v>
      </c>
      <c r="N243">
        <v>4.0999999999999996</v>
      </c>
      <c r="O243">
        <v>1</v>
      </c>
      <c r="P243" t="s">
        <v>41</v>
      </c>
      <c r="Q243" t="s">
        <v>30</v>
      </c>
      <c r="R243" t="s">
        <v>30</v>
      </c>
      <c r="S243">
        <v>43</v>
      </c>
      <c r="T243" t="s">
        <v>31</v>
      </c>
      <c r="U243" t="s">
        <v>79</v>
      </c>
      <c r="V243" s="1">
        <v>45308</v>
      </c>
      <c r="W243">
        <f>Table1[[#This Row],[customer_purchase count]]+1</f>
        <v>44</v>
      </c>
      <c r="X243">
        <f>Table1[[#This Row],[customer_purchase count]]*Rules!$B$3</f>
        <v>2569.8674358974358</v>
      </c>
      <c r="Y243" t="str">
        <f>IF(Table1[[#This Row],[customer_subscription]]=1,"Subscribed","Not Subscribed")</f>
        <v>Subscribed</v>
      </c>
      <c r="Z243" t="s">
        <v>193</v>
      </c>
    </row>
    <row r="244" spans="1:26" x14ac:dyDescent="0.25">
      <c r="A244">
        <v>243</v>
      </c>
      <c r="B244">
        <v>55</v>
      </c>
      <c r="C244" t="s">
        <v>22</v>
      </c>
      <c r="D244">
        <v>243</v>
      </c>
      <c r="E244" t="s">
        <v>65</v>
      </c>
      <c r="F244" t="s">
        <v>66</v>
      </c>
      <c r="G244">
        <v>243</v>
      </c>
      <c r="H244">
        <v>490</v>
      </c>
      <c r="I244">
        <v>85</v>
      </c>
      <c r="J244" t="s">
        <v>87</v>
      </c>
      <c r="K244" t="s">
        <v>26</v>
      </c>
      <c r="L244" t="s">
        <v>27</v>
      </c>
      <c r="M244" t="s">
        <v>56</v>
      </c>
      <c r="N244">
        <v>4.3</v>
      </c>
      <c r="O244">
        <v>1</v>
      </c>
      <c r="P244" t="s">
        <v>77</v>
      </c>
      <c r="Q244" t="s">
        <v>30</v>
      </c>
      <c r="R244" t="s">
        <v>30</v>
      </c>
      <c r="S244">
        <v>40</v>
      </c>
      <c r="T244" t="s">
        <v>89</v>
      </c>
      <c r="U244" t="s">
        <v>100</v>
      </c>
      <c r="V244" s="1">
        <v>45470</v>
      </c>
      <c r="W244">
        <f>Table1[[#This Row],[customer_purchase count]]+1</f>
        <v>41</v>
      </c>
      <c r="X244">
        <f>Table1[[#This Row],[customer_purchase count]]*Rules!$B$3</f>
        <v>2390.5743589743593</v>
      </c>
      <c r="Y244" t="str">
        <f>IF(Table1[[#This Row],[customer_subscription]]=1,"Subscribed","Not Subscribed")</f>
        <v>Subscribed</v>
      </c>
      <c r="Z244" t="s">
        <v>193</v>
      </c>
    </row>
    <row r="245" spans="1:26" x14ac:dyDescent="0.25">
      <c r="A245">
        <v>244</v>
      </c>
      <c r="B245">
        <v>25</v>
      </c>
      <c r="C245" t="s">
        <v>22</v>
      </c>
      <c r="D245">
        <v>244</v>
      </c>
      <c r="E245" t="s">
        <v>109</v>
      </c>
      <c r="F245" t="s">
        <v>70</v>
      </c>
      <c r="G245">
        <v>244</v>
      </c>
      <c r="H245">
        <v>491</v>
      </c>
      <c r="I245">
        <v>100</v>
      </c>
      <c r="J245" t="s">
        <v>25</v>
      </c>
      <c r="K245" t="s">
        <v>47</v>
      </c>
      <c r="L245" t="s">
        <v>81</v>
      </c>
      <c r="M245" t="s">
        <v>28</v>
      </c>
      <c r="N245">
        <v>2.8</v>
      </c>
      <c r="O245">
        <v>1</v>
      </c>
      <c r="P245" t="s">
        <v>73</v>
      </c>
      <c r="Q245" t="s">
        <v>30</v>
      </c>
      <c r="R245" t="s">
        <v>30</v>
      </c>
      <c r="S245">
        <v>4</v>
      </c>
      <c r="T245" t="s">
        <v>89</v>
      </c>
      <c r="U245" t="s">
        <v>91</v>
      </c>
      <c r="V245" s="1">
        <v>45296</v>
      </c>
      <c r="W245">
        <f>Table1[[#This Row],[customer_purchase count]]+1</f>
        <v>5</v>
      </c>
      <c r="X245">
        <f>Table1[[#This Row],[customer_purchase count]]*Rules!$B$3</f>
        <v>239.05743589743591</v>
      </c>
      <c r="Y245" t="str">
        <f>IF(Table1[[#This Row],[customer_subscription]]=1,"Subscribed","Not Subscribed")</f>
        <v>Subscribed</v>
      </c>
    </row>
    <row r="246" spans="1:26" x14ac:dyDescent="0.25">
      <c r="A246">
        <v>245</v>
      </c>
      <c r="B246">
        <v>53</v>
      </c>
      <c r="C246" t="s">
        <v>22</v>
      </c>
      <c r="D246">
        <v>245</v>
      </c>
      <c r="E246" t="s">
        <v>136</v>
      </c>
      <c r="F246" t="s">
        <v>70</v>
      </c>
      <c r="G246">
        <v>245</v>
      </c>
      <c r="H246">
        <v>493</v>
      </c>
      <c r="I246">
        <v>42</v>
      </c>
      <c r="J246" t="s">
        <v>50</v>
      </c>
      <c r="K246" t="s">
        <v>39</v>
      </c>
      <c r="L246" t="s">
        <v>129</v>
      </c>
      <c r="M246" t="s">
        <v>40</v>
      </c>
      <c r="N246">
        <v>4.9000000000000004</v>
      </c>
      <c r="O246">
        <v>1</v>
      </c>
      <c r="P246" t="s">
        <v>73</v>
      </c>
      <c r="Q246" t="s">
        <v>30</v>
      </c>
      <c r="R246" t="s">
        <v>30</v>
      </c>
      <c r="S246">
        <v>39</v>
      </c>
      <c r="T246" t="s">
        <v>49</v>
      </c>
      <c r="U246" t="s">
        <v>43</v>
      </c>
      <c r="V246" s="1">
        <v>45439</v>
      </c>
      <c r="W246">
        <f>Table1[[#This Row],[customer_purchase count]]+1</f>
        <v>40</v>
      </c>
      <c r="X246">
        <f>Table1[[#This Row],[customer_purchase count]]*Rules!$B$3</f>
        <v>2330.81</v>
      </c>
      <c r="Y246" t="str">
        <f>IF(Table1[[#This Row],[customer_subscription]]=1,"Subscribed","Not Subscribed")</f>
        <v>Subscribed</v>
      </c>
      <c r="Z246" t="s">
        <v>193</v>
      </c>
    </row>
    <row r="247" spans="1:26" x14ac:dyDescent="0.25">
      <c r="A247">
        <v>246</v>
      </c>
      <c r="B247">
        <v>49</v>
      </c>
      <c r="C247" t="s">
        <v>22</v>
      </c>
      <c r="D247">
        <v>246</v>
      </c>
      <c r="E247" t="s">
        <v>44</v>
      </c>
      <c r="F247" t="s">
        <v>45</v>
      </c>
      <c r="G247">
        <v>246</v>
      </c>
      <c r="H247">
        <v>494</v>
      </c>
      <c r="I247">
        <v>53</v>
      </c>
      <c r="J247" t="s">
        <v>46</v>
      </c>
      <c r="K247" t="s">
        <v>26</v>
      </c>
      <c r="L247" t="s">
        <v>64</v>
      </c>
      <c r="M247" t="s">
        <v>56</v>
      </c>
      <c r="N247">
        <v>3.3</v>
      </c>
      <c r="O247">
        <v>1</v>
      </c>
      <c r="P247" t="s">
        <v>48</v>
      </c>
      <c r="Q247" t="s">
        <v>30</v>
      </c>
      <c r="R247" t="s">
        <v>30</v>
      </c>
      <c r="S247">
        <v>45</v>
      </c>
      <c r="T247" t="s">
        <v>31</v>
      </c>
      <c r="U247" t="s">
        <v>32</v>
      </c>
      <c r="V247" s="1">
        <v>45485</v>
      </c>
      <c r="W247">
        <f>Table1[[#This Row],[customer_purchase count]]+1</f>
        <v>46</v>
      </c>
      <c r="X247">
        <f>Table1[[#This Row],[customer_purchase count]]*Rules!$B$3</f>
        <v>2689.396153846154</v>
      </c>
      <c r="Y247" t="str">
        <f>IF(Table1[[#This Row],[customer_subscription]]=1,"Subscribed","Not Subscribed")</f>
        <v>Subscribed</v>
      </c>
      <c r="Z247" t="s">
        <v>193</v>
      </c>
    </row>
    <row r="248" spans="1:26" x14ac:dyDescent="0.25">
      <c r="A248">
        <v>247</v>
      </c>
      <c r="B248">
        <v>35</v>
      </c>
      <c r="C248" t="s">
        <v>22</v>
      </c>
      <c r="D248">
        <v>247</v>
      </c>
      <c r="E248" t="s">
        <v>92</v>
      </c>
      <c r="F248" t="s">
        <v>70</v>
      </c>
      <c r="G248">
        <v>247</v>
      </c>
      <c r="H248">
        <v>495</v>
      </c>
      <c r="I248">
        <v>86</v>
      </c>
      <c r="J248" t="s">
        <v>110</v>
      </c>
      <c r="K248" t="s">
        <v>95</v>
      </c>
      <c r="L248" t="s">
        <v>121</v>
      </c>
      <c r="M248" t="s">
        <v>40</v>
      </c>
      <c r="N248">
        <v>3.2</v>
      </c>
      <c r="O248">
        <v>1</v>
      </c>
      <c r="P248" t="s">
        <v>29</v>
      </c>
      <c r="Q248" t="s">
        <v>30</v>
      </c>
      <c r="R248" t="s">
        <v>30</v>
      </c>
      <c r="S248">
        <v>20</v>
      </c>
      <c r="T248" t="s">
        <v>31</v>
      </c>
      <c r="U248" t="s">
        <v>79</v>
      </c>
      <c r="V248" s="1">
        <v>45378</v>
      </c>
      <c r="W248">
        <f>Table1[[#This Row],[customer_purchase count]]+1</f>
        <v>21</v>
      </c>
      <c r="X248">
        <f>Table1[[#This Row],[customer_purchase count]]*Rules!$B$3</f>
        <v>1195.2871794871796</v>
      </c>
      <c r="Y248" t="str">
        <f>IF(Table1[[#This Row],[customer_subscription]]=1,"Subscribed","Not Subscribed")</f>
        <v>Subscribed</v>
      </c>
    </row>
    <row r="249" spans="1:26" x14ac:dyDescent="0.25">
      <c r="A249">
        <v>248</v>
      </c>
      <c r="B249">
        <v>29</v>
      </c>
      <c r="C249" t="s">
        <v>22</v>
      </c>
      <c r="D249">
        <v>248</v>
      </c>
      <c r="E249" t="s">
        <v>33</v>
      </c>
      <c r="F249" t="s">
        <v>24</v>
      </c>
      <c r="G249">
        <v>248</v>
      </c>
      <c r="H249">
        <v>496</v>
      </c>
      <c r="I249">
        <v>66</v>
      </c>
      <c r="J249" t="s">
        <v>59</v>
      </c>
      <c r="K249" t="s">
        <v>95</v>
      </c>
      <c r="L249" t="s">
        <v>113</v>
      </c>
      <c r="M249" t="s">
        <v>40</v>
      </c>
      <c r="N249">
        <v>4.4000000000000004</v>
      </c>
      <c r="O249">
        <v>1</v>
      </c>
      <c r="P249" t="s">
        <v>57</v>
      </c>
      <c r="Q249" t="s">
        <v>30</v>
      </c>
      <c r="R249" t="s">
        <v>30</v>
      </c>
      <c r="S249">
        <v>14</v>
      </c>
      <c r="T249" t="s">
        <v>89</v>
      </c>
      <c r="U249" t="s">
        <v>43</v>
      </c>
      <c r="V249" s="1">
        <v>45400</v>
      </c>
      <c r="W249">
        <f>Table1[[#This Row],[customer_purchase count]]+1</f>
        <v>15</v>
      </c>
      <c r="X249">
        <f>Table1[[#This Row],[customer_purchase count]]*Rules!$B$3</f>
        <v>836.70102564102569</v>
      </c>
      <c r="Y249" t="str">
        <f>IF(Table1[[#This Row],[customer_subscription]]=1,"Subscribed","Not Subscribed")</f>
        <v>Subscribed</v>
      </c>
      <c r="Z249" t="s">
        <v>187</v>
      </c>
    </row>
    <row r="250" spans="1:26" x14ac:dyDescent="0.25">
      <c r="A250">
        <v>249</v>
      </c>
      <c r="B250">
        <v>47</v>
      </c>
      <c r="C250" t="s">
        <v>22</v>
      </c>
      <c r="D250">
        <v>249</v>
      </c>
      <c r="E250" t="s">
        <v>136</v>
      </c>
      <c r="F250" t="s">
        <v>70</v>
      </c>
      <c r="G250">
        <v>249</v>
      </c>
      <c r="H250">
        <v>497</v>
      </c>
      <c r="I250">
        <v>100</v>
      </c>
      <c r="J250" t="s">
        <v>141</v>
      </c>
      <c r="K250" t="s">
        <v>47</v>
      </c>
      <c r="L250" t="s">
        <v>147</v>
      </c>
      <c r="M250" t="s">
        <v>28</v>
      </c>
      <c r="N250">
        <v>4.8</v>
      </c>
      <c r="O250">
        <v>1</v>
      </c>
      <c r="P250" t="s">
        <v>29</v>
      </c>
      <c r="Q250" t="s">
        <v>30</v>
      </c>
      <c r="R250" t="s">
        <v>30</v>
      </c>
      <c r="S250">
        <v>33</v>
      </c>
      <c r="T250" t="s">
        <v>49</v>
      </c>
      <c r="U250" t="s">
        <v>43</v>
      </c>
      <c r="V250" s="1">
        <v>45333</v>
      </c>
      <c r="W250">
        <f>Table1[[#This Row],[customer_purchase count]]+1</f>
        <v>34</v>
      </c>
      <c r="X250">
        <f>Table1[[#This Row],[customer_purchase count]]*Rules!$B$3</f>
        <v>1972.2238461538464</v>
      </c>
      <c r="Y250" t="str">
        <f>IF(Table1[[#This Row],[customer_subscription]]=1,"Subscribed","Not Subscribed")</f>
        <v>Subscribed</v>
      </c>
      <c r="Z250" t="s">
        <v>193</v>
      </c>
    </row>
    <row r="251" spans="1:26" x14ac:dyDescent="0.25">
      <c r="A251">
        <v>250</v>
      </c>
      <c r="B251">
        <v>53</v>
      </c>
      <c r="C251" t="s">
        <v>22</v>
      </c>
      <c r="D251">
        <v>250</v>
      </c>
      <c r="E251" t="s">
        <v>69</v>
      </c>
      <c r="F251" t="s">
        <v>70</v>
      </c>
      <c r="G251">
        <v>250</v>
      </c>
      <c r="H251">
        <v>499</v>
      </c>
      <c r="I251">
        <v>47</v>
      </c>
      <c r="J251" t="s">
        <v>123</v>
      </c>
      <c r="K251" t="s">
        <v>39</v>
      </c>
      <c r="L251" t="s">
        <v>88</v>
      </c>
      <c r="M251" t="s">
        <v>60</v>
      </c>
      <c r="N251">
        <v>4.2</v>
      </c>
      <c r="O251">
        <v>1</v>
      </c>
      <c r="P251" t="s">
        <v>57</v>
      </c>
      <c r="Q251" t="s">
        <v>30</v>
      </c>
      <c r="R251" t="s">
        <v>30</v>
      </c>
      <c r="S251">
        <v>18</v>
      </c>
      <c r="T251" t="s">
        <v>42</v>
      </c>
      <c r="U251" t="s">
        <v>52</v>
      </c>
      <c r="V251" s="1">
        <v>45539</v>
      </c>
      <c r="W251">
        <f>Table1[[#This Row],[customer_purchase count]]+1</f>
        <v>19</v>
      </c>
      <c r="X251">
        <f>Table1[[#This Row],[customer_purchase count]]*Rules!$B$3</f>
        <v>1075.7584615384617</v>
      </c>
      <c r="Y251" t="str">
        <f>IF(Table1[[#This Row],[customer_subscription]]=1,"Subscribed","Not Subscribed")</f>
        <v>Subscribed</v>
      </c>
    </row>
    <row r="252" spans="1:26" x14ac:dyDescent="0.25">
      <c r="A252">
        <v>251</v>
      </c>
      <c r="B252">
        <v>33</v>
      </c>
      <c r="C252" t="s">
        <v>22</v>
      </c>
      <c r="D252">
        <v>251</v>
      </c>
      <c r="E252" t="s">
        <v>90</v>
      </c>
      <c r="F252" t="s">
        <v>24</v>
      </c>
      <c r="G252">
        <v>251</v>
      </c>
      <c r="H252">
        <v>500</v>
      </c>
      <c r="I252">
        <v>25</v>
      </c>
      <c r="J252" t="s">
        <v>94</v>
      </c>
      <c r="K252" t="s">
        <v>26</v>
      </c>
      <c r="L252" t="s">
        <v>97</v>
      </c>
      <c r="M252" t="s">
        <v>60</v>
      </c>
      <c r="N252">
        <v>4</v>
      </c>
      <c r="O252">
        <v>1</v>
      </c>
      <c r="P252" t="s">
        <v>29</v>
      </c>
      <c r="Q252" t="s">
        <v>30</v>
      </c>
      <c r="R252" t="s">
        <v>30</v>
      </c>
      <c r="S252">
        <v>9</v>
      </c>
      <c r="T252" t="s">
        <v>78</v>
      </c>
      <c r="U252" t="s">
        <v>43</v>
      </c>
      <c r="V252" s="1">
        <v>45606</v>
      </c>
      <c r="W252">
        <f>Table1[[#This Row],[customer_purchase count]]+1</f>
        <v>10</v>
      </c>
      <c r="X252">
        <f>Table1[[#This Row],[customer_purchase count]]*Rules!$B$3</f>
        <v>537.87923076923084</v>
      </c>
      <c r="Y252" t="str">
        <f>IF(Table1[[#This Row],[customer_subscription]]=1,"Subscribed","Not Subscribed")</f>
        <v>Subscribed</v>
      </c>
    </row>
    <row r="253" spans="1:26" x14ac:dyDescent="0.25">
      <c r="A253">
        <v>252</v>
      </c>
      <c r="B253">
        <v>21</v>
      </c>
      <c r="C253" t="s">
        <v>22</v>
      </c>
      <c r="D253">
        <v>252</v>
      </c>
      <c r="E253" t="s">
        <v>69</v>
      </c>
      <c r="F253" t="s">
        <v>70</v>
      </c>
      <c r="G253">
        <v>252</v>
      </c>
      <c r="H253">
        <v>501</v>
      </c>
      <c r="I253">
        <v>51</v>
      </c>
      <c r="J253" t="s">
        <v>54</v>
      </c>
      <c r="K253" t="s">
        <v>95</v>
      </c>
      <c r="L253" t="s">
        <v>83</v>
      </c>
      <c r="M253" t="s">
        <v>28</v>
      </c>
      <c r="N253">
        <v>2.5</v>
      </c>
      <c r="O253">
        <v>1</v>
      </c>
      <c r="P253" t="s">
        <v>57</v>
      </c>
      <c r="Q253" t="s">
        <v>30</v>
      </c>
      <c r="R253" t="s">
        <v>30</v>
      </c>
      <c r="S253">
        <v>34</v>
      </c>
      <c r="T253" t="s">
        <v>49</v>
      </c>
      <c r="U253" t="s">
        <v>52</v>
      </c>
      <c r="V253" s="1">
        <v>45344</v>
      </c>
      <c r="W253">
        <f>Table1[[#This Row],[customer_purchase count]]+1</f>
        <v>35</v>
      </c>
      <c r="X253">
        <f>Table1[[#This Row],[customer_purchase count]]*Rules!$B$3</f>
        <v>2031.9882051282052</v>
      </c>
      <c r="Y253" t="str">
        <f>IF(Table1[[#This Row],[customer_subscription]]=1,"Subscribed","Not Subscribed")</f>
        <v>Subscribed</v>
      </c>
    </row>
    <row r="254" spans="1:26" x14ac:dyDescent="0.25">
      <c r="A254">
        <v>253</v>
      </c>
      <c r="B254">
        <v>32</v>
      </c>
      <c r="C254" t="s">
        <v>22</v>
      </c>
      <c r="D254">
        <v>253</v>
      </c>
      <c r="E254" t="s">
        <v>62</v>
      </c>
      <c r="F254" t="s">
        <v>24</v>
      </c>
      <c r="G254">
        <v>253</v>
      </c>
      <c r="H254">
        <v>502</v>
      </c>
      <c r="I254">
        <v>41</v>
      </c>
      <c r="J254" t="s">
        <v>82</v>
      </c>
      <c r="K254" t="s">
        <v>47</v>
      </c>
      <c r="L254" t="s">
        <v>86</v>
      </c>
      <c r="M254" t="s">
        <v>56</v>
      </c>
      <c r="N254">
        <v>3.9</v>
      </c>
      <c r="O254">
        <v>1</v>
      </c>
      <c r="P254" t="s">
        <v>41</v>
      </c>
      <c r="Q254" t="s">
        <v>30</v>
      </c>
      <c r="R254" t="s">
        <v>30</v>
      </c>
      <c r="S254">
        <v>33</v>
      </c>
      <c r="T254" t="s">
        <v>31</v>
      </c>
      <c r="U254" t="s">
        <v>32</v>
      </c>
      <c r="V254" s="1">
        <v>45457</v>
      </c>
      <c r="W254">
        <f>Table1[[#This Row],[customer_purchase count]]+1</f>
        <v>34</v>
      </c>
      <c r="X254">
        <f>Table1[[#This Row],[customer_purchase count]]*Rules!$B$3</f>
        <v>1972.2238461538464</v>
      </c>
      <c r="Y254" t="str">
        <f>IF(Table1[[#This Row],[customer_subscription]]=1,"Subscribed","Not Subscribed")</f>
        <v>Subscribed</v>
      </c>
      <c r="Z254" t="s">
        <v>193</v>
      </c>
    </row>
    <row r="255" spans="1:26" x14ac:dyDescent="0.25">
      <c r="A255">
        <v>254</v>
      </c>
      <c r="B255">
        <v>52</v>
      </c>
      <c r="C255" t="s">
        <v>22</v>
      </c>
      <c r="D255">
        <v>254</v>
      </c>
      <c r="E255" t="s">
        <v>140</v>
      </c>
      <c r="F255" t="s">
        <v>45</v>
      </c>
      <c r="G255">
        <v>254</v>
      </c>
      <c r="H255">
        <v>503</v>
      </c>
      <c r="I255">
        <v>73</v>
      </c>
      <c r="J255" t="s">
        <v>104</v>
      </c>
      <c r="K255" t="s">
        <v>26</v>
      </c>
      <c r="L255" t="s">
        <v>112</v>
      </c>
      <c r="M255" t="s">
        <v>28</v>
      </c>
      <c r="N255">
        <v>4.9000000000000004</v>
      </c>
      <c r="O255">
        <v>1</v>
      </c>
      <c r="P255" t="s">
        <v>73</v>
      </c>
      <c r="Q255" t="s">
        <v>30</v>
      </c>
      <c r="R255" t="s">
        <v>30</v>
      </c>
      <c r="S255">
        <v>15</v>
      </c>
      <c r="T255" t="s">
        <v>78</v>
      </c>
      <c r="U255" t="s">
        <v>79</v>
      </c>
      <c r="V255" s="1">
        <v>45316</v>
      </c>
      <c r="W255">
        <f>Table1[[#This Row],[customer_purchase count]]+1</f>
        <v>16</v>
      </c>
      <c r="X255">
        <f>Table1[[#This Row],[customer_purchase count]]*Rules!$B$3</f>
        <v>896.46538461538466</v>
      </c>
      <c r="Y255" t="str">
        <f>IF(Table1[[#This Row],[customer_subscription]]=1,"Subscribed","Not Subscribed")</f>
        <v>Subscribed</v>
      </c>
    </row>
    <row r="256" spans="1:26" x14ac:dyDescent="0.25">
      <c r="A256">
        <v>255</v>
      </c>
      <c r="B256">
        <v>67</v>
      </c>
      <c r="C256" t="s">
        <v>22</v>
      </c>
      <c r="D256">
        <v>255</v>
      </c>
      <c r="E256" t="s">
        <v>92</v>
      </c>
      <c r="F256" t="s">
        <v>70</v>
      </c>
      <c r="G256">
        <v>255</v>
      </c>
      <c r="H256">
        <v>505</v>
      </c>
      <c r="I256">
        <v>42</v>
      </c>
      <c r="J256" t="s">
        <v>119</v>
      </c>
      <c r="K256" t="s">
        <v>47</v>
      </c>
      <c r="L256" t="s">
        <v>55</v>
      </c>
      <c r="M256" t="s">
        <v>28</v>
      </c>
      <c r="N256">
        <v>3.5</v>
      </c>
      <c r="O256">
        <v>1</v>
      </c>
      <c r="P256" t="s">
        <v>77</v>
      </c>
      <c r="Q256" t="s">
        <v>30</v>
      </c>
      <c r="R256" t="s">
        <v>30</v>
      </c>
      <c r="S256">
        <v>4</v>
      </c>
      <c r="T256" t="s">
        <v>49</v>
      </c>
      <c r="U256" t="s">
        <v>79</v>
      </c>
      <c r="V256" s="1">
        <v>45632</v>
      </c>
      <c r="W256">
        <f>Table1[[#This Row],[customer_purchase count]]+1</f>
        <v>5</v>
      </c>
      <c r="X256">
        <f>Table1[[#This Row],[customer_purchase count]]*Rules!$B$3</f>
        <v>239.05743589743591</v>
      </c>
      <c r="Y256" t="str">
        <f>IF(Table1[[#This Row],[customer_subscription]]=1,"Subscribed","Not Subscribed")</f>
        <v>Subscribed</v>
      </c>
    </row>
    <row r="257" spans="1:25" x14ac:dyDescent="0.25">
      <c r="A257">
        <v>256</v>
      </c>
      <c r="B257">
        <v>43</v>
      </c>
      <c r="C257" t="s">
        <v>22</v>
      </c>
      <c r="D257">
        <v>256</v>
      </c>
      <c r="E257" t="s">
        <v>122</v>
      </c>
      <c r="F257" t="s">
        <v>70</v>
      </c>
      <c r="G257">
        <v>256</v>
      </c>
      <c r="H257">
        <v>506</v>
      </c>
      <c r="I257">
        <v>20</v>
      </c>
      <c r="J257" t="s">
        <v>131</v>
      </c>
      <c r="K257" t="s">
        <v>47</v>
      </c>
      <c r="L257" t="s">
        <v>64</v>
      </c>
      <c r="M257" t="s">
        <v>40</v>
      </c>
      <c r="N257">
        <v>4.2</v>
      </c>
      <c r="O257">
        <v>1</v>
      </c>
      <c r="P257" t="s">
        <v>41</v>
      </c>
      <c r="Q257" t="s">
        <v>30</v>
      </c>
      <c r="R257" t="s">
        <v>30</v>
      </c>
      <c r="S257">
        <v>25</v>
      </c>
      <c r="T257" t="s">
        <v>89</v>
      </c>
      <c r="U257" t="s">
        <v>52</v>
      </c>
      <c r="V257" s="1">
        <v>45362</v>
      </c>
      <c r="W257">
        <f>Table1[[#This Row],[customer_purchase count]]+1</f>
        <v>26</v>
      </c>
      <c r="X257">
        <f>Table1[[#This Row],[customer_purchase count]]*Rules!$B$3</f>
        <v>1494.1089743589744</v>
      </c>
      <c r="Y257" t="str">
        <f>IF(Table1[[#This Row],[customer_subscription]]=1,"Subscribed","Not Subscribed")</f>
        <v>Subscribed</v>
      </c>
    </row>
    <row r="258" spans="1:25" x14ac:dyDescent="0.25">
      <c r="A258">
        <v>257</v>
      </c>
      <c r="B258">
        <v>58</v>
      </c>
      <c r="C258" t="s">
        <v>22</v>
      </c>
      <c r="D258">
        <v>257</v>
      </c>
      <c r="E258" t="s">
        <v>109</v>
      </c>
      <c r="F258" t="s">
        <v>70</v>
      </c>
      <c r="G258">
        <v>257</v>
      </c>
      <c r="H258">
        <v>507</v>
      </c>
      <c r="I258">
        <v>30</v>
      </c>
      <c r="J258" t="s">
        <v>150</v>
      </c>
      <c r="K258" t="s">
        <v>95</v>
      </c>
      <c r="L258" t="s">
        <v>86</v>
      </c>
      <c r="M258" t="s">
        <v>40</v>
      </c>
      <c r="N258">
        <v>4.7</v>
      </c>
      <c r="O258">
        <v>1</v>
      </c>
      <c r="P258" t="s">
        <v>29</v>
      </c>
      <c r="Q258" t="s">
        <v>30</v>
      </c>
      <c r="R258" t="s">
        <v>30</v>
      </c>
      <c r="S258">
        <v>20</v>
      </c>
      <c r="T258" t="s">
        <v>42</v>
      </c>
      <c r="U258" t="s">
        <v>100</v>
      </c>
      <c r="V258" s="1">
        <v>45355</v>
      </c>
      <c r="W258">
        <f>Table1[[#This Row],[customer_purchase count]]+1</f>
        <v>21</v>
      </c>
      <c r="X258">
        <f>Table1[[#This Row],[customer_purchase count]]*Rules!$B$3</f>
        <v>1195.2871794871796</v>
      </c>
      <c r="Y258" t="str">
        <f>IF(Table1[[#This Row],[customer_subscription]]=1,"Subscribed","Not Subscribed")</f>
        <v>Subscribed</v>
      </c>
    </row>
    <row r="259" spans="1:25" x14ac:dyDescent="0.25">
      <c r="A259">
        <v>258</v>
      </c>
      <c r="B259">
        <v>20</v>
      </c>
      <c r="C259" t="s">
        <v>22</v>
      </c>
      <c r="D259">
        <v>258</v>
      </c>
      <c r="E259" t="s">
        <v>69</v>
      </c>
      <c r="F259" t="s">
        <v>70</v>
      </c>
      <c r="G259">
        <v>258</v>
      </c>
      <c r="H259">
        <v>508</v>
      </c>
      <c r="I259">
        <v>53</v>
      </c>
      <c r="J259" t="s">
        <v>67</v>
      </c>
      <c r="K259" t="s">
        <v>47</v>
      </c>
      <c r="L259" t="s">
        <v>111</v>
      </c>
      <c r="M259" t="s">
        <v>56</v>
      </c>
      <c r="N259">
        <v>4.5</v>
      </c>
      <c r="O259">
        <v>1</v>
      </c>
      <c r="P259" t="s">
        <v>29</v>
      </c>
      <c r="Q259" t="s">
        <v>30</v>
      </c>
      <c r="R259" t="s">
        <v>30</v>
      </c>
      <c r="S259">
        <v>5</v>
      </c>
      <c r="T259" t="s">
        <v>42</v>
      </c>
      <c r="U259" t="s">
        <v>61</v>
      </c>
      <c r="V259" s="1">
        <v>45459</v>
      </c>
      <c r="W259">
        <f>Table1[[#This Row],[customer_purchase count]]+1</f>
        <v>6</v>
      </c>
      <c r="X259">
        <f>Table1[[#This Row],[customer_purchase count]]*Rules!$B$3</f>
        <v>298.82179487179491</v>
      </c>
      <c r="Y259" t="str">
        <f>IF(Table1[[#This Row],[customer_subscription]]=1,"Subscribed","Not Subscribed")</f>
        <v>Subscribed</v>
      </c>
    </row>
    <row r="260" spans="1:25" x14ac:dyDescent="0.25">
      <c r="A260">
        <v>259</v>
      </c>
      <c r="B260">
        <v>61</v>
      </c>
      <c r="C260" t="s">
        <v>22</v>
      </c>
      <c r="D260">
        <v>259</v>
      </c>
      <c r="E260" t="s">
        <v>146</v>
      </c>
      <c r="F260" t="s">
        <v>70</v>
      </c>
      <c r="G260">
        <v>259</v>
      </c>
      <c r="H260">
        <v>509</v>
      </c>
      <c r="I260">
        <v>74</v>
      </c>
      <c r="J260" t="s">
        <v>93</v>
      </c>
      <c r="K260" t="s">
        <v>39</v>
      </c>
      <c r="L260" t="s">
        <v>96</v>
      </c>
      <c r="M260" t="s">
        <v>40</v>
      </c>
      <c r="N260">
        <v>2.8</v>
      </c>
      <c r="O260">
        <v>1</v>
      </c>
      <c r="P260" t="s">
        <v>29</v>
      </c>
      <c r="Q260" t="s">
        <v>30</v>
      </c>
      <c r="R260" t="s">
        <v>30</v>
      </c>
      <c r="S260">
        <v>16</v>
      </c>
      <c r="T260" t="s">
        <v>36</v>
      </c>
      <c r="U260" t="s">
        <v>61</v>
      </c>
      <c r="V260" s="1">
        <v>45413</v>
      </c>
      <c r="W260">
        <f>Table1[[#This Row],[customer_purchase count]]+1</f>
        <v>17</v>
      </c>
      <c r="X260">
        <f>Table1[[#This Row],[customer_purchase count]]*Rules!$B$3</f>
        <v>956.22974358974363</v>
      </c>
      <c r="Y260" t="str">
        <f>IF(Table1[[#This Row],[customer_subscription]]=1,"Subscribed","Not Subscribed")</f>
        <v>Subscribed</v>
      </c>
    </row>
    <row r="261" spans="1:25" x14ac:dyDescent="0.25">
      <c r="A261">
        <v>260</v>
      </c>
      <c r="B261">
        <v>32</v>
      </c>
      <c r="C261" t="s">
        <v>22</v>
      </c>
      <c r="D261">
        <v>260</v>
      </c>
      <c r="E261" t="s">
        <v>37</v>
      </c>
      <c r="F261" t="s">
        <v>24</v>
      </c>
      <c r="G261">
        <v>260</v>
      </c>
      <c r="H261">
        <v>511</v>
      </c>
      <c r="I261">
        <v>57</v>
      </c>
      <c r="J261" t="s">
        <v>63</v>
      </c>
      <c r="K261" t="s">
        <v>47</v>
      </c>
      <c r="L261" t="s">
        <v>83</v>
      </c>
      <c r="M261" t="s">
        <v>60</v>
      </c>
      <c r="N261">
        <v>2.9</v>
      </c>
      <c r="O261">
        <v>1</v>
      </c>
      <c r="P261" t="s">
        <v>57</v>
      </c>
      <c r="Q261" t="s">
        <v>30</v>
      </c>
      <c r="R261" t="s">
        <v>30</v>
      </c>
      <c r="S261">
        <v>13</v>
      </c>
      <c r="T261" t="s">
        <v>89</v>
      </c>
      <c r="U261" t="s">
        <v>52</v>
      </c>
      <c r="V261" s="1">
        <v>45588</v>
      </c>
      <c r="W261">
        <f>Table1[[#This Row],[customer_purchase count]]+1</f>
        <v>14</v>
      </c>
      <c r="X261">
        <f>Table1[[#This Row],[customer_purchase count]]*Rules!$B$3</f>
        <v>776.93666666666672</v>
      </c>
      <c r="Y261" t="str">
        <f>IF(Table1[[#This Row],[customer_subscription]]=1,"Subscribed","Not Subscribed")</f>
        <v>Subscribed</v>
      </c>
    </row>
    <row r="262" spans="1:25" x14ac:dyDescent="0.25">
      <c r="A262">
        <v>261</v>
      </c>
      <c r="B262">
        <v>38</v>
      </c>
      <c r="C262" t="s">
        <v>22</v>
      </c>
      <c r="D262">
        <v>261</v>
      </c>
      <c r="E262" t="s">
        <v>127</v>
      </c>
      <c r="F262" t="s">
        <v>70</v>
      </c>
      <c r="G262">
        <v>261</v>
      </c>
      <c r="H262">
        <v>512</v>
      </c>
      <c r="I262">
        <v>57</v>
      </c>
      <c r="J262" t="s">
        <v>59</v>
      </c>
      <c r="K262" t="s">
        <v>39</v>
      </c>
      <c r="L262" t="s">
        <v>111</v>
      </c>
      <c r="M262" t="s">
        <v>28</v>
      </c>
      <c r="N262">
        <v>3.2</v>
      </c>
      <c r="O262">
        <v>1</v>
      </c>
      <c r="P262" t="s">
        <v>73</v>
      </c>
      <c r="Q262" t="s">
        <v>30</v>
      </c>
      <c r="R262" t="s">
        <v>30</v>
      </c>
      <c r="S262">
        <v>11</v>
      </c>
      <c r="T262" t="s">
        <v>42</v>
      </c>
      <c r="U262" t="s">
        <v>100</v>
      </c>
      <c r="V262" s="1">
        <v>45347</v>
      </c>
      <c r="W262">
        <f>Table1[[#This Row],[customer_purchase count]]+1</f>
        <v>12</v>
      </c>
      <c r="X262">
        <f>Table1[[#This Row],[customer_purchase count]]*Rules!$B$3</f>
        <v>657.40794871794878</v>
      </c>
      <c r="Y262" t="str">
        <f>IF(Table1[[#This Row],[customer_subscription]]=1,"Subscribed","Not Subscribed")</f>
        <v>Subscribed</v>
      </c>
    </row>
    <row r="263" spans="1:25" x14ac:dyDescent="0.25">
      <c r="A263">
        <v>262</v>
      </c>
      <c r="B263">
        <v>21</v>
      </c>
      <c r="C263" t="s">
        <v>22</v>
      </c>
      <c r="D263">
        <v>262</v>
      </c>
      <c r="E263" t="s">
        <v>37</v>
      </c>
      <c r="F263" t="s">
        <v>24</v>
      </c>
      <c r="G263">
        <v>262</v>
      </c>
      <c r="H263">
        <v>513</v>
      </c>
      <c r="I263">
        <v>77</v>
      </c>
      <c r="J263" t="s">
        <v>102</v>
      </c>
      <c r="K263" t="s">
        <v>26</v>
      </c>
      <c r="L263" t="s">
        <v>139</v>
      </c>
      <c r="M263" t="s">
        <v>28</v>
      </c>
      <c r="N263">
        <v>4.9000000000000004</v>
      </c>
      <c r="O263">
        <v>1</v>
      </c>
      <c r="P263" t="s">
        <v>57</v>
      </c>
      <c r="Q263" t="s">
        <v>30</v>
      </c>
      <c r="R263" t="s">
        <v>30</v>
      </c>
      <c r="S263">
        <v>21</v>
      </c>
      <c r="T263" t="s">
        <v>42</v>
      </c>
      <c r="U263" t="s">
        <v>52</v>
      </c>
      <c r="V263" s="1">
        <v>45344</v>
      </c>
      <c r="W263">
        <f>Table1[[#This Row],[customer_purchase count]]+1</f>
        <v>22</v>
      </c>
      <c r="X263">
        <f>Table1[[#This Row],[customer_purchase count]]*Rules!$B$3</f>
        <v>1255.0515384615385</v>
      </c>
      <c r="Y263" t="str">
        <f>IF(Table1[[#This Row],[customer_subscription]]=1,"Subscribed","Not Subscribed")</f>
        <v>Subscribed</v>
      </c>
    </row>
    <row r="264" spans="1:25" x14ac:dyDescent="0.25">
      <c r="A264">
        <v>263</v>
      </c>
      <c r="B264">
        <v>37</v>
      </c>
      <c r="C264" t="s">
        <v>22</v>
      </c>
      <c r="D264">
        <v>263</v>
      </c>
      <c r="E264" t="s">
        <v>98</v>
      </c>
      <c r="F264" t="s">
        <v>24</v>
      </c>
      <c r="G264">
        <v>263</v>
      </c>
      <c r="H264">
        <v>514</v>
      </c>
      <c r="I264">
        <v>40</v>
      </c>
      <c r="J264" t="s">
        <v>80</v>
      </c>
      <c r="K264" t="s">
        <v>47</v>
      </c>
      <c r="L264" t="s">
        <v>88</v>
      </c>
      <c r="M264" t="s">
        <v>56</v>
      </c>
      <c r="N264">
        <v>3.7</v>
      </c>
      <c r="O264">
        <v>1</v>
      </c>
      <c r="P264" t="s">
        <v>48</v>
      </c>
      <c r="Q264" t="s">
        <v>30</v>
      </c>
      <c r="R264" t="s">
        <v>30</v>
      </c>
      <c r="S264">
        <v>6</v>
      </c>
      <c r="T264" t="s">
        <v>89</v>
      </c>
      <c r="U264" t="s">
        <v>52</v>
      </c>
      <c r="V264" s="1">
        <v>45495</v>
      </c>
      <c r="W264">
        <f>Table1[[#This Row],[customer_purchase count]]+1</f>
        <v>7</v>
      </c>
      <c r="X264">
        <f>Table1[[#This Row],[customer_purchase count]]*Rules!$B$3</f>
        <v>358.58615384615388</v>
      </c>
      <c r="Y264" t="str">
        <f>IF(Table1[[#This Row],[customer_subscription]]=1,"Subscribed","Not Subscribed")</f>
        <v>Subscribed</v>
      </c>
    </row>
    <row r="265" spans="1:25" x14ac:dyDescent="0.25">
      <c r="A265">
        <v>264</v>
      </c>
      <c r="B265">
        <v>27</v>
      </c>
      <c r="C265" t="s">
        <v>22</v>
      </c>
      <c r="D265">
        <v>264</v>
      </c>
      <c r="E265" t="s">
        <v>62</v>
      </c>
      <c r="F265" t="s">
        <v>24</v>
      </c>
      <c r="G265">
        <v>264</v>
      </c>
      <c r="H265">
        <v>515</v>
      </c>
      <c r="I265">
        <v>46</v>
      </c>
      <c r="J265" t="s">
        <v>149</v>
      </c>
      <c r="K265" t="s">
        <v>47</v>
      </c>
      <c r="L265" t="s">
        <v>76</v>
      </c>
      <c r="M265" t="s">
        <v>56</v>
      </c>
      <c r="N265">
        <v>4.3</v>
      </c>
      <c r="O265">
        <v>1</v>
      </c>
      <c r="P265" t="s">
        <v>77</v>
      </c>
      <c r="Q265" t="s">
        <v>30</v>
      </c>
      <c r="R265" t="s">
        <v>30</v>
      </c>
      <c r="S265">
        <v>29</v>
      </c>
      <c r="T265" t="s">
        <v>31</v>
      </c>
      <c r="U265" t="s">
        <v>91</v>
      </c>
      <c r="V265" s="1">
        <v>45508</v>
      </c>
      <c r="W265">
        <f>Table1[[#This Row],[customer_purchase count]]+1</f>
        <v>30</v>
      </c>
      <c r="X265">
        <f>Table1[[#This Row],[customer_purchase count]]*Rules!$B$3</f>
        <v>1733.1664102564102</v>
      </c>
      <c r="Y265" t="str">
        <f>IF(Table1[[#This Row],[customer_subscription]]=1,"Subscribed","Not Subscribed")</f>
        <v>Subscribed</v>
      </c>
    </row>
    <row r="266" spans="1:25" x14ac:dyDescent="0.25">
      <c r="A266">
        <v>265</v>
      </c>
      <c r="B266">
        <v>36</v>
      </c>
      <c r="C266" t="s">
        <v>22</v>
      </c>
      <c r="D266">
        <v>265</v>
      </c>
      <c r="E266" t="s">
        <v>98</v>
      </c>
      <c r="F266" t="s">
        <v>24</v>
      </c>
      <c r="G266">
        <v>265</v>
      </c>
      <c r="H266">
        <v>517</v>
      </c>
      <c r="I266">
        <v>78</v>
      </c>
      <c r="J266" t="s">
        <v>115</v>
      </c>
      <c r="K266" t="s">
        <v>39</v>
      </c>
      <c r="L266" t="s">
        <v>64</v>
      </c>
      <c r="M266" t="s">
        <v>60</v>
      </c>
      <c r="N266">
        <v>3.9</v>
      </c>
      <c r="O266">
        <v>1</v>
      </c>
      <c r="P266" t="s">
        <v>77</v>
      </c>
      <c r="Q266" t="s">
        <v>30</v>
      </c>
      <c r="R266" t="s">
        <v>30</v>
      </c>
      <c r="S266">
        <v>15</v>
      </c>
      <c r="T266" t="s">
        <v>36</v>
      </c>
      <c r="U266" t="s">
        <v>52</v>
      </c>
      <c r="V266" s="1">
        <v>45561</v>
      </c>
      <c r="W266">
        <f>Table1[[#This Row],[customer_purchase count]]+1</f>
        <v>16</v>
      </c>
      <c r="X266">
        <f>Table1[[#This Row],[customer_purchase count]]*Rules!$B$3</f>
        <v>896.46538461538466</v>
      </c>
      <c r="Y266" t="str">
        <f>IF(Table1[[#This Row],[customer_subscription]]=1,"Subscribed","Not Subscribed")</f>
        <v>Subscribed</v>
      </c>
    </row>
    <row r="267" spans="1:25" x14ac:dyDescent="0.25">
      <c r="A267">
        <v>266</v>
      </c>
      <c r="B267">
        <v>32</v>
      </c>
      <c r="C267" t="s">
        <v>22</v>
      </c>
      <c r="D267">
        <v>266</v>
      </c>
      <c r="E267" t="s">
        <v>135</v>
      </c>
      <c r="F267" t="s">
        <v>70</v>
      </c>
      <c r="G267">
        <v>266</v>
      </c>
      <c r="H267">
        <v>518</v>
      </c>
      <c r="I267">
        <v>59</v>
      </c>
      <c r="J267" t="s">
        <v>154</v>
      </c>
      <c r="K267" t="s">
        <v>47</v>
      </c>
      <c r="L267" t="s">
        <v>27</v>
      </c>
      <c r="M267" t="s">
        <v>40</v>
      </c>
      <c r="N267">
        <v>3.2</v>
      </c>
      <c r="O267">
        <v>1</v>
      </c>
      <c r="P267" t="s">
        <v>73</v>
      </c>
      <c r="Q267" t="s">
        <v>30</v>
      </c>
      <c r="R267" t="s">
        <v>30</v>
      </c>
      <c r="S267">
        <v>17</v>
      </c>
      <c r="T267" t="s">
        <v>78</v>
      </c>
      <c r="U267" t="s">
        <v>79</v>
      </c>
      <c r="V267" s="1">
        <v>45414</v>
      </c>
      <c r="W267">
        <f>Table1[[#This Row],[customer_purchase count]]+1</f>
        <v>18</v>
      </c>
      <c r="X267">
        <f>Table1[[#This Row],[customer_purchase count]]*Rules!$B$3</f>
        <v>1015.9941025641026</v>
      </c>
      <c r="Y267" t="str">
        <f>IF(Table1[[#This Row],[customer_subscription]]=1,"Subscribed","Not Subscribed")</f>
        <v>Subscribed</v>
      </c>
    </row>
    <row r="268" spans="1:25" x14ac:dyDescent="0.25">
      <c r="A268">
        <v>267</v>
      </c>
      <c r="B268">
        <v>51</v>
      </c>
      <c r="C268" t="s">
        <v>22</v>
      </c>
      <c r="D268">
        <v>267</v>
      </c>
      <c r="E268" t="s">
        <v>109</v>
      </c>
      <c r="F268" t="s">
        <v>70</v>
      </c>
      <c r="G268">
        <v>267</v>
      </c>
      <c r="H268">
        <v>519</v>
      </c>
      <c r="I268">
        <v>75</v>
      </c>
      <c r="J268" t="s">
        <v>63</v>
      </c>
      <c r="K268" t="s">
        <v>26</v>
      </c>
      <c r="L268" t="s">
        <v>55</v>
      </c>
      <c r="M268" t="s">
        <v>56</v>
      </c>
      <c r="N268">
        <v>3.1</v>
      </c>
      <c r="O268">
        <v>1</v>
      </c>
      <c r="P268" t="s">
        <v>29</v>
      </c>
      <c r="Q268" t="s">
        <v>30</v>
      </c>
      <c r="R268" t="s">
        <v>30</v>
      </c>
      <c r="S268">
        <v>32</v>
      </c>
      <c r="T268" t="s">
        <v>42</v>
      </c>
      <c r="U268" t="s">
        <v>43</v>
      </c>
      <c r="V268" s="1">
        <v>45479</v>
      </c>
      <c r="W268">
        <f>Table1[[#This Row],[customer_purchase count]]+1</f>
        <v>33</v>
      </c>
      <c r="X268">
        <f>Table1[[#This Row],[customer_purchase count]]*Rules!$B$3</f>
        <v>1912.4594871794873</v>
      </c>
      <c r="Y268" t="str">
        <f>IF(Table1[[#This Row],[customer_subscription]]=1,"Subscribed","Not Subscribed")</f>
        <v>Subscribed</v>
      </c>
    </row>
    <row r="269" spans="1:25" x14ac:dyDescent="0.25">
      <c r="A269">
        <v>268</v>
      </c>
      <c r="B269">
        <v>64</v>
      </c>
      <c r="C269" t="s">
        <v>22</v>
      </c>
      <c r="D269">
        <v>268</v>
      </c>
      <c r="E269" t="s">
        <v>33</v>
      </c>
      <c r="F269" t="s">
        <v>24</v>
      </c>
      <c r="G269">
        <v>268</v>
      </c>
      <c r="H269">
        <v>520</v>
      </c>
      <c r="I269">
        <v>54</v>
      </c>
      <c r="J269" t="s">
        <v>131</v>
      </c>
      <c r="K269" t="s">
        <v>47</v>
      </c>
      <c r="L269" t="s">
        <v>81</v>
      </c>
      <c r="M269" t="s">
        <v>40</v>
      </c>
      <c r="N269">
        <v>3.9</v>
      </c>
      <c r="O269">
        <v>1</v>
      </c>
      <c r="P269" t="s">
        <v>73</v>
      </c>
      <c r="Q269" t="s">
        <v>30</v>
      </c>
      <c r="R269" t="s">
        <v>30</v>
      </c>
      <c r="S269">
        <v>42</v>
      </c>
      <c r="T269" t="s">
        <v>31</v>
      </c>
      <c r="U269" t="s">
        <v>52</v>
      </c>
      <c r="V269" s="1">
        <v>45396</v>
      </c>
      <c r="W269">
        <f>Table1[[#This Row],[customer_purchase count]]+1</f>
        <v>43</v>
      </c>
      <c r="X269">
        <f>Table1[[#This Row],[customer_purchase count]]*Rules!$B$3</f>
        <v>2510.103076923077</v>
      </c>
      <c r="Y269" t="str">
        <f>IF(Table1[[#This Row],[customer_subscription]]=1,"Subscribed","Not Subscribed")</f>
        <v>Subscribed</v>
      </c>
    </row>
    <row r="270" spans="1:25" x14ac:dyDescent="0.25">
      <c r="A270">
        <v>269</v>
      </c>
      <c r="B270">
        <v>68</v>
      </c>
      <c r="C270" t="s">
        <v>22</v>
      </c>
      <c r="D270">
        <v>269</v>
      </c>
      <c r="E270" t="s">
        <v>74</v>
      </c>
      <c r="F270" t="s">
        <v>45</v>
      </c>
      <c r="G270">
        <v>269</v>
      </c>
      <c r="H270">
        <v>521</v>
      </c>
      <c r="I270">
        <v>42</v>
      </c>
      <c r="J270" t="s">
        <v>145</v>
      </c>
      <c r="K270" t="s">
        <v>47</v>
      </c>
      <c r="L270" t="s">
        <v>64</v>
      </c>
      <c r="M270" t="s">
        <v>40</v>
      </c>
      <c r="N270">
        <v>2.6</v>
      </c>
      <c r="O270">
        <v>1</v>
      </c>
      <c r="P270" t="s">
        <v>77</v>
      </c>
      <c r="Q270" t="s">
        <v>30</v>
      </c>
      <c r="R270" t="s">
        <v>30</v>
      </c>
      <c r="S270">
        <v>21</v>
      </c>
      <c r="T270" t="s">
        <v>36</v>
      </c>
      <c r="U270" t="s">
        <v>91</v>
      </c>
      <c r="V270" s="1">
        <v>45434</v>
      </c>
      <c r="W270">
        <f>Table1[[#This Row],[customer_purchase count]]+1</f>
        <v>22</v>
      </c>
      <c r="X270">
        <f>Table1[[#This Row],[customer_purchase count]]*Rules!$B$3</f>
        <v>1255.0515384615385</v>
      </c>
      <c r="Y270" t="str">
        <f>IF(Table1[[#This Row],[customer_subscription]]=1,"Subscribed","Not Subscribed")</f>
        <v>Subscribed</v>
      </c>
    </row>
    <row r="271" spans="1:25" x14ac:dyDescent="0.25">
      <c r="A271">
        <v>270</v>
      </c>
      <c r="B271">
        <v>68</v>
      </c>
      <c r="C271" t="s">
        <v>22</v>
      </c>
      <c r="D271">
        <v>270</v>
      </c>
      <c r="E271" t="s">
        <v>23</v>
      </c>
      <c r="F271" t="s">
        <v>24</v>
      </c>
      <c r="G271">
        <v>270</v>
      </c>
      <c r="H271">
        <v>523</v>
      </c>
      <c r="I271">
        <v>44</v>
      </c>
      <c r="J271" t="s">
        <v>145</v>
      </c>
      <c r="K271" t="s">
        <v>47</v>
      </c>
      <c r="L271" t="s">
        <v>64</v>
      </c>
      <c r="M271" t="s">
        <v>28</v>
      </c>
      <c r="N271">
        <v>3.3</v>
      </c>
      <c r="O271">
        <v>1</v>
      </c>
      <c r="P271" t="s">
        <v>48</v>
      </c>
      <c r="Q271" t="s">
        <v>30</v>
      </c>
      <c r="R271" t="s">
        <v>30</v>
      </c>
      <c r="S271">
        <v>9</v>
      </c>
      <c r="T271" t="s">
        <v>36</v>
      </c>
      <c r="U271" t="s">
        <v>79</v>
      </c>
      <c r="V271" s="1">
        <v>45333</v>
      </c>
      <c r="W271">
        <f>Table1[[#This Row],[customer_purchase count]]+1</f>
        <v>10</v>
      </c>
      <c r="X271">
        <f>Table1[[#This Row],[customer_purchase count]]*Rules!$B$3</f>
        <v>537.87923076923084</v>
      </c>
      <c r="Y271" t="str">
        <f>IF(Table1[[#This Row],[customer_subscription]]=1,"Subscribed","Not Subscribed")</f>
        <v>Subscribed</v>
      </c>
    </row>
    <row r="272" spans="1:25" x14ac:dyDescent="0.25">
      <c r="A272">
        <v>271</v>
      </c>
      <c r="B272">
        <v>33</v>
      </c>
      <c r="C272" t="s">
        <v>22</v>
      </c>
      <c r="D272">
        <v>271</v>
      </c>
      <c r="E272" t="s">
        <v>37</v>
      </c>
      <c r="F272" t="s">
        <v>24</v>
      </c>
      <c r="G272">
        <v>271</v>
      </c>
      <c r="H272">
        <v>524</v>
      </c>
      <c r="I272">
        <v>52</v>
      </c>
      <c r="J272" t="s">
        <v>117</v>
      </c>
      <c r="K272" t="s">
        <v>95</v>
      </c>
      <c r="L272" t="s">
        <v>124</v>
      </c>
      <c r="M272" t="s">
        <v>60</v>
      </c>
      <c r="N272">
        <v>4.5999999999999996</v>
      </c>
      <c r="O272">
        <v>1</v>
      </c>
      <c r="P272" t="s">
        <v>41</v>
      </c>
      <c r="Q272" t="s">
        <v>30</v>
      </c>
      <c r="R272" t="s">
        <v>30</v>
      </c>
      <c r="S272">
        <v>16</v>
      </c>
      <c r="T272" t="s">
        <v>78</v>
      </c>
      <c r="U272" t="s">
        <v>52</v>
      </c>
      <c r="V272" s="1">
        <v>45554</v>
      </c>
      <c r="W272">
        <f>Table1[[#This Row],[customer_purchase count]]+1</f>
        <v>17</v>
      </c>
      <c r="X272">
        <f>Table1[[#This Row],[customer_purchase count]]*Rules!$B$3</f>
        <v>956.22974358974363</v>
      </c>
      <c r="Y272" t="str">
        <f>IF(Table1[[#This Row],[customer_subscription]]=1,"Subscribed","Not Subscribed")</f>
        <v>Subscribed</v>
      </c>
    </row>
    <row r="273" spans="1:26" x14ac:dyDescent="0.25">
      <c r="A273">
        <v>272</v>
      </c>
      <c r="B273">
        <v>65</v>
      </c>
      <c r="C273" t="s">
        <v>22</v>
      </c>
      <c r="D273">
        <v>272</v>
      </c>
      <c r="E273" t="s">
        <v>92</v>
      </c>
      <c r="F273" t="s">
        <v>70</v>
      </c>
      <c r="G273">
        <v>272</v>
      </c>
      <c r="H273">
        <v>525</v>
      </c>
      <c r="I273">
        <v>69</v>
      </c>
      <c r="J273" t="s">
        <v>131</v>
      </c>
      <c r="K273" t="s">
        <v>95</v>
      </c>
      <c r="L273" t="s">
        <v>137</v>
      </c>
      <c r="M273" t="s">
        <v>56</v>
      </c>
      <c r="N273">
        <v>4.5999999999999996</v>
      </c>
      <c r="O273">
        <v>1</v>
      </c>
      <c r="P273" t="s">
        <v>29</v>
      </c>
      <c r="Q273" t="s">
        <v>30</v>
      </c>
      <c r="R273" t="s">
        <v>30</v>
      </c>
      <c r="S273">
        <v>42</v>
      </c>
      <c r="T273" t="s">
        <v>42</v>
      </c>
      <c r="U273" t="s">
        <v>32</v>
      </c>
      <c r="V273" s="1">
        <v>45455</v>
      </c>
      <c r="W273">
        <f>Table1[[#This Row],[customer_purchase count]]+1</f>
        <v>43</v>
      </c>
      <c r="X273">
        <f>Table1[[#This Row],[customer_purchase count]]*Rules!$B$3</f>
        <v>2510.103076923077</v>
      </c>
      <c r="Y273" t="str">
        <f>IF(Table1[[#This Row],[customer_subscription]]=1,"Subscribed","Not Subscribed")</f>
        <v>Subscribed</v>
      </c>
    </row>
    <row r="274" spans="1:26" x14ac:dyDescent="0.25">
      <c r="A274">
        <v>273</v>
      </c>
      <c r="B274">
        <v>48</v>
      </c>
      <c r="C274" t="s">
        <v>22</v>
      </c>
      <c r="D274">
        <v>273</v>
      </c>
      <c r="E274" t="s">
        <v>109</v>
      </c>
      <c r="F274" t="s">
        <v>70</v>
      </c>
      <c r="G274">
        <v>273</v>
      </c>
      <c r="H274">
        <v>526</v>
      </c>
      <c r="I274">
        <v>26</v>
      </c>
      <c r="J274" t="s">
        <v>50</v>
      </c>
      <c r="K274" t="s">
        <v>47</v>
      </c>
      <c r="L274" t="s">
        <v>121</v>
      </c>
      <c r="M274" t="s">
        <v>56</v>
      </c>
      <c r="N274">
        <v>4.4000000000000004</v>
      </c>
      <c r="O274">
        <v>1</v>
      </c>
      <c r="P274" t="s">
        <v>73</v>
      </c>
      <c r="Q274" t="s">
        <v>30</v>
      </c>
      <c r="R274" t="s">
        <v>30</v>
      </c>
      <c r="S274">
        <v>37</v>
      </c>
      <c r="T274" t="s">
        <v>89</v>
      </c>
      <c r="U274" t="s">
        <v>79</v>
      </c>
      <c r="V274" s="1">
        <v>45521</v>
      </c>
      <c r="W274">
        <f>Table1[[#This Row],[customer_purchase count]]+1</f>
        <v>38</v>
      </c>
      <c r="X274">
        <f>Table1[[#This Row],[customer_purchase count]]*Rules!$B$3</f>
        <v>2211.2812820512822</v>
      </c>
      <c r="Y274" t="str">
        <f>IF(Table1[[#This Row],[customer_subscription]]=1,"Subscribed","Not Subscribed")</f>
        <v>Subscribed</v>
      </c>
      <c r="Z274" t="s">
        <v>193</v>
      </c>
    </row>
    <row r="275" spans="1:26" x14ac:dyDescent="0.25">
      <c r="A275">
        <v>274</v>
      </c>
      <c r="B275">
        <v>69</v>
      </c>
      <c r="C275" t="s">
        <v>22</v>
      </c>
      <c r="D275">
        <v>274</v>
      </c>
      <c r="E275" t="s">
        <v>65</v>
      </c>
      <c r="F275" t="s">
        <v>66</v>
      </c>
      <c r="G275">
        <v>274</v>
      </c>
      <c r="H275">
        <v>527</v>
      </c>
      <c r="I275">
        <v>33</v>
      </c>
      <c r="J275" t="s">
        <v>117</v>
      </c>
      <c r="K275" t="s">
        <v>39</v>
      </c>
      <c r="L275" t="s">
        <v>68</v>
      </c>
      <c r="M275" t="s">
        <v>40</v>
      </c>
      <c r="N275">
        <v>4.2</v>
      </c>
      <c r="O275">
        <v>1</v>
      </c>
      <c r="P275" t="s">
        <v>29</v>
      </c>
      <c r="Q275" t="s">
        <v>30</v>
      </c>
      <c r="R275" t="s">
        <v>30</v>
      </c>
      <c r="S275">
        <v>32</v>
      </c>
      <c r="T275" t="s">
        <v>89</v>
      </c>
      <c r="U275" t="s">
        <v>61</v>
      </c>
      <c r="V275" s="1">
        <v>45383</v>
      </c>
      <c r="W275">
        <f>Table1[[#This Row],[customer_purchase count]]+1</f>
        <v>33</v>
      </c>
      <c r="X275">
        <f>Table1[[#This Row],[customer_purchase count]]*Rules!$B$3</f>
        <v>1912.4594871794873</v>
      </c>
      <c r="Y275" t="str">
        <f>IF(Table1[[#This Row],[customer_subscription]]=1,"Subscribed","Not Subscribed")</f>
        <v>Subscribed</v>
      </c>
    </row>
    <row r="276" spans="1:26" x14ac:dyDescent="0.25">
      <c r="A276">
        <v>275</v>
      </c>
      <c r="B276">
        <v>59</v>
      </c>
      <c r="C276" t="s">
        <v>22</v>
      </c>
      <c r="D276">
        <v>275</v>
      </c>
      <c r="E276" t="s">
        <v>109</v>
      </c>
      <c r="F276" t="s">
        <v>70</v>
      </c>
      <c r="G276">
        <v>275</v>
      </c>
      <c r="H276">
        <v>529</v>
      </c>
      <c r="I276">
        <v>32</v>
      </c>
      <c r="J276" t="s">
        <v>131</v>
      </c>
      <c r="K276" t="s">
        <v>47</v>
      </c>
      <c r="L276" t="s">
        <v>129</v>
      </c>
      <c r="M276" t="s">
        <v>40</v>
      </c>
      <c r="N276">
        <v>3</v>
      </c>
      <c r="O276">
        <v>1</v>
      </c>
      <c r="P276" t="s">
        <v>29</v>
      </c>
      <c r="Q276" t="s">
        <v>30</v>
      </c>
      <c r="R276" t="s">
        <v>30</v>
      </c>
      <c r="S276">
        <v>28</v>
      </c>
      <c r="T276" t="s">
        <v>36</v>
      </c>
      <c r="U276" t="s">
        <v>79</v>
      </c>
      <c r="V276" s="1">
        <v>45428</v>
      </c>
      <c r="W276">
        <f>Table1[[#This Row],[customer_purchase count]]+1</f>
        <v>29</v>
      </c>
      <c r="X276">
        <f>Table1[[#This Row],[customer_purchase count]]*Rules!$B$3</f>
        <v>1673.4020512820514</v>
      </c>
      <c r="Y276" t="str">
        <f>IF(Table1[[#This Row],[customer_subscription]]=1,"Subscribed","Not Subscribed")</f>
        <v>Subscribed</v>
      </c>
    </row>
    <row r="277" spans="1:26" x14ac:dyDescent="0.25">
      <c r="A277">
        <v>276</v>
      </c>
      <c r="B277">
        <v>48</v>
      </c>
      <c r="C277" t="s">
        <v>22</v>
      </c>
      <c r="D277">
        <v>276</v>
      </c>
      <c r="E277" t="s">
        <v>135</v>
      </c>
      <c r="F277" t="s">
        <v>70</v>
      </c>
      <c r="G277">
        <v>276</v>
      </c>
      <c r="H277">
        <v>530</v>
      </c>
      <c r="I277">
        <v>85</v>
      </c>
      <c r="J277" t="s">
        <v>144</v>
      </c>
      <c r="K277" t="s">
        <v>95</v>
      </c>
      <c r="L277" t="s">
        <v>96</v>
      </c>
      <c r="M277" t="s">
        <v>28</v>
      </c>
      <c r="N277">
        <v>4</v>
      </c>
      <c r="O277">
        <v>1</v>
      </c>
      <c r="P277" t="s">
        <v>29</v>
      </c>
      <c r="Q277" t="s">
        <v>30</v>
      </c>
      <c r="R277" t="s">
        <v>30</v>
      </c>
      <c r="S277">
        <v>13</v>
      </c>
      <c r="T277" t="s">
        <v>42</v>
      </c>
      <c r="U277" t="s">
        <v>43</v>
      </c>
      <c r="V277" s="1">
        <v>45637</v>
      </c>
      <c r="W277">
        <f>Table1[[#This Row],[customer_purchase count]]+1</f>
        <v>14</v>
      </c>
      <c r="X277">
        <f>Table1[[#This Row],[customer_purchase count]]*Rules!$B$3</f>
        <v>776.93666666666672</v>
      </c>
      <c r="Y277" t="str">
        <f>IF(Table1[[#This Row],[customer_subscription]]=1,"Subscribed","Not Subscribed")</f>
        <v>Subscribed</v>
      </c>
    </row>
    <row r="278" spans="1:26" x14ac:dyDescent="0.25">
      <c r="A278">
        <v>277</v>
      </c>
      <c r="B278">
        <v>25</v>
      </c>
      <c r="C278" t="s">
        <v>22</v>
      </c>
      <c r="D278">
        <v>277</v>
      </c>
      <c r="E278" t="s">
        <v>90</v>
      </c>
      <c r="F278" t="s">
        <v>24</v>
      </c>
      <c r="G278">
        <v>277</v>
      </c>
      <c r="H278">
        <v>531</v>
      </c>
      <c r="I278">
        <v>30</v>
      </c>
      <c r="J278" t="s">
        <v>150</v>
      </c>
      <c r="K278" t="s">
        <v>95</v>
      </c>
      <c r="L278" t="s">
        <v>51</v>
      </c>
      <c r="M278" t="s">
        <v>60</v>
      </c>
      <c r="N278">
        <v>3.5</v>
      </c>
      <c r="O278">
        <v>1</v>
      </c>
      <c r="P278" t="s">
        <v>29</v>
      </c>
      <c r="Q278" t="s">
        <v>30</v>
      </c>
      <c r="R278" t="s">
        <v>30</v>
      </c>
      <c r="S278">
        <v>11</v>
      </c>
      <c r="T278" t="s">
        <v>78</v>
      </c>
      <c r="U278" t="s">
        <v>32</v>
      </c>
      <c r="V278" s="1">
        <v>45550</v>
      </c>
      <c r="W278">
        <f>Table1[[#This Row],[customer_purchase count]]+1</f>
        <v>12</v>
      </c>
      <c r="X278">
        <f>Table1[[#This Row],[customer_purchase count]]*Rules!$B$3</f>
        <v>657.40794871794878</v>
      </c>
      <c r="Y278" t="str">
        <f>IF(Table1[[#This Row],[customer_subscription]]=1,"Subscribed","Not Subscribed")</f>
        <v>Subscribed</v>
      </c>
      <c r="Z278" t="s">
        <v>187</v>
      </c>
    </row>
    <row r="279" spans="1:26" x14ac:dyDescent="0.25">
      <c r="A279">
        <v>278</v>
      </c>
      <c r="B279">
        <v>29</v>
      </c>
      <c r="C279" t="s">
        <v>22</v>
      </c>
      <c r="D279">
        <v>278</v>
      </c>
      <c r="E279" t="s">
        <v>58</v>
      </c>
      <c r="F279" t="s">
        <v>24</v>
      </c>
      <c r="G279">
        <v>278</v>
      </c>
      <c r="H279">
        <v>532</v>
      </c>
      <c r="I279">
        <v>29</v>
      </c>
      <c r="J279" t="s">
        <v>145</v>
      </c>
      <c r="K279" t="s">
        <v>47</v>
      </c>
      <c r="L279" t="s">
        <v>99</v>
      </c>
      <c r="M279" t="s">
        <v>28</v>
      </c>
      <c r="N279">
        <v>3</v>
      </c>
      <c r="O279">
        <v>1</v>
      </c>
      <c r="P279" t="s">
        <v>77</v>
      </c>
      <c r="Q279" t="s">
        <v>30</v>
      </c>
      <c r="R279" t="s">
        <v>30</v>
      </c>
      <c r="S279">
        <v>36</v>
      </c>
      <c r="T279" t="s">
        <v>78</v>
      </c>
      <c r="U279" t="s">
        <v>79</v>
      </c>
      <c r="V279" s="1">
        <v>45336</v>
      </c>
      <c r="W279">
        <f>Table1[[#This Row],[customer_purchase count]]+1</f>
        <v>37</v>
      </c>
      <c r="X279">
        <f>Table1[[#This Row],[customer_purchase count]]*Rules!$B$3</f>
        <v>2151.5169230769234</v>
      </c>
      <c r="Y279" t="str">
        <f>IF(Table1[[#This Row],[customer_subscription]]=1,"Subscribed","Not Subscribed")</f>
        <v>Subscribed</v>
      </c>
    </row>
    <row r="280" spans="1:26" x14ac:dyDescent="0.25">
      <c r="A280">
        <v>279</v>
      </c>
      <c r="B280">
        <v>57</v>
      </c>
      <c r="C280" t="s">
        <v>22</v>
      </c>
      <c r="D280">
        <v>279</v>
      </c>
      <c r="E280" t="s">
        <v>33</v>
      </c>
      <c r="F280" t="s">
        <v>24</v>
      </c>
      <c r="G280">
        <v>279</v>
      </c>
      <c r="H280">
        <v>533</v>
      </c>
      <c r="I280">
        <v>95</v>
      </c>
      <c r="J280" t="s">
        <v>80</v>
      </c>
      <c r="K280" t="s">
        <v>47</v>
      </c>
      <c r="L280" t="s">
        <v>124</v>
      </c>
      <c r="M280" t="s">
        <v>40</v>
      </c>
      <c r="N280">
        <v>3.7</v>
      </c>
      <c r="O280">
        <v>1</v>
      </c>
      <c r="P280" t="s">
        <v>29</v>
      </c>
      <c r="Q280" t="s">
        <v>30</v>
      </c>
      <c r="R280" t="s">
        <v>30</v>
      </c>
      <c r="S280">
        <v>23</v>
      </c>
      <c r="T280" t="s">
        <v>89</v>
      </c>
      <c r="U280" t="s">
        <v>52</v>
      </c>
      <c r="V280" s="1">
        <v>45440</v>
      </c>
      <c r="W280">
        <f>Table1[[#This Row],[customer_purchase count]]+1</f>
        <v>24</v>
      </c>
      <c r="X280">
        <f>Table1[[#This Row],[customer_purchase count]]*Rules!$B$3</f>
        <v>1374.5802564102564</v>
      </c>
      <c r="Y280" t="str">
        <f>IF(Table1[[#This Row],[customer_subscription]]=1,"Subscribed","Not Subscribed")</f>
        <v>Subscribed</v>
      </c>
    </row>
    <row r="281" spans="1:26" x14ac:dyDescent="0.25">
      <c r="A281">
        <v>280</v>
      </c>
      <c r="B281">
        <v>23</v>
      </c>
      <c r="C281" t="s">
        <v>22</v>
      </c>
      <c r="D281">
        <v>280</v>
      </c>
      <c r="E281" t="s">
        <v>53</v>
      </c>
      <c r="F281" t="s">
        <v>45</v>
      </c>
      <c r="G281">
        <v>280</v>
      </c>
      <c r="H281">
        <v>535</v>
      </c>
      <c r="I281">
        <v>69</v>
      </c>
      <c r="J281" t="s">
        <v>75</v>
      </c>
      <c r="K281" t="s">
        <v>26</v>
      </c>
      <c r="L281" t="s">
        <v>51</v>
      </c>
      <c r="M281" t="s">
        <v>56</v>
      </c>
      <c r="N281">
        <v>4</v>
      </c>
      <c r="O281">
        <v>1</v>
      </c>
      <c r="P281" t="s">
        <v>57</v>
      </c>
      <c r="Q281" t="s">
        <v>30</v>
      </c>
      <c r="R281" t="s">
        <v>30</v>
      </c>
      <c r="S281">
        <v>37</v>
      </c>
      <c r="T281" t="s">
        <v>78</v>
      </c>
      <c r="U281" t="s">
        <v>91</v>
      </c>
      <c r="V281" s="1">
        <v>45476</v>
      </c>
      <c r="W281">
        <f>Table1[[#This Row],[customer_purchase count]]+1</f>
        <v>38</v>
      </c>
      <c r="X281">
        <f>Table1[[#This Row],[customer_purchase count]]*Rules!$B$3</f>
        <v>2211.2812820512822</v>
      </c>
      <c r="Y281" t="str">
        <f>IF(Table1[[#This Row],[customer_subscription]]=1,"Subscribed","Not Subscribed")</f>
        <v>Subscribed</v>
      </c>
    </row>
    <row r="282" spans="1:26" x14ac:dyDescent="0.25">
      <c r="A282">
        <v>281</v>
      </c>
      <c r="B282">
        <v>45</v>
      </c>
      <c r="C282" t="s">
        <v>22</v>
      </c>
      <c r="D282">
        <v>281</v>
      </c>
      <c r="E282" t="s">
        <v>44</v>
      </c>
      <c r="F282" t="s">
        <v>45</v>
      </c>
      <c r="G282">
        <v>281</v>
      </c>
      <c r="H282">
        <v>536</v>
      </c>
      <c r="I282">
        <v>69</v>
      </c>
      <c r="J282" t="s">
        <v>59</v>
      </c>
      <c r="K282" t="s">
        <v>39</v>
      </c>
      <c r="L282" t="s">
        <v>112</v>
      </c>
      <c r="M282" t="s">
        <v>60</v>
      </c>
      <c r="N282">
        <v>4.2</v>
      </c>
      <c r="O282">
        <v>1</v>
      </c>
      <c r="P282" t="s">
        <v>73</v>
      </c>
      <c r="Q282" t="s">
        <v>30</v>
      </c>
      <c r="R282" t="s">
        <v>30</v>
      </c>
      <c r="S282">
        <v>21</v>
      </c>
      <c r="T282" t="s">
        <v>36</v>
      </c>
      <c r="U282" t="s">
        <v>79</v>
      </c>
      <c r="V282" s="1">
        <v>45566</v>
      </c>
      <c r="W282">
        <f>Table1[[#This Row],[customer_purchase count]]+1</f>
        <v>22</v>
      </c>
      <c r="X282">
        <f>Table1[[#This Row],[customer_purchase count]]*Rules!$B$3</f>
        <v>1255.0515384615385</v>
      </c>
      <c r="Y282" t="str">
        <f>IF(Table1[[#This Row],[customer_subscription]]=1,"Subscribed","Not Subscribed")</f>
        <v>Subscribed</v>
      </c>
    </row>
    <row r="283" spans="1:26" x14ac:dyDescent="0.25">
      <c r="A283">
        <v>282</v>
      </c>
      <c r="B283">
        <v>38</v>
      </c>
      <c r="C283" t="s">
        <v>22</v>
      </c>
      <c r="D283">
        <v>282</v>
      </c>
      <c r="E283" t="s">
        <v>136</v>
      </c>
      <c r="F283" t="s">
        <v>70</v>
      </c>
      <c r="G283">
        <v>282</v>
      </c>
      <c r="H283">
        <v>537</v>
      </c>
      <c r="I283">
        <v>61</v>
      </c>
      <c r="J283" t="s">
        <v>104</v>
      </c>
      <c r="K283" t="s">
        <v>95</v>
      </c>
      <c r="L283" t="s">
        <v>64</v>
      </c>
      <c r="M283" t="s">
        <v>40</v>
      </c>
      <c r="N283">
        <v>2.5</v>
      </c>
      <c r="O283">
        <v>1</v>
      </c>
      <c r="P283" t="s">
        <v>57</v>
      </c>
      <c r="Q283" t="s">
        <v>30</v>
      </c>
      <c r="R283" t="s">
        <v>30</v>
      </c>
      <c r="S283">
        <v>22</v>
      </c>
      <c r="T283" t="s">
        <v>89</v>
      </c>
      <c r="U283" t="s">
        <v>79</v>
      </c>
      <c r="V283" s="1">
        <v>45385</v>
      </c>
      <c r="W283">
        <f>Table1[[#This Row],[customer_purchase count]]+1</f>
        <v>23</v>
      </c>
      <c r="X283">
        <f>Table1[[#This Row],[customer_purchase count]]*Rules!$B$3</f>
        <v>1314.8158974358976</v>
      </c>
      <c r="Y283" t="str">
        <f>IF(Table1[[#This Row],[customer_subscription]]=1,"Subscribed","Not Subscribed")</f>
        <v>Subscribed</v>
      </c>
    </row>
    <row r="284" spans="1:26" x14ac:dyDescent="0.25">
      <c r="A284">
        <v>283</v>
      </c>
      <c r="B284">
        <v>21</v>
      </c>
      <c r="C284" t="s">
        <v>22</v>
      </c>
      <c r="D284">
        <v>283</v>
      </c>
      <c r="E284" t="s">
        <v>90</v>
      </c>
      <c r="F284" t="s">
        <v>24</v>
      </c>
      <c r="G284">
        <v>283</v>
      </c>
      <c r="H284">
        <v>538</v>
      </c>
      <c r="I284">
        <v>94</v>
      </c>
      <c r="J284" t="s">
        <v>151</v>
      </c>
      <c r="K284" t="s">
        <v>47</v>
      </c>
      <c r="L284" t="s">
        <v>88</v>
      </c>
      <c r="M284" t="s">
        <v>56</v>
      </c>
      <c r="N284">
        <v>3</v>
      </c>
      <c r="O284">
        <v>1</v>
      </c>
      <c r="P284" t="s">
        <v>73</v>
      </c>
      <c r="Q284" t="s">
        <v>30</v>
      </c>
      <c r="R284" t="s">
        <v>30</v>
      </c>
      <c r="S284">
        <v>9</v>
      </c>
      <c r="T284" t="s">
        <v>36</v>
      </c>
      <c r="U284" t="s">
        <v>91</v>
      </c>
      <c r="V284" s="1">
        <v>45446</v>
      </c>
      <c r="W284">
        <f>Table1[[#This Row],[customer_purchase count]]+1</f>
        <v>10</v>
      </c>
      <c r="X284">
        <f>Table1[[#This Row],[customer_purchase count]]*Rules!$B$3</f>
        <v>537.87923076923084</v>
      </c>
      <c r="Y284" t="str">
        <f>IF(Table1[[#This Row],[customer_subscription]]=1,"Subscribed","Not Subscribed")</f>
        <v>Subscribed</v>
      </c>
      <c r="Z284" t="s">
        <v>187</v>
      </c>
    </row>
    <row r="285" spans="1:26" x14ac:dyDescent="0.25">
      <c r="A285">
        <v>284</v>
      </c>
      <c r="B285">
        <v>32</v>
      </c>
      <c r="C285" t="s">
        <v>22</v>
      </c>
      <c r="D285">
        <v>284</v>
      </c>
      <c r="E285" t="s">
        <v>33</v>
      </c>
      <c r="F285" t="s">
        <v>24</v>
      </c>
      <c r="G285">
        <v>284</v>
      </c>
      <c r="H285">
        <v>539</v>
      </c>
      <c r="I285">
        <v>30</v>
      </c>
      <c r="J285" t="s">
        <v>59</v>
      </c>
      <c r="K285" t="s">
        <v>39</v>
      </c>
      <c r="L285" t="s">
        <v>35</v>
      </c>
      <c r="M285" t="s">
        <v>60</v>
      </c>
      <c r="N285">
        <v>3.2</v>
      </c>
      <c r="O285">
        <v>1</v>
      </c>
      <c r="P285" t="s">
        <v>48</v>
      </c>
      <c r="Q285" t="s">
        <v>30</v>
      </c>
      <c r="R285" t="s">
        <v>30</v>
      </c>
      <c r="S285">
        <v>16</v>
      </c>
      <c r="T285" t="s">
        <v>31</v>
      </c>
      <c r="U285" t="s">
        <v>52</v>
      </c>
      <c r="V285" s="1">
        <v>45542</v>
      </c>
      <c r="W285">
        <f>Table1[[#This Row],[customer_purchase count]]+1</f>
        <v>17</v>
      </c>
      <c r="X285">
        <f>Table1[[#This Row],[customer_purchase count]]*Rules!$B$3</f>
        <v>956.22974358974363</v>
      </c>
      <c r="Y285" t="str">
        <f>IF(Table1[[#This Row],[customer_subscription]]=1,"Subscribed","Not Subscribed")</f>
        <v>Subscribed</v>
      </c>
    </row>
    <row r="286" spans="1:26" x14ac:dyDescent="0.25">
      <c r="A286">
        <v>285</v>
      </c>
      <c r="B286">
        <v>63</v>
      </c>
      <c r="C286" t="s">
        <v>22</v>
      </c>
      <c r="D286">
        <v>285</v>
      </c>
      <c r="E286" t="s">
        <v>90</v>
      </c>
      <c r="F286" t="s">
        <v>24</v>
      </c>
      <c r="G286">
        <v>285</v>
      </c>
      <c r="H286">
        <v>541</v>
      </c>
      <c r="I286">
        <v>45</v>
      </c>
      <c r="J286" t="s">
        <v>126</v>
      </c>
      <c r="K286" t="s">
        <v>47</v>
      </c>
      <c r="L286" t="s">
        <v>111</v>
      </c>
      <c r="M286" t="s">
        <v>56</v>
      </c>
      <c r="N286">
        <v>3.5</v>
      </c>
      <c r="O286">
        <v>1</v>
      </c>
      <c r="P286" t="s">
        <v>57</v>
      </c>
      <c r="Q286" t="s">
        <v>30</v>
      </c>
      <c r="R286" t="s">
        <v>30</v>
      </c>
      <c r="S286">
        <v>4</v>
      </c>
      <c r="T286" t="s">
        <v>49</v>
      </c>
      <c r="U286" t="s">
        <v>61</v>
      </c>
      <c r="V286" s="1">
        <v>45518</v>
      </c>
      <c r="W286">
        <f>Table1[[#This Row],[customer_purchase count]]+1</f>
        <v>5</v>
      </c>
      <c r="X286">
        <f>Table1[[#This Row],[customer_purchase count]]*Rules!$B$3</f>
        <v>239.05743589743591</v>
      </c>
      <c r="Y286" t="str">
        <f>IF(Table1[[#This Row],[customer_subscription]]=1,"Subscribed","Not Subscribed")</f>
        <v>Subscribed</v>
      </c>
    </row>
    <row r="287" spans="1:26" x14ac:dyDescent="0.25">
      <c r="A287">
        <v>286</v>
      </c>
      <c r="B287">
        <v>29</v>
      </c>
      <c r="C287" t="s">
        <v>22</v>
      </c>
      <c r="D287">
        <v>286</v>
      </c>
      <c r="E287" t="s">
        <v>69</v>
      </c>
      <c r="F287" t="s">
        <v>70</v>
      </c>
      <c r="G287">
        <v>286</v>
      </c>
      <c r="H287">
        <v>542</v>
      </c>
      <c r="I287">
        <v>39</v>
      </c>
      <c r="J287" t="s">
        <v>25</v>
      </c>
      <c r="K287" t="s">
        <v>95</v>
      </c>
      <c r="L287" t="s">
        <v>137</v>
      </c>
      <c r="M287" t="s">
        <v>56</v>
      </c>
      <c r="N287">
        <v>4.8</v>
      </c>
      <c r="O287">
        <v>1</v>
      </c>
      <c r="P287" t="s">
        <v>29</v>
      </c>
      <c r="Q287" t="s">
        <v>30</v>
      </c>
      <c r="R287" t="s">
        <v>30</v>
      </c>
      <c r="S287">
        <v>3</v>
      </c>
      <c r="T287" t="s">
        <v>89</v>
      </c>
      <c r="U287" t="s">
        <v>79</v>
      </c>
      <c r="V287" s="1">
        <v>45461</v>
      </c>
      <c r="W287">
        <f>Table1[[#This Row],[customer_purchase count]]+1</f>
        <v>4</v>
      </c>
      <c r="X287">
        <f>Table1[[#This Row],[customer_purchase count]]*Rules!$B$3</f>
        <v>179.29307692307694</v>
      </c>
      <c r="Y287" t="str">
        <f>IF(Table1[[#This Row],[customer_subscription]]=1,"Subscribed","Not Subscribed")</f>
        <v>Subscribed</v>
      </c>
    </row>
    <row r="288" spans="1:26" x14ac:dyDescent="0.25">
      <c r="A288">
        <v>287</v>
      </c>
      <c r="B288">
        <v>27</v>
      </c>
      <c r="C288" t="s">
        <v>22</v>
      </c>
      <c r="D288">
        <v>287</v>
      </c>
      <c r="E288" t="s">
        <v>109</v>
      </c>
      <c r="F288" t="s">
        <v>70</v>
      </c>
      <c r="G288">
        <v>287</v>
      </c>
      <c r="H288">
        <v>543</v>
      </c>
      <c r="I288">
        <v>51</v>
      </c>
      <c r="J288" t="s">
        <v>148</v>
      </c>
      <c r="K288" t="s">
        <v>26</v>
      </c>
      <c r="L288" t="s">
        <v>27</v>
      </c>
      <c r="M288" t="s">
        <v>56</v>
      </c>
      <c r="N288">
        <v>2.6</v>
      </c>
      <c r="O288">
        <v>1</v>
      </c>
      <c r="P288" t="s">
        <v>77</v>
      </c>
      <c r="Q288" t="s">
        <v>30</v>
      </c>
      <c r="R288" t="s">
        <v>30</v>
      </c>
      <c r="S288">
        <v>6</v>
      </c>
      <c r="T288" t="s">
        <v>89</v>
      </c>
      <c r="U288" t="s">
        <v>52</v>
      </c>
      <c r="V288" s="1">
        <v>45447</v>
      </c>
      <c r="W288">
        <f>Table1[[#This Row],[customer_purchase count]]+1</f>
        <v>7</v>
      </c>
      <c r="X288">
        <f>Table1[[#This Row],[customer_purchase count]]*Rules!$B$3</f>
        <v>358.58615384615388</v>
      </c>
      <c r="Y288" t="str">
        <f>IF(Table1[[#This Row],[customer_subscription]]=1,"Subscribed","Not Subscribed")</f>
        <v>Subscribed</v>
      </c>
    </row>
    <row r="289" spans="1:26" x14ac:dyDescent="0.25">
      <c r="A289">
        <v>288</v>
      </c>
      <c r="B289">
        <v>56</v>
      </c>
      <c r="C289" t="s">
        <v>22</v>
      </c>
      <c r="D289">
        <v>288</v>
      </c>
      <c r="E289" t="s">
        <v>122</v>
      </c>
      <c r="F289" t="s">
        <v>70</v>
      </c>
      <c r="G289">
        <v>288</v>
      </c>
      <c r="H289">
        <v>544</v>
      </c>
      <c r="I289">
        <v>37</v>
      </c>
      <c r="J289" t="s">
        <v>82</v>
      </c>
      <c r="K289" t="s">
        <v>26</v>
      </c>
      <c r="L289" t="s">
        <v>147</v>
      </c>
      <c r="M289" t="s">
        <v>40</v>
      </c>
      <c r="N289">
        <v>3.4</v>
      </c>
      <c r="O289">
        <v>1</v>
      </c>
      <c r="P289" t="s">
        <v>73</v>
      </c>
      <c r="Q289" t="s">
        <v>30</v>
      </c>
      <c r="R289" t="s">
        <v>30</v>
      </c>
      <c r="S289">
        <v>18</v>
      </c>
      <c r="T289" t="s">
        <v>31</v>
      </c>
      <c r="U289" t="s">
        <v>32</v>
      </c>
      <c r="V289" s="1">
        <v>45370</v>
      </c>
      <c r="W289">
        <f>Table1[[#This Row],[customer_purchase count]]+1</f>
        <v>19</v>
      </c>
      <c r="X289">
        <f>Table1[[#This Row],[customer_purchase count]]*Rules!$B$3</f>
        <v>1075.7584615384617</v>
      </c>
      <c r="Y289" t="str">
        <f>IF(Table1[[#This Row],[customer_subscription]]=1,"Subscribed","Not Subscribed")</f>
        <v>Subscribed</v>
      </c>
    </row>
    <row r="290" spans="1:26" x14ac:dyDescent="0.25">
      <c r="A290">
        <v>289</v>
      </c>
      <c r="B290">
        <v>30</v>
      </c>
      <c r="C290" t="s">
        <v>22</v>
      </c>
      <c r="D290">
        <v>289</v>
      </c>
      <c r="E290" t="s">
        <v>116</v>
      </c>
      <c r="F290" t="s">
        <v>24</v>
      </c>
      <c r="G290">
        <v>289</v>
      </c>
      <c r="H290">
        <v>545</v>
      </c>
      <c r="I290">
        <v>62</v>
      </c>
      <c r="J290" t="s">
        <v>101</v>
      </c>
      <c r="K290" t="s">
        <v>47</v>
      </c>
      <c r="L290" t="s">
        <v>96</v>
      </c>
      <c r="M290" t="s">
        <v>28</v>
      </c>
      <c r="N290">
        <v>3.7</v>
      </c>
      <c r="O290">
        <v>1</v>
      </c>
      <c r="P290" t="s">
        <v>73</v>
      </c>
      <c r="Q290" t="s">
        <v>30</v>
      </c>
      <c r="R290" t="s">
        <v>30</v>
      </c>
      <c r="S290">
        <v>34</v>
      </c>
      <c r="T290" t="s">
        <v>31</v>
      </c>
      <c r="U290" t="s">
        <v>79</v>
      </c>
      <c r="V290" s="1">
        <v>45332</v>
      </c>
      <c r="W290">
        <f>Table1[[#This Row],[customer_purchase count]]+1</f>
        <v>35</v>
      </c>
      <c r="X290">
        <f>Table1[[#This Row],[customer_purchase count]]*Rules!$B$3</f>
        <v>2031.9882051282052</v>
      </c>
      <c r="Y290" t="str">
        <f>IF(Table1[[#This Row],[customer_subscription]]=1,"Subscribed","Not Subscribed")</f>
        <v>Subscribed</v>
      </c>
      <c r="Z290" t="s">
        <v>193</v>
      </c>
    </row>
    <row r="291" spans="1:26" x14ac:dyDescent="0.25">
      <c r="A291">
        <v>290</v>
      </c>
      <c r="B291">
        <v>49</v>
      </c>
      <c r="C291" t="s">
        <v>22</v>
      </c>
      <c r="D291">
        <v>290</v>
      </c>
      <c r="E291" t="s">
        <v>65</v>
      </c>
      <c r="F291" t="s">
        <v>66</v>
      </c>
      <c r="G291">
        <v>290</v>
      </c>
      <c r="H291">
        <v>547</v>
      </c>
      <c r="I291">
        <v>85</v>
      </c>
      <c r="J291" t="s">
        <v>87</v>
      </c>
      <c r="K291" t="s">
        <v>47</v>
      </c>
      <c r="L291" t="s">
        <v>137</v>
      </c>
      <c r="M291" t="s">
        <v>60</v>
      </c>
      <c r="N291">
        <v>4.5</v>
      </c>
      <c r="O291">
        <v>1</v>
      </c>
      <c r="P291" t="s">
        <v>73</v>
      </c>
      <c r="Q291" t="s">
        <v>30</v>
      </c>
      <c r="R291" t="s">
        <v>30</v>
      </c>
      <c r="S291">
        <v>26</v>
      </c>
      <c r="T291" t="s">
        <v>42</v>
      </c>
      <c r="U291" t="s">
        <v>91</v>
      </c>
      <c r="V291" s="1">
        <v>45542</v>
      </c>
      <c r="W291">
        <f>Table1[[#This Row],[customer_purchase count]]+1</f>
        <v>27</v>
      </c>
      <c r="X291">
        <f>Table1[[#This Row],[customer_purchase count]]*Rules!$B$3</f>
        <v>1553.8733333333334</v>
      </c>
      <c r="Y291" t="str">
        <f>IF(Table1[[#This Row],[customer_subscription]]=1,"Subscribed","Not Subscribed")</f>
        <v>Subscribed</v>
      </c>
    </row>
    <row r="292" spans="1:26" x14ac:dyDescent="0.25">
      <c r="A292">
        <v>291</v>
      </c>
      <c r="B292">
        <v>58</v>
      </c>
      <c r="C292" t="s">
        <v>22</v>
      </c>
      <c r="D292">
        <v>291</v>
      </c>
      <c r="E292" t="s">
        <v>116</v>
      </c>
      <c r="F292" t="s">
        <v>24</v>
      </c>
      <c r="G292">
        <v>291</v>
      </c>
      <c r="H292">
        <v>548</v>
      </c>
      <c r="I292">
        <v>33</v>
      </c>
      <c r="J292" t="s">
        <v>115</v>
      </c>
      <c r="K292" t="s">
        <v>47</v>
      </c>
      <c r="L292" t="s">
        <v>129</v>
      </c>
      <c r="M292" t="s">
        <v>28</v>
      </c>
      <c r="N292">
        <v>3.7</v>
      </c>
      <c r="O292">
        <v>1</v>
      </c>
      <c r="P292" t="s">
        <v>57</v>
      </c>
      <c r="Q292" t="s">
        <v>30</v>
      </c>
      <c r="R292" t="s">
        <v>30</v>
      </c>
      <c r="S292">
        <v>50</v>
      </c>
      <c r="T292" t="s">
        <v>49</v>
      </c>
      <c r="U292" t="s">
        <v>43</v>
      </c>
      <c r="V292" s="1">
        <v>45302</v>
      </c>
      <c r="W292">
        <f>Table1[[#This Row],[customer_purchase count]]+1</f>
        <v>51</v>
      </c>
      <c r="X292">
        <f>Table1[[#This Row],[customer_purchase count]]*Rules!$B$3</f>
        <v>2988.2179487179487</v>
      </c>
      <c r="Y292" t="str">
        <f>IF(Table1[[#This Row],[customer_subscription]]=1,"Subscribed","Not Subscribed")</f>
        <v>Subscribed</v>
      </c>
      <c r="Z292" t="s">
        <v>193</v>
      </c>
    </row>
    <row r="293" spans="1:26" x14ac:dyDescent="0.25">
      <c r="A293">
        <v>292</v>
      </c>
      <c r="B293">
        <v>57</v>
      </c>
      <c r="C293" t="s">
        <v>22</v>
      </c>
      <c r="D293">
        <v>292</v>
      </c>
      <c r="E293" t="s">
        <v>84</v>
      </c>
      <c r="F293" t="s">
        <v>24</v>
      </c>
      <c r="G293">
        <v>292</v>
      </c>
      <c r="H293">
        <v>549</v>
      </c>
      <c r="I293">
        <v>26</v>
      </c>
      <c r="J293" t="s">
        <v>82</v>
      </c>
      <c r="K293" t="s">
        <v>95</v>
      </c>
      <c r="L293" t="s">
        <v>86</v>
      </c>
      <c r="M293" t="s">
        <v>60</v>
      </c>
      <c r="N293">
        <v>3.3</v>
      </c>
      <c r="O293">
        <v>1</v>
      </c>
      <c r="P293" t="s">
        <v>48</v>
      </c>
      <c r="Q293" t="s">
        <v>30</v>
      </c>
      <c r="R293" t="s">
        <v>30</v>
      </c>
      <c r="S293">
        <v>40</v>
      </c>
      <c r="T293" t="s">
        <v>78</v>
      </c>
      <c r="U293" t="s">
        <v>91</v>
      </c>
      <c r="V293" s="1">
        <v>45579</v>
      </c>
      <c r="W293">
        <f>Table1[[#This Row],[customer_purchase count]]+1</f>
        <v>41</v>
      </c>
      <c r="X293">
        <f>Table1[[#This Row],[customer_purchase count]]*Rules!$B$3</f>
        <v>2390.5743589743593</v>
      </c>
      <c r="Y293" t="str">
        <f>IF(Table1[[#This Row],[customer_subscription]]=1,"Subscribed","Not Subscribed")</f>
        <v>Subscribed</v>
      </c>
      <c r="Z293" t="s">
        <v>193</v>
      </c>
    </row>
    <row r="294" spans="1:26" x14ac:dyDescent="0.25">
      <c r="A294">
        <v>293</v>
      </c>
      <c r="B294">
        <v>60</v>
      </c>
      <c r="C294" t="s">
        <v>22</v>
      </c>
      <c r="D294">
        <v>293</v>
      </c>
      <c r="E294" t="s">
        <v>74</v>
      </c>
      <c r="F294" t="s">
        <v>45</v>
      </c>
      <c r="G294">
        <v>293</v>
      </c>
      <c r="H294">
        <v>550</v>
      </c>
      <c r="I294">
        <v>99</v>
      </c>
      <c r="J294" t="s">
        <v>143</v>
      </c>
      <c r="K294" t="s">
        <v>47</v>
      </c>
      <c r="L294" t="s">
        <v>99</v>
      </c>
      <c r="M294" t="s">
        <v>40</v>
      </c>
      <c r="N294">
        <v>4.7</v>
      </c>
      <c r="O294">
        <v>1</v>
      </c>
      <c r="P294" t="s">
        <v>41</v>
      </c>
      <c r="Q294" t="s">
        <v>30</v>
      </c>
      <c r="R294" t="s">
        <v>30</v>
      </c>
      <c r="S294">
        <v>24</v>
      </c>
      <c r="T294" t="s">
        <v>36</v>
      </c>
      <c r="U294" t="s">
        <v>61</v>
      </c>
      <c r="V294" s="1">
        <v>45431</v>
      </c>
      <c r="W294">
        <f>Table1[[#This Row],[customer_purchase count]]+1</f>
        <v>25</v>
      </c>
      <c r="X294">
        <f>Table1[[#This Row],[customer_purchase count]]*Rules!$B$3</f>
        <v>1434.3446153846155</v>
      </c>
      <c r="Y294" t="str">
        <f>IF(Table1[[#This Row],[customer_subscription]]=1,"Subscribed","Not Subscribed")</f>
        <v>Subscribed</v>
      </c>
    </row>
    <row r="295" spans="1:26" x14ac:dyDescent="0.25">
      <c r="A295">
        <v>294</v>
      </c>
      <c r="B295">
        <v>69</v>
      </c>
      <c r="C295" t="s">
        <v>22</v>
      </c>
      <c r="D295">
        <v>294</v>
      </c>
      <c r="E295" t="s">
        <v>69</v>
      </c>
      <c r="F295" t="s">
        <v>70</v>
      </c>
      <c r="G295">
        <v>294</v>
      </c>
      <c r="H295">
        <v>551</v>
      </c>
      <c r="I295">
        <v>39</v>
      </c>
      <c r="J295" t="s">
        <v>142</v>
      </c>
      <c r="K295" t="s">
        <v>47</v>
      </c>
      <c r="L295" t="s">
        <v>55</v>
      </c>
      <c r="M295" t="s">
        <v>40</v>
      </c>
      <c r="N295">
        <v>2.7</v>
      </c>
      <c r="O295">
        <v>1</v>
      </c>
      <c r="P295" t="s">
        <v>29</v>
      </c>
      <c r="Q295" t="s">
        <v>30</v>
      </c>
      <c r="R295" t="s">
        <v>30</v>
      </c>
      <c r="S295">
        <v>33</v>
      </c>
      <c r="T295" t="s">
        <v>49</v>
      </c>
      <c r="U295" t="s">
        <v>52</v>
      </c>
      <c r="V295" s="1">
        <v>45383</v>
      </c>
      <c r="W295">
        <f>Table1[[#This Row],[customer_purchase count]]+1</f>
        <v>34</v>
      </c>
      <c r="X295">
        <f>Table1[[#This Row],[customer_purchase count]]*Rules!$B$3</f>
        <v>1972.2238461538464</v>
      </c>
      <c r="Y295" t="str">
        <f>IF(Table1[[#This Row],[customer_subscription]]=1,"Subscribed","Not Subscribed")</f>
        <v>Subscribed</v>
      </c>
    </row>
    <row r="296" spans="1:26" x14ac:dyDescent="0.25">
      <c r="A296">
        <v>295</v>
      </c>
      <c r="B296">
        <v>70</v>
      </c>
      <c r="C296" t="s">
        <v>22</v>
      </c>
      <c r="D296">
        <v>295</v>
      </c>
      <c r="E296" t="s">
        <v>90</v>
      </c>
      <c r="F296" t="s">
        <v>24</v>
      </c>
      <c r="G296">
        <v>295</v>
      </c>
      <c r="H296">
        <v>553</v>
      </c>
      <c r="I296">
        <v>20</v>
      </c>
      <c r="J296" t="s">
        <v>130</v>
      </c>
      <c r="K296" t="s">
        <v>47</v>
      </c>
      <c r="L296" t="s">
        <v>83</v>
      </c>
      <c r="M296" t="s">
        <v>40</v>
      </c>
      <c r="N296">
        <v>4.5999999999999996</v>
      </c>
      <c r="O296">
        <v>1</v>
      </c>
      <c r="P296" t="s">
        <v>77</v>
      </c>
      <c r="Q296" t="s">
        <v>30</v>
      </c>
      <c r="R296" t="s">
        <v>30</v>
      </c>
      <c r="S296">
        <v>19</v>
      </c>
      <c r="T296" t="s">
        <v>42</v>
      </c>
      <c r="U296" t="s">
        <v>100</v>
      </c>
      <c r="V296" s="1">
        <v>45435</v>
      </c>
      <c r="W296">
        <f>Table1[[#This Row],[customer_purchase count]]+1</f>
        <v>20</v>
      </c>
      <c r="X296">
        <f>Table1[[#This Row],[customer_purchase count]]*Rules!$B$3</f>
        <v>1135.5228205128205</v>
      </c>
      <c r="Y296" t="str">
        <f>IF(Table1[[#This Row],[customer_subscription]]=1,"Subscribed","Not Subscribed")</f>
        <v>Subscribed</v>
      </c>
    </row>
    <row r="297" spans="1:26" x14ac:dyDescent="0.25">
      <c r="A297">
        <v>296</v>
      </c>
      <c r="B297">
        <v>53</v>
      </c>
      <c r="C297" t="s">
        <v>22</v>
      </c>
      <c r="D297">
        <v>296</v>
      </c>
      <c r="E297" t="s">
        <v>92</v>
      </c>
      <c r="F297" t="s">
        <v>70</v>
      </c>
      <c r="G297">
        <v>296</v>
      </c>
      <c r="H297">
        <v>554</v>
      </c>
      <c r="I297">
        <v>42</v>
      </c>
      <c r="J297" t="s">
        <v>67</v>
      </c>
      <c r="K297" t="s">
        <v>47</v>
      </c>
      <c r="L297" t="s">
        <v>129</v>
      </c>
      <c r="M297" t="s">
        <v>28</v>
      </c>
      <c r="N297">
        <v>2.7</v>
      </c>
      <c r="O297">
        <v>1</v>
      </c>
      <c r="P297" t="s">
        <v>77</v>
      </c>
      <c r="Q297" t="s">
        <v>30</v>
      </c>
      <c r="R297" t="s">
        <v>30</v>
      </c>
      <c r="S297">
        <v>24</v>
      </c>
      <c r="T297" t="s">
        <v>42</v>
      </c>
      <c r="U297" t="s">
        <v>61</v>
      </c>
      <c r="V297" s="1">
        <v>45643</v>
      </c>
      <c r="W297">
        <f>Table1[[#This Row],[customer_purchase count]]+1</f>
        <v>25</v>
      </c>
      <c r="X297">
        <f>Table1[[#This Row],[customer_purchase count]]*Rules!$B$3</f>
        <v>1434.3446153846155</v>
      </c>
      <c r="Y297" t="str">
        <f>IF(Table1[[#This Row],[customer_subscription]]=1,"Subscribed","Not Subscribed")</f>
        <v>Subscribed</v>
      </c>
    </row>
    <row r="298" spans="1:26" x14ac:dyDescent="0.25">
      <c r="A298">
        <v>297</v>
      </c>
      <c r="B298">
        <v>25</v>
      </c>
      <c r="C298" t="s">
        <v>22</v>
      </c>
      <c r="D298">
        <v>297</v>
      </c>
      <c r="E298" t="s">
        <v>44</v>
      </c>
      <c r="F298" t="s">
        <v>45</v>
      </c>
      <c r="G298">
        <v>297</v>
      </c>
      <c r="H298">
        <v>555</v>
      </c>
      <c r="I298">
        <v>74</v>
      </c>
      <c r="J298" t="s">
        <v>119</v>
      </c>
      <c r="K298" t="s">
        <v>39</v>
      </c>
      <c r="L298" t="s">
        <v>96</v>
      </c>
      <c r="M298" t="s">
        <v>40</v>
      </c>
      <c r="N298">
        <v>4.8</v>
      </c>
      <c r="O298">
        <v>1</v>
      </c>
      <c r="P298" t="s">
        <v>73</v>
      </c>
      <c r="Q298" t="s">
        <v>30</v>
      </c>
      <c r="R298" t="s">
        <v>30</v>
      </c>
      <c r="S298">
        <v>19</v>
      </c>
      <c r="T298" t="s">
        <v>42</v>
      </c>
      <c r="U298" t="s">
        <v>43</v>
      </c>
      <c r="V298" s="1">
        <v>45394</v>
      </c>
      <c r="W298">
        <f>Table1[[#This Row],[customer_purchase count]]+1</f>
        <v>20</v>
      </c>
      <c r="X298">
        <f>Table1[[#This Row],[customer_purchase count]]*Rules!$B$3</f>
        <v>1135.5228205128205</v>
      </c>
      <c r="Y298" t="str">
        <f>IF(Table1[[#This Row],[customer_subscription]]=1,"Subscribed","Not Subscribed")</f>
        <v>Subscribed</v>
      </c>
    </row>
    <row r="299" spans="1:26" x14ac:dyDescent="0.25">
      <c r="A299">
        <v>298</v>
      </c>
      <c r="B299">
        <v>48</v>
      </c>
      <c r="C299" t="s">
        <v>22</v>
      </c>
      <c r="D299">
        <v>298</v>
      </c>
      <c r="E299" t="s">
        <v>74</v>
      </c>
      <c r="F299" t="s">
        <v>45</v>
      </c>
      <c r="G299">
        <v>298</v>
      </c>
      <c r="H299">
        <v>556</v>
      </c>
      <c r="I299">
        <v>26</v>
      </c>
      <c r="J299" t="s">
        <v>82</v>
      </c>
      <c r="K299" t="s">
        <v>95</v>
      </c>
      <c r="L299" t="s">
        <v>76</v>
      </c>
      <c r="M299" t="s">
        <v>56</v>
      </c>
      <c r="N299">
        <v>4.4000000000000004</v>
      </c>
      <c r="O299">
        <v>1</v>
      </c>
      <c r="P299" t="s">
        <v>57</v>
      </c>
      <c r="Q299" t="s">
        <v>30</v>
      </c>
      <c r="R299" t="s">
        <v>30</v>
      </c>
      <c r="S299">
        <v>4</v>
      </c>
      <c r="T299" t="s">
        <v>42</v>
      </c>
      <c r="U299" t="s">
        <v>79</v>
      </c>
      <c r="V299" s="1">
        <v>45487</v>
      </c>
      <c r="W299">
        <f>Table1[[#This Row],[customer_purchase count]]+1</f>
        <v>5</v>
      </c>
      <c r="X299">
        <f>Table1[[#This Row],[customer_purchase count]]*Rules!$B$3</f>
        <v>239.05743589743591</v>
      </c>
      <c r="Y299" t="str">
        <f>IF(Table1[[#This Row],[customer_subscription]]=1,"Subscribed","Not Subscribed")</f>
        <v>Subscribed</v>
      </c>
    </row>
    <row r="300" spans="1:26" x14ac:dyDescent="0.25">
      <c r="A300">
        <v>299</v>
      </c>
      <c r="B300">
        <v>69</v>
      </c>
      <c r="C300" t="s">
        <v>22</v>
      </c>
      <c r="D300">
        <v>299</v>
      </c>
      <c r="E300" t="s">
        <v>116</v>
      </c>
      <c r="F300" t="s">
        <v>24</v>
      </c>
      <c r="G300">
        <v>299</v>
      </c>
      <c r="H300">
        <v>557</v>
      </c>
      <c r="I300">
        <v>53</v>
      </c>
      <c r="J300" t="s">
        <v>131</v>
      </c>
      <c r="K300" t="s">
        <v>47</v>
      </c>
      <c r="L300" t="s">
        <v>96</v>
      </c>
      <c r="M300" t="s">
        <v>28</v>
      </c>
      <c r="N300">
        <v>4</v>
      </c>
      <c r="O300">
        <v>1</v>
      </c>
      <c r="P300" t="s">
        <v>57</v>
      </c>
      <c r="Q300" t="s">
        <v>30</v>
      </c>
      <c r="R300" t="s">
        <v>30</v>
      </c>
      <c r="S300">
        <v>11</v>
      </c>
      <c r="T300" t="s">
        <v>31</v>
      </c>
      <c r="U300" t="s">
        <v>100</v>
      </c>
      <c r="V300" s="1">
        <v>45336</v>
      </c>
      <c r="W300">
        <f>Table1[[#This Row],[customer_purchase count]]+1</f>
        <v>12</v>
      </c>
      <c r="X300">
        <f>Table1[[#This Row],[customer_purchase count]]*Rules!$B$3</f>
        <v>657.40794871794878</v>
      </c>
      <c r="Y300" t="str">
        <f>IF(Table1[[#This Row],[customer_subscription]]=1,"Subscribed","Not Subscribed")</f>
        <v>Subscribed</v>
      </c>
    </row>
    <row r="301" spans="1:26" x14ac:dyDescent="0.25">
      <c r="A301">
        <v>300</v>
      </c>
      <c r="B301">
        <v>25</v>
      </c>
      <c r="C301" t="s">
        <v>22</v>
      </c>
      <c r="D301">
        <v>300</v>
      </c>
      <c r="E301" t="s">
        <v>53</v>
      </c>
      <c r="F301" t="s">
        <v>45</v>
      </c>
      <c r="G301">
        <v>300</v>
      </c>
      <c r="H301">
        <v>559</v>
      </c>
      <c r="I301">
        <v>80</v>
      </c>
      <c r="J301" t="s">
        <v>141</v>
      </c>
      <c r="K301" t="s">
        <v>47</v>
      </c>
      <c r="L301" t="s">
        <v>35</v>
      </c>
      <c r="M301" t="s">
        <v>56</v>
      </c>
      <c r="N301">
        <v>3.2</v>
      </c>
      <c r="O301">
        <v>1</v>
      </c>
      <c r="P301" t="s">
        <v>48</v>
      </c>
      <c r="Q301" t="s">
        <v>30</v>
      </c>
      <c r="R301" t="s">
        <v>30</v>
      </c>
      <c r="S301">
        <v>28</v>
      </c>
      <c r="T301" t="s">
        <v>49</v>
      </c>
      <c r="U301" t="s">
        <v>32</v>
      </c>
      <c r="V301" s="1">
        <v>45519</v>
      </c>
      <c r="W301">
        <f>Table1[[#This Row],[customer_purchase count]]+1</f>
        <v>29</v>
      </c>
      <c r="X301">
        <f>Table1[[#This Row],[customer_purchase count]]*Rules!$B$3</f>
        <v>1673.4020512820514</v>
      </c>
      <c r="Y301" t="str">
        <f>IF(Table1[[#This Row],[customer_subscription]]=1,"Subscribed","Not Subscribed")</f>
        <v>Subscribed</v>
      </c>
    </row>
    <row r="302" spans="1:26" x14ac:dyDescent="0.25">
      <c r="A302">
        <v>301</v>
      </c>
      <c r="B302">
        <v>29</v>
      </c>
      <c r="C302" t="s">
        <v>22</v>
      </c>
      <c r="D302">
        <v>301</v>
      </c>
      <c r="E302" t="s">
        <v>127</v>
      </c>
      <c r="F302" t="s">
        <v>70</v>
      </c>
      <c r="G302">
        <v>301</v>
      </c>
      <c r="H302">
        <v>560</v>
      </c>
      <c r="I302">
        <v>98</v>
      </c>
      <c r="J302" t="s">
        <v>149</v>
      </c>
      <c r="K302" t="s">
        <v>47</v>
      </c>
      <c r="L302" t="s">
        <v>88</v>
      </c>
      <c r="M302" t="s">
        <v>40</v>
      </c>
      <c r="N302">
        <v>4.4000000000000004</v>
      </c>
      <c r="O302">
        <v>1</v>
      </c>
      <c r="P302" t="s">
        <v>77</v>
      </c>
      <c r="Q302" t="s">
        <v>30</v>
      </c>
      <c r="R302" t="s">
        <v>30</v>
      </c>
      <c r="S302">
        <v>24</v>
      </c>
      <c r="T302" t="s">
        <v>49</v>
      </c>
      <c r="U302" t="s">
        <v>43</v>
      </c>
      <c r="V302" s="1">
        <v>45389</v>
      </c>
      <c r="W302">
        <f>Table1[[#This Row],[customer_purchase count]]+1</f>
        <v>25</v>
      </c>
      <c r="X302">
        <f>Table1[[#This Row],[customer_purchase count]]*Rules!$B$3</f>
        <v>1434.3446153846155</v>
      </c>
      <c r="Y302" t="str">
        <f>IF(Table1[[#This Row],[customer_subscription]]=1,"Subscribed","Not Subscribed")</f>
        <v>Subscribed</v>
      </c>
    </row>
    <row r="303" spans="1:26" x14ac:dyDescent="0.25">
      <c r="A303">
        <v>302</v>
      </c>
      <c r="B303">
        <v>46</v>
      </c>
      <c r="C303" t="s">
        <v>22</v>
      </c>
      <c r="D303">
        <v>302</v>
      </c>
      <c r="E303" t="s">
        <v>90</v>
      </c>
      <c r="F303" t="s">
        <v>24</v>
      </c>
      <c r="G303">
        <v>302</v>
      </c>
      <c r="H303">
        <v>561</v>
      </c>
      <c r="I303">
        <v>95</v>
      </c>
      <c r="J303" t="s">
        <v>141</v>
      </c>
      <c r="K303" t="s">
        <v>47</v>
      </c>
      <c r="L303" t="s">
        <v>99</v>
      </c>
      <c r="M303" t="s">
        <v>40</v>
      </c>
      <c r="N303">
        <v>3.8</v>
      </c>
      <c r="O303">
        <v>1</v>
      </c>
      <c r="P303" t="s">
        <v>57</v>
      </c>
      <c r="Q303" t="s">
        <v>30</v>
      </c>
      <c r="R303" t="s">
        <v>30</v>
      </c>
      <c r="S303">
        <v>25</v>
      </c>
      <c r="T303" t="s">
        <v>42</v>
      </c>
      <c r="U303" t="s">
        <v>100</v>
      </c>
      <c r="V303" s="1">
        <v>45389</v>
      </c>
      <c r="W303">
        <f>Table1[[#This Row],[customer_purchase count]]+1</f>
        <v>26</v>
      </c>
      <c r="X303">
        <f>Table1[[#This Row],[customer_purchase count]]*Rules!$B$3</f>
        <v>1494.1089743589744</v>
      </c>
      <c r="Y303" t="str">
        <f>IF(Table1[[#This Row],[customer_subscription]]=1,"Subscribed","Not Subscribed")</f>
        <v>Subscribed</v>
      </c>
    </row>
    <row r="304" spans="1:26" x14ac:dyDescent="0.25">
      <c r="A304">
        <v>303</v>
      </c>
      <c r="B304">
        <v>37</v>
      </c>
      <c r="C304" t="s">
        <v>22</v>
      </c>
      <c r="D304">
        <v>303</v>
      </c>
      <c r="E304" t="s">
        <v>33</v>
      </c>
      <c r="F304" t="s">
        <v>24</v>
      </c>
      <c r="G304">
        <v>303</v>
      </c>
      <c r="H304">
        <v>562</v>
      </c>
      <c r="I304">
        <v>44</v>
      </c>
      <c r="J304" t="s">
        <v>82</v>
      </c>
      <c r="K304" t="s">
        <v>26</v>
      </c>
      <c r="L304" t="s">
        <v>81</v>
      </c>
      <c r="M304" t="s">
        <v>56</v>
      </c>
      <c r="N304">
        <v>3.6</v>
      </c>
      <c r="O304">
        <v>1</v>
      </c>
      <c r="P304" t="s">
        <v>29</v>
      </c>
      <c r="Q304" t="s">
        <v>30</v>
      </c>
      <c r="R304" t="s">
        <v>30</v>
      </c>
      <c r="S304">
        <v>27</v>
      </c>
      <c r="T304" t="s">
        <v>78</v>
      </c>
      <c r="U304" t="s">
        <v>100</v>
      </c>
      <c r="V304" s="1">
        <v>45506</v>
      </c>
      <c r="W304">
        <f>Table1[[#This Row],[customer_purchase count]]+1</f>
        <v>28</v>
      </c>
      <c r="X304">
        <f>Table1[[#This Row],[customer_purchase count]]*Rules!$B$3</f>
        <v>1613.6376923076923</v>
      </c>
      <c r="Y304" t="str">
        <f>IF(Table1[[#This Row],[customer_subscription]]=1,"Subscribed","Not Subscribed")</f>
        <v>Subscribed</v>
      </c>
    </row>
    <row r="305" spans="1:26" x14ac:dyDescent="0.25">
      <c r="A305">
        <v>304</v>
      </c>
      <c r="B305">
        <v>20</v>
      </c>
      <c r="C305" t="s">
        <v>22</v>
      </c>
      <c r="D305">
        <v>304</v>
      </c>
      <c r="E305" t="s">
        <v>44</v>
      </c>
      <c r="F305" t="s">
        <v>45</v>
      </c>
      <c r="G305">
        <v>304</v>
      </c>
      <c r="H305">
        <v>563</v>
      </c>
      <c r="I305">
        <v>60</v>
      </c>
      <c r="J305" t="s">
        <v>50</v>
      </c>
      <c r="K305" t="s">
        <v>47</v>
      </c>
      <c r="L305" t="s">
        <v>51</v>
      </c>
      <c r="M305" t="s">
        <v>56</v>
      </c>
      <c r="N305">
        <v>3.3</v>
      </c>
      <c r="O305">
        <v>1</v>
      </c>
      <c r="P305" t="s">
        <v>48</v>
      </c>
      <c r="Q305" t="s">
        <v>30</v>
      </c>
      <c r="R305" t="s">
        <v>30</v>
      </c>
      <c r="S305">
        <v>49</v>
      </c>
      <c r="T305" t="s">
        <v>31</v>
      </c>
      <c r="U305" t="s">
        <v>43</v>
      </c>
      <c r="V305" s="1">
        <v>45460</v>
      </c>
      <c r="W305">
        <f>Table1[[#This Row],[customer_purchase count]]+1</f>
        <v>50</v>
      </c>
      <c r="X305">
        <f>Table1[[#This Row],[customer_purchase count]]*Rules!$B$3</f>
        <v>2928.4535897435899</v>
      </c>
      <c r="Y305" t="str">
        <f>IF(Table1[[#This Row],[customer_subscription]]=1,"Subscribed","Not Subscribed")</f>
        <v>Subscribed</v>
      </c>
    </row>
    <row r="306" spans="1:26" x14ac:dyDescent="0.25">
      <c r="A306">
        <v>305</v>
      </c>
      <c r="B306">
        <v>40</v>
      </c>
      <c r="C306" t="s">
        <v>22</v>
      </c>
      <c r="D306">
        <v>305</v>
      </c>
      <c r="E306" t="s">
        <v>84</v>
      </c>
      <c r="F306" t="s">
        <v>24</v>
      </c>
      <c r="G306">
        <v>305</v>
      </c>
      <c r="H306">
        <v>565</v>
      </c>
      <c r="I306">
        <v>84</v>
      </c>
      <c r="J306" t="s">
        <v>50</v>
      </c>
      <c r="K306" t="s">
        <v>47</v>
      </c>
      <c r="L306" t="s">
        <v>99</v>
      </c>
      <c r="M306" t="s">
        <v>28</v>
      </c>
      <c r="N306">
        <v>3.4</v>
      </c>
      <c r="O306">
        <v>1</v>
      </c>
      <c r="P306" t="s">
        <v>48</v>
      </c>
      <c r="Q306" t="s">
        <v>30</v>
      </c>
      <c r="R306" t="s">
        <v>30</v>
      </c>
      <c r="S306">
        <v>45</v>
      </c>
      <c r="T306" t="s">
        <v>42</v>
      </c>
      <c r="U306" t="s">
        <v>79</v>
      </c>
      <c r="V306" s="1">
        <v>45647</v>
      </c>
      <c r="W306">
        <f>Table1[[#This Row],[customer_purchase count]]+1</f>
        <v>46</v>
      </c>
      <c r="X306">
        <f>Table1[[#This Row],[customer_purchase count]]*Rules!$B$3</f>
        <v>2689.396153846154</v>
      </c>
      <c r="Y306" t="str">
        <f>IF(Table1[[#This Row],[customer_subscription]]=1,"Subscribed","Not Subscribed")</f>
        <v>Subscribed</v>
      </c>
      <c r="Z306" t="s">
        <v>193</v>
      </c>
    </row>
    <row r="307" spans="1:26" x14ac:dyDescent="0.25">
      <c r="A307">
        <v>306</v>
      </c>
      <c r="B307">
        <v>60</v>
      </c>
      <c r="C307" t="s">
        <v>22</v>
      </c>
      <c r="D307">
        <v>306</v>
      </c>
      <c r="E307" t="s">
        <v>33</v>
      </c>
      <c r="F307" t="s">
        <v>24</v>
      </c>
      <c r="G307">
        <v>306</v>
      </c>
      <c r="H307">
        <v>566</v>
      </c>
      <c r="I307">
        <v>59</v>
      </c>
      <c r="J307" t="s">
        <v>143</v>
      </c>
      <c r="K307" t="s">
        <v>47</v>
      </c>
      <c r="L307" t="s">
        <v>88</v>
      </c>
      <c r="M307" t="s">
        <v>60</v>
      </c>
      <c r="N307">
        <v>3.5</v>
      </c>
      <c r="O307">
        <v>1</v>
      </c>
      <c r="P307" t="s">
        <v>73</v>
      </c>
      <c r="Q307" t="s">
        <v>30</v>
      </c>
      <c r="R307" t="s">
        <v>30</v>
      </c>
      <c r="S307">
        <v>26</v>
      </c>
      <c r="T307" t="s">
        <v>49</v>
      </c>
      <c r="U307" t="s">
        <v>52</v>
      </c>
      <c r="V307" s="1">
        <v>45622</v>
      </c>
      <c r="W307">
        <f>Table1[[#This Row],[customer_purchase count]]+1</f>
        <v>27</v>
      </c>
      <c r="X307">
        <f>Table1[[#This Row],[customer_purchase count]]*Rules!$B$3</f>
        <v>1553.8733333333334</v>
      </c>
      <c r="Y307" t="str">
        <f>IF(Table1[[#This Row],[customer_subscription]]=1,"Subscribed","Not Subscribed")</f>
        <v>Subscribed</v>
      </c>
    </row>
    <row r="308" spans="1:26" x14ac:dyDescent="0.25">
      <c r="A308">
        <v>307</v>
      </c>
      <c r="B308">
        <v>26</v>
      </c>
      <c r="C308" t="s">
        <v>22</v>
      </c>
      <c r="D308">
        <v>307</v>
      </c>
      <c r="E308" t="s">
        <v>105</v>
      </c>
      <c r="F308" t="s">
        <v>66</v>
      </c>
      <c r="G308">
        <v>307</v>
      </c>
      <c r="H308">
        <v>567</v>
      </c>
      <c r="I308">
        <v>49</v>
      </c>
      <c r="J308" t="s">
        <v>117</v>
      </c>
      <c r="K308" t="s">
        <v>39</v>
      </c>
      <c r="L308" t="s">
        <v>55</v>
      </c>
      <c r="M308" t="s">
        <v>56</v>
      </c>
      <c r="N308">
        <v>3.6</v>
      </c>
      <c r="O308">
        <v>1</v>
      </c>
      <c r="P308" t="s">
        <v>29</v>
      </c>
      <c r="Q308" t="s">
        <v>30</v>
      </c>
      <c r="R308" t="s">
        <v>30</v>
      </c>
      <c r="S308">
        <v>4</v>
      </c>
      <c r="T308" t="s">
        <v>36</v>
      </c>
      <c r="U308" t="s">
        <v>52</v>
      </c>
      <c r="V308" s="1">
        <v>45511</v>
      </c>
      <c r="W308">
        <f>Table1[[#This Row],[customer_purchase count]]+1</f>
        <v>5</v>
      </c>
      <c r="X308">
        <f>Table1[[#This Row],[customer_purchase count]]*Rules!$B$3</f>
        <v>239.05743589743591</v>
      </c>
      <c r="Y308" t="str">
        <f>IF(Table1[[#This Row],[customer_subscription]]=1,"Subscribed","Not Subscribed")</f>
        <v>Subscribed</v>
      </c>
    </row>
    <row r="309" spans="1:26" x14ac:dyDescent="0.25">
      <c r="A309">
        <v>308</v>
      </c>
      <c r="B309">
        <v>29</v>
      </c>
      <c r="C309" t="s">
        <v>22</v>
      </c>
      <c r="D309">
        <v>308</v>
      </c>
      <c r="E309" t="s">
        <v>146</v>
      </c>
      <c r="F309" t="s">
        <v>70</v>
      </c>
      <c r="G309">
        <v>308</v>
      </c>
      <c r="H309">
        <v>568</v>
      </c>
      <c r="I309">
        <v>32</v>
      </c>
      <c r="J309" t="s">
        <v>106</v>
      </c>
      <c r="K309" t="s">
        <v>47</v>
      </c>
      <c r="L309" t="s">
        <v>124</v>
      </c>
      <c r="M309" t="s">
        <v>28</v>
      </c>
      <c r="N309">
        <v>3.2</v>
      </c>
      <c r="O309">
        <v>1</v>
      </c>
      <c r="P309" t="s">
        <v>41</v>
      </c>
      <c r="Q309" t="s">
        <v>30</v>
      </c>
      <c r="R309" t="s">
        <v>30</v>
      </c>
      <c r="S309">
        <v>3</v>
      </c>
      <c r="T309" t="s">
        <v>42</v>
      </c>
      <c r="U309" t="s">
        <v>100</v>
      </c>
      <c r="V309" s="1">
        <v>45649</v>
      </c>
      <c r="W309">
        <f>Table1[[#This Row],[customer_purchase count]]+1</f>
        <v>4</v>
      </c>
      <c r="X309">
        <f>Table1[[#This Row],[customer_purchase count]]*Rules!$B$3</f>
        <v>179.29307692307694</v>
      </c>
      <c r="Y309" t="str">
        <f>IF(Table1[[#This Row],[customer_subscription]]=1,"Subscribed","Not Subscribed")</f>
        <v>Subscribed</v>
      </c>
    </row>
    <row r="310" spans="1:26" x14ac:dyDescent="0.25">
      <c r="A310">
        <v>309</v>
      </c>
      <c r="B310">
        <v>66</v>
      </c>
      <c r="C310" t="s">
        <v>22</v>
      </c>
      <c r="D310">
        <v>309</v>
      </c>
      <c r="E310" t="s">
        <v>69</v>
      </c>
      <c r="F310" t="s">
        <v>70</v>
      </c>
      <c r="G310">
        <v>309</v>
      </c>
      <c r="H310">
        <v>569</v>
      </c>
      <c r="I310">
        <v>29</v>
      </c>
      <c r="J310" t="s">
        <v>131</v>
      </c>
      <c r="K310" t="s">
        <v>47</v>
      </c>
      <c r="L310" t="s">
        <v>121</v>
      </c>
      <c r="M310" t="s">
        <v>60</v>
      </c>
      <c r="N310">
        <v>3.7</v>
      </c>
      <c r="O310">
        <v>1</v>
      </c>
      <c r="P310" t="s">
        <v>57</v>
      </c>
      <c r="Q310" t="s">
        <v>30</v>
      </c>
      <c r="R310" t="s">
        <v>30</v>
      </c>
      <c r="S310">
        <v>45</v>
      </c>
      <c r="T310" t="s">
        <v>31</v>
      </c>
      <c r="U310" t="s">
        <v>79</v>
      </c>
      <c r="V310" s="1">
        <v>45544</v>
      </c>
      <c r="W310">
        <f>Table1[[#This Row],[customer_purchase count]]+1</f>
        <v>46</v>
      </c>
      <c r="X310">
        <f>Table1[[#This Row],[customer_purchase count]]*Rules!$B$3</f>
        <v>2689.396153846154</v>
      </c>
      <c r="Y310" t="str">
        <f>IF(Table1[[#This Row],[customer_subscription]]=1,"Subscribed","Not Subscribed")</f>
        <v>Subscribed</v>
      </c>
    </row>
    <row r="311" spans="1:26" x14ac:dyDescent="0.25">
      <c r="A311">
        <v>310</v>
      </c>
      <c r="B311">
        <v>66</v>
      </c>
      <c r="C311" t="s">
        <v>22</v>
      </c>
      <c r="D311">
        <v>310</v>
      </c>
      <c r="E311" t="s">
        <v>84</v>
      </c>
      <c r="F311" t="s">
        <v>24</v>
      </c>
      <c r="G311">
        <v>310</v>
      </c>
      <c r="H311">
        <v>571</v>
      </c>
      <c r="I311">
        <v>22</v>
      </c>
      <c r="J311" t="s">
        <v>151</v>
      </c>
      <c r="K311" t="s">
        <v>47</v>
      </c>
      <c r="L311" t="s">
        <v>137</v>
      </c>
      <c r="M311" t="s">
        <v>40</v>
      </c>
      <c r="N311">
        <v>4.5</v>
      </c>
      <c r="O311">
        <v>1</v>
      </c>
      <c r="P311" t="s">
        <v>57</v>
      </c>
      <c r="Q311" t="s">
        <v>30</v>
      </c>
      <c r="R311" t="s">
        <v>30</v>
      </c>
      <c r="S311">
        <v>21</v>
      </c>
      <c r="T311" t="s">
        <v>36</v>
      </c>
      <c r="U311" t="s">
        <v>32</v>
      </c>
      <c r="V311" s="1">
        <v>45395</v>
      </c>
      <c r="W311">
        <f>Table1[[#This Row],[customer_purchase count]]+1</f>
        <v>22</v>
      </c>
      <c r="X311">
        <f>Table1[[#This Row],[customer_purchase count]]*Rules!$B$3</f>
        <v>1255.0515384615385</v>
      </c>
      <c r="Y311" t="str">
        <f>IF(Table1[[#This Row],[customer_subscription]]=1,"Subscribed","Not Subscribed")</f>
        <v>Subscribed</v>
      </c>
    </row>
    <row r="312" spans="1:26" x14ac:dyDescent="0.25">
      <c r="A312">
        <v>311</v>
      </c>
      <c r="B312">
        <v>56</v>
      </c>
      <c r="C312" t="s">
        <v>22</v>
      </c>
      <c r="D312">
        <v>311</v>
      </c>
      <c r="E312" t="s">
        <v>98</v>
      </c>
      <c r="F312" t="s">
        <v>24</v>
      </c>
      <c r="G312">
        <v>311</v>
      </c>
      <c r="H312">
        <v>572</v>
      </c>
      <c r="I312">
        <v>85</v>
      </c>
      <c r="J312" t="s">
        <v>59</v>
      </c>
      <c r="K312" t="s">
        <v>47</v>
      </c>
      <c r="L312" t="s">
        <v>64</v>
      </c>
      <c r="M312" t="s">
        <v>28</v>
      </c>
      <c r="N312">
        <v>4.5999999999999996</v>
      </c>
      <c r="O312">
        <v>1</v>
      </c>
      <c r="P312" t="s">
        <v>57</v>
      </c>
      <c r="Q312" t="s">
        <v>30</v>
      </c>
      <c r="R312" t="s">
        <v>30</v>
      </c>
      <c r="S312">
        <v>50</v>
      </c>
      <c r="T312" t="s">
        <v>36</v>
      </c>
      <c r="U312" t="s">
        <v>32</v>
      </c>
      <c r="V312" s="1">
        <v>45319</v>
      </c>
      <c r="W312">
        <f>Table1[[#This Row],[customer_purchase count]]+1</f>
        <v>51</v>
      </c>
      <c r="X312">
        <f>Table1[[#This Row],[customer_purchase count]]*Rules!$B$3</f>
        <v>2988.2179487179487</v>
      </c>
      <c r="Y312" t="str">
        <f>IF(Table1[[#This Row],[customer_subscription]]=1,"Subscribed","Not Subscribed")</f>
        <v>Subscribed</v>
      </c>
      <c r="Z312" t="s">
        <v>193</v>
      </c>
    </row>
    <row r="313" spans="1:26" x14ac:dyDescent="0.25">
      <c r="A313">
        <v>312</v>
      </c>
      <c r="B313">
        <v>69</v>
      </c>
      <c r="C313" t="s">
        <v>22</v>
      </c>
      <c r="D313">
        <v>312</v>
      </c>
      <c r="E313" t="s">
        <v>37</v>
      </c>
      <c r="F313" t="s">
        <v>24</v>
      </c>
      <c r="G313">
        <v>312</v>
      </c>
      <c r="H313">
        <v>573</v>
      </c>
      <c r="I313">
        <v>52</v>
      </c>
      <c r="J313" t="s">
        <v>46</v>
      </c>
      <c r="K313" t="s">
        <v>26</v>
      </c>
      <c r="L313" t="s">
        <v>68</v>
      </c>
      <c r="M313" t="s">
        <v>28</v>
      </c>
      <c r="N313">
        <v>4.0999999999999996</v>
      </c>
      <c r="O313">
        <v>1</v>
      </c>
      <c r="P313" t="s">
        <v>77</v>
      </c>
      <c r="Q313" t="s">
        <v>30</v>
      </c>
      <c r="R313" t="s">
        <v>30</v>
      </c>
      <c r="S313">
        <v>19</v>
      </c>
      <c r="T313" t="s">
        <v>78</v>
      </c>
      <c r="U313" t="s">
        <v>91</v>
      </c>
      <c r="V313" s="1">
        <v>45330</v>
      </c>
      <c r="W313">
        <f>Table1[[#This Row],[customer_purchase count]]+1</f>
        <v>20</v>
      </c>
      <c r="X313">
        <f>Table1[[#This Row],[customer_purchase count]]*Rules!$B$3</f>
        <v>1135.5228205128205</v>
      </c>
      <c r="Y313" t="str">
        <f>IF(Table1[[#This Row],[customer_subscription]]=1,"Subscribed","Not Subscribed")</f>
        <v>Subscribed</v>
      </c>
    </row>
    <row r="314" spans="1:26" x14ac:dyDescent="0.25">
      <c r="A314">
        <v>313</v>
      </c>
      <c r="B314">
        <v>38</v>
      </c>
      <c r="C314" t="s">
        <v>22</v>
      </c>
      <c r="D314">
        <v>313</v>
      </c>
      <c r="E314" t="s">
        <v>98</v>
      </c>
      <c r="F314" t="s">
        <v>24</v>
      </c>
      <c r="G314">
        <v>313</v>
      </c>
      <c r="H314">
        <v>574</v>
      </c>
      <c r="I314">
        <v>89</v>
      </c>
      <c r="J314" t="s">
        <v>38</v>
      </c>
      <c r="K314" t="s">
        <v>26</v>
      </c>
      <c r="L314" t="s">
        <v>99</v>
      </c>
      <c r="M314" t="s">
        <v>40</v>
      </c>
      <c r="N314">
        <v>3.4</v>
      </c>
      <c r="O314">
        <v>1</v>
      </c>
      <c r="P314" t="s">
        <v>48</v>
      </c>
      <c r="Q314" t="s">
        <v>30</v>
      </c>
      <c r="R314" t="s">
        <v>30</v>
      </c>
      <c r="S314">
        <v>6</v>
      </c>
      <c r="T314" t="s">
        <v>49</v>
      </c>
      <c r="U314" t="s">
        <v>52</v>
      </c>
      <c r="V314" s="1">
        <v>45389</v>
      </c>
      <c r="W314">
        <f>Table1[[#This Row],[customer_purchase count]]+1</f>
        <v>7</v>
      </c>
      <c r="X314">
        <f>Table1[[#This Row],[customer_purchase count]]*Rules!$B$3</f>
        <v>358.58615384615388</v>
      </c>
      <c r="Y314" t="str">
        <f>IF(Table1[[#This Row],[customer_subscription]]=1,"Subscribed","Not Subscribed")</f>
        <v>Subscribed</v>
      </c>
    </row>
    <row r="315" spans="1:26" x14ac:dyDescent="0.25">
      <c r="A315">
        <v>314</v>
      </c>
      <c r="B315">
        <v>42</v>
      </c>
      <c r="C315" t="s">
        <v>22</v>
      </c>
      <c r="D315">
        <v>314</v>
      </c>
      <c r="E315" t="s">
        <v>84</v>
      </c>
      <c r="F315" t="s">
        <v>24</v>
      </c>
      <c r="G315">
        <v>314</v>
      </c>
      <c r="H315">
        <v>575</v>
      </c>
      <c r="I315">
        <v>77</v>
      </c>
      <c r="J315" t="s">
        <v>132</v>
      </c>
      <c r="K315" t="s">
        <v>47</v>
      </c>
      <c r="L315" t="s">
        <v>72</v>
      </c>
      <c r="M315" t="s">
        <v>40</v>
      </c>
      <c r="N315">
        <v>3.7</v>
      </c>
      <c r="O315">
        <v>1</v>
      </c>
      <c r="P315" t="s">
        <v>29</v>
      </c>
      <c r="Q315" t="s">
        <v>30</v>
      </c>
      <c r="R315" t="s">
        <v>30</v>
      </c>
      <c r="S315">
        <v>50</v>
      </c>
      <c r="T315" t="s">
        <v>42</v>
      </c>
      <c r="U315" t="s">
        <v>100</v>
      </c>
      <c r="V315" s="1">
        <v>45409</v>
      </c>
      <c r="W315">
        <f>Table1[[#This Row],[customer_purchase count]]+1</f>
        <v>51</v>
      </c>
      <c r="X315">
        <f>Table1[[#This Row],[customer_purchase count]]*Rules!$B$3</f>
        <v>2988.2179487179487</v>
      </c>
      <c r="Y315" t="str">
        <f>IF(Table1[[#This Row],[customer_subscription]]=1,"Subscribed","Not Subscribed")</f>
        <v>Subscribed</v>
      </c>
      <c r="Z315" t="s">
        <v>193</v>
      </c>
    </row>
    <row r="316" spans="1:26" x14ac:dyDescent="0.25">
      <c r="A316">
        <v>315</v>
      </c>
      <c r="B316">
        <v>30</v>
      </c>
      <c r="C316" t="s">
        <v>22</v>
      </c>
      <c r="D316">
        <v>315</v>
      </c>
      <c r="E316" t="s">
        <v>98</v>
      </c>
      <c r="F316" t="s">
        <v>24</v>
      </c>
      <c r="G316">
        <v>315</v>
      </c>
      <c r="H316">
        <v>577</v>
      </c>
      <c r="I316">
        <v>24</v>
      </c>
      <c r="J316" t="s">
        <v>130</v>
      </c>
      <c r="K316" t="s">
        <v>47</v>
      </c>
      <c r="L316" t="s">
        <v>76</v>
      </c>
      <c r="M316" t="s">
        <v>56</v>
      </c>
      <c r="N316">
        <v>3.3</v>
      </c>
      <c r="O316">
        <v>1</v>
      </c>
      <c r="P316" t="s">
        <v>77</v>
      </c>
      <c r="Q316" t="s">
        <v>30</v>
      </c>
      <c r="R316" t="s">
        <v>30</v>
      </c>
      <c r="S316">
        <v>17</v>
      </c>
      <c r="T316" t="s">
        <v>89</v>
      </c>
      <c r="U316" t="s">
        <v>100</v>
      </c>
      <c r="V316" s="1">
        <v>45492</v>
      </c>
      <c r="W316">
        <f>Table1[[#This Row],[customer_purchase count]]+1</f>
        <v>18</v>
      </c>
      <c r="X316">
        <f>Table1[[#This Row],[customer_purchase count]]*Rules!$B$3</f>
        <v>1015.9941025641026</v>
      </c>
      <c r="Y316" t="str">
        <f>IF(Table1[[#This Row],[customer_subscription]]=1,"Subscribed","Not Subscribed")</f>
        <v>Subscribed</v>
      </c>
    </row>
    <row r="317" spans="1:26" x14ac:dyDescent="0.25">
      <c r="A317">
        <v>316</v>
      </c>
      <c r="B317">
        <v>66</v>
      </c>
      <c r="C317" t="s">
        <v>22</v>
      </c>
      <c r="D317">
        <v>316</v>
      </c>
      <c r="E317" t="s">
        <v>109</v>
      </c>
      <c r="F317" t="s">
        <v>70</v>
      </c>
      <c r="G317">
        <v>316</v>
      </c>
      <c r="H317">
        <v>578</v>
      </c>
      <c r="I317">
        <v>24</v>
      </c>
      <c r="J317" t="s">
        <v>153</v>
      </c>
      <c r="K317" t="s">
        <v>95</v>
      </c>
      <c r="L317" t="s">
        <v>124</v>
      </c>
      <c r="M317" t="s">
        <v>40</v>
      </c>
      <c r="N317">
        <v>4.5</v>
      </c>
      <c r="O317">
        <v>1</v>
      </c>
      <c r="P317" t="s">
        <v>29</v>
      </c>
      <c r="Q317" t="s">
        <v>30</v>
      </c>
      <c r="R317" t="s">
        <v>30</v>
      </c>
      <c r="S317">
        <v>24</v>
      </c>
      <c r="T317" t="s">
        <v>89</v>
      </c>
      <c r="U317" t="s">
        <v>52</v>
      </c>
      <c r="V317" s="1">
        <v>45394</v>
      </c>
      <c r="W317">
        <f>Table1[[#This Row],[customer_purchase count]]+1</f>
        <v>25</v>
      </c>
      <c r="X317">
        <f>Table1[[#This Row],[customer_purchase count]]*Rules!$B$3</f>
        <v>1434.3446153846155</v>
      </c>
      <c r="Y317" t="str">
        <f>IF(Table1[[#This Row],[customer_subscription]]=1,"Subscribed","Not Subscribed")</f>
        <v>Subscribed</v>
      </c>
    </row>
    <row r="318" spans="1:26" x14ac:dyDescent="0.25">
      <c r="A318">
        <v>317</v>
      </c>
      <c r="B318">
        <v>36</v>
      </c>
      <c r="C318" t="s">
        <v>22</v>
      </c>
      <c r="D318">
        <v>317</v>
      </c>
      <c r="E318" t="s">
        <v>69</v>
      </c>
      <c r="F318" t="s">
        <v>70</v>
      </c>
      <c r="G318">
        <v>317</v>
      </c>
      <c r="H318">
        <v>579</v>
      </c>
      <c r="I318">
        <v>22</v>
      </c>
      <c r="J318" t="s">
        <v>102</v>
      </c>
      <c r="K318" t="s">
        <v>47</v>
      </c>
      <c r="L318" t="s">
        <v>64</v>
      </c>
      <c r="M318" t="s">
        <v>60</v>
      </c>
      <c r="N318">
        <v>3.3</v>
      </c>
      <c r="O318">
        <v>1</v>
      </c>
      <c r="P318" t="s">
        <v>41</v>
      </c>
      <c r="Q318" t="s">
        <v>30</v>
      </c>
      <c r="R318" t="s">
        <v>30</v>
      </c>
      <c r="S318">
        <v>46</v>
      </c>
      <c r="T318" t="s">
        <v>31</v>
      </c>
      <c r="U318" t="s">
        <v>91</v>
      </c>
      <c r="V318" s="1">
        <v>45543</v>
      </c>
      <c r="W318">
        <f>Table1[[#This Row],[customer_purchase count]]+1</f>
        <v>47</v>
      </c>
      <c r="X318">
        <f>Table1[[#This Row],[customer_purchase count]]*Rules!$B$3</f>
        <v>2749.1605128205128</v>
      </c>
      <c r="Y318" t="str">
        <f>IF(Table1[[#This Row],[customer_subscription]]=1,"Subscribed","Not Subscribed")</f>
        <v>Subscribed</v>
      </c>
      <c r="Z318" t="s">
        <v>193</v>
      </c>
    </row>
    <row r="319" spans="1:26" x14ac:dyDescent="0.25">
      <c r="A319">
        <v>318</v>
      </c>
      <c r="B319">
        <v>58</v>
      </c>
      <c r="C319" t="s">
        <v>22</v>
      </c>
      <c r="D319">
        <v>318</v>
      </c>
      <c r="E319" t="s">
        <v>33</v>
      </c>
      <c r="F319" t="s">
        <v>24</v>
      </c>
      <c r="G319">
        <v>318</v>
      </c>
      <c r="H319">
        <v>580</v>
      </c>
      <c r="I319">
        <v>82</v>
      </c>
      <c r="J319" t="s">
        <v>67</v>
      </c>
      <c r="K319" t="s">
        <v>26</v>
      </c>
      <c r="L319" t="s">
        <v>88</v>
      </c>
      <c r="M319" t="s">
        <v>60</v>
      </c>
      <c r="N319">
        <v>4.3</v>
      </c>
      <c r="O319">
        <v>1</v>
      </c>
      <c r="P319" t="s">
        <v>57</v>
      </c>
      <c r="Q319" t="s">
        <v>30</v>
      </c>
      <c r="R319" t="s">
        <v>30</v>
      </c>
      <c r="S319">
        <v>42</v>
      </c>
      <c r="T319" t="s">
        <v>36</v>
      </c>
      <c r="U319" t="s">
        <v>100</v>
      </c>
      <c r="V319" s="1">
        <v>45605</v>
      </c>
      <c r="W319">
        <f>Table1[[#This Row],[customer_purchase count]]+1</f>
        <v>43</v>
      </c>
      <c r="X319">
        <f>Table1[[#This Row],[customer_purchase count]]*Rules!$B$3</f>
        <v>2510.103076923077</v>
      </c>
      <c r="Y319" t="str">
        <f>IF(Table1[[#This Row],[customer_subscription]]=1,"Subscribed","Not Subscribed")</f>
        <v>Subscribed</v>
      </c>
      <c r="Z319" t="s">
        <v>193</v>
      </c>
    </row>
    <row r="320" spans="1:26" x14ac:dyDescent="0.25">
      <c r="A320">
        <v>319</v>
      </c>
      <c r="B320">
        <v>45</v>
      </c>
      <c r="C320" t="s">
        <v>22</v>
      </c>
      <c r="D320">
        <v>319</v>
      </c>
      <c r="E320" t="s">
        <v>135</v>
      </c>
      <c r="F320" t="s">
        <v>70</v>
      </c>
      <c r="G320">
        <v>319</v>
      </c>
      <c r="H320">
        <v>581</v>
      </c>
      <c r="I320">
        <v>67</v>
      </c>
      <c r="J320" t="s">
        <v>150</v>
      </c>
      <c r="K320" t="s">
        <v>47</v>
      </c>
      <c r="L320" t="s">
        <v>121</v>
      </c>
      <c r="M320" t="s">
        <v>28</v>
      </c>
      <c r="N320">
        <v>2.5</v>
      </c>
      <c r="O320">
        <v>1</v>
      </c>
      <c r="P320" t="s">
        <v>57</v>
      </c>
      <c r="Q320" t="s">
        <v>30</v>
      </c>
      <c r="R320" t="s">
        <v>30</v>
      </c>
      <c r="S320">
        <v>10</v>
      </c>
      <c r="T320" t="s">
        <v>36</v>
      </c>
      <c r="U320" t="s">
        <v>52</v>
      </c>
      <c r="V320" s="1">
        <v>45311</v>
      </c>
      <c r="W320">
        <f>Table1[[#This Row],[customer_purchase count]]+1</f>
        <v>11</v>
      </c>
      <c r="X320">
        <f>Table1[[#This Row],[customer_purchase count]]*Rules!$B$3</f>
        <v>597.64358974358981</v>
      </c>
      <c r="Y320" t="str">
        <f>IF(Table1[[#This Row],[customer_subscription]]=1,"Subscribed","Not Subscribed")</f>
        <v>Subscribed</v>
      </c>
    </row>
    <row r="321" spans="1:26" x14ac:dyDescent="0.25">
      <c r="A321">
        <v>320</v>
      </c>
      <c r="B321">
        <v>47</v>
      </c>
      <c r="C321" t="s">
        <v>22</v>
      </c>
      <c r="D321">
        <v>320</v>
      </c>
      <c r="E321" t="s">
        <v>62</v>
      </c>
      <c r="F321" t="s">
        <v>24</v>
      </c>
      <c r="G321">
        <v>320</v>
      </c>
      <c r="H321">
        <v>583</v>
      </c>
      <c r="I321">
        <v>74</v>
      </c>
      <c r="J321" t="s">
        <v>34</v>
      </c>
      <c r="K321" t="s">
        <v>95</v>
      </c>
      <c r="L321" t="s">
        <v>55</v>
      </c>
      <c r="M321" t="s">
        <v>40</v>
      </c>
      <c r="N321">
        <v>2.6</v>
      </c>
      <c r="O321">
        <v>1</v>
      </c>
      <c r="P321" t="s">
        <v>57</v>
      </c>
      <c r="Q321" t="s">
        <v>30</v>
      </c>
      <c r="R321" t="s">
        <v>30</v>
      </c>
      <c r="S321">
        <v>1</v>
      </c>
      <c r="T321" t="s">
        <v>36</v>
      </c>
      <c r="U321" t="s">
        <v>100</v>
      </c>
      <c r="V321" s="1">
        <v>45354</v>
      </c>
      <c r="W321">
        <f>Table1[[#This Row],[customer_purchase count]]+1</f>
        <v>2</v>
      </c>
      <c r="X321">
        <f>Table1[[#This Row],[customer_purchase count]]*Rules!$B$3</f>
        <v>59.764358974358977</v>
      </c>
      <c r="Y321" t="str">
        <f>IF(Table1[[#This Row],[customer_subscription]]=1,"Subscribed","Not Subscribed")</f>
        <v>Subscribed</v>
      </c>
    </row>
    <row r="322" spans="1:26" x14ac:dyDescent="0.25">
      <c r="A322">
        <v>321</v>
      </c>
      <c r="B322">
        <v>66</v>
      </c>
      <c r="C322" t="s">
        <v>22</v>
      </c>
      <c r="D322">
        <v>321</v>
      </c>
      <c r="E322" t="s">
        <v>109</v>
      </c>
      <c r="F322" t="s">
        <v>70</v>
      </c>
      <c r="G322">
        <v>321</v>
      </c>
      <c r="H322">
        <v>584</v>
      </c>
      <c r="I322">
        <v>72</v>
      </c>
      <c r="J322" t="s">
        <v>114</v>
      </c>
      <c r="K322" t="s">
        <v>26</v>
      </c>
      <c r="L322" t="s">
        <v>55</v>
      </c>
      <c r="M322" t="s">
        <v>56</v>
      </c>
      <c r="N322">
        <v>4.9000000000000004</v>
      </c>
      <c r="O322">
        <v>1</v>
      </c>
      <c r="P322" t="s">
        <v>57</v>
      </c>
      <c r="Q322" t="s">
        <v>30</v>
      </c>
      <c r="R322" t="s">
        <v>30</v>
      </c>
      <c r="S322">
        <v>28</v>
      </c>
      <c r="T322" t="s">
        <v>89</v>
      </c>
      <c r="U322" t="s">
        <v>61</v>
      </c>
      <c r="V322" s="1">
        <v>45447</v>
      </c>
      <c r="W322">
        <f>Table1[[#This Row],[customer_purchase count]]+1</f>
        <v>29</v>
      </c>
      <c r="X322">
        <f>Table1[[#This Row],[customer_purchase count]]*Rules!$B$3</f>
        <v>1673.4020512820514</v>
      </c>
      <c r="Y322" t="str">
        <f>IF(Table1[[#This Row],[customer_subscription]]=1,"Subscribed","Not Subscribed")</f>
        <v>Subscribed</v>
      </c>
    </row>
    <row r="323" spans="1:26" x14ac:dyDescent="0.25">
      <c r="A323">
        <v>322</v>
      </c>
      <c r="B323">
        <v>41</v>
      </c>
      <c r="C323" t="s">
        <v>22</v>
      </c>
      <c r="D323">
        <v>322</v>
      </c>
      <c r="E323" t="s">
        <v>53</v>
      </c>
      <c r="F323" t="s">
        <v>45</v>
      </c>
      <c r="G323">
        <v>322</v>
      </c>
      <c r="H323">
        <v>585</v>
      </c>
      <c r="I323">
        <v>36</v>
      </c>
      <c r="J323" t="s">
        <v>132</v>
      </c>
      <c r="K323" t="s">
        <v>26</v>
      </c>
      <c r="L323" t="s">
        <v>124</v>
      </c>
      <c r="M323" t="s">
        <v>56</v>
      </c>
      <c r="N323">
        <v>4.7</v>
      </c>
      <c r="O323">
        <v>1</v>
      </c>
      <c r="P323" t="s">
        <v>41</v>
      </c>
      <c r="Q323" t="s">
        <v>30</v>
      </c>
      <c r="R323" t="s">
        <v>30</v>
      </c>
      <c r="S323">
        <v>48</v>
      </c>
      <c r="T323" t="s">
        <v>89</v>
      </c>
      <c r="U323" t="s">
        <v>61</v>
      </c>
      <c r="V323" s="1">
        <v>45490</v>
      </c>
      <c r="W323">
        <f>Table1[[#This Row],[customer_purchase count]]+1</f>
        <v>49</v>
      </c>
      <c r="X323">
        <f>Table1[[#This Row],[customer_purchase count]]*Rules!$B$3</f>
        <v>2868.689230769231</v>
      </c>
      <c r="Y323" t="str">
        <f>IF(Table1[[#This Row],[customer_subscription]]=1,"Subscribed","Not Subscribed")</f>
        <v>Subscribed</v>
      </c>
      <c r="Z323" t="s">
        <v>193</v>
      </c>
    </row>
    <row r="324" spans="1:26" x14ac:dyDescent="0.25">
      <c r="A324">
        <v>323</v>
      </c>
      <c r="B324">
        <v>41</v>
      </c>
      <c r="C324" t="s">
        <v>22</v>
      </c>
      <c r="D324">
        <v>323</v>
      </c>
      <c r="E324" t="s">
        <v>136</v>
      </c>
      <c r="F324" t="s">
        <v>70</v>
      </c>
      <c r="G324">
        <v>323</v>
      </c>
      <c r="H324">
        <v>586</v>
      </c>
      <c r="I324">
        <v>95</v>
      </c>
      <c r="J324" t="s">
        <v>125</v>
      </c>
      <c r="K324" t="s">
        <v>39</v>
      </c>
      <c r="L324" t="s">
        <v>112</v>
      </c>
      <c r="M324" t="s">
        <v>28</v>
      </c>
      <c r="N324">
        <v>3</v>
      </c>
      <c r="O324">
        <v>1</v>
      </c>
      <c r="P324" t="s">
        <v>57</v>
      </c>
      <c r="Q324" t="s">
        <v>30</v>
      </c>
      <c r="R324" t="s">
        <v>30</v>
      </c>
      <c r="S324">
        <v>47</v>
      </c>
      <c r="T324" t="s">
        <v>42</v>
      </c>
      <c r="U324" t="s">
        <v>91</v>
      </c>
      <c r="V324" s="1">
        <v>45327</v>
      </c>
      <c r="W324">
        <f>Table1[[#This Row],[customer_purchase count]]+1</f>
        <v>48</v>
      </c>
      <c r="X324">
        <f>Table1[[#This Row],[customer_purchase count]]*Rules!$B$3</f>
        <v>2808.9248717948717</v>
      </c>
      <c r="Y324" t="str">
        <f>IF(Table1[[#This Row],[customer_subscription]]=1,"Subscribed","Not Subscribed")</f>
        <v>Subscribed</v>
      </c>
      <c r="Z324" t="s">
        <v>193</v>
      </c>
    </row>
    <row r="325" spans="1:26" x14ac:dyDescent="0.25">
      <c r="A325">
        <v>324</v>
      </c>
      <c r="B325">
        <v>66</v>
      </c>
      <c r="C325" t="s">
        <v>22</v>
      </c>
      <c r="D325">
        <v>324</v>
      </c>
      <c r="E325" t="s">
        <v>107</v>
      </c>
      <c r="F325" t="s">
        <v>24</v>
      </c>
      <c r="G325">
        <v>324</v>
      </c>
      <c r="H325">
        <v>587</v>
      </c>
      <c r="I325">
        <v>78</v>
      </c>
      <c r="J325" t="s">
        <v>125</v>
      </c>
      <c r="K325" t="s">
        <v>47</v>
      </c>
      <c r="L325" t="s">
        <v>124</v>
      </c>
      <c r="M325" t="s">
        <v>28</v>
      </c>
      <c r="N325">
        <v>3.5</v>
      </c>
      <c r="O325">
        <v>1</v>
      </c>
      <c r="P325" t="s">
        <v>48</v>
      </c>
      <c r="Q325" t="s">
        <v>30</v>
      </c>
      <c r="R325" t="s">
        <v>30</v>
      </c>
      <c r="S325">
        <v>29</v>
      </c>
      <c r="T325" t="s">
        <v>49</v>
      </c>
      <c r="U325" t="s">
        <v>79</v>
      </c>
      <c r="V325" s="1">
        <v>45344</v>
      </c>
      <c r="W325">
        <f>Table1[[#This Row],[customer_purchase count]]+1</f>
        <v>30</v>
      </c>
      <c r="X325">
        <f>Table1[[#This Row],[customer_purchase count]]*Rules!$B$3</f>
        <v>1733.1664102564102</v>
      </c>
      <c r="Y325" t="str">
        <f>IF(Table1[[#This Row],[customer_subscription]]=1,"Subscribed","Not Subscribed")</f>
        <v>Subscribed</v>
      </c>
    </row>
    <row r="326" spans="1:26" x14ac:dyDescent="0.25">
      <c r="A326">
        <v>325</v>
      </c>
      <c r="B326">
        <v>37</v>
      </c>
      <c r="C326" t="s">
        <v>22</v>
      </c>
      <c r="D326">
        <v>325</v>
      </c>
      <c r="E326" t="s">
        <v>58</v>
      </c>
      <c r="F326" t="s">
        <v>24</v>
      </c>
      <c r="G326">
        <v>325</v>
      </c>
      <c r="H326">
        <v>589</v>
      </c>
      <c r="I326">
        <v>82</v>
      </c>
      <c r="J326" t="s">
        <v>54</v>
      </c>
      <c r="K326" t="s">
        <v>47</v>
      </c>
      <c r="L326" t="s">
        <v>81</v>
      </c>
      <c r="M326" t="s">
        <v>56</v>
      </c>
      <c r="N326">
        <v>4.8</v>
      </c>
      <c r="O326">
        <v>1</v>
      </c>
      <c r="P326" t="s">
        <v>57</v>
      </c>
      <c r="Q326" t="s">
        <v>30</v>
      </c>
      <c r="R326" t="s">
        <v>30</v>
      </c>
      <c r="S326">
        <v>37</v>
      </c>
      <c r="T326" t="s">
        <v>31</v>
      </c>
      <c r="U326" t="s">
        <v>61</v>
      </c>
      <c r="V326" s="1">
        <v>45496</v>
      </c>
      <c r="W326">
        <f>Table1[[#This Row],[customer_purchase count]]+1</f>
        <v>38</v>
      </c>
      <c r="X326">
        <f>Table1[[#This Row],[customer_purchase count]]*Rules!$B$3</f>
        <v>2211.2812820512822</v>
      </c>
      <c r="Y326" t="str">
        <f>IF(Table1[[#This Row],[customer_subscription]]=1,"Subscribed","Not Subscribed")</f>
        <v>Subscribed</v>
      </c>
      <c r="Z326" t="s">
        <v>193</v>
      </c>
    </row>
    <row r="327" spans="1:26" x14ac:dyDescent="0.25">
      <c r="A327">
        <v>326</v>
      </c>
      <c r="B327">
        <v>70</v>
      </c>
      <c r="C327" t="s">
        <v>22</v>
      </c>
      <c r="D327">
        <v>326</v>
      </c>
      <c r="E327" t="s">
        <v>98</v>
      </c>
      <c r="F327" t="s">
        <v>24</v>
      </c>
      <c r="G327">
        <v>326</v>
      </c>
      <c r="H327">
        <v>590</v>
      </c>
      <c r="I327">
        <v>70</v>
      </c>
      <c r="J327" t="s">
        <v>132</v>
      </c>
      <c r="K327" t="s">
        <v>47</v>
      </c>
      <c r="L327" t="s">
        <v>64</v>
      </c>
      <c r="M327" t="s">
        <v>28</v>
      </c>
      <c r="N327">
        <v>4.3</v>
      </c>
      <c r="O327">
        <v>1</v>
      </c>
      <c r="P327" t="s">
        <v>41</v>
      </c>
      <c r="Q327" t="s">
        <v>30</v>
      </c>
      <c r="R327" t="s">
        <v>30</v>
      </c>
      <c r="S327">
        <v>38</v>
      </c>
      <c r="T327" t="s">
        <v>89</v>
      </c>
      <c r="U327" t="s">
        <v>52</v>
      </c>
      <c r="V327" s="1">
        <v>45632</v>
      </c>
      <c r="W327">
        <f>Table1[[#This Row],[customer_purchase count]]+1</f>
        <v>39</v>
      </c>
      <c r="X327">
        <f>Table1[[#This Row],[customer_purchase count]]*Rules!$B$3</f>
        <v>2271.0456410256411</v>
      </c>
      <c r="Y327" t="str">
        <f>IF(Table1[[#This Row],[customer_subscription]]=1,"Subscribed","Not Subscribed")</f>
        <v>Subscribed</v>
      </c>
    </row>
    <row r="328" spans="1:26" x14ac:dyDescent="0.25">
      <c r="A328">
        <v>327</v>
      </c>
      <c r="B328">
        <v>62</v>
      </c>
      <c r="C328" t="s">
        <v>22</v>
      </c>
      <c r="D328">
        <v>327</v>
      </c>
      <c r="E328" t="s">
        <v>122</v>
      </c>
      <c r="F328" t="s">
        <v>70</v>
      </c>
      <c r="G328">
        <v>327</v>
      </c>
      <c r="H328">
        <v>591</v>
      </c>
      <c r="I328">
        <v>41</v>
      </c>
      <c r="J328" t="s">
        <v>130</v>
      </c>
      <c r="K328" t="s">
        <v>47</v>
      </c>
      <c r="L328" t="s">
        <v>55</v>
      </c>
      <c r="M328" t="s">
        <v>60</v>
      </c>
      <c r="N328">
        <v>3.2</v>
      </c>
      <c r="O328">
        <v>1</v>
      </c>
      <c r="P328" t="s">
        <v>77</v>
      </c>
      <c r="Q328" t="s">
        <v>30</v>
      </c>
      <c r="R328" t="s">
        <v>30</v>
      </c>
      <c r="S328">
        <v>48</v>
      </c>
      <c r="T328" t="s">
        <v>78</v>
      </c>
      <c r="U328" t="s">
        <v>43</v>
      </c>
      <c r="V328" s="1">
        <v>45538</v>
      </c>
      <c r="W328">
        <f>Table1[[#This Row],[customer_purchase count]]+1</f>
        <v>49</v>
      </c>
      <c r="X328">
        <f>Table1[[#This Row],[customer_purchase count]]*Rules!$B$3</f>
        <v>2868.689230769231</v>
      </c>
      <c r="Y328" t="str">
        <f>IF(Table1[[#This Row],[customer_subscription]]=1,"Subscribed","Not Subscribed")</f>
        <v>Subscribed</v>
      </c>
    </row>
    <row r="329" spans="1:26" x14ac:dyDescent="0.25">
      <c r="A329">
        <v>328</v>
      </c>
      <c r="B329">
        <v>61</v>
      </c>
      <c r="C329" t="s">
        <v>22</v>
      </c>
      <c r="D329">
        <v>328</v>
      </c>
      <c r="E329" t="s">
        <v>65</v>
      </c>
      <c r="F329" t="s">
        <v>66</v>
      </c>
      <c r="G329">
        <v>328</v>
      </c>
      <c r="H329">
        <v>592</v>
      </c>
      <c r="I329">
        <v>42</v>
      </c>
      <c r="J329" t="s">
        <v>149</v>
      </c>
      <c r="K329" t="s">
        <v>47</v>
      </c>
      <c r="L329" t="s">
        <v>88</v>
      </c>
      <c r="M329" t="s">
        <v>56</v>
      </c>
      <c r="N329">
        <v>3.1</v>
      </c>
      <c r="O329">
        <v>1</v>
      </c>
      <c r="P329" t="s">
        <v>41</v>
      </c>
      <c r="Q329" t="s">
        <v>30</v>
      </c>
      <c r="R329" t="s">
        <v>30</v>
      </c>
      <c r="S329">
        <v>36</v>
      </c>
      <c r="T329" t="s">
        <v>49</v>
      </c>
      <c r="U329" t="s">
        <v>43</v>
      </c>
      <c r="V329" s="1">
        <v>45510</v>
      </c>
      <c r="W329">
        <f>Table1[[#This Row],[customer_purchase count]]+1</f>
        <v>37</v>
      </c>
      <c r="X329">
        <f>Table1[[#This Row],[customer_purchase count]]*Rules!$B$3</f>
        <v>2151.5169230769234</v>
      </c>
      <c r="Y329" t="str">
        <f>IF(Table1[[#This Row],[customer_subscription]]=1,"Subscribed","Not Subscribed")</f>
        <v>Subscribed</v>
      </c>
    </row>
    <row r="330" spans="1:26" x14ac:dyDescent="0.25">
      <c r="A330">
        <v>329</v>
      </c>
      <c r="B330">
        <v>48</v>
      </c>
      <c r="C330" t="s">
        <v>22</v>
      </c>
      <c r="D330">
        <v>329</v>
      </c>
      <c r="E330" t="s">
        <v>65</v>
      </c>
      <c r="F330" t="s">
        <v>66</v>
      </c>
      <c r="G330">
        <v>329</v>
      </c>
      <c r="H330">
        <v>593</v>
      </c>
      <c r="I330">
        <v>50</v>
      </c>
      <c r="J330" t="s">
        <v>106</v>
      </c>
      <c r="K330" t="s">
        <v>47</v>
      </c>
      <c r="L330" t="s">
        <v>137</v>
      </c>
      <c r="M330" t="s">
        <v>60</v>
      </c>
      <c r="N330">
        <v>2.8</v>
      </c>
      <c r="O330">
        <v>1</v>
      </c>
      <c r="P330" t="s">
        <v>41</v>
      </c>
      <c r="Q330" t="s">
        <v>30</v>
      </c>
      <c r="R330" t="s">
        <v>30</v>
      </c>
      <c r="S330">
        <v>9</v>
      </c>
      <c r="T330" t="s">
        <v>42</v>
      </c>
      <c r="U330" t="s">
        <v>43</v>
      </c>
      <c r="V330" s="1">
        <v>45590</v>
      </c>
      <c r="W330">
        <f>Table1[[#This Row],[customer_purchase count]]+1</f>
        <v>10</v>
      </c>
      <c r="X330">
        <f>Table1[[#This Row],[customer_purchase count]]*Rules!$B$3</f>
        <v>537.87923076923084</v>
      </c>
      <c r="Y330" t="str">
        <f>IF(Table1[[#This Row],[customer_subscription]]=1,"Subscribed","Not Subscribed")</f>
        <v>Subscribed</v>
      </c>
    </row>
    <row r="331" spans="1:26" x14ac:dyDescent="0.25">
      <c r="A331">
        <v>330</v>
      </c>
      <c r="B331">
        <v>70</v>
      </c>
      <c r="C331" t="s">
        <v>22</v>
      </c>
      <c r="D331">
        <v>330</v>
      </c>
      <c r="E331" t="s">
        <v>128</v>
      </c>
      <c r="F331" t="s">
        <v>24</v>
      </c>
      <c r="G331">
        <v>330</v>
      </c>
      <c r="H331">
        <v>595</v>
      </c>
      <c r="I331">
        <v>31</v>
      </c>
      <c r="J331" t="s">
        <v>110</v>
      </c>
      <c r="K331" t="s">
        <v>39</v>
      </c>
      <c r="L331" t="s">
        <v>55</v>
      </c>
      <c r="M331" t="s">
        <v>56</v>
      </c>
      <c r="N331">
        <v>2.9</v>
      </c>
      <c r="O331">
        <v>1</v>
      </c>
      <c r="P331" t="s">
        <v>73</v>
      </c>
      <c r="Q331" t="s">
        <v>30</v>
      </c>
      <c r="R331" t="s">
        <v>30</v>
      </c>
      <c r="S331">
        <v>34</v>
      </c>
      <c r="T331" t="s">
        <v>78</v>
      </c>
      <c r="U331" t="s">
        <v>91</v>
      </c>
      <c r="V331" s="1">
        <v>45516</v>
      </c>
      <c r="W331">
        <f>Table1[[#This Row],[customer_purchase count]]+1</f>
        <v>35</v>
      </c>
      <c r="X331">
        <f>Table1[[#This Row],[customer_purchase count]]*Rules!$B$3</f>
        <v>2031.9882051282052</v>
      </c>
      <c r="Y331" t="str">
        <f>IF(Table1[[#This Row],[customer_subscription]]=1,"Subscribed","Not Subscribed")</f>
        <v>Subscribed</v>
      </c>
    </row>
    <row r="332" spans="1:26" x14ac:dyDescent="0.25">
      <c r="A332">
        <v>331</v>
      </c>
      <c r="B332">
        <v>46</v>
      </c>
      <c r="C332" t="s">
        <v>22</v>
      </c>
      <c r="D332">
        <v>331</v>
      </c>
      <c r="E332" t="s">
        <v>33</v>
      </c>
      <c r="F332" t="s">
        <v>24</v>
      </c>
      <c r="G332">
        <v>331</v>
      </c>
      <c r="H332">
        <v>596</v>
      </c>
      <c r="I332">
        <v>51</v>
      </c>
      <c r="J332" t="s">
        <v>117</v>
      </c>
      <c r="K332" t="s">
        <v>47</v>
      </c>
      <c r="L332" t="s">
        <v>121</v>
      </c>
      <c r="M332" t="s">
        <v>28</v>
      </c>
      <c r="N332">
        <v>3.7</v>
      </c>
      <c r="O332">
        <v>1</v>
      </c>
      <c r="P332" t="s">
        <v>29</v>
      </c>
      <c r="Q332" t="s">
        <v>30</v>
      </c>
      <c r="R332" t="s">
        <v>30</v>
      </c>
      <c r="S332">
        <v>43</v>
      </c>
      <c r="T332" t="s">
        <v>31</v>
      </c>
      <c r="U332" t="s">
        <v>79</v>
      </c>
      <c r="V332" s="1">
        <v>45301</v>
      </c>
      <c r="W332">
        <f>Table1[[#This Row],[customer_purchase count]]+1</f>
        <v>44</v>
      </c>
      <c r="X332">
        <f>Table1[[#This Row],[customer_purchase count]]*Rules!$B$3</f>
        <v>2569.8674358974358</v>
      </c>
      <c r="Y332" t="str">
        <f>IF(Table1[[#This Row],[customer_subscription]]=1,"Subscribed","Not Subscribed")</f>
        <v>Subscribed</v>
      </c>
      <c r="Z332" t="s">
        <v>193</v>
      </c>
    </row>
    <row r="333" spans="1:26" x14ac:dyDescent="0.25">
      <c r="A333">
        <v>332</v>
      </c>
      <c r="B333">
        <v>31</v>
      </c>
      <c r="C333" t="s">
        <v>22</v>
      </c>
      <c r="D333">
        <v>332</v>
      </c>
      <c r="E333" t="s">
        <v>58</v>
      </c>
      <c r="F333" t="s">
        <v>24</v>
      </c>
      <c r="G333">
        <v>332</v>
      </c>
      <c r="H333">
        <v>597</v>
      </c>
      <c r="I333">
        <v>98</v>
      </c>
      <c r="J333" t="s">
        <v>106</v>
      </c>
      <c r="K333" t="s">
        <v>26</v>
      </c>
      <c r="L333" t="s">
        <v>121</v>
      </c>
      <c r="M333" t="s">
        <v>60</v>
      </c>
      <c r="N333">
        <v>3.3</v>
      </c>
      <c r="O333">
        <v>1</v>
      </c>
      <c r="P333" t="s">
        <v>77</v>
      </c>
      <c r="Q333" t="s">
        <v>30</v>
      </c>
      <c r="R333" t="s">
        <v>30</v>
      </c>
      <c r="S333">
        <v>46</v>
      </c>
      <c r="T333" t="s">
        <v>49</v>
      </c>
      <c r="U333" t="s">
        <v>61</v>
      </c>
      <c r="V333" s="1">
        <v>45622</v>
      </c>
      <c r="W333">
        <f>Table1[[#This Row],[customer_purchase count]]+1</f>
        <v>47</v>
      </c>
      <c r="X333">
        <f>Table1[[#This Row],[customer_purchase count]]*Rules!$B$3</f>
        <v>2749.1605128205128</v>
      </c>
      <c r="Y333" t="str">
        <f>IF(Table1[[#This Row],[customer_subscription]]=1,"Subscribed","Not Subscribed")</f>
        <v>Subscribed</v>
      </c>
      <c r="Z333" t="s">
        <v>193</v>
      </c>
    </row>
    <row r="334" spans="1:26" x14ac:dyDescent="0.25">
      <c r="A334">
        <v>333</v>
      </c>
      <c r="B334">
        <v>19</v>
      </c>
      <c r="C334" t="s">
        <v>22</v>
      </c>
      <c r="D334">
        <v>333</v>
      </c>
      <c r="E334" t="s">
        <v>58</v>
      </c>
      <c r="F334" t="s">
        <v>24</v>
      </c>
      <c r="G334">
        <v>333</v>
      </c>
      <c r="H334">
        <v>598</v>
      </c>
      <c r="I334">
        <v>86</v>
      </c>
      <c r="J334" t="s">
        <v>87</v>
      </c>
      <c r="K334" t="s">
        <v>47</v>
      </c>
      <c r="L334" t="s">
        <v>35</v>
      </c>
      <c r="M334" t="s">
        <v>28</v>
      </c>
      <c r="N334">
        <v>2.8</v>
      </c>
      <c r="O334">
        <v>1</v>
      </c>
      <c r="P334" t="s">
        <v>73</v>
      </c>
      <c r="Q334" t="s">
        <v>30</v>
      </c>
      <c r="R334" t="s">
        <v>30</v>
      </c>
      <c r="S334">
        <v>5</v>
      </c>
      <c r="T334" t="s">
        <v>42</v>
      </c>
      <c r="U334" t="s">
        <v>91</v>
      </c>
      <c r="V334" s="1">
        <v>45344</v>
      </c>
      <c r="W334">
        <f>Table1[[#This Row],[customer_purchase count]]+1</f>
        <v>6</v>
      </c>
      <c r="X334">
        <f>Table1[[#This Row],[customer_purchase count]]*Rules!$B$3</f>
        <v>298.82179487179491</v>
      </c>
      <c r="Y334" t="str">
        <f>IF(Table1[[#This Row],[customer_subscription]]=1,"Subscribed","Not Subscribed")</f>
        <v>Subscribed</v>
      </c>
    </row>
    <row r="335" spans="1:26" x14ac:dyDescent="0.25">
      <c r="A335">
        <v>334</v>
      </c>
      <c r="B335">
        <v>39</v>
      </c>
      <c r="C335" t="s">
        <v>22</v>
      </c>
      <c r="D335">
        <v>334</v>
      </c>
      <c r="E335" t="s">
        <v>33</v>
      </c>
      <c r="F335" t="s">
        <v>24</v>
      </c>
      <c r="G335">
        <v>334</v>
      </c>
      <c r="H335">
        <v>599</v>
      </c>
      <c r="I335">
        <v>64</v>
      </c>
      <c r="J335" t="s">
        <v>123</v>
      </c>
      <c r="K335" t="s">
        <v>47</v>
      </c>
      <c r="L335" t="s">
        <v>88</v>
      </c>
      <c r="M335" t="s">
        <v>28</v>
      </c>
      <c r="N335">
        <v>4.5</v>
      </c>
      <c r="O335">
        <v>1</v>
      </c>
      <c r="P335" t="s">
        <v>57</v>
      </c>
      <c r="Q335" t="s">
        <v>30</v>
      </c>
      <c r="R335" t="s">
        <v>30</v>
      </c>
      <c r="S335">
        <v>15</v>
      </c>
      <c r="T335" t="s">
        <v>78</v>
      </c>
      <c r="U335" t="s">
        <v>79</v>
      </c>
      <c r="V335" s="1">
        <v>45311</v>
      </c>
      <c r="W335">
        <f>Table1[[#This Row],[customer_purchase count]]+1</f>
        <v>16</v>
      </c>
      <c r="X335">
        <f>Table1[[#This Row],[customer_purchase count]]*Rules!$B$3</f>
        <v>896.46538461538466</v>
      </c>
      <c r="Y335" t="str">
        <f>IF(Table1[[#This Row],[customer_subscription]]=1,"Subscribed","Not Subscribed")</f>
        <v>Subscribed</v>
      </c>
    </row>
    <row r="336" spans="1:26" x14ac:dyDescent="0.25">
      <c r="A336">
        <v>335</v>
      </c>
      <c r="B336">
        <v>41</v>
      </c>
      <c r="C336" t="s">
        <v>22</v>
      </c>
      <c r="D336">
        <v>335</v>
      </c>
      <c r="E336" t="s">
        <v>23</v>
      </c>
      <c r="F336" t="s">
        <v>24</v>
      </c>
      <c r="G336">
        <v>335</v>
      </c>
      <c r="H336">
        <v>601</v>
      </c>
      <c r="I336">
        <v>46</v>
      </c>
      <c r="J336" t="s">
        <v>114</v>
      </c>
      <c r="K336" t="s">
        <v>47</v>
      </c>
      <c r="L336" t="s">
        <v>96</v>
      </c>
      <c r="M336" t="s">
        <v>60</v>
      </c>
      <c r="N336">
        <v>2.6</v>
      </c>
      <c r="O336">
        <v>1</v>
      </c>
      <c r="P336" t="s">
        <v>48</v>
      </c>
      <c r="Q336" t="s">
        <v>30</v>
      </c>
      <c r="R336" t="s">
        <v>30</v>
      </c>
      <c r="S336">
        <v>30</v>
      </c>
      <c r="T336" t="s">
        <v>42</v>
      </c>
      <c r="U336" t="s">
        <v>52</v>
      </c>
      <c r="V336" s="1">
        <v>45549</v>
      </c>
      <c r="W336">
        <f>Table1[[#This Row],[customer_purchase count]]+1</f>
        <v>31</v>
      </c>
      <c r="X336">
        <f>Table1[[#This Row],[customer_purchase count]]*Rules!$B$3</f>
        <v>1792.9307692307693</v>
      </c>
      <c r="Y336" t="str">
        <f>IF(Table1[[#This Row],[customer_subscription]]=1,"Subscribed","Not Subscribed")</f>
        <v>Subscribed</v>
      </c>
    </row>
    <row r="337" spans="1:26" x14ac:dyDescent="0.25">
      <c r="A337">
        <v>336</v>
      </c>
      <c r="B337">
        <v>20</v>
      </c>
      <c r="C337" t="s">
        <v>22</v>
      </c>
      <c r="D337">
        <v>336</v>
      </c>
      <c r="E337" t="s">
        <v>33</v>
      </c>
      <c r="F337" t="s">
        <v>24</v>
      </c>
      <c r="G337">
        <v>336</v>
      </c>
      <c r="H337">
        <v>602</v>
      </c>
      <c r="I337">
        <v>85</v>
      </c>
      <c r="J337" t="s">
        <v>50</v>
      </c>
      <c r="K337" t="s">
        <v>26</v>
      </c>
      <c r="L337" t="s">
        <v>35</v>
      </c>
      <c r="M337" t="s">
        <v>40</v>
      </c>
      <c r="N337">
        <v>3.7</v>
      </c>
      <c r="O337">
        <v>1</v>
      </c>
      <c r="P337" t="s">
        <v>57</v>
      </c>
      <c r="Q337" t="s">
        <v>30</v>
      </c>
      <c r="R337" t="s">
        <v>30</v>
      </c>
      <c r="S337">
        <v>44</v>
      </c>
      <c r="T337" t="s">
        <v>31</v>
      </c>
      <c r="U337" t="s">
        <v>100</v>
      </c>
      <c r="V337" s="1">
        <v>45374</v>
      </c>
      <c r="W337">
        <f>Table1[[#This Row],[customer_purchase count]]+1</f>
        <v>45</v>
      </c>
      <c r="X337">
        <f>Table1[[#This Row],[customer_purchase count]]*Rules!$B$3</f>
        <v>2629.6317948717951</v>
      </c>
      <c r="Y337" t="str">
        <f>IF(Table1[[#This Row],[customer_subscription]]=1,"Subscribed","Not Subscribed")</f>
        <v>Subscribed</v>
      </c>
    </row>
    <row r="338" spans="1:26" x14ac:dyDescent="0.25">
      <c r="A338">
        <v>337</v>
      </c>
      <c r="B338">
        <v>36</v>
      </c>
      <c r="C338" t="s">
        <v>22</v>
      </c>
      <c r="D338">
        <v>337</v>
      </c>
      <c r="E338" t="s">
        <v>127</v>
      </c>
      <c r="F338" t="s">
        <v>70</v>
      </c>
      <c r="G338">
        <v>337</v>
      </c>
      <c r="H338">
        <v>603</v>
      </c>
      <c r="I338">
        <v>81</v>
      </c>
      <c r="J338" t="s">
        <v>46</v>
      </c>
      <c r="K338" t="s">
        <v>39</v>
      </c>
      <c r="L338" t="s">
        <v>124</v>
      </c>
      <c r="M338" t="s">
        <v>60</v>
      </c>
      <c r="N338">
        <v>4.4000000000000004</v>
      </c>
      <c r="O338">
        <v>1</v>
      </c>
      <c r="P338" t="s">
        <v>29</v>
      </c>
      <c r="Q338" t="s">
        <v>30</v>
      </c>
      <c r="R338" t="s">
        <v>30</v>
      </c>
      <c r="S338">
        <v>16</v>
      </c>
      <c r="T338" t="s">
        <v>49</v>
      </c>
      <c r="U338" t="s">
        <v>52</v>
      </c>
      <c r="V338" s="1">
        <v>45617</v>
      </c>
      <c r="W338">
        <f>Table1[[#This Row],[customer_purchase count]]+1</f>
        <v>17</v>
      </c>
      <c r="X338">
        <f>Table1[[#This Row],[customer_purchase count]]*Rules!$B$3</f>
        <v>956.22974358974363</v>
      </c>
      <c r="Y338" t="str">
        <f>IF(Table1[[#This Row],[customer_subscription]]=1,"Subscribed","Not Subscribed")</f>
        <v>Subscribed</v>
      </c>
    </row>
    <row r="339" spans="1:26" x14ac:dyDescent="0.25">
      <c r="A339">
        <v>338</v>
      </c>
      <c r="B339">
        <v>32</v>
      </c>
      <c r="C339" t="s">
        <v>22</v>
      </c>
      <c r="D339">
        <v>338</v>
      </c>
      <c r="E339" t="s">
        <v>33</v>
      </c>
      <c r="F339" t="s">
        <v>24</v>
      </c>
      <c r="G339">
        <v>338</v>
      </c>
      <c r="H339">
        <v>604</v>
      </c>
      <c r="I339">
        <v>59</v>
      </c>
      <c r="J339" t="s">
        <v>133</v>
      </c>
      <c r="K339" t="s">
        <v>47</v>
      </c>
      <c r="L339" t="s">
        <v>112</v>
      </c>
      <c r="M339" t="s">
        <v>28</v>
      </c>
      <c r="N339">
        <v>4.3</v>
      </c>
      <c r="O339">
        <v>1</v>
      </c>
      <c r="P339" t="s">
        <v>73</v>
      </c>
      <c r="Q339" t="s">
        <v>30</v>
      </c>
      <c r="R339" t="s">
        <v>30</v>
      </c>
      <c r="S339">
        <v>16</v>
      </c>
      <c r="T339" t="s">
        <v>78</v>
      </c>
      <c r="U339" t="s">
        <v>52</v>
      </c>
      <c r="V339" s="1">
        <v>45318</v>
      </c>
      <c r="W339">
        <f>Table1[[#This Row],[customer_purchase count]]+1</f>
        <v>17</v>
      </c>
      <c r="X339">
        <f>Table1[[#This Row],[customer_purchase count]]*Rules!$B$3</f>
        <v>956.22974358974363</v>
      </c>
      <c r="Y339" t="str">
        <f>IF(Table1[[#This Row],[customer_subscription]]=1,"Subscribed","Not Subscribed")</f>
        <v>Subscribed</v>
      </c>
    </row>
    <row r="340" spans="1:26" x14ac:dyDescent="0.25">
      <c r="A340">
        <v>339</v>
      </c>
      <c r="B340">
        <v>69</v>
      </c>
      <c r="C340" t="s">
        <v>22</v>
      </c>
      <c r="D340">
        <v>339</v>
      </c>
      <c r="E340" t="s">
        <v>107</v>
      </c>
      <c r="F340" t="s">
        <v>24</v>
      </c>
      <c r="G340">
        <v>339</v>
      </c>
      <c r="H340">
        <v>605</v>
      </c>
      <c r="I340">
        <v>79</v>
      </c>
      <c r="J340" t="s">
        <v>38</v>
      </c>
      <c r="K340" t="s">
        <v>47</v>
      </c>
      <c r="L340" t="s">
        <v>68</v>
      </c>
      <c r="M340" t="s">
        <v>28</v>
      </c>
      <c r="N340">
        <v>3.5</v>
      </c>
      <c r="O340">
        <v>1</v>
      </c>
      <c r="P340" t="s">
        <v>29</v>
      </c>
      <c r="Q340" t="s">
        <v>30</v>
      </c>
      <c r="R340" t="s">
        <v>30</v>
      </c>
      <c r="S340">
        <v>16</v>
      </c>
      <c r="T340" t="s">
        <v>36</v>
      </c>
      <c r="U340" t="s">
        <v>43</v>
      </c>
      <c r="V340" s="1">
        <v>45331</v>
      </c>
      <c r="W340">
        <f>Table1[[#This Row],[customer_purchase count]]+1</f>
        <v>17</v>
      </c>
      <c r="X340">
        <f>Table1[[#This Row],[customer_purchase count]]*Rules!$B$3</f>
        <v>956.22974358974363</v>
      </c>
      <c r="Y340" t="str">
        <f>IF(Table1[[#This Row],[customer_subscription]]=1,"Subscribed","Not Subscribed")</f>
        <v>Subscribed</v>
      </c>
    </row>
    <row r="341" spans="1:26" x14ac:dyDescent="0.25">
      <c r="A341">
        <v>340</v>
      </c>
      <c r="B341">
        <v>40</v>
      </c>
      <c r="C341" t="s">
        <v>22</v>
      </c>
      <c r="D341">
        <v>340</v>
      </c>
      <c r="E341" t="s">
        <v>62</v>
      </c>
      <c r="F341" t="s">
        <v>24</v>
      </c>
      <c r="G341">
        <v>340</v>
      </c>
      <c r="H341">
        <v>607</v>
      </c>
      <c r="I341">
        <v>33</v>
      </c>
      <c r="J341" t="s">
        <v>141</v>
      </c>
      <c r="K341" t="s">
        <v>47</v>
      </c>
      <c r="L341" t="s">
        <v>88</v>
      </c>
      <c r="M341" t="s">
        <v>40</v>
      </c>
      <c r="N341">
        <v>3.8</v>
      </c>
      <c r="O341">
        <v>1</v>
      </c>
      <c r="P341" t="s">
        <v>73</v>
      </c>
      <c r="Q341" t="s">
        <v>30</v>
      </c>
      <c r="R341" t="s">
        <v>30</v>
      </c>
      <c r="S341">
        <v>21</v>
      </c>
      <c r="T341" t="s">
        <v>42</v>
      </c>
      <c r="U341" t="s">
        <v>100</v>
      </c>
      <c r="V341" s="1">
        <v>45417</v>
      </c>
      <c r="W341">
        <f>Table1[[#This Row],[customer_purchase count]]+1</f>
        <v>22</v>
      </c>
      <c r="X341">
        <f>Table1[[#This Row],[customer_purchase count]]*Rules!$B$3</f>
        <v>1255.0515384615385</v>
      </c>
      <c r="Y341" t="str">
        <f>IF(Table1[[#This Row],[customer_subscription]]=1,"Subscribed","Not Subscribed")</f>
        <v>Subscribed</v>
      </c>
    </row>
    <row r="342" spans="1:26" x14ac:dyDescent="0.25">
      <c r="A342">
        <v>341</v>
      </c>
      <c r="B342">
        <v>40</v>
      </c>
      <c r="C342" t="s">
        <v>22</v>
      </c>
      <c r="D342">
        <v>341</v>
      </c>
      <c r="E342" t="s">
        <v>62</v>
      </c>
      <c r="F342" t="s">
        <v>24</v>
      </c>
      <c r="G342">
        <v>341</v>
      </c>
      <c r="H342">
        <v>608</v>
      </c>
      <c r="I342">
        <v>47</v>
      </c>
      <c r="J342" t="s">
        <v>130</v>
      </c>
      <c r="K342" t="s">
        <v>26</v>
      </c>
      <c r="L342" t="s">
        <v>147</v>
      </c>
      <c r="M342" t="s">
        <v>56</v>
      </c>
      <c r="N342">
        <v>3.5</v>
      </c>
      <c r="O342">
        <v>1</v>
      </c>
      <c r="P342" t="s">
        <v>29</v>
      </c>
      <c r="Q342" t="s">
        <v>30</v>
      </c>
      <c r="R342" t="s">
        <v>30</v>
      </c>
      <c r="S342">
        <v>39</v>
      </c>
      <c r="T342" t="s">
        <v>31</v>
      </c>
      <c r="U342" t="s">
        <v>100</v>
      </c>
      <c r="V342" s="1">
        <v>45469</v>
      </c>
      <c r="W342">
        <f>Table1[[#This Row],[customer_purchase count]]+1</f>
        <v>40</v>
      </c>
      <c r="X342">
        <f>Table1[[#This Row],[customer_purchase count]]*Rules!$B$3</f>
        <v>2330.81</v>
      </c>
      <c r="Y342" t="str">
        <f>IF(Table1[[#This Row],[customer_subscription]]=1,"Subscribed","Not Subscribed")</f>
        <v>Subscribed</v>
      </c>
      <c r="Z342" t="s">
        <v>193</v>
      </c>
    </row>
    <row r="343" spans="1:26" x14ac:dyDescent="0.25">
      <c r="A343">
        <v>342</v>
      </c>
      <c r="B343">
        <v>20</v>
      </c>
      <c r="C343" t="s">
        <v>22</v>
      </c>
      <c r="D343">
        <v>342</v>
      </c>
      <c r="E343" t="s">
        <v>127</v>
      </c>
      <c r="F343" t="s">
        <v>70</v>
      </c>
      <c r="G343">
        <v>342</v>
      </c>
      <c r="H343">
        <v>609</v>
      </c>
      <c r="I343">
        <v>20</v>
      </c>
      <c r="J343" t="s">
        <v>143</v>
      </c>
      <c r="K343" t="s">
        <v>39</v>
      </c>
      <c r="L343" t="s">
        <v>147</v>
      </c>
      <c r="M343" t="s">
        <v>56</v>
      </c>
      <c r="N343">
        <v>4.5999999999999996</v>
      </c>
      <c r="O343">
        <v>1</v>
      </c>
      <c r="P343" t="s">
        <v>77</v>
      </c>
      <c r="Q343" t="s">
        <v>30</v>
      </c>
      <c r="R343" t="s">
        <v>30</v>
      </c>
      <c r="S343">
        <v>40</v>
      </c>
      <c r="T343" t="s">
        <v>89</v>
      </c>
      <c r="U343" t="s">
        <v>79</v>
      </c>
      <c r="V343" s="1">
        <v>45470</v>
      </c>
      <c r="W343">
        <f>Table1[[#This Row],[customer_purchase count]]+1</f>
        <v>41</v>
      </c>
      <c r="X343">
        <f>Table1[[#This Row],[customer_purchase count]]*Rules!$B$3</f>
        <v>2390.5743589743593</v>
      </c>
      <c r="Y343" t="str">
        <f>IF(Table1[[#This Row],[customer_subscription]]=1,"Subscribed","Not Subscribed")</f>
        <v>Subscribed</v>
      </c>
    </row>
    <row r="344" spans="1:26" x14ac:dyDescent="0.25">
      <c r="A344">
        <v>343</v>
      </c>
      <c r="B344">
        <v>64</v>
      </c>
      <c r="C344" t="s">
        <v>22</v>
      </c>
      <c r="D344">
        <v>343</v>
      </c>
      <c r="E344" t="s">
        <v>65</v>
      </c>
      <c r="F344" t="s">
        <v>66</v>
      </c>
      <c r="G344">
        <v>343</v>
      </c>
      <c r="H344">
        <v>610</v>
      </c>
      <c r="I344">
        <v>36</v>
      </c>
      <c r="J344" t="s">
        <v>25</v>
      </c>
      <c r="K344" t="s">
        <v>47</v>
      </c>
      <c r="L344" t="s">
        <v>81</v>
      </c>
      <c r="M344" t="s">
        <v>40</v>
      </c>
      <c r="N344">
        <v>2.6</v>
      </c>
      <c r="O344">
        <v>1</v>
      </c>
      <c r="P344" t="s">
        <v>48</v>
      </c>
      <c r="Q344" t="s">
        <v>30</v>
      </c>
      <c r="R344" t="s">
        <v>30</v>
      </c>
      <c r="S344">
        <v>48</v>
      </c>
      <c r="T344" t="s">
        <v>42</v>
      </c>
      <c r="U344" t="s">
        <v>100</v>
      </c>
      <c r="V344" s="1">
        <v>45371</v>
      </c>
      <c r="W344">
        <f>Table1[[#This Row],[customer_purchase count]]+1</f>
        <v>49</v>
      </c>
      <c r="X344">
        <f>Table1[[#This Row],[customer_purchase count]]*Rules!$B$3</f>
        <v>2868.689230769231</v>
      </c>
      <c r="Y344" t="str">
        <f>IF(Table1[[#This Row],[customer_subscription]]=1,"Subscribed","Not Subscribed")</f>
        <v>Subscribed</v>
      </c>
    </row>
    <row r="345" spans="1:26" x14ac:dyDescent="0.25">
      <c r="A345">
        <v>344</v>
      </c>
      <c r="B345">
        <v>27</v>
      </c>
      <c r="C345" t="s">
        <v>22</v>
      </c>
      <c r="D345">
        <v>344</v>
      </c>
      <c r="E345" t="s">
        <v>44</v>
      </c>
      <c r="F345" t="s">
        <v>45</v>
      </c>
      <c r="G345">
        <v>344</v>
      </c>
      <c r="H345">
        <v>611</v>
      </c>
      <c r="I345">
        <v>39</v>
      </c>
      <c r="J345" t="s">
        <v>148</v>
      </c>
      <c r="K345" t="s">
        <v>47</v>
      </c>
      <c r="L345" t="s">
        <v>76</v>
      </c>
      <c r="M345" t="s">
        <v>56</v>
      </c>
      <c r="N345">
        <v>4.4000000000000004</v>
      </c>
      <c r="O345">
        <v>1</v>
      </c>
      <c r="P345" t="s">
        <v>48</v>
      </c>
      <c r="Q345" t="s">
        <v>30</v>
      </c>
      <c r="R345" t="s">
        <v>30</v>
      </c>
      <c r="S345">
        <v>26</v>
      </c>
      <c r="T345" t="s">
        <v>31</v>
      </c>
      <c r="U345" t="s">
        <v>91</v>
      </c>
      <c r="V345" s="1">
        <v>45516</v>
      </c>
      <c r="W345">
        <f>Table1[[#This Row],[customer_purchase count]]+1</f>
        <v>27</v>
      </c>
      <c r="X345">
        <f>Table1[[#This Row],[customer_purchase count]]*Rules!$B$3</f>
        <v>1553.8733333333334</v>
      </c>
      <c r="Y345" t="str">
        <f>IF(Table1[[#This Row],[customer_subscription]]=1,"Subscribed","Not Subscribed")</f>
        <v>Subscribed</v>
      </c>
    </row>
    <row r="346" spans="1:26" x14ac:dyDescent="0.25">
      <c r="A346">
        <v>345</v>
      </c>
      <c r="B346">
        <v>24</v>
      </c>
      <c r="C346" t="s">
        <v>22</v>
      </c>
      <c r="D346">
        <v>345</v>
      </c>
      <c r="E346" t="s">
        <v>90</v>
      </c>
      <c r="F346" t="s">
        <v>24</v>
      </c>
      <c r="G346">
        <v>345</v>
      </c>
      <c r="H346">
        <v>613</v>
      </c>
      <c r="I346">
        <v>71</v>
      </c>
      <c r="J346" t="s">
        <v>144</v>
      </c>
      <c r="K346" t="s">
        <v>47</v>
      </c>
      <c r="L346" t="s">
        <v>64</v>
      </c>
      <c r="M346" t="s">
        <v>28</v>
      </c>
      <c r="N346">
        <v>4</v>
      </c>
      <c r="O346">
        <v>1</v>
      </c>
      <c r="P346" t="s">
        <v>57</v>
      </c>
      <c r="Q346" t="s">
        <v>30</v>
      </c>
      <c r="R346" t="s">
        <v>30</v>
      </c>
      <c r="S346">
        <v>46</v>
      </c>
      <c r="T346" t="s">
        <v>89</v>
      </c>
      <c r="U346" t="s">
        <v>91</v>
      </c>
      <c r="V346" s="1">
        <v>45346</v>
      </c>
      <c r="W346">
        <f>Table1[[#This Row],[customer_purchase count]]+1</f>
        <v>47</v>
      </c>
      <c r="X346">
        <f>Table1[[#This Row],[customer_purchase count]]*Rules!$B$3</f>
        <v>2749.1605128205128</v>
      </c>
      <c r="Y346" t="str">
        <f>IF(Table1[[#This Row],[customer_subscription]]=1,"Subscribed","Not Subscribed")</f>
        <v>Subscribed</v>
      </c>
    </row>
    <row r="347" spans="1:26" x14ac:dyDescent="0.25">
      <c r="A347">
        <v>346</v>
      </c>
      <c r="B347">
        <v>48</v>
      </c>
      <c r="C347" t="s">
        <v>22</v>
      </c>
      <c r="D347">
        <v>346</v>
      </c>
      <c r="E347" t="s">
        <v>74</v>
      </c>
      <c r="F347" t="s">
        <v>45</v>
      </c>
      <c r="G347">
        <v>346</v>
      </c>
      <c r="H347">
        <v>614</v>
      </c>
      <c r="I347">
        <v>59</v>
      </c>
      <c r="J347" t="s">
        <v>54</v>
      </c>
      <c r="K347" t="s">
        <v>39</v>
      </c>
      <c r="L347" t="s">
        <v>81</v>
      </c>
      <c r="M347" t="s">
        <v>28</v>
      </c>
      <c r="N347">
        <v>4.4000000000000004</v>
      </c>
      <c r="O347">
        <v>1</v>
      </c>
      <c r="P347" t="s">
        <v>48</v>
      </c>
      <c r="Q347" t="s">
        <v>30</v>
      </c>
      <c r="R347" t="s">
        <v>30</v>
      </c>
      <c r="S347">
        <v>27</v>
      </c>
      <c r="T347" t="s">
        <v>78</v>
      </c>
      <c r="U347" t="s">
        <v>52</v>
      </c>
      <c r="V347" s="1">
        <v>45299</v>
      </c>
      <c r="W347">
        <f>Table1[[#This Row],[customer_purchase count]]+1</f>
        <v>28</v>
      </c>
      <c r="X347">
        <f>Table1[[#This Row],[customer_purchase count]]*Rules!$B$3</f>
        <v>1613.6376923076923</v>
      </c>
      <c r="Y347" t="str">
        <f>IF(Table1[[#This Row],[customer_subscription]]=1,"Subscribed","Not Subscribed")</f>
        <v>Subscribed</v>
      </c>
    </row>
    <row r="348" spans="1:26" x14ac:dyDescent="0.25">
      <c r="A348">
        <v>347</v>
      </c>
      <c r="B348">
        <v>49</v>
      </c>
      <c r="C348" t="s">
        <v>22</v>
      </c>
      <c r="D348">
        <v>347</v>
      </c>
      <c r="E348" t="s">
        <v>37</v>
      </c>
      <c r="F348" t="s">
        <v>24</v>
      </c>
      <c r="G348">
        <v>347</v>
      </c>
      <c r="H348">
        <v>615</v>
      </c>
      <c r="I348">
        <v>50</v>
      </c>
      <c r="J348" t="s">
        <v>133</v>
      </c>
      <c r="K348" t="s">
        <v>26</v>
      </c>
      <c r="L348" t="s">
        <v>86</v>
      </c>
      <c r="M348" t="s">
        <v>40</v>
      </c>
      <c r="N348">
        <v>4.7</v>
      </c>
      <c r="O348">
        <v>1</v>
      </c>
      <c r="P348" t="s">
        <v>48</v>
      </c>
      <c r="Q348" t="s">
        <v>30</v>
      </c>
      <c r="R348" t="s">
        <v>30</v>
      </c>
      <c r="S348">
        <v>5</v>
      </c>
      <c r="T348" t="s">
        <v>36</v>
      </c>
      <c r="U348" t="s">
        <v>43</v>
      </c>
      <c r="V348" s="1">
        <v>45378</v>
      </c>
      <c r="W348">
        <f>Table1[[#This Row],[customer_purchase count]]+1</f>
        <v>6</v>
      </c>
      <c r="X348">
        <f>Table1[[#This Row],[customer_purchase count]]*Rules!$B$3</f>
        <v>298.82179487179491</v>
      </c>
      <c r="Y348" t="str">
        <f>IF(Table1[[#This Row],[customer_subscription]]=1,"Subscribed","Not Subscribed")</f>
        <v>Subscribed</v>
      </c>
    </row>
    <row r="349" spans="1:26" x14ac:dyDescent="0.25">
      <c r="A349">
        <v>348</v>
      </c>
      <c r="B349">
        <v>36</v>
      </c>
      <c r="C349" t="s">
        <v>22</v>
      </c>
      <c r="D349">
        <v>348</v>
      </c>
      <c r="E349" t="s">
        <v>44</v>
      </c>
      <c r="F349" t="s">
        <v>45</v>
      </c>
      <c r="G349">
        <v>348</v>
      </c>
      <c r="H349">
        <v>616</v>
      </c>
      <c r="I349">
        <v>41</v>
      </c>
      <c r="J349" t="s">
        <v>50</v>
      </c>
      <c r="K349" t="s">
        <v>26</v>
      </c>
      <c r="L349" t="s">
        <v>111</v>
      </c>
      <c r="M349" t="s">
        <v>60</v>
      </c>
      <c r="N349">
        <v>3.9</v>
      </c>
      <c r="O349">
        <v>1</v>
      </c>
      <c r="P349" t="s">
        <v>77</v>
      </c>
      <c r="Q349" t="s">
        <v>30</v>
      </c>
      <c r="R349" t="s">
        <v>30</v>
      </c>
      <c r="S349">
        <v>43</v>
      </c>
      <c r="T349" t="s">
        <v>49</v>
      </c>
      <c r="U349" t="s">
        <v>32</v>
      </c>
      <c r="V349" s="1">
        <v>45568</v>
      </c>
      <c r="W349">
        <f>Table1[[#This Row],[customer_purchase count]]+1</f>
        <v>44</v>
      </c>
      <c r="X349">
        <f>Table1[[#This Row],[customer_purchase count]]*Rules!$B$3</f>
        <v>2569.8674358974358</v>
      </c>
      <c r="Y349" t="str">
        <f>IF(Table1[[#This Row],[customer_subscription]]=1,"Subscribed","Not Subscribed")</f>
        <v>Subscribed</v>
      </c>
      <c r="Z349" t="s">
        <v>193</v>
      </c>
    </row>
    <row r="350" spans="1:26" x14ac:dyDescent="0.25">
      <c r="A350">
        <v>349</v>
      </c>
      <c r="B350">
        <v>56</v>
      </c>
      <c r="C350" t="s">
        <v>22</v>
      </c>
      <c r="D350">
        <v>349</v>
      </c>
      <c r="E350" t="s">
        <v>23</v>
      </c>
      <c r="F350" t="s">
        <v>24</v>
      </c>
      <c r="G350">
        <v>349</v>
      </c>
      <c r="H350">
        <v>617</v>
      </c>
      <c r="I350">
        <v>59</v>
      </c>
      <c r="J350" t="s">
        <v>134</v>
      </c>
      <c r="K350" t="s">
        <v>47</v>
      </c>
      <c r="L350" t="s">
        <v>121</v>
      </c>
      <c r="M350" t="s">
        <v>60</v>
      </c>
      <c r="N350">
        <v>2.7</v>
      </c>
      <c r="O350">
        <v>1</v>
      </c>
      <c r="P350" t="s">
        <v>41</v>
      </c>
      <c r="Q350" t="s">
        <v>30</v>
      </c>
      <c r="R350" t="s">
        <v>30</v>
      </c>
      <c r="S350">
        <v>17</v>
      </c>
      <c r="T350" t="s">
        <v>49</v>
      </c>
      <c r="U350" t="s">
        <v>32</v>
      </c>
      <c r="V350" s="1">
        <v>45612</v>
      </c>
      <c r="W350">
        <f>Table1[[#This Row],[customer_purchase count]]+1</f>
        <v>18</v>
      </c>
      <c r="X350">
        <f>Table1[[#This Row],[customer_purchase count]]*Rules!$B$3</f>
        <v>1015.9941025641026</v>
      </c>
      <c r="Y350" t="str">
        <f>IF(Table1[[#This Row],[customer_subscription]]=1,"Subscribed","Not Subscribed")</f>
        <v>Subscribed</v>
      </c>
    </row>
    <row r="351" spans="1:26" x14ac:dyDescent="0.25">
      <c r="A351">
        <v>350</v>
      </c>
      <c r="B351">
        <v>37</v>
      </c>
      <c r="C351" t="s">
        <v>22</v>
      </c>
      <c r="D351">
        <v>350</v>
      </c>
      <c r="E351" t="s">
        <v>127</v>
      </c>
      <c r="F351" t="s">
        <v>70</v>
      </c>
      <c r="G351">
        <v>350</v>
      </c>
      <c r="H351">
        <v>619</v>
      </c>
      <c r="I351">
        <v>87</v>
      </c>
      <c r="J351" t="s">
        <v>120</v>
      </c>
      <c r="K351" t="s">
        <v>47</v>
      </c>
      <c r="L351" t="s">
        <v>99</v>
      </c>
      <c r="M351" t="s">
        <v>28</v>
      </c>
      <c r="N351">
        <v>3.7</v>
      </c>
      <c r="O351">
        <v>1</v>
      </c>
      <c r="P351" t="s">
        <v>73</v>
      </c>
      <c r="Q351" t="s">
        <v>30</v>
      </c>
      <c r="R351" t="s">
        <v>30</v>
      </c>
      <c r="S351">
        <v>3</v>
      </c>
      <c r="T351" t="s">
        <v>78</v>
      </c>
      <c r="U351" t="s">
        <v>79</v>
      </c>
      <c r="V351" s="1">
        <v>45631</v>
      </c>
      <c r="W351">
        <f>Table1[[#This Row],[customer_purchase count]]+1</f>
        <v>4</v>
      </c>
      <c r="X351">
        <f>Table1[[#This Row],[customer_purchase count]]*Rules!$B$3</f>
        <v>179.29307692307694</v>
      </c>
      <c r="Y351" t="str">
        <f>IF(Table1[[#This Row],[customer_subscription]]=1,"Subscribed","Not Subscribed")</f>
        <v>Subscribed</v>
      </c>
    </row>
    <row r="352" spans="1:26" x14ac:dyDescent="0.25">
      <c r="A352">
        <v>351</v>
      </c>
      <c r="B352">
        <v>42</v>
      </c>
      <c r="C352" t="s">
        <v>22</v>
      </c>
      <c r="D352">
        <v>351</v>
      </c>
      <c r="E352" t="s">
        <v>33</v>
      </c>
      <c r="F352" t="s">
        <v>24</v>
      </c>
      <c r="G352">
        <v>351</v>
      </c>
      <c r="H352">
        <v>620</v>
      </c>
      <c r="I352">
        <v>68</v>
      </c>
      <c r="J352" t="s">
        <v>25</v>
      </c>
      <c r="K352" t="s">
        <v>47</v>
      </c>
      <c r="L352" t="s">
        <v>86</v>
      </c>
      <c r="M352" t="s">
        <v>40</v>
      </c>
      <c r="N352">
        <v>2.6</v>
      </c>
      <c r="O352">
        <v>1</v>
      </c>
      <c r="P352" t="s">
        <v>73</v>
      </c>
      <c r="Q352" t="s">
        <v>30</v>
      </c>
      <c r="R352" t="s">
        <v>30</v>
      </c>
      <c r="S352">
        <v>47</v>
      </c>
      <c r="T352" t="s">
        <v>78</v>
      </c>
      <c r="U352" t="s">
        <v>32</v>
      </c>
      <c r="V352" s="1">
        <v>45430</v>
      </c>
      <c r="W352">
        <f>Table1[[#This Row],[customer_purchase count]]+1</f>
        <v>48</v>
      </c>
      <c r="X352">
        <f>Table1[[#This Row],[customer_purchase count]]*Rules!$B$3</f>
        <v>2808.9248717948717</v>
      </c>
      <c r="Y352" t="str">
        <f>IF(Table1[[#This Row],[customer_subscription]]=1,"Subscribed","Not Subscribed")</f>
        <v>Subscribed</v>
      </c>
      <c r="Z352" t="s">
        <v>193</v>
      </c>
    </row>
    <row r="353" spans="1:26" x14ac:dyDescent="0.25">
      <c r="A353">
        <v>352</v>
      </c>
      <c r="B353">
        <v>28</v>
      </c>
      <c r="C353" t="s">
        <v>22</v>
      </c>
      <c r="D353">
        <v>352</v>
      </c>
      <c r="E353" t="s">
        <v>90</v>
      </c>
      <c r="F353" t="s">
        <v>24</v>
      </c>
      <c r="G353">
        <v>352</v>
      </c>
      <c r="H353">
        <v>621</v>
      </c>
      <c r="I353">
        <v>90</v>
      </c>
      <c r="J353" t="s">
        <v>87</v>
      </c>
      <c r="K353" t="s">
        <v>47</v>
      </c>
      <c r="L353" t="s">
        <v>88</v>
      </c>
      <c r="M353" t="s">
        <v>28</v>
      </c>
      <c r="N353">
        <v>3.9</v>
      </c>
      <c r="O353">
        <v>1</v>
      </c>
      <c r="P353" t="s">
        <v>57</v>
      </c>
      <c r="Q353" t="s">
        <v>30</v>
      </c>
      <c r="R353" t="s">
        <v>30</v>
      </c>
      <c r="S353">
        <v>24</v>
      </c>
      <c r="T353" t="s">
        <v>89</v>
      </c>
      <c r="U353" t="s">
        <v>79</v>
      </c>
      <c r="V353" s="1">
        <v>45296</v>
      </c>
      <c r="W353">
        <f>Table1[[#This Row],[customer_purchase count]]+1</f>
        <v>25</v>
      </c>
      <c r="X353">
        <f>Table1[[#This Row],[customer_purchase count]]*Rules!$B$3</f>
        <v>1434.3446153846155</v>
      </c>
      <c r="Y353" t="str">
        <f>IF(Table1[[#This Row],[customer_subscription]]=1,"Subscribed","Not Subscribed")</f>
        <v>Subscribed</v>
      </c>
    </row>
    <row r="354" spans="1:26" x14ac:dyDescent="0.25">
      <c r="A354">
        <v>353</v>
      </c>
      <c r="B354">
        <v>27</v>
      </c>
      <c r="C354" t="s">
        <v>22</v>
      </c>
      <c r="D354">
        <v>353</v>
      </c>
      <c r="E354" t="s">
        <v>37</v>
      </c>
      <c r="F354" t="s">
        <v>24</v>
      </c>
      <c r="G354">
        <v>353</v>
      </c>
      <c r="H354">
        <v>622</v>
      </c>
      <c r="I354">
        <v>71</v>
      </c>
      <c r="J354" t="s">
        <v>108</v>
      </c>
      <c r="K354" t="s">
        <v>95</v>
      </c>
      <c r="L354" t="s">
        <v>137</v>
      </c>
      <c r="M354" t="s">
        <v>60</v>
      </c>
      <c r="N354">
        <v>4.9000000000000004</v>
      </c>
      <c r="O354">
        <v>1</v>
      </c>
      <c r="P354" t="s">
        <v>48</v>
      </c>
      <c r="Q354" t="s">
        <v>30</v>
      </c>
      <c r="R354" t="s">
        <v>30</v>
      </c>
      <c r="S354">
        <v>12</v>
      </c>
      <c r="T354" t="s">
        <v>36</v>
      </c>
      <c r="U354" t="s">
        <v>100</v>
      </c>
      <c r="V354" s="1">
        <v>45604</v>
      </c>
      <c r="W354">
        <f>Table1[[#This Row],[customer_purchase count]]+1</f>
        <v>13</v>
      </c>
      <c r="X354">
        <f>Table1[[#This Row],[customer_purchase count]]*Rules!$B$3</f>
        <v>717.17230769230775</v>
      </c>
      <c r="Y354" t="str">
        <f>IF(Table1[[#This Row],[customer_subscription]]=1,"Subscribed","Not Subscribed")</f>
        <v>Subscribed</v>
      </c>
      <c r="Z354" t="s">
        <v>187</v>
      </c>
    </row>
    <row r="355" spans="1:26" x14ac:dyDescent="0.25">
      <c r="A355">
        <v>354</v>
      </c>
      <c r="B355">
        <v>63</v>
      </c>
      <c r="C355" t="s">
        <v>22</v>
      </c>
      <c r="D355">
        <v>354</v>
      </c>
      <c r="E355" t="s">
        <v>53</v>
      </c>
      <c r="F355" t="s">
        <v>45</v>
      </c>
      <c r="G355">
        <v>354</v>
      </c>
      <c r="H355">
        <v>623</v>
      </c>
      <c r="I355">
        <v>64</v>
      </c>
      <c r="J355" t="s">
        <v>71</v>
      </c>
      <c r="K355" t="s">
        <v>26</v>
      </c>
      <c r="L355" t="s">
        <v>137</v>
      </c>
      <c r="M355" t="s">
        <v>60</v>
      </c>
      <c r="N355">
        <v>4.0999999999999996</v>
      </c>
      <c r="O355">
        <v>1</v>
      </c>
      <c r="P355" t="s">
        <v>77</v>
      </c>
      <c r="Q355" t="s">
        <v>30</v>
      </c>
      <c r="R355" t="s">
        <v>30</v>
      </c>
      <c r="S355">
        <v>35</v>
      </c>
      <c r="T355" t="s">
        <v>89</v>
      </c>
      <c r="U355" t="s">
        <v>91</v>
      </c>
      <c r="V355" s="1">
        <v>45554</v>
      </c>
      <c r="W355">
        <f>Table1[[#This Row],[customer_purchase count]]+1</f>
        <v>36</v>
      </c>
      <c r="X355">
        <f>Table1[[#This Row],[customer_purchase count]]*Rules!$B$3</f>
        <v>2091.7525641025641</v>
      </c>
      <c r="Y355" t="str">
        <f>IF(Table1[[#This Row],[customer_subscription]]=1,"Subscribed","Not Subscribed")</f>
        <v>Subscribed</v>
      </c>
    </row>
    <row r="356" spans="1:26" x14ac:dyDescent="0.25">
      <c r="A356">
        <v>355</v>
      </c>
      <c r="B356">
        <v>58</v>
      </c>
      <c r="C356" t="s">
        <v>22</v>
      </c>
      <c r="D356">
        <v>355</v>
      </c>
      <c r="E356" t="s">
        <v>109</v>
      </c>
      <c r="F356" t="s">
        <v>70</v>
      </c>
      <c r="G356">
        <v>355</v>
      </c>
      <c r="H356">
        <v>625</v>
      </c>
      <c r="I356">
        <v>76</v>
      </c>
      <c r="J356" t="s">
        <v>141</v>
      </c>
      <c r="K356" t="s">
        <v>39</v>
      </c>
      <c r="L356" t="s">
        <v>81</v>
      </c>
      <c r="M356" t="s">
        <v>60</v>
      </c>
      <c r="N356">
        <v>3</v>
      </c>
      <c r="O356">
        <v>1</v>
      </c>
      <c r="P356" t="s">
        <v>41</v>
      </c>
      <c r="Q356" t="s">
        <v>30</v>
      </c>
      <c r="R356" t="s">
        <v>30</v>
      </c>
      <c r="S356">
        <v>42</v>
      </c>
      <c r="T356" t="s">
        <v>31</v>
      </c>
      <c r="U356" t="s">
        <v>43</v>
      </c>
      <c r="V356" s="1">
        <v>45541</v>
      </c>
      <c r="W356">
        <f>Table1[[#This Row],[customer_purchase count]]+1</f>
        <v>43</v>
      </c>
      <c r="X356">
        <f>Table1[[#This Row],[customer_purchase count]]*Rules!$B$3</f>
        <v>2510.103076923077</v>
      </c>
      <c r="Y356" t="str">
        <f>IF(Table1[[#This Row],[customer_subscription]]=1,"Subscribed","Not Subscribed")</f>
        <v>Subscribed</v>
      </c>
      <c r="Z356" t="s">
        <v>193</v>
      </c>
    </row>
    <row r="357" spans="1:26" x14ac:dyDescent="0.25">
      <c r="A357">
        <v>356</v>
      </c>
      <c r="B357">
        <v>37</v>
      </c>
      <c r="C357" t="s">
        <v>22</v>
      </c>
      <c r="D357">
        <v>356</v>
      </c>
      <c r="E357" t="s">
        <v>109</v>
      </c>
      <c r="F357" t="s">
        <v>70</v>
      </c>
      <c r="G357">
        <v>356</v>
      </c>
      <c r="H357">
        <v>626</v>
      </c>
      <c r="I357">
        <v>42</v>
      </c>
      <c r="J357" t="s">
        <v>50</v>
      </c>
      <c r="K357" t="s">
        <v>95</v>
      </c>
      <c r="L357" t="s">
        <v>139</v>
      </c>
      <c r="M357" t="s">
        <v>60</v>
      </c>
      <c r="N357">
        <v>4.0999999999999996</v>
      </c>
      <c r="O357">
        <v>1</v>
      </c>
      <c r="P357" t="s">
        <v>73</v>
      </c>
      <c r="Q357" t="s">
        <v>30</v>
      </c>
      <c r="R357" t="s">
        <v>30</v>
      </c>
      <c r="S357">
        <v>1</v>
      </c>
      <c r="T357" t="s">
        <v>49</v>
      </c>
      <c r="U357" t="s">
        <v>100</v>
      </c>
      <c r="V357" s="1">
        <v>45547</v>
      </c>
      <c r="W357">
        <f>Table1[[#This Row],[customer_purchase count]]+1</f>
        <v>2</v>
      </c>
      <c r="X357">
        <f>Table1[[#This Row],[customer_purchase count]]*Rules!$B$3</f>
        <v>59.764358974358977</v>
      </c>
      <c r="Y357" t="str">
        <f>IF(Table1[[#This Row],[customer_subscription]]=1,"Subscribed","Not Subscribed")</f>
        <v>Subscribed</v>
      </c>
    </row>
    <row r="358" spans="1:26" x14ac:dyDescent="0.25">
      <c r="A358">
        <v>357</v>
      </c>
      <c r="B358">
        <v>56</v>
      </c>
      <c r="C358" t="s">
        <v>22</v>
      </c>
      <c r="D358">
        <v>357</v>
      </c>
      <c r="E358" t="s">
        <v>98</v>
      </c>
      <c r="F358" t="s">
        <v>24</v>
      </c>
      <c r="G358">
        <v>357</v>
      </c>
      <c r="H358">
        <v>627</v>
      </c>
      <c r="I358">
        <v>80</v>
      </c>
      <c r="J358" t="s">
        <v>110</v>
      </c>
      <c r="K358" t="s">
        <v>26</v>
      </c>
      <c r="L358" t="s">
        <v>97</v>
      </c>
      <c r="M358" t="s">
        <v>40</v>
      </c>
      <c r="N358">
        <v>3.8</v>
      </c>
      <c r="O358">
        <v>1</v>
      </c>
      <c r="P358" t="s">
        <v>57</v>
      </c>
      <c r="Q358" t="s">
        <v>30</v>
      </c>
      <c r="R358" t="s">
        <v>30</v>
      </c>
      <c r="S358">
        <v>27</v>
      </c>
      <c r="T358" t="s">
        <v>36</v>
      </c>
      <c r="U358" t="s">
        <v>43</v>
      </c>
      <c r="V358" s="1">
        <v>45402</v>
      </c>
      <c r="W358">
        <f>Table1[[#This Row],[customer_purchase count]]+1</f>
        <v>28</v>
      </c>
      <c r="X358">
        <f>Table1[[#This Row],[customer_purchase count]]*Rules!$B$3</f>
        <v>1613.6376923076923</v>
      </c>
      <c r="Y358" t="str">
        <f>IF(Table1[[#This Row],[customer_subscription]]=1,"Subscribed","Not Subscribed")</f>
        <v>Subscribed</v>
      </c>
    </row>
    <row r="359" spans="1:26" x14ac:dyDescent="0.25">
      <c r="A359">
        <v>358</v>
      </c>
      <c r="B359">
        <v>18</v>
      </c>
      <c r="C359" t="s">
        <v>22</v>
      </c>
      <c r="D359">
        <v>358</v>
      </c>
      <c r="E359" t="s">
        <v>136</v>
      </c>
      <c r="F359" t="s">
        <v>70</v>
      </c>
      <c r="G359">
        <v>358</v>
      </c>
      <c r="H359">
        <v>628</v>
      </c>
      <c r="I359">
        <v>56</v>
      </c>
      <c r="J359" t="s">
        <v>75</v>
      </c>
      <c r="K359" t="s">
        <v>47</v>
      </c>
      <c r="L359" t="s">
        <v>81</v>
      </c>
      <c r="M359" t="s">
        <v>40</v>
      </c>
      <c r="N359">
        <v>4</v>
      </c>
      <c r="O359">
        <v>1</v>
      </c>
      <c r="P359" t="s">
        <v>57</v>
      </c>
      <c r="Q359" t="s">
        <v>30</v>
      </c>
      <c r="R359" t="s">
        <v>30</v>
      </c>
      <c r="S359">
        <v>16</v>
      </c>
      <c r="T359" t="s">
        <v>42</v>
      </c>
      <c r="U359" t="s">
        <v>79</v>
      </c>
      <c r="V359" s="1">
        <v>45375</v>
      </c>
      <c r="W359">
        <f>Table1[[#This Row],[customer_purchase count]]+1</f>
        <v>17</v>
      </c>
      <c r="X359">
        <f>Table1[[#This Row],[customer_purchase count]]*Rules!$B$3</f>
        <v>956.22974358974363</v>
      </c>
      <c r="Y359" t="str">
        <f>IF(Table1[[#This Row],[customer_subscription]]=1,"Subscribed","Not Subscribed")</f>
        <v>Subscribed</v>
      </c>
      <c r="Z359" t="s">
        <v>187</v>
      </c>
    </row>
    <row r="360" spans="1:26" x14ac:dyDescent="0.25">
      <c r="A360">
        <v>359</v>
      </c>
      <c r="B360">
        <v>48</v>
      </c>
      <c r="C360" t="s">
        <v>22</v>
      </c>
      <c r="D360">
        <v>359</v>
      </c>
      <c r="E360" t="s">
        <v>127</v>
      </c>
      <c r="F360" t="s">
        <v>70</v>
      </c>
      <c r="G360">
        <v>359</v>
      </c>
      <c r="H360">
        <v>629</v>
      </c>
      <c r="I360">
        <v>25</v>
      </c>
      <c r="J360" t="s">
        <v>151</v>
      </c>
      <c r="K360" t="s">
        <v>95</v>
      </c>
      <c r="L360" t="s">
        <v>139</v>
      </c>
      <c r="M360" t="s">
        <v>56</v>
      </c>
      <c r="N360">
        <v>3.6</v>
      </c>
      <c r="O360">
        <v>1</v>
      </c>
      <c r="P360" t="s">
        <v>29</v>
      </c>
      <c r="Q360" t="s">
        <v>30</v>
      </c>
      <c r="R360" t="s">
        <v>30</v>
      </c>
      <c r="S360">
        <v>36</v>
      </c>
      <c r="T360" t="s">
        <v>42</v>
      </c>
      <c r="U360" t="s">
        <v>100</v>
      </c>
      <c r="V360" s="1">
        <v>45490</v>
      </c>
      <c r="W360">
        <f>Table1[[#This Row],[customer_purchase count]]+1</f>
        <v>37</v>
      </c>
      <c r="X360">
        <f>Table1[[#This Row],[customer_purchase count]]*Rules!$B$3</f>
        <v>2151.5169230769234</v>
      </c>
      <c r="Y360" t="str">
        <f>IF(Table1[[#This Row],[customer_subscription]]=1,"Subscribed","Not Subscribed")</f>
        <v>Subscribed</v>
      </c>
      <c r="Z360" t="s">
        <v>193</v>
      </c>
    </row>
    <row r="361" spans="1:26" x14ac:dyDescent="0.25">
      <c r="A361">
        <v>360</v>
      </c>
      <c r="B361">
        <v>31</v>
      </c>
      <c r="C361" t="s">
        <v>22</v>
      </c>
      <c r="D361">
        <v>360</v>
      </c>
      <c r="E361" t="s">
        <v>53</v>
      </c>
      <c r="F361" t="s">
        <v>45</v>
      </c>
      <c r="G361">
        <v>360</v>
      </c>
      <c r="H361">
        <v>631</v>
      </c>
      <c r="I361">
        <v>74</v>
      </c>
      <c r="J361" t="s">
        <v>145</v>
      </c>
      <c r="K361" t="s">
        <v>47</v>
      </c>
      <c r="L361" t="s">
        <v>81</v>
      </c>
      <c r="M361" t="s">
        <v>28</v>
      </c>
      <c r="N361">
        <v>3</v>
      </c>
      <c r="O361">
        <v>1</v>
      </c>
      <c r="P361" t="s">
        <v>77</v>
      </c>
      <c r="Q361" t="s">
        <v>30</v>
      </c>
      <c r="R361" t="s">
        <v>30</v>
      </c>
      <c r="S361">
        <v>30</v>
      </c>
      <c r="T361" t="s">
        <v>42</v>
      </c>
      <c r="U361" t="s">
        <v>100</v>
      </c>
      <c r="V361" s="1">
        <v>45635</v>
      </c>
      <c r="W361">
        <f>Table1[[#This Row],[customer_purchase count]]+1</f>
        <v>31</v>
      </c>
      <c r="X361">
        <f>Table1[[#This Row],[customer_purchase count]]*Rules!$B$3</f>
        <v>1792.9307692307693</v>
      </c>
      <c r="Y361" t="str">
        <f>IF(Table1[[#This Row],[customer_subscription]]=1,"Subscribed","Not Subscribed")</f>
        <v>Subscribed</v>
      </c>
    </row>
    <row r="362" spans="1:26" x14ac:dyDescent="0.25">
      <c r="A362">
        <v>361</v>
      </c>
      <c r="B362">
        <v>51</v>
      </c>
      <c r="C362" t="s">
        <v>22</v>
      </c>
      <c r="D362">
        <v>361</v>
      </c>
      <c r="E362" t="s">
        <v>98</v>
      </c>
      <c r="F362" t="s">
        <v>24</v>
      </c>
      <c r="G362">
        <v>361</v>
      </c>
      <c r="H362">
        <v>632</v>
      </c>
      <c r="I362">
        <v>30</v>
      </c>
      <c r="J362" t="s">
        <v>46</v>
      </c>
      <c r="K362" t="s">
        <v>47</v>
      </c>
      <c r="L362" t="s">
        <v>88</v>
      </c>
      <c r="M362" t="s">
        <v>56</v>
      </c>
      <c r="N362">
        <v>3</v>
      </c>
      <c r="O362">
        <v>1</v>
      </c>
      <c r="P362" t="s">
        <v>57</v>
      </c>
      <c r="Q362" t="s">
        <v>30</v>
      </c>
      <c r="R362" t="s">
        <v>30</v>
      </c>
      <c r="S362">
        <v>18</v>
      </c>
      <c r="T362" t="s">
        <v>89</v>
      </c>
      <c r="U362" t="s">
        <v>32</v>
      </c>
      <c r="V362" s="1">
        <v>45481</v>
      </c>
      <c r="W362">
        <f>Table1[[#This Row],[customer_purchase count]]+1</f>
        <v>19</v>
      </c>
      <c r="X362">
        <f>Table1[[#This Row],[customer_purchase count]]*Rules!$B$3</f>
        <v>1075.7584615384617</v>
      </c>
      <c r="Y362" t="str">
        <f>IF(Table1[[#This Row],[customer_subscription]]=1,"Subscribed","Not Subscribed")</f>
        <v>Subscribed</v>
      </c>
    </row>
    <row r="363" spans="1:26" x14ac:dyDescent="0.25">
      <c r="A363">
        <v>362</v>
      </c>
      <c r="B363">
        <v>65</v>
      </c>
      <c r="C363" t="s">
        <v>22</v>
      </c>
      <c r="D363">
        <v>362</v>
      </c>
      <c r="E363" t="s">
        <v>116</v>
      </c>
      <c r="F363" t="s">
        <v>24</v>
      </c>
      <c r="G363">
        <v>362</v>
      </c>
      <c r="H363">
        <v>633</v>
      </c>
      <c r="I363">
        <v>96</v>
      </c>
      <c r="J363" t="s">
        <v>110</v>
      </c>
      <c r="K363" t="s">
        <v>47</v>
      </c>
      <c r="L363" t="s">
        <v>55</v>
      </c>
      <c r="M363" t="s">
        <v>40</v>
      </c>
      <c r="N363">
        <v>2.6</v>
      </c>
      <c r="O363">
        <v>1</v>
      </c>
      <c r="P363" t="s">
        <v>41</v>
      </c>
      <c r="Q363" t="s">
        <v>30</v>
      </c>
      <c r="R363" t="s">
        <v>30</v>
      </c>
      <c r="S363">
        <v>45</v>
      </c>
      <c r="T363" t="s">
        <v>36</v>
      </c>
      <c r="U363" t="s">
        <v>52</v>
      </c>
      <c r="V363" s="1">
        <v>45417</v>
      </c>
      <c r="W363">
        <f>Table1[[#This Row],[customer_purchase count]]+1</f>
        <v>46</v>
      </c>
      <c r="X363">
        <f>Table1[[#This Row],[customer_purchase count]]*Rules!$B$3</f>
        <v>2689.396153846154</v>
      </c>
      <c r="Y363" t="str">
        <f>IF(Table1[[#This Row],[customer_subscription]]=1,"Subscribed","Not Subscribed")</f>
        <v>Subscribed</v>
      </c>
    </row>
    <row r="364" spans="1:26" x14ac:dyDescent="0.25">
      <c r="A364">
        <v>363</v>
      </c>
      <c r="B364">
        <v>53</v>
      </c>
      <c r="C364" t="s">
        <v>22</v>
      </c>
      <c r="D364">
        <v>363</v>
      </c>
      <c r="E364" t="s">
        <v>53</v>
      </c>
      <c r="F364" t="s">
        <v>45</v>
      </c>
      <c r="G364">
        <v>363</v>
      </c>
      <c r="H364">
        <v>634</v>
      </c>
      <c r="I364">
        <v>64</v>
      </c>
      <c r="J364" t="s">
        <v>108</v>
      </c>
      <c r="K364" t="s">
        <v>47</v>
      </c>
      <c r="L364" t="s">
        <v>64</v>
      </c>
      <c r="M364" t="s">
        <v>60</v>
      </c>
      <c r="N364">
        <v>3.4</v>
      </c>
      <c r="O364">
        <v>1</v>
      </c>
      <c r="P364" t="s">
        <v>41</v>
      </c>
      <c r="Q364" t="s">
        <v>30</v>
      </c>
      <c r="R364" t="s">
        <v>30</v>
      </c>
      <c r="S364">
        <v>1</v>
      </c>
      <c r="T364" t="s">
        <v>31</v>
      </c>
      <c r="U364" t="s">
        <v>32</v>
      </c>
      <c r="V364" s="1">
        <v>45598</v>
      </c>
      <c r="W364">
        <f>Table1[[#This Row],[customer_purchase count]]+1</f>
        <v>2</v>
      </c>
      <c r="X364">
        <f>Table1[[#This Row],[customer_purchase count]]*Rules!$B$3</f>
        <v>59.764358974358977</v>
      </c>
      <c r="Y364" t="str">
        <f>IF(Table1[[#This Row],[customer_subscription]]=1,"Subscribed","Not Subscribed")</f>
        <v>Subscribed</v>
      </c>
    </row>
    <row r="365" spans="1:26" x14ac:dyDescent="0.25">
      <c r="A365">
        <v>364</v>
      </c>
      <c r="B365">
        <v>55</v>
      </c>
      <c r="C365" t="s">
        <v>22</v>
      </c>
      <c r="D365">
        <v>364</v>
      </c>
      <c r="E365" t="s">
        <v>62</v>
      </c>
      <c r="F365" t="s">
        <v>24</v>
      </c>
      <c r="G365">
        <v>364</v>
      </c>
      <c r="H365">
        <v>635</v>
      </c>
      <c r="I365">
        <v>88</v>
      </c>
      <c r="J365" t="s">
        <v>106</v>
      </c>
      <c r="K365" t="s">
        <v>26</v>
      </c>
      <c r="L365" t="s">
        <v>137</v>
      </c>
      <c r="M365" t="s">
        <v>28</v>
      </c>
      <c r="N365">
        <v>3.1</v>
      </c>
      <c r="O365">
        <v>1</v>
      </c>
      <c r="P365" t="s">
        <v>41</v>
      </c>
      <c r="Q365" t="s">
        <v>30</v>
      </c>
      <c r="R365" t="s">
        <v>30</v>
      </c>
      <c r="S365">
        <v>42</v>
      </c>
      <c r="T365" t="s">
        <v>78</v>
      </c>
      <c r="U365" t="s">
        <v>32</v>
      </c>
      <c r="V365" s="1">
        <v>45637</v>
      </c>
      <c r="W365">
        <f>Table1[[#This Row],[customer_purchase count]]+1</f>
        <v>43</v>
      </c>
      <c r="X365">
        <f>Table1[[#This Row],[customer_purchase count]]*Rules!$B$3</f>
        <v>2510.103076923077</v>
      </c>
      <c r="Y365" t="str">
        <f>IF(Table1[[#This Row],[customer_subscription]]=1,"Subscribed","Not Subscribed")</f>
        <v>Subscribed</v>
      </c>
      <c r="Z365" t="s">
        <v>193</v>
      </c>
    </row>
    <row r="366" spans="1:26" x14ac:dyDescent="0.25">
      <c r="A366">
        <v>365</v>
      </c>
      <c r="B366">
        <v>62</v>
      </c>
      <c r="C366" t="s">
        <v>22</v>
      </c>
      <c r="D366">
        <v>365</v>
      </c>
      <c r="E366" t="s">
        <v>74</v>
      </c>
      <c r="F366" t="s">
        <v>45</v>
      </c>
      <c r="G366">
        <v>365</v>
      </c>
      <c r="H366">
        <v>637</v>
      </c>
      <c r="I366">
        <v>88</v>
      </c>
      <c r="J366" t="s">
        <v>117</v>
      </c>
      <c r="K366" t="s">
        <v>26</v>
      </c>
      <c r="L366" t="s">
        <v>64</v>
      </c>
      <c r="M366" t="s">
        <v>56</v>
      </c>
      <c r="N366">
        <v>3</v>
      </c>
      <c r="O366">
        <v>1</v>
      </c>
      <c r="P366" t="s">
        <v>41</v>
      </c>
      <c r="Q366" t="s">
        <v>30</v>
      </c>
      <c r="R366" t="s">
        <v>30</v>
      </c>
      <c r="S366">
        <v>7</v>
      </c>
      <c r="T366" t="s">
        <v>31</v>
      </c>
      <c r="U366" t="s">
        <v>100</v>
      </c>
      <c r="V366" s="1">
        <v>45528</v>
      </c>
      <c r="W366">
        <f>Table1[[#This Row],[customer_purchase count]]+1</f>
        <v>8</v>
      </c>
      <c r="X366">
        <f>Table1[[#This Row],[customer_purchase count]]*Rules!$B$3</f>
        <v>418.35051282051285</v>
      </c>
      <c r="Y366" t="str">
        <f>IF(Table1[[#This Row],[customer_subscription]]=1,"Subscribed","Not Subscribed")</f>
        <v>Subscribed</v>
      </c>
    </row>
    <row r="367" spans="1:26" x14ac:dyDescent="0.25">
      <c r="A367">
        <v>366</v>
      </c>
      <c r="B367">
        <v>55</v>
      </c>
      <c r="C367" t="s">
        <v>22</v>
      </c>
      <c r="D367">
        <v>366</v>
      </c>
      <c r="E367" t="s">
        <v>146</v>
      </c>
      <c r="F367" t="s">
        <v>70</v>
      </c>
      <c r="G367">
        <v>366</v>
      </c>
      <c r="H367">
        <v>638</v>
      </c>
      <c r="I367">
        <v>88</v>
      </c>
      <c r="J367" t="s">
        <v>67</v>
      </c>
      <c r="K367" t="s">
        <v>95</v>
      </c>
      <c r="L367" t="s">
        <v>27</v>
      </c>
      <c r="M367" t="s">
        <v>56</v>
      </c>
      <c r="N367">
        <v>3.7</v>
      </c>
      <c r="O367">
        <v>1</v>
      </c>
      <c r="P367" t="s">
        <v>57</v>
      </c>
      <c r="Q367" t="s">
        <v>30</v>
      </c>
      <c r="R367" t="s">
        <v>30</v>
      </c>
      <c r="S367">
        <v>50</v>
      </c>
      <c r="T367" t="s">
        <v>49</v>
      </c>
      <c r="U367" t="s">
        <v>61</v>
      </c>
      <c r="V367" s="1">
        <v>45508</v>
      </c>
      <c r="W367">
        <f>Table1[[#This Row],[customer_purchase count]]+1</f>
        <v>51</v>
      </c>
      <c r="X367">
        <f>Table1[[#This Row],[customer_purchase count]]*Rules!$B$3</f>
        <v>2988.2179487179487</v>
      </c>
      <c r="Y367" t="str">
        <f>IF(Table1[[#This Row],[customer_subscription]]=1,"Subscribed","Not Subscribed")</f>
        <v>Subscribed</v>
      </c>
      <c r="Z367" t="s">
        <v>193</v>
      </c>
    </row>
    <row r="368" spans="1:26" x14ac:dyDescent="0.25">
      <c r="A368">
        <v>367</v>
      </c>
      <c r="B368">
        <v>64</v>
      </c>
      <c r="C368" t="s">
        <v>22</v>
      </c>
      <c r="D368">
        <v>367</v>
      </c>
      <c r="E368" t="s">
        <v>128</v>
      </c>
      <c r="F368" t="s">
        <v>24</v>
      </c>
      <c r="G368">
        <v>367</v>
      </c>
      <c r="H368">
        <v>639</v>
      </c>
      <c r="I368">
        <v>36</v>
      </c>
      <c r="J368" t="s">
        <v>148</v>
      </c>
      <c r="K368" t="s">
        <v>47</v>
      </c>
      <c r="L368" t="s">
        <v>51</v>
      </c>
      <c r="M368" t="s">
        <v>40</v>
      </c>
      <c r="N368">
        <v>3.5</v>
      </c>
      <c r="O368">
        <v>1</v>
      </c>
      <c r="P368" t="s">
        <v>77</v>
      </c>
      <c r="Q368" t="s">
        <v>30</v>
      </c>
      <c r="R368" t="s">
        <v>30</v>
      </c>
      <c r="S368">
        <v>37</v>
      </c>
      <c r="T368" t="s">
        <v>31</v>
      </c>
      <c r="U368" t="s">
        <v>32</v>
      </c>
      <c r="V368" s="1">
        <v>45419</v>
      </c>
      <c r="W368">
        <f>Table1[[#This Row],[customer_purchase count]]+1</f>
        <v>38</v>
      </c>
      <c r="X368">
        <f>Table1[[#This Row],[customer_purchase count]]*Rules!$B$3</f>
        <v>2211.2812820512822</v>
      </c>
      <c r="Y368" t="str">
        <f>IF(Table1[[#This Row],[customer_subscription]]=1,"Subscribed","Not Subscribed")</f>
        <v>Subscribed</v>
      </c>
    </row>
    <row r="369" spans="1:26" x14ac:dyDescent="0.25">
      <c r="A369">
        <v>368</v>
      </c>
      <c r="B369">
        <v>52</v>
      </c>
      <c r="C369" t="s">
        <v>22</v>
      </c>
      <c r="D369">
        <v>368</v>
      </c>
      <c r="E369" t="s">
        <v>84</v>
      </c>
      <c r="F369" t="s">
        <v>24</v>
      </c>
      <c r="G369">
        <v>368</v>
      </c>
      <c r="H369">
        <v>640</v>
      </c>
      <c r="I369">
        <v>40</v>
      </c>
      <c r="J369" t="s">
        <v>125</v>
      </c>
      <c r="K369" t="s">
        <v>95</v>
      </c>
      <c r="L369" t="s">
        <v>112</v>
      </c>
      <c r="M369" t="s">
        <v>40</v>
      </c>
      <c r="N369">
        <v>2.8</v>
      </c>
      <c r="O369">
        <v>1</v>
      </c>
      <c r="P369" t="s">
        <v>77</v>
      </c>
      <c r="Q369" t="s">
        <v>30</v>
      </c>
      <c r="R369" t="s">
        <v>30</v>
      </c>
      <c r="S369">
        <v>18</v>
      </c>
      <c r="T369" t="s">
        <v>78</v>
      </c>
      <c r="U369" t="s">
        <v>91</v>
      </c>
      <c r="V369" s="1">
        <v>45363</v>
      </c>
      <c r="W369">
        <f>Table1[[#This Row],[customer_purchase count]]+1</f>
        <v>19</v>
      </c>
      <c r="X369">
        <f>Table1[[#This Row],[customer_purchase count]]*Rules!$B$3</f>
        <v>1075.7584615384617</v>
      </c>
      <c r="Y369" t="str">
        <f>IF(Table1[[#This Row],[customer_subscription]]=1,"Subscribed","Not Subscribed")</f>
        <v>Subscribed</v>
      </c>
    </row>
    <row r="370" spans="1:26" x14ac:dyDescent="0.25">
      <c r="A370">
        <v>369</v>
      </c>
      <c r="B370">
        <v>24</v>
      </c>
      <c r="C370" t="s">
        <v>22</v>
      </c>
      <c r="D370">
        <v>369</v>
      </c>
      <c r="E370" t="s">
        <v>69</v>
      </c>
      <c r="F370" t="s">
        <v>70</v>
      </c>
      <c r="G370">
        <v>369</v>
      </c>
      <c r="H370">
        <v>641</v>
      </c>
      <c r="I370">
        <v>39</v>
      </c>
      <c r="J370" t="s">
        <v>104</v>
      </c>
      <c r="K370" t="s">
        <v>47</v>
      </c>
      <c r="L370" t="s">
        <v>64</v>
      </c>
      <c r="M370" t="s">
        <v>40</v>
      </c>
      <c r="N370">
        <v>4.5</v>
      </c>
      <c r="O370">
        <v>1</v>
      </c>
      <c r="P370" t="s">
        <v>57</v>
      </c>
      <c r="Q370" t="s">
        <v>30</v>
      </c>
      <c r="R370" t="s">
        <v>30</v>
      </c>
      <c r="S370">
        <v>29</v>
      </c>
      <c r="T370" t="s">
        <v>36</v>
      </c>
      <c r="U370" t="s">
        <v>91</v>
      </c>
      <c r="V370" s="1">
        <v>45372</v>
      </c>
      <c r="W370">
        <f>Table1[[#This Row],[customer_purchase count]]+1</f>
        <v>30</v>
      </c>
      <c r="X370">
        <f>Table1[[#This Row],[customer_purchase count]]*Rules!$B$3</f>
        <v>1733.1664102564102</v>
      </c>
      <c r="Y370" t="str">
        <f>IF(Table1[[#This Row],[customer_subscription]]=1,"Subscribed","Not Subscribed")</f>
        <v>Subscribed</v>
      </c>
    </row>
    <row r="371" spans="1:26" x14ac:dyDescent="0.25">
      <c r="A371">
        <v>370</v>
      </c>
      <c r="B371">
        <v>38</v>
      </c>
      <c r="C371" t="s">
        <v>22</v>
      </c>
      <c r="D371">
        <v>370</v>
      </c>
      <c r="E371" t="s">
        <v>136</v>
      </c>
      <c r="F371" t="s">
        <v>70</v>
      </c>
      <c r="G371">
        <v>370</v>
      </c>
      <c r="H371">
        <v>643</v>
      </c>
      <c r="I371">
        <v>40</v>
      </c>
      <c r="J371" t="s">
        <v>153</v>
      </c>
      <c r="K371" t="s">
        <v>47</v>
      </c>
      <c r="L371" t="s">
        <v>68</v>
      </c>
      <c r="M371" t="s">
        <v>56</v>
      </c>
      <c r="N371">
        <v>3.3</v>
      </c>
      <c r="O371">
        <v>1</v>
      </c>
      <c r="P371" t="s">
        <v>77</v>
      </c>
      <c r="Q371" t="s">
        <v>30</v>
      </c>
      <c r="R371" t="s">
        <v>30</v>
      </c>
      <c r="S371">
        <v>45</v>
      </c>
      <c r="T371" t="s">
        <v>49</v>
      </c>
      <c r="U371" t="s">
        <v>61</v>
      </c>
      <c r="V371" s="1">
        <v>45451</v>
      </c>
      <c r="W371">
        <f>Table1[[#This Row],[customer_purchase count]]+1</f>
        <v>46</v>
      </c>
      <c r="X371">
        <f>Table1[[#This Row],[customer_purchase count]]*Rules!$B$3</f>
        <v>2689.396153846154</v>
      </c>
      <c r="Y371" t="str">
        <f>IF(Table1[[#This Row],[customer_subscription]]=1,"Subscribed","Not Subscribed")</f>
        <v>Subscribed</v>
      </c>
      <c r="Z371" t="s">
        <v>193</v>
      </c>
    </row>
    <row r="372" spans="1:26" x14ac:dyDescent="0.25">
      <c r="A372">
        <v>371</v>
      </c>
      <c r="B372">
        <v>59</v>
      </c>
      <c r="C372" t="s">
        <v>22</v>
      </c>
      <c r="D372">
        <v>371</v>
      </c>
      <c r="E372" t="s">
        <v>122</v>
      </c>
      <c r="F372" t="s">
        <v>70</v>
      </c>
      <c r="G372">
        <v>371</v>
      </c>
      <c r="H372">
        <v>644</v>
      </c>
      <c r="I372">
        <v>34</v>
      </c>
      <c r="J372" t="s">
        <v>50</v>
      </c>
      <c r="K372" t="s">
        <v>47</v>
      </c>
      <c r="L372" t="s">
        <v>81</v>
      </c>
      <c r="M372" t="s">
        <v>28</v>
      </c>
      <c r="N372">
        <v>3.4</v>
      </c>
      <c r="O372">
        <v>1</v>
      </c>
      <c r="P372" t="s">
        <v>29</v>
      </c>
      <c r="Q372" t="s">
        <v>30</v>
      </c>
      <c r="R372" t="s">
        <v>30</v>
      </c>
      <c r="S372">
        <v>13</v>
      </c>
      <c r="T372" t="s">
        <v>49</v>
      </c>
      <c r="U372" t="s">
        <v>43</v>
      </c>
      <c r="V372" s="1">
        <v>45303</v>
      </c>
      <c r="W372">
        <f>Table1[[#This Row],[customer_purchase count]]+1</f>
        <v>14</v>
      </c>
      <c r="X372">
        <f>Table1[[#This Row],[customer_purchase count]]*Rules!$B$3</f>
        <v>776.93666666666672</v>
      </c>
      <c r="Y372" t="str">
        <f>IF(Table1[[#This Row],[customer_subscription]]=1,"Subscribed","Not Subscribed")</f>
        <v>Subscribed</v>
      </c>
    </row>
    <row r="373" spans="1:26" x14ac:dyDescent="0.25">
      <c r="A373">
        <v>372</v>
      </c>
      <c r="B373">
        <v>27</v>
      </c>
      <c r="C373" t="s">
        <v>22</v>
      </c>
      <c r="D373">
        <v>372</v>
      </c>
      <c r="E373" t="s">
        <v>53</v>
      </c>
      <c r="F373" t="s">
        <v>45</v>
      </c>
      <c r="G373">
        <v>372</v>
      </c>
      <c r="H373">
        <v>645</v>
      </c>
      <c r="I373">
        <v>83</v>
      </c>
      <c r="J373" t="s">
        <v>101</v>
      </c>
      <c r="K373" t="s">
        <v>39</v>
      </c>
      <c r="L373" t="s">
        <v>72</v>
      </c>
      <c r="M373" t="s">
        <v>28</v>
      </c>
      <c r="N373">
        <v>3.2</v>
      </c>
      <c r="O373">
        <v>1</v>
      </c>
      <c r="P373" t="s">
        <v>73</v>
      </c>
      <c r="Q373" t="s">
        <v>30</v>
      </c>
      <c r="R373" t="s">
        <v>30</v>
      </c>
      <c r="S373">
        <v>47</v>
      </c>
      <c r="T373" t="s">
        <v>49</v>
      </c>
      <c r="U373" t="s">
        <v>91</v>
      </c>
      <c r="V373" s="1">
        <v>45329</v>
      </c>
      <c r="W373">
        <f>Table1[[#This Row],[customer_purchase count]]+1</f>
        <v>48</v>
      </c>
      <c r="X373">
        <f>Table1[[#This Row],[customer_purchase count]]*Rules!$B$3</f>
        <v>2808.9248717948717</v>
      </c>
      <c r="Y373" t="str">
        <f>IF(Table1[[#This Row],[customer_subscription]]=1,"Subscribed","Not Subscribed")</f>
        <v>Subscribed</v>
      </c>
    </row>
    <row r="374" spans="1:26" x14ac:dyDescent="0.25">
      <c r="A374">
        <v>373</v>
      </c>
      <c r="B374">
        <v>24</v>
      </c>
      <c r="C374" t="s">
        <v>22</v>
      </c>
      <c r="D374">
        <v>373</v>
      </c>
      <c r="E374" t="s">
        <v>33</v>
      </c>
      <c r="F374" t="s">
        <v>24</v>
      </c>
      <c r="G374">
        <v>373</v>
      </c>
      <c r="H374">
        <v>646</v>
      </c>
      <c r="I374">
        <v>85</v>
      </c>
      <c r="J374" t="s">
        <v>141</v>
      </c>
      <c r="K374" t="s">
        <v>26</v>
      </c>
      <c r="L374" t="s">
        <v>124</v>
      </c>
      <c r="M374" t="s">
        <v>56</v>
      </c>
      <c r="N374">
        <v>3.7</v>
      </c>
      <c r="O374">
        <v>1</v>
      </c>
      <c r="P374" t="s">
        <v>57</v>
      </c>
      <c r="Q374" t="s">
        <v>30</v>
      </c>
      <c r="R374" t="s">
        <v>30</v>
      </c>
      <c r="S374">
        <v>7</v>
      </c>
      <c r="T374" t="s">
        <v>89</v>
      </c>
      <c r="U374" t="s">
        <v>43</v>
      </c>
      <c r="V374" s="1">
        <v>45452</v>
      </c>
      <c r="W374">
        <f>Table1[[#This Row],[customer_purchase count]]+1</f>
        <v>8</v>
      </c>
      <c r="X374">
        <f>Table1[[#This Row],[customer_purchase count]]*Rules!$B$3</f>
        <v>418.35051282051285</v>
      </c>
      <c r="Y374" t="str">
        <f>IF(Table1[[#This Row],[customer_subscription]]=1,"Subscribed","Not Subscribed")</f>
        <v>Subscribed</v>
      </c>
    </row>
    <row r="375" spans="1:26" x14ac:dyDescent="0.25">
      <c r="A375">
        <v>374</v>
      </c>
      <c r="B375">
        <v>23</v>
      </c>
      <c r="C375" t="s">
        <v>22</v>
      </c>
      <c r="D375">
        <v>374</v>
      </c>
      <c r="E375" t="s">
        <v>65</v>
      </c>
      <c r="F375" t="s">
        <v>66</v>
      </c>
      <c r="G375">
        <v>374</v>
      </c>
      <c r="H375">
        <v>647</v>
      </c>
      <c r="I375">
        <v>27</v>
      </c>
      <c r="J375" t="s">
        <v>117</v>
      </c>
      <c r="K375" t="s">
        <v>26</v>
      </c>
      <c r="L375" t="s">
        <v>55</v>
      </c>
      <c r="M375" t="s">
        <v>56</v>
      </c>
      <c r="N375">
        <v>4.5999999999999996</v>
      </c>
      <c r="O375">
        <v>1</v>
      </c>
      <c r="P375" t="s">
        <v>29</v>
      </c>
      <c r="Q375" t="s">
        <v>30</v>
      </c>
      <c r="R375" t="s">
        <v>30</v>
      </c>
      <c r="S375">
        <v>11</v>
      </c>
      <c r="T375" t="s">
        <v>31</v>
      </c>
      <c r="U375" t="s">
        <v>79</v>
      </c>
      <c r="V375" s="1">
        <v>45493</v>
      </c>
      <c r="W375">
        <f>Table1[[#This Row],[customer_purchase count]]+1</f>
        <v>12</v>
      </c>
      <c r="X375">
        <f>Table1[[#This Row],[customer_purchase count]]*Rules!$B$3</f>
        <v>657.40794871794878</v>
      </c>
      <c r="Y375" t="str">
        <f>IF(Table1[[#This Row],[customer_subscription]]=1,"Subscribed","Not Subscribed")</f>
        <v>Subscribed</v>
      </c>
      <c r="Z375" t="s">
        <v>187</v>
      </c>
    </row>
    <row r="376" spans="1:26" x14ac:dyDescent="0.25">
      <c r="A376">
        <v>375</v>
      </c>
      <c r="B376">
        <v>69</v>
      </c>
      <c r="C376" t="s">
        <v>22</v>
      </c>
      <c r="D376">
        <v>375</v>
      </c>
      <c r="E376" t="s">
        <v>109</v>
      </c>
      <c r="F376" t="s">
        <v>70</v>
      </c>
      <c r="G376">
        <v>375</v>
      </c>
      <c r="H376">
        <v>649</v>
      </c>
      <c r="I376">
        <v>78</v>
      </c>
      <c r="J376" t="s">
        <v>126</v>
      </c>
      <c r="K376" t="s">
        <v>39</v>
      </c>
      <c r="L376" t="s">
        <v>76</v>
      </c>
      <c r="M376" t="s">
        <v>40</v>
      </c>
      <c r="N376">
        <v>5</v>
      </c>
      <c r="O376">
        <v>1</v>
      </c>
      <c r="P376" t="s">
        <v>77</v>
      </c>
      <c r="Q376" t="s">
        <v>30</v>
      </c>
      <c r="R376" t="s">
        <v>30</v>
      </c>
      <c r="S376">
        <v>39</v>
      </c>
      <c r="T376" t="s">
        <v>78</v>
      </c>
      <c r="U376" t="s">
        <v>91</v>
      </c>
      <c r="V376" s="1">
        <v>45383</v>
      </c>
      <c r="W376">
        <f>Table1[[#This Row],[customer_purchase count]]+1</f>
        <v>40</v>
      </c>
      <c r="X376">
        <f>Table1[[#This Row],[customer_purchase count]]*Rules!$B$3</f>
        <v>2330.81</v>
      </c>
      <c r="Y376" t="str">
        <f>IF(Table1[[#This Row],[customer_subscription]]=1,"Subscribed","Not Subscribed")</f>
        <v>Subscribed</v>
      </c>
    </row>
    <row r="377" spans="1:26" x14ac:dyDescent="0.25">
      <c r="A377">
        <v>376</v>
      </c>
      <c r="B377">
        <v>59</v>
      </c>
      <c r="C377" t="s">
        <v>22</v>
      </c>
      <c r="D377">
        <v>376</v>
      </c>
      <c r="E377" t="s">
        <v>92</v>
      </c>
      <c r="F377" t="s">
        <v>70</v>
      </c>
      <c r="G377">
        <v>376</v>
      </c>
      <c r="H377">
        <v>650</v>
      </c>
      <c r="I377">
        <v>32</v>
      </c>
      <c r="J377" t="s">
        <v>104</v>
      </c>
      <c r="K377" t="s">
        <v>47</v>
      </c>
      <c r="L377" t="s">
        <v>81</v>
      </c>
      <c r="M377" t="s">
        <v>56</v>
      </c>
      <c r="N377">
        <v>4.4000000000000004</v>
      </c>
      <c r="O377">
        <v>1</v>
      </c>
      <c r="P377" t="s">
        <v>57</v>
      </c>
      <c r="Q377" t="s">
        <v>30</v>
      </c>
      <c r="R377" t="s">
        <v>30</v>
      </c>
      <c r="S377">
        <v>6</v>
      </c>
      <c r="T377" t="s">
        <v>89</v>
      </c>
      <c r="U377" t="s">
        <v>61</v>
      </c>
      <c r="V377" s="1">
        <v>45506</v>
      </c>
      <c r="W377">
        <f>Table1[[#This Row],[customer_purchase count]]+1</f>
        <v>7</v>
      </c>
      <c r="X377">
        <f>Table1[[#This Row],[customer_purchase count]]*Rules!$B$3</f>
        <v>358.58615384615388</v>
      </c>
      <c r="Y377" t="str">
        <f>IF(Table1[[#This Row],[customer_subscription]]=1,"Subscribed","Not Subscribed")</f>
        <v>Subscribed</v>
      </c>
    </row>
    <row r="378" spans="1:26" x14ac:dyDescent="0.25">
      <c r="A378">
        <v>377</v>
      </c>
      <c r="B378">
        <v>51</v>
      </c>
      <c r="C378" t="s">
        <v>22</v>
      </c>
      <c r="D378">
        <v>377</v>
      </c>
      <c r="E378" t="s">
        <v>74</v>
      </c>
      <c r="F378" t="s">
        <v>45</v>
      </c>
      <c r="G378">
        <v>377</v>
      </c>
      <c r="H378">
        <v>651</v>
      </c>
      <c r="I378">
        <v>51</v>
      </c>
      <c r="J378" t="s">
        <v>134</v>
      </c>
      <c r="K378" t="s">
        <v>39</v>
      </c>
      <c r="L378" t="s">
        <v>27</v>
      </c>
      <c r="M378" t="s">
        <v>60</v>
      </c>
      <c r="N378">
        <v>4.9000000000000004</v>
      </c>
      <c r="O378">
        <v>1</v>
      </c>
      <c r="P378" t="s">
        <v>29</v>
      </c>
      <c r="Q378" t="s">
        <v>30</v>
      </c>
      <c r="R378" t="s">
        <v>30</v>
      </c>
      <c r="S378">
        <v>2</v>
      </c>
      <c r="T378" t="s">
        <v>31</v>
      </c>
      <c r="U378" t="s">
        <v>79</v>
      </c>
      <c r="V378" s="1">
        <v>45544</v>
      </c>
      <c r="W378">
        <f>Table1[[#This Row],[customer_purchase count]]+1</f>
        <v>3</v>
      </c>
      <c r="X378">
        <f>Table1[[#This Row],[customer_purchase count]]*Rules!$B$3</f>
        <v>119.52871794871795</v>
      </c>
      <c r="Y378" t="str">
        <f>IF(Table1[[#This Row],[customer_subscription]]=1,"Subscribed","Not Subscribed")</f>
        <v>Subscribed</v>
      </c>
    </row>
    <row r="379" spans="1:26" x14ac:dyDescent="0.25">
      <c r="A379">
        <v>378</v>
      </c>
      <c r="B379">
        <v>63</v>
      </c>
      <c r="C379" t="s">
        <v>22</v>
      </c>
      <c r="D379">
        <v>378</v>
      </c>
      <c r="E379" t="s">
        <v>122</v>
      </c>
      <c r="F379" t="s">
        <v>70</v>
      </c>
      <c r="G379">
        <v>378</v>
      </c>
      <c r="H379">
        <v>652</v>
      </c>
      <c r="I379">
        <v>32</v>
      </c>
      <c r="J379" t="s">
        <v>34</v>
      </c>
      <c r="K379" t="s">
        <v>47</v>
      </c>
      <c r="L379" t="s">
        <v>68</v>
      </c>
      <c r="M379" t="s">
        <v>40</v>
      </c>
      <c r="N379">
        <v>4.0999999999999996</v>
      </c>
      <c r="O379">
        <v>1</v>
      </c>
      <c r="P379" t="s">
        <v>57</v>
      </c>
      <c r="Q379" t="s">
        <v>30</v>
      </c>
      <c r="R379" t="s">
        <v>30</v>
      </c>
      <c r="S379">
        <v>39</v>
      </c>
      <c r="T379" t="s">
        <v>42</v>
      </c>
      <c r="U379" t="s">
        <v>100</v>
      </c>
      <c r="V379" s="1">
        <v>45355</v>
      </c>
      <c r="W379">
        <f>Table1[[#This Row],[customer_purchase count]]+1</f>
        <v>40</v>
      </c>
      <c r="X379">
        <f>Table1[[#This Row],[customer_purchase count]]*Rules!$B$3</f>
        <v>2330.81</v>
      </c>
      <c r="Y379" t="str">
        <f>IF(Table1[[#This Row],[customer_subscription]]=1,"Subscribed","Not Subscribed")</f>
        <v>Subscribed</v>
      </c>
    </row>
    <row r="380" spans="1:26" x14ac:dyDescent="0.25">
      <c r="A380">
        <v>379</v>
      </c>
      <c r="B380">
        <v>54</v>
      </c>
      <c r="C380" t="s">
        <v>22</v>
      </c>
      <c r="D380">
        <v>379</v>
      </c>
      <c r="E380" t="s">
        <v>84</v>
      </c>
      <c r="F380" t="s">
        <v>24</v>
      </c>
      <c r="G380">
        <v>379</v>
      </c>
      <c r="H380">
        <v>653</v>
      </c>
      <c r="I380">
        <v>62</v>
      </c>
      <c r="J380" t="s">
        <v>110</v>
      </c>
      <c r="K380" t="s">
        <v>26</v>
      </c>
      <c r="L380" t="s">
        <v>124</v>
      </c>
      <c r="M380" t="s">
        <v>28</v>
      </c>
      <c r="N380">
        <v>4.9000000000000004</v>
      </c>
      <c r="O380">
        <v>1</v>
      </c>
      <c r="P380" t="s">
        <v>48</v>
      </c>
      <c r="Q380" t="s">
        <v>30</v>
      </c>
      <c r="R380" t="s">
        <v>30</v>
      </c>
      <c r="S380">
        <v>23</v>
      </c>
      <c r="T380" t="s">
        <v>42</v>
      </c>
      <c r="U380" t="s">
        <v>91</v>
      </c>
      <c r="V380" s="1">
        <v>45318</v>
      </c>
      <c r="W380">
        <f>Table1[[#This Row],[customer_purchase count]]+1</f>
        <v>24</v>
      </c>
      <c r="X380">
        <f>Table1[[#This Row],[customer_purchase count]]*Rules!$B$3</f>
        <v>1374.5802564102564</v>
      </c>
      <c r="Y380" t="str">
        <f>IF(Table1[[#This Row],[customer_subscription]]=1,"Subscribed","Not Subscribed")</f>
        <v>Subscribed</v>
      </c>
    </row>
    <row r="381" spans="1:26" x14ac:dyDescent="0.25">
      <c r="A381">
        <v>380</v>
      </c>
      <c r="B381">
        <v>32</v>
      </c>
      <c r="C381" t="s">
        <v>22</v>
      </c>
      <c r="D381">
        <v>380</v>
      </c>
      <c r="E381" t="s">
        <v>116</v>
      </c>
      <c r="F381" t="s">
        <v>24</v>
      </c>
      <c r="G381">
        <v>380</v>
      </c>
      <c r="H381">
        <v>655</v>
      </c>
      <c r="I381">
        <v>29</v>
      </c>
      <c r="J381" t="s">
        <v>59</v>
      </c>
      <c r="K381" t="s">
        <v>39</v>
      </c>
      <c r="L381" t="s">
        <v>139</v>
      </c>
      <c r="M381" t="s">
        <v>60</v>
      </c>
      <c r="N381">
        <v>4.7</v>
      </c>
      <c r="O381">
        <v>1</v>
      </c>
      <c r="P381" t="s">
        <v>73</v>
      </c>
      <c r="Q381" t="s">
        <v>30</v>
      </c>
      <c r="R381" t="s">
        <v>30</v>
      </c>
      <c r="S381">
        <v>46</v>
      </c>
      <c r="T381" t="s">
        <v>89</v>
      </c>
      <c r="U381" t="s">
        <v>79</v>
      </c>
      <c r="V381" s="1">
        <v>45602</v>
      </c>
      <c r="W381">
        <f>Table1[[#This Row],[customer_purchase count]]+1</f>
        <v>47</v>
      </c>
      <c r="X381">
        <f>Table1[[#This Row],[customer_purchase count]]*Rules!$B$3</f>
        <v>2749.1605128205128</v>
      </c>
      <c r="Y381" t="str">
        <f>IF(Table1[[#This Row],[customer_subscription]]=1,"Subscribed","Not Subscribed")</f>
        <v>Subscribed</v>
      </c>
      <c r="Z381" t="s">
        <v>193</v>
      </c>
    </row>
    <row r="382" spans="1:26" x14ac:dyDescent="0.25">
      <c r="A382">
        <v>381</v>
      </c>
      <c r="B382">
        <v>39</v>
      </c>
      <c r="C382" t="s">
        <v>22</v>
      </c>
      <c r="D382">
        <v>381</v>
      </c>
      <c r="E382" t="s">
        <v>135</v>
      </c>
      <c r="F382" t="s">
        <v>70</v>
      </c>
      <c r="G382">
        <v>381</v>
      </c>
      <c r="H382">
        <v>656</v>
      </c>
      <c r="I382">
        <v>69</v>
      </c>
      <c r="J382" t="s">
        <v>85</v>
      </c>
      <c r="K382" t="s">
        <v>95</v>
      </c>
      <c r="L382" t="s">
        <v>121</v>
      </c>
      <c r="M382" t="s">
        <v>60</v>
      </c>
      <c r="N382">
        <v>3</v>
      </c>
      <c r="O382">
        <v>1</v>
      </c>
      <c r="P382" t="s">
        <v>77</v>
      </c>
      <c r="Q382" t="s">
        <v>30</v>
      </c>
      <c r="R382" t="s">
        <v>30</v>
      </c>
      <c r="S382">
        <v>19</v>
      </c>
      <c r="T382" t="s">
        <v>78</v>
      </c>
      <c r="U382" t="s">
        <v>43</v>
      </c>
      <c r="V382" s="1">
        <v>45559</v>
      </c>
      <c r="W382">
        <f>Table1[[#This Row],[customer_purchase count]]+1</f>
        <v>20</v>
      </c>
      <c r="X382">
        <f>Table1[[#This Row],[customer_purchase count]]*Rules!$B$3</f>
        <v>1135.5228205128205</v>
      </c>
      <c r="Y382" t="str">
        <f>IF(Table1[[#This Row],[customer_subscription]]=1,"Subscribed","Not Subscribed")</f>
        <v>Subscribed</v>
      </c>
    </row>
    <row r="383" spans="1:26" x14ac:dyDescent="0.25">
      <c r="A383">
        <v>382</v>
      </c>
      <c r="B383">
        <v>66</v>
      </c>
      <c r="C383" t="s">
        <v>22</v>
      </c>
      <c r="D383">
        <v>382</v>
      </c>
      <c r="E383" t="s">
        <v>109</v>
      </c>
      <c r="F383" t="s">
        <v>70</v>
      </c>
      <c r="G383">
        <v>382</v>
      </c>
      <c r="H383">
        <v>657</v>
      </c>
      <c r="I383">
        <v>25</v>
      </c>
      <c r="J383" t="s">
        <v>34</v>
      </c>
      <c r="K383" t="s">
        <v>26</v>
      </c>
      <c r="L383" t="s">
        <v>96</v>
      </c>
      <c r="M383" t="s">
        <v>28</v>
      </c>
      <c r="N383">
        <v>3.4</v>
      </c>
      <c r="O383">
        <v>1</v>
      </c>
      <c r="P383" t="s">
        <v>77</v>
      </c>
      <c r="Q383" t="s">
        <v>30</v>
      </c>
      <c r="R383" t="s">
        <v>30</v>
      </c>
      <c r="S383">
        <v>3</v>
      </c>
      <c r="T383" t="s">
        <v>42</v>
      </c>
      <c r="U383" t="s">
        <v>100</v>
      </c>
      <c r="V383" s="1">
        <v>45329</v>
      </c>
      <c r="W383">
        <f>Table1[[#This Row],[customer_purchase count]]+1</f>
        <v>4</v>
      </c>
      <c r="X383">
        <f>Table1[[#This Row],[customer_purchase count]]*Rules!$B$3</f>
        <v>179.29307692307694</v>
      </c>
      <c r="Y383" t="str">
        <f>IF(Table1[[#This Row],[customer_subscription]]=1,"Subscribed","Not Subscribed")</f>
        <v>Subscribed</v>
      </c>
    </row>
    <row r="384" spans="1:26" x14ac:dyDescent="0.25">
      <c r="A384">
        <v>383</v>
      </c>
      <c r="B384">
        <v>28</v>
      </c>
      <c r="C384" t="s">
        <v>22</v>
      </c>
      <c r="D384">
        <v>383</v>
      </c>
      <c r="E384" t="s">
        <v>37</v>
      </c>
      <c r="F384" t="s">
        <v>24</v>
      </c>
      <c r="G384">
        <v>383</v>
      </c>
      <c r="H384">
        <v>658</v>
      </c>
      <c r="I384">
        <v>76</v>
      </c>
      <c r="J384" t="s">
        <v>102</v>
      </c>
      <c r="K384" t="s">
        <v>47</v>
      </c>
      <c r="L384" t="s">
        <v>103</v>
      </c>
      <c r="M384" t="s">
        <v>28</v>
      </c>
      <c r="N384">
        <v>3.2</v>
      </c>
      <c r="O384">
        <v>1</v>
      </c>
      <c r="P384" t="s">
        <v>77</v>
      </c>
      <c r="Q384" t="s">
        <v>30</v>
      </c>
      <c r="R384" t="s">
        <v>30</v>
      </c>
      <c r="S384">
        <v>47</v>
      </c>
      <c r="T384" t="s">
        <v>49</v>
      </c>
      <c r="U384" t="s">
        <v>61</v>
      </c>
      <c r="V384" s="1">
        <v>45332</v>
      </c>
      <c r="W384">
        <f>Table1[[#This Row],[customer_purchase count]]+1</f>
        <v>48</v>
      </c>
      <c r="X384">
        <f>Table1[[#This Row],[customer_purchase count]]*Rules!$B$3</f>
        <v>2808.9248717948717</v>
      </c>
      <c r="Y384" t="str">
        <f>IF(Table1[[#This Row],[customer_subscription]]=1,"Subscribed","Not Subscribed")</f>
        <v>Subscribed</v>
      </c>
    </row>
    <row r="385" spans="1:26" x14ac:dyDescent="0.25">
      <c r="A385">
        <v>384</v>
      </c>
      <c r="B385">
        <v>50</v>
      </c>
      <c r="C385" t="s">
        <v>22</v>
      </c>
      <c r="D385">
        <v>384</v>
      </c>
      <c r="E385" t="s">
        <v>92</v>
      </c>
      <c r="F385" t="s">
        <v>70</v>
      </c>
      <c r="G385">
        <v>384</v>
      </c>
      <c r="H385">
        <v>659</v>
      </c>
      <c r="I385">
        <v>77</v>
      </c>
      <c r="J385" t="s">
        <v>67</v>
      </c>
      <c r="K385" t="s">
        <v>39</v>
      </c>
      <c r="L385" t="s">
        <v>139</v>
      </c>
      <c r="M385" t="s">
        <v>60</v>
      </c>
      <c r="N385">
        <v>2.9</v>
      </c>
      <c r="O385">
        <v>1</v>
      </c>
      <c r="P385" t="s">
        <v>57</v>
      </c>
      <c r="Q385" t="s">
        <v>30</v>
      </c>
      <c r="R385" t="s">
        <v>30</v>
      </c>
      <c r="S385">
        <v>6</v>
      </c>
      <c r="T385" t="s">
        <v>49</v>
      </c>
      <c r="U385" t="s">
        <v>61</v>
      </c>
      <c r="V385" s="1">
        <v>45598</v>
      </c>
      <c r="W385">
        <f>Table1[[#This Row],[customer_purchase count]]+1</f>
        <v>7</v>
      </c>
      <c r="X385">
        <f>Table1[[#This Row],[customer_purchase count]]*Rules!$B$3</f>
        <v>358.58615384615388</v>
      </c>
      <c r="Y385" t="str">
        <f>IF(Table1[[#This Row],[customer_subscription]]=1,"Subscribed","Not Subscribed")</f>
        <v>Subscribed</v>
      </c>
    </row>
    <row r="386" spans="1:26" x14ac:dyDescent="0.25">
      <c r="A386">
        <v>385</v>
      </c>
      <c r="B386">
        <v>70</v>
      </c>
      <c r="C386" t="s">
        <v>22</v>
      </c>
      <c r="D386">
        <v>385</v>
      </c>
      <c r="E386" t="s">
        <v>33</v>
      </c>
      <c r="F386" t="s">
        <v>24</v>
      </c>
      <c r="G386">
        <v>385</v>
      </c>
      <c r="H386">
        <v>661</v>
      </c>
      <c r="I386">
        <v>33</v>
      </c>
      <c r="J386" t="s">
        <v>102</v>
      </c>
      <c r="K386" t="s">
        <v>47</v>
      </c>
      <c r="L386" t="s">
        <v>121</v>
      </c>
      <c r="M386" t="s">
        <v>60</v>
      </c>
      <c r="N386">
        <v>4.5</v>
      </c>
      <c r="O386">
        <v>1</v>
      </c>
      <c r="P386" t="s">
        <v>73</v>
      </c>
      <c r="Q386" t="s">
        <v>30</v>
      </c>
      <c r="R386" t="s">
        <v>30</v>
      </c>
      <c r="S386">
        <v>6</v>
      </c>
      <c r="T386" t="s">
        <v>31</v>
      </c>
      <c r="U386" t="s">
        <v>52</v>
      </c>
      <c r="V386" s="1">
        <v>45589</v>
      </c>
      <c r="W386">
        <f>Table1[[#This Row],[customer_purchase count]]+1</f>
        <v>7</v>
      </c>
      <c r="X386">
        <f>Table1[[#This Row],[customer_purchase count]]*Rules!$B$3</f>
        <v>358.58615384615388</v>
      </c>
      <c r="Y386" t="str">
        <f>IF(Table1[[#This Row],[customer_subscription]]=1,"Subscribed","Not Subscribed")</f>
        <v>Subscribed</v>
      </c>
    </row>
    <row r="387" spans="1:26" x14ac:dyDescent="0.25">
      <c r="A387">
        <v>386</v>
      </c>
      <c r="B387">
        <v>67</v>
      </c>
      <c r="C387" t="s">
        <v>22</v>
      </c>
      <c r="D387">
        <v>386</v>
      </c>
      <c r="E387" t="s">
        <v>62</v>
      </c>
      <c r="F387" t="s">
        <v>24</v>
      </c>
      <c r="G387">
        <v>386</v>
      </c>
      <c r="H387">
        <v>662</v>
      </c>
      <c r="I387">
        <v>93</v>
      </c>
      <c r="J387" t="s">
        <v>67</v>
      </c>
      <c r="K387" t="s">
        <v>39</v>
      </c>
      <c r="L387" t="s">
        <v>137</v>
      </c>
      <c r="M387" t="s">
        <v>60</v>
      </c>
      <c r="N387">
        <v>2.7</v>
      </c>
      <c r="O387">
        <v>1</v>
      </c>
      <c r="P387" t="s">
        <v>48</v>
      </c>
      <c r="Q387" t="s">
        <v>30</v>
      </c>
      <c r="R387" t="s">
        <v>30</v>
      </c>
      <c r="S387">
        <v>12</v>
      </c>
      <c r="T387" t="s">
        <v>42</v>
      </c>
      <c r="U387" t="s">
        <v>79</v>
      </c>
      <c r="V387" s="1">
        <v>45573</v>
      </c>
      <c r="W387">
        <f>Table1[[#This Row],[customer_purchase count]]+1</f>
        <v>13</v>
      </c>
      <c r="X387">
        <f>Table1[[#This Row],[customer_purchase count]]*Rules!$B$3</f>
        <v>717.17230769230775</v>
      </c>
      <c r="Y387" t="str">
        <f>IF(Table1[[#This Row],[customer_subscription]]=1,"Subscribed","Not Subscribed")</f>
        <v>Subscribed</v>
      </c>
    </row>
    <row r="388" spans="1:26" x14ac:dyDescent="0.25">
      <c r="A388">
        <v>387</v>
      </c>
      <c r="B388">
        <v>64</v>
      </c>
      <c r="C388" t="s">
        <v>22</v>
      </c>
      <c r="D388">
        <v>387</v>
      </c>
      <c r="E388" t="s">
        <v>109</v>
      </c>
      <c r="F388" t="s">
        <v>70</v>
      </c>
      <c r="G388">
        <v>387</v>
      </c>
      <c r="H388">
        <v>663</v>
      </c>
      <c r="I388">
        <v>39</v>
      </c>
      <c r="J388" t="s">
        <v>63</v>
      </c>
      <c r="K388" t="s">
        <v>26</v>
      </c>
      <c r="L388" t="s">
        <v>113</v>
      </c>
      <c r="M388" t="s">
        <v>40</v>
      </c>
      <c r="N388">
        <v>3.4</v>
      </c>
      <c r="O388">
        <v>1</v>
      </c>
      <c r="P388" t="s">
        <v>29</v>
      </c>
      <c r="Q388" t="s">
        <v>30</v>
      </c>
      <c r="R388" t="s">
        <v>30</v>
      </c>
      <c r="S388">
        <v>40</v>
      </c>
      <c r="T388" t="s">
        <v>49</v>
      </c>
      <c r="U388" t="s">
        <v>61</v>
      </c>
      <c r="V388" s="1">
        <v>45366</v>
      </c>
      <c r="W388">
        <f>Table1[[#This Row],[customer_purchase count]]+1</f>
        <v>41</v>
      </c>
      <c r="X388">
        <f>Table1[[#This Row],[customer_purchase count]]*Rules!$B$3</f>
        <v>2390.5743589743593</v>
      </c>
      <c r="Y388" t="str">
        <f>IF(Table1[[#This Row],[customer_subscription]]=1,"Subscribed","Not Subscribed")</f>
        <v>Subscribed</v>
      </c>
    </row>
    <row r="389" spans="1:26" x14ac:dyDescent="0.25">
      <c r="A389">
        <v>388</v>
      </c>
      <c r="B389">
        <v>45</v>
      </c>
      <c r="C389" t="s">
        <v>22</v>
      </c>
      <c r="D389">
        <v>388</v>
      </c>
      <c r="E389" t="s">
        <v>65</v>
      </c>
      <c r="F389" t="s">
        <v>66</v>
      </c>
      <c r="G389">
        <v>388</v>
      </c>
      <c r="H389">
        <v>664</v>
      </c>
      <c r="I389">
        <v>93</v>
      </c>
      <c r="J389" t="s">
        <v>145</v>
      </c>
      <c r="K389" t="s">
        <v>26</v>
      </c>
      <c r="L389" t="s">
        <v>68</v>
      </c>
      <c r="M389" t="s">
        <v>56</v>
      </c>
      <c r="N389">
        <v>4.5999999999999996</v>
      </c>
      <c r="O389">
        <v>1</v>
      </c>
      <c r="P389" t="s">
        <v>77</v>
      </c>
      <c r="Q389" t="s">
        <v>30</v>
      </c>
      <c r="R389" t="s">
        <v>30</v>
      </c>
      <c r="S389">
        <v>38</v>
      </c>
      <c r="T389" t="s">
        <v>49</v>
      </c>
      <c r="U389" t="s">
        <v>32</v>
      </c>
      <c r="V389" s="1">
        <v>45523</v>
      </c>
      <c r="W389">
        <f>Table1[[#This Row],[customer_purchase count]]+1</f>
        <v>39</v>
      </c>
      <c r="X389">
        <f>Table1[[#This Row],[customer_purchase count]]*Rules!$B$3</f>
        <v>2271.0456410256411</v>
      </c>
      <c r="Y389" t="str">
        <f>IF(Table1[[#This Row],[customer_subscription]]=1,"Subscribed","Not Subscribed")</f>
        <v>Subscribed</v>
      </c>
      <c r="Z389" t="s">
        <v>193</v>
      </c>
    </row>
    <row r="390" spans="1:26" x14ac:dyDescent="0.25">
      <c r="A390">
        <v>389</v>
      </c>
      <c r="B390">
        <v>22</v>
      </c>
      <c r="C390" t="s">
        <v>22</v>
      </c>
      <c r="D390">
        <v>389</v>
      </c>
      <c r="E390" t="s">
        <v>69</v>
      </c>
      <c r="F390" t="s">
        <v>70</v>
      </c>
      <c r="G390">
        <v>389</v>
      </c>
      <c r="H390">
        <v>665</v>
      </c>
      <c r="I390">
        <v>82</v>
      </c>
      <c r="J390" t="s">
        <v>152</v>
      </c>
      <c r="K390" t="s">
        <v>47</v>
      </c>
      <c r="L390" t="s">
        <v>124</v>
      </c>
      <c r="M390" t="s">
        <v>56</v>
      </c>
      <c r="N390">
        <v>2.7</v>
      </c>
      <c r="O390">
        <v>1</v>
      </c>
      <c r="P390" t="s">
        <v>77</v>
      </c>
      <c r="Q390" t="s">
        <v>30</v>
      </c>
      <c r="R390" t="s">
        <v>30</v>
      </c>
      <c r="S390">
        <v>10</v>
      </c>
      <c r="T390" t="s">
        <v>49</v>
      </c>
      <c r="U390" t="s">
        <v>61</v>
      </c>
      <c r="V390" s="1">
        <v>45524</v>
      </c>
      <c r="W390">
        <f>Table1[[#This Row],[customer_purchase count]]+1</f>
        <v>11</v>
      </c>
      <c r="X390">
        <f>Table1[[#This Row],[customer_purchase count]]*Rules!$B$3</f>
        <v>597.64358974358981</v>
      </c>
      <c r="Y390" t="str">
        <f>IF(Table1[[#This Row],[customer_subscription]]=1,"Subscribed","Not Subscribed")</f>
        <v>Subscribed</v>
      </c>
      <c r="Z390" t="s">
        <v>187</v>
      </c>
    </row>
    <row r="391" spans="1:26" x14ac:dyDescent="0.25">
      <c r="A391">
        <v>390</v>
      </c>
      <c r="B391">
        <v>27</v>
      </c>
      <c r="C391" t="s">
        <v>22</v>
      </c>
      <c r="D391">
        <v>390</v>
      </c>
      <c r="E391" t="s">
        <v>140</v>
      </c>
      <c r="F391" t="s">
        <v>45</v>
      </c>
      <c r="G391">
        <v>390</v>
      </c>
      <c r="H391">
        <v>667</v>
      </c>
      <c r="I391">
        <v>42</v>
      </c>
      <c r="J391" t="s">
        <v>144</v>
      </c>
      <c r="K391" t="s">
        <v>26</v>
      </c>
      <c r="L391" t="s">
        <v>76</v>
      </c>
      <c r="M391" t="s">
        <v>40</v>
      </c>
      <c r="N391">
        <v>4.2</v>
      </c>
      <c r="O391">
        <v>1</v>
      </c>
      <c r="P391" t="s">
        <v>57</v>
      </c>
      <c r="Q391" t="s">
        <v>30</v>
      </c>
      <c r="R391" t="s">
        <v>30</v>
      </c>
      <c r="S391">
        <v>28</v>
      </c>
      <c r="T391" t="s">
        <v>78</v>
      </c>
      <c r="U391" t="s">
        <v>91</v>
      </c>
      <c r="V391" s="1">
        <v>45403</v>
      </c>
      <c r="W391">
        <f>Table1[[#This Row],[customer_purchase count]]+1</f>
        <v>29</v>
      </c>
      <c r="X391">
        <f>Table1[[#This Row],[customer_purchase count]]*Rules!$B$3</f>
        <v>1673.4020512820514</v>
      </c>
      <c r="Y391" t="str">
        <f>IF(Table1[[#This Row],[customer_subscription]]=1,"Subscribed","Not Subscribed")</f>
        <v>Subscribed</v>
      </c>
    </row>
    <row r="392" spans="1:26" x14ac:dyDescent="0.25">
      <c r="A392">
        <v>391</v>
      </c>
      <c r="B392">
        <v>25</v>
      </c>
      <c r="C392" t="s">
        <v>22</v>
      </c>
      <c r="D392">
        <v>391</v>
      </c>
      <c r="E392" t="s">
        <v>146</v>
      </c>
      <c r="F392" t="s">
        <v>70</v>
      </c>
      <c r="G392">
        <v>391</v>
      </c>
      <c r="H392">
        <v>668</v>
      </c>
      <c r="I392">
        <v>71</v>
      </c>
      <c r="J392" t="s">
        <v>119</v>
      </c>
      <c r="K392" t="s">
        <v>47</v>
      </c>
      <c r="L392" t="s">
        <v>129</v>
      </c>
      <c r="M392" t="s">
        <v>28</v>
      </c>
      <c r="N392">
        <v>3.2</v>
      </c>
      <c r="O392">
        <v>1</v>
      </c>
      <c r="P392" t="s">
        <v>73</v>
      </c>
      <c r="Q392" t="s">
        <v>30</v>
      </c>
      <c r="R392" t="s">
        <v>30</v>
      </c>
      <c r="S392">
        <v>19</v>
      </c>
      <c r="T392" t="s">
        <v>49</v>
      </c>
      <c r="U392" t="s">
        <v>52</v>
      </c>
      <c r="V392" s="1">
        <v>45332</v>
      </c>
      <c r="W392">
        <f>Table1[[#This Row],[customer_purchase count]]+1</f>
        <v>20</v>
      </c>
      <c r="X392">
        <f>Table1[[#This Row],[customer_purchase count]]*Rules!$B$3</f>
        <v>1135.5228205128205</v>
      </c>
      <c r="Y392" t="str">
        <f>IF(Table1[[#This Row],[customer_subscription]]=1,"Subscribed","Not Subscribed")</f>
        <v>Subscribed</v>
      </c>
    </row>
    <row r="393" spans="1:26" x14ac:dyDescent="0.25">
      <c r="A393">
        <v>392</v>
      </c>
      <c r="B393">
        <v>37</v>
      </c>
      <c r="C393" t="s">
        <v>22</v>
      </c>
      <c r="D393">
        <v>392</v>
      </c>
      <c r="E393" t="s">
        <v>33</v>
      </c>
      <c r="F393" t="s">
        <v>24</v>
      </c>
      <c r="G393">
        <v>392</v>
      </c>
      <c r="H393">
        <v>669</v>
      </c>
      <c r="I393">
        <v>86</v>
      </c>
      <c r="J393" t="s">
        <v>151</v>
      </c>
      <c r="K393" t="s">
        <v>26</v>
      </c>
      <c r="L393" t="s">
        <v>27</v>
      </c>
      <c r="M393" t="s">
        <v>40</v>
      </c>
      <c r="N393">
        <v>4.8</v>
      </c>
      <c r="O393">
        <v>1</v>
      </c>
      <c r="P393" t="s">
        <v>57</v>
      </c>
      <c r="Q393" t="s">
        <v>30</v>
      </c>
      <c r="R393" t="s">
        <v>30</v>
      </c>
      <c r="S393">
        <v>25</v>
      </c>
      <c r="T393" t="s">
        <v>36</v>
      </c>
      <c r="U393" t="s">
        <v>32</v>
      </c>
      <c r="V393" s="1">
        <v>45361</v>
      </c>
      <c r="W393">
        <f>Table1[[#This Row],[customer_purchase count]]+1</f>
        <v>26</v>
      </c>
      <c r="X393">
        <f>Table1[[#This Row],[customer_purchase count]]*Rules!$B$3</f>
        <v>1494.1089743589744</v>
      </c>
      <c r="Y393" t="str">
        <f>IF(Table1[[#This Row],[customer_subscription]]=1,"Subscribed","Not Subscribed")</f>
        <v>Subscribed</v>
      </c>
    </row>
    <row r="394" spans="1:26" x14ac:dyDescent="0.25">
      <c r="A394">
        <v>393</v>
      </c>
      <c r="B394">
        <v>26</v>
      </c>
      <c r="C394" t="s">
        <v>22</v>
      </c>
      <c r="D394">
        <v>393</v>
      </c>
      <c r="E394" t="s">
        <v>116</v>
      </c>
      <c r="F394" t="s">
        <v>24</v>
      </c>
      <c r="G394">
        <v>393</v>
      </c>
      <c r="H394">
        <v>670</v>
      </c>
      <c r="I394">
        <v>82</v>
      </c>
      <c r="J394" t="s">
        <v>138</v>
      </c>
      <c r="K394" t="s">
        <v>95</v>
      </c>
      <c r="L394" t="s">
        <v>97</v>
      </c>
      <c r="M394" t="s">
        <v>40</v>
      </c>
      <c r="N394">
        <v>3.3</v>
      </c>
      <c r="O394">
        <v>1</v>
      </c>
      <c r="P394" t="s">
        <v>48</v>
      </c>
      <c r="Q394" t="s">
        <v>30</v>
      </c>
      <c r="R394" t="s">
        <v>30</v>
      </c>
      <c r="S394">
        <v>38</v>
      </c>
      <c r="T394" t="s">
        <v>42</v>
      </c>
      <c r="U394" t="s">
        <v>52</v>
      </c>
      <c r="V394" s="1">
        <v>45378</v>
      </c>
      <c r="W394">
        <f>Table1[[#This Row],[customer_purchase count]]+1</f>
        <v>39</v>
      </c>
      <c r="X394">
        <f>Table1[[#This Row],[customer_purchase count]]*Rules!$B$3</f>
        <v>2271.0456410256411</v>
      </c>
      <c r="Y394" t="str">
        <f>IF(Table1[[#This Row],[customer_subscription]]=1,"Subscribed","Not Subscribed")</f>
        <v>Subscribed</v>
      </c>
    </row>
    <row r="395" spans="1:26" x14ac:dyDescent="0.25">
      <c r="A395">
        <v>394</v>
      </c>
      <c r="B395">
        <v>33</v>
      </c>
      <c r="C395" t="s">
        <v>22</v>
      </c>
      <c r="D395">
        <v>394</v>
      </c>
      <c r="E395" t="s">
        <v>74</v>
      </c>
      <c r="F395" t="s">
        <v>45</v>
      </c>
      <c r="G395">
        <v>394</v>
      </c>
      <c r="H395">
        <v>671</v>
      </c>
      <c r="I395">
        <v>65</v>
      </c>
      <c r="J395" t="s">
        <v>132</v>
      </c>
      <c r="K395" t="s">
        <v>26</v>
      </c>
      <c r="L395" t="s">
        <v>35</v>
      </c>
      <c r="M395" t="s">
        <v>60</v>
      </c>
      <c r="N395">
        <v>4.2</v>
      </c>
      <c r="O395">
        <v>1</v>
      </c>
      <c r="P395" t="s">
        <v>57</v>
      </c>
      <c r="Q395" t="s">
        <v>30</v>
      </c>
      <c r="R395" t="s">
        <v>30</v>
      </c>
      <c r="S395">
        <v>6</v>
      </c>
      <c r="T395" t="s">
        <v>49</v>
      </c>
      <c r="U395" t="s">
        <v>32</v>
      </c>
      <c r="V395" s="1">
        <v>45566</v>
      </c>
      <c r="W395">
        <f>Table1[[#This Row],[customer_purchase count]]+1</f>
        <v>7</v>
      </c>
      <c r="X395">
        <f>Table1[[#This Row],[customer_purchase count]]*Rules!$B$3</f>
        <v>358.58615384615388</v>
      </c>
      <c r="Y395" t="str">
        <f>IF(Table1[[#This Row],[customer_subscription]]=1,"Subscribed","Not Subscribed")</f>
        <v>Subscribed</v>
      </c>
    </row>
    <row r="396" spans="1:26" x14ac:dyDescent="0.25">
      <c r="A396">
        <v>395</v>
      </c>
      <c r="B396">
        <v>43</v>
      </c>
      <c r="C396" t="s">
        <v>22</v>
      </c>
      <c r="D396">
        <v>395</v>
      </c>
      <c r="E396" t="s">
        <v>122</v>
      </c>
      <c r="F396" t="s">
        <v>70</v>
      </c>
      <c r="G396">
        <v>395</v>
      </c>
      <c r="H396">
        <v>673</v>
      </c>
      <c r="I396">
        <v>29</v>
      </c>
      <c r="J396" t="s">
        <v>117</v>
      </c>
      <c r="K396" t="s">
        <v>47</v>
      </c>
      <c r="L396" t="s">
        <v>121</v>
      </c>
      <c r="M396" t="s">
        <v>40</v>
      </c>
      <c r="N396">
        <v>4.8</v>
      </c>
      <c r="O396">
        <v>1</v>
      </c>
      <c r="P396" t="s">
        <v>77</v>
      </c>
      <c r="Q396" t="s">
        <v>30</v>
      </c>
      <c r="R396" t="s">
        <v>30</v>
      </c>
      <c r="S396">
        <v>7</v>
      </c>
      <c r="T396" t="s">
        <v>89</v>
      </c>
      <c r="U396" t="s">
        <v>79</v>
      </c>
      <c r="V396" s="1">
        <v>45379</v>
      </c>
      <c r="W396">
        <f>Table1[[#This Row],[customer_purchase count]]+1</f>
        <v>8</v>
      </c>
      <c r="X396">
        <f>Table1[[#This Row],[customer_purchase count]]*Rules!$B$3</f>
        <v>418.35051282051285</v>
      </c>
      <c r="Y396" t="str">
        <f>IF(Table1[[#This Row],[customer_subscription]]=1,"Subscribed","Not Subscribed")</f>
        <v>Subscribed</v>
      </c>
    </row>
    <row r="397" spans="1:26" x14ac:dyDescent="0.25">
      <c r="A397">
        <v>396</v>
      </c>
      <c r="B397">
        <v>37</v>
      </c>
      <c r="C397" t="s">
        <v>22</v>
      </c>
      <c r="D397">
        <v>396</v>
      </c>
      <c r="E397" t="s">
        <v>53</v>
      </c>
      <c r="F397" t="s">
        <v>45</v>
      </c>
      <c r="G397">
        <v>396</v>
      </c>
      <c r="H397">
        <v>674</v>
      </c>
      <c r="I397">
        <v>65</v>
      </c>
      <c r="J397" t="s">
        <v>46</v>
      </c>
      <c r="K397" t="s">
        <v>26</v>
      </c>
      <c r="L397" t="s">
        <v>113</v>
      </c>
      <c r="M397" t="s">
        <v>28</v>
      </c>
      <c r="N397">
        <v>4.9000000000000004</v>
      </c>
      <c r="O397">
        <v>1</v>
      </c>
      <c r="P397" t="s">
        <v>77</v>
      </c>
      <c r="Q397" t="s">
        <v>30</v>
      </c>
      <c r="R397" t="s">
        <v>30</v>
      </c>
      <c r="S397">
        <v>2</v>
      </c>
      <c r="T397" t="s">
        <v>49</v>
      </c>
      <c r="U397" t="s">
        <v>52</v>
      </c>
      <c r="V397" s="1">
        <v>45312</v>
      </c>
      <c r="W397">
        <f>Table1[[#This Row],[customer_purchase count]]+1</f>
        <v>3</v>
      </c>
      <c r="X397">
        <f>Table1[[#This Row],[customer_purchase count]]*Rules!$B$3</f>
        <v>119.52871794871795</v>
      </c>
      <c r="Y397" t="str">
        <f>IF(Table1[[#This Row],[customer_subscription]]=1,"Subscribed","Not Subscribed")</f>
        <v>Subscribed</v>
      </c>
    </row>
    <row r="398" spans="1:26" x14ac:dyDescent="0.25">
      <c r="A398">
        <v>397</v>
      </c>
      <c r="B398">
        <v>46</v>
      </c>
      <c r="C398" t="s">
        <v>22</v>
      </c>
      <c r="D398">
        <v>397</v>
      </c>
      <c r="E398" t="s">
        <v>84</v>
      </c>
      <c r="F398" t="s">
        <v>24</v>
      </c>
      <c r="G398">
        <v>397</v>
      </c>
      <c r="H398">
        <v>675</v>
      </c>
      <c r="I398">
        <v>88</v>
      </c>
      <c r="J398" t="s">
        <v>134</v>
      </c>
      <c r="K398" t="s">
        <v>39</v>
      </c>
      <c r="L398" t="s">
        <v>97</v>
      </c>
      <c r="M398" t="s">
        <v>60</v>
      </c>
      <c r="N398">
        <v>3.9</v>
      </c>
      <c r="O398">
        <v>1</v>
      </c>
      <c r="P398" t="s">
        <v>57</v>
      </c>
      <c r="Q398" t="s">
        <v>30</v>
      </c>
      <c r="R398" t="s">
        <v>30</v>
      </c>
      <c r="S398">
        <v>24</v>
      </c>
      <c r="T398" t="s">
        <v>78</v>
      </c>
      <c r="U398" t="s">
        <v>52</v>
      </c>
      <c r="V398" s="1">
        <v>45544</v>
      </c>
      <c r="W398">
        <f>Table1[[#This Row],[customer_purchase count]]+1</f>
        <v>25</v>
      </c>
      <c r="X398">
        <f>Table1[[#This Row],[customer_purchase count]]*Rules!$B$3</f>
        <v>1434.3446153846155</v>
      </c>
      <c r="Y398" t="str">
        <f>IF(Table1[[#This Row],[customer_subscription]]=1,"Subscribed","Not Subscribed")</f>
        <v>Subscribed</v>
      </c>
    </row>
    <row r="399" spans="1:26" x14ac:dyDescent="0.25">
      <c r="A399">
        <v>398</v>
      </c>
      <c r="B399">
        <v>22</v>
      </c>
      <c r="C399" t="s">
        <v>22</v>
      </c>
      <c r="D399">
        <v>398</v>
      </c>
      <c r="E399" t="s">
        <v>136</v>
      </c>
      <c r="F399" t="s">
        <v>70</v>
      </c>
      <c r="G399">
        <v>398</v>
      </c>
      <c r="H399">
        <v>676</v>
      </c>
      <c r="I399">
        <v>46</v>
      </c>
      <c r="J399" t="s">
        <v>94</v>
      </c>
      <c r="K399" t="s">
        <v>47</v>
      </c>
      <c r="L399" t="s">
        <v>129</v>
      </c>
      <c r="M399" t="s">
        <v>60</v>
      </c>
      <c r="N399">
        <v>3</v>
      </c>
      <c r="O399">
        <v>1</v>
      </c>
      <c r="P399" t="s">
        <v>41</v>
      </c>
      <c r="Q399" t="s">
        <v>30</v>
      </c>
      <c r="R399" t="s">
        <v>30</v>
      </c>
      <c r="S399">
        <v>26</v>
      </c>
      <c r="T399" t="s">
        <v>36</v>
      </c>
      <c r="U399" t="s">
        <v>52</v>
      </c>
      <c r="V399" s="1">
        <v>45561</v>
      </c>
      <c r="W399">
        <f>Table1[[#This Row],[customer_purchase count]]+1</f>
        <v>27</v>
      </c>
      <c r="X399">
        <f>Table1[[#This Row],[customer_purchase count]]*Rules!$B$3</f>
        <v>1553.8733333333334</v>
      </c>
      <c r="Y399" t="str">
        <f>IF(Table1[[#This Row],[customer_subscription]]=1,"Subscribed","Not Subscribed")</f>
        <v>Subscribed</v>
      </c>
    </row>
    <row r="400" spans="1:26" x14ac:dyDescent="0.25">
      <c r="A400">
        <v>399</v>
      </c>
      <c r="B400">
        <v>20</v>
      </c>
      <c r="C400" t="s">
        <v>22</v>
      </c>
      <c r="D400">
        <v>399</v>
      </c>
      <c r="E400" t="s">
        <v>140</v>
      </c>
      <c r="F400" t="s">
        <v>45</v>
      </c>
      <c r="G400">
        <v>399</v>
      </c>
      <c r="H400">
        <v>677</v>
      </c>
      <c r="I400">
        <v>67</v>
      </c>
      <c r="J400" t="s">
        <v>59</v>
      </c>
      <c r="K400" t="s">
        <v>39</v>
      </c>
      <c r="L400" t="s">
        <v>68</v>
      </c>
      <c r="M400" t="s">
        <v>28</v>
      </c>
      <c r="N400">
        <v>4.5999999999999996</v>
      </c>
      <c r="O400">
        <v>1</v>
      </c>
      <c r="P400" t="s">
        <v>41</v>
      </c>
      <c r="Q400" t="s">
        <v>30</v>
      </c>
      <c r="R400" t="s">
        <v>30</v>
      </c>
      <c r="S400">
        <v>25</v>
      </c>
      <c r="T400" t="s">
        <v>89</v>
      </c>
      <c r="U400" t="s">
        <v>100</v>
      </c>
      <c r="V400" s="1">
        <v>45329</v>
      </c>
      <c r="W400">
        <f>Table1[[#This Row],[customer_purchase count]]+1</f>
        <v>26</v>
      </c>
      <c r="X400">
        <f>Table1[[#This Row],[customer_purchase count]]*Rules!$B$3</f>
        <v>1494.1089743589744</v>
      </c>
      <c r="Y400" t="str">
        <f>IF(Table1[[#This Row],[customer_subscription]]=1,"Subscribed","Not Subscribed")</f>
        <v>Subscribed</v>
      </c>
    </row>
    <row r="401" spans="1:26" x14ac:dyDescent="0.25">
      <c r="A401">
        <v>400</v>
      </c>
      <c r="B401">
        <v>60</v>
      </c>
      <c r="C401" t="s">
        <v>22</v>
      </c>
      <c r="D401">
        <v>400</v>
      </c>
      <c r="E401" t="s">
        <v>122</v>
      </c>
      <c r="F401" t="s">
        <v>70</v>
      </c>
      <c r="G401">
        <v>400</v>
      </c>
      <c r="H401">
        <v>679</v>
      </c>
      <c r="I401">
        <v>35</v>
      </c>
      <c r="J401" t="s">
        <v>138</v>
      </c>
      <c r="K401" t="s">
        <v>26</v>
      </c>
      <c r="L401" t="s">
        <v>147</v>
      </c>
      <c r="M401" t="s">
        <v>60</v>
      </c>
      <c r="N401">
        <v>3.5</v>
      </c>
      <c r="O401">
        <v>1</v>
      </c>
      <c r="P401" t="s">
        <v>73</v>
      </c>
      <c r="Q401" t="s">
        <v>30</v>
      </c>
      <c r="R401" t="s">
        <v>30</v>
      </c>
      <c r="S401">
        <v>10</v>
      </c>
      <c r="T401" t="s">
        <v>89</v>
      </c>
      <c r="U401" t="s">
        <v>91</v>
      </c>
      <c r="V401" s="1">
        <v>45585</v>
      </c>
      <c r="W401">
        <f>Table1[[#This Row],[customer_purchase count]]+1</f>
        <v>11</v>
      </c>
      <c r="X401">
        <f>Table1[[#This Row],[customer_purchase count]]*Rules!$B$3</f>
        <v>597.64358974358981</v>
      </c>
      <c r="Y401" t="str">
        <f>IF(Table1[[#This Row],[customer_subscription]]=1,"Subscribed","Not Subscribed")</f>
        <v>Subscribed</v>
      </c>
    </row>
    <row r="402" spans="1:26" x14ac:dyDescent="0.25">
      <c r="A402">
        <v>401</v>
      </c>
      <c r="B402">
        <v>39</v>
      </c>
      <c r="C402" t="s">
        <v>22</v>
      </c>
      <c r="D402">
        <v>401</v>
      </c>
      <c r="E402" t="s">
        <v>140</v>
      </c>
      <c r="F402" t="s">
        <v>45</v>
      </c>
      <c r="G402">
        <v>401</v>
      </c>
      <c r="H402">
        <v>680</v>
      </c>
      <c r="I402">
        <v>66</v>
      </c>
      <c r="J402" t="s">
        <v>143</v>
      </c>
      <c r="K402" t="s">
        <v>47</v>
      </c>
      <c r="L402" t="s">
        <v>99</v>
      </c>
      <c r="M402" t="s">
        <v>28</v>
      </c>
      <c r="N402">
        <v>4.8</v>
      </c>
      <c r="O402">
        <v>1</v>
      </c>
      <c r="P402" t="s">
        <v>41</v>
      </c>
      <c r="Q402" t="s">
        <v>30</v>
      </c>
      <c r="R402" t="s">
        <v>30</v>
      </c>
      <c r="S402">
        <v>14</v>
      </c>
      <c r="T402" t="s">
        <v>49</v>
      </c>
      <c r="U402" t="s">
        <v>32</v>
      </c>
      <c r="V402" s="1">
        <v>45344</v>
      </c>
      <c r="W402">
        <f>Table1[[#This Row],[customer_purchase count]]+1</f>
        <v>15</v>
      </c>
      <c r="X402">
        <f>Table1[[#This Row],[customer_purchase count]]*Rules!$B$3</f>
        <v>836.70102564102569</v>
      </c>
      <c r="Y402" t="str">
        <f>IF(Table1[[#This Row],[customer_subscription]]=1,"Subscribed","Not Subscribed")</f>
        <v>Subscribed</v>
      </c>
    </row>
    <row r="403" spans="1:26" x14ac:dyDescent="0.25">
      <c r="A403">
        <v>402</v>
      </c>
      <c r="B403">
        <v>43</v>
      </c>
      <c r="C403" t="s">
        <v>22</v>
      </c>
      <c r="D403">
        <v>402</v>
      </c>
      <c r="E403" t="s">
        <v>116</v>
      </c>
      <c r="F403" t="s">
        <v>24</v>
      </c>
      <c r="G403">
        <v>402</v>
      </c>
      <c r="H403">
        <v>681</v>
      </c>
      <c r="I403">
        <v>91</v>
      </c>
      <c r="J403" t="s">
        <v>104</v>
      </c>
      <c r="K403" t="s">
        <v>26</v>
      </c>
      <c r="L403" t="s">
        <v>124</v>
      </c>
      <c r="M403" t="s">
        <v>60</v>
      </c>
      <c r="N403">
        <v>4.8</v>
      </c>
      <c r="O403">
        <v>1</v>
      </c>
      <c r="P403" t="s">
        <v>57</v>
      </c>
      <c r="Q403" t="s">
        <v>30</v>
      </c>
      <c r="R403" t="s">
        <v>30</v>
      </c>
      <c r="S403">
        <v>21</v>
      </c>
      <c r="T403" t="s">
        <v>36</v>
      </c>
      <c r="U403" t="s">
        <v>61</v>
      </c>
      <c r="V403" s="1">
        <v>45599</v>
      </c>
      <c r="W403">
        <f>Table1[[#This Row],[customer_purchase count]]+1</f>
        <v>22</v>
      </c>
      <c r="X403">
        <f>Table1[[#This Row],[customer_purchase count]]*Rules!$B$3</f>
        <v>1255.0515384615385</v>
      </c>
      <c r="Y403" t="str">
        <f>IF(Table1[[#This Row],[customer_subscription]]=1,"Subscribed","Not Subscribed")</f>
        <v>Subscribed</v>
      </c>
    </row>
    <row r="404" spans="1:26" x14ac:dyDescent="0.25">
      <c r="A404">
        <v>403</v>
      </c>
      <c r="B404">
        <v>31</v>
      </c>
      <c r="C404" t="s">
        <v>22</v>
      </c>
      <c r="D404">
        <v>403</v>
      </c>
      <c r="E404" t="s">
        <v>135</v>
      </c>
      <c r="F404" t="s">
        <v>70</v>
      </c>
      <c r="G404">
        <v>403</v>
      </c>
      <c r="H404">
        <v>682</v>
      </c>
      <c r="I404">
        <v>78</v>
      </c>
      <c r="J404" t="s">
        <v>102</v>
      </c>
      <c r="K404" t="s">
        <v>26</v>
      </c>
      <c r="L404" t="s">
        <v>112</v>
      </c>
      <c r="M404" t="s">
        <v>60</v>
      </c>
      <c r="N404">
        <v>3</v>
      </c>
      <c r="O404">
        <v>1</v>
      </c>
      <c r="P404" t="s">
        <v>29</v>
      </c>
      <c r="Q404" t="s">
        <v>30</v>
      </c>
      <c r="R404" t="s">
        <v>30</v>
      </c>
      <c r="S404">
        <v>26</v>
      </c>
      <c r="T404" t="s">
        <v>49</v>
      </c>
      <c r="U404" t="s">
        <v>91</v>
      </c>
      <c r="V404" s="1">
        <v>45568</v>
      </c>
      <c r="W404">
        <f>Table1[[#This Row],[customer_purchase count]]+1</f>
        <v>27</v>
      </c>
      <c r="X404">
        <f>Table1[[#This Row],[customer_purchase count]]*Rules!$B$3</f>
        <v>1553.8733333333334</v>
      </c>
      <c r="Y404" t="str">
        <f>IF(Table1[[#This Row],[customer_subscription]]=1,"Subscribed","Not Subscribed")</f>
        <v>Subscribed</v>
      </c>
    </row>
    <row r="405" spans="1:26" x14ac:dyDescent="0.25">
      <c r="A405">
        <v>404</v>
      </c>
      <c r="B405">
        <v>19</v>
      </c>
      <c r="C405" t="s">
        <v>22</v>
      </c>
      <c r="D405">
        <v>404</v>
      </c>
      <c r="E405" t="s">
        <v>53</v>
      </c>
      <c r="F405" t="s">
        <v>45</v>
      </c>
      <c r="G405">
        <v>404</v>
      </c>
      <c r="H405">
        <v>683</v>
      </c>
      <c r="I405">
        <v>45</v>
      </c>
      <c r="J405" t="s">
        <v>110</v>
      </c>
      <c r="K405" t="s">
        <v>47</v>
      </c>
      <c r="L405" t="s">
        <v>124</v>
      </c>
      <c r="M405" t="s">
        <v>28</v>
      </c>
      <c r="N405">
        <v>4.5</v>
      </c>
      <c r="O405">
        <v>1</v>
      </c>
      <c r="P405" t="s">
        <v>48</v>
      </c>
      <c r="Q405" t="s">
        <v>30</v>
      </c>
      <c r="R405" t="s">
        <v>30</v>
      </c>
      <c r="S405">
        <v>12</v>
      </c>
      <c r="T405" t="s">
        <v>78</v>
      </c>
      <c r="U405" t="s">
        <v>52</v>
      </c>
      <c r="V405" s="1">
        <v>45306</v>
      </c>
      <c r="W405">
        <f>Table1[[#This Row],[customer_purchase count]]+1</f>
        <v>13</v>
      </c>
      <c r="X405">
        <f>Table1[[#This Row],[customer_purchase count]]*Rules!$B$3</f>
        <v>717.17230769230775</v>
      </c>
      <c r="Y405" t="str">
        <f>IF(Table1[[#This Row],[customer_subscription]]=1,"Subscribed","Not Subscribed")</f>
        <v>Subscribed</v>
      </c>
      <c r="Z405" t="s">
        <v>187</v>
      </c>
    </row>
    <row r="406" spans="1:26" x14ac:dyDescent="0.25">
      <c r="A406">
        <v>405</v>
      </c>
      <c r="B406">
        <v>35</v>
      </c>
      <c r="C406" t="s">
        <v>22</v>
      </c>
      <c r="D406">
        <v>405</v>
      </c>
      <c r="E406" t="s">
        <v>116</v>
      </c>
      <c r="F406" t="s">
        <v>24</v>
      </c>
      <c r="G406">
        <v>405</v>
      </c>
      <c r="H406">
        <v>685</v>
      </c>
      <c r="I406">
        <v>93</v>
      </c>
      <c r="J406" t="s">
        <v>82</v>
      </c>
      <c r="K406" t="s">
        <v>47</v>
      </c>
      <c r="L406" t="s">
        <v>129</v>
      </c>
      <c r="M406" t="s">
        <v>40</v>
      </c>
      <c r="N406">
        <v>4.8</v>
      </c>
      <c r="O406">
        <v>1</v>
      </c>
      <c r="P406" t="s">
        <v>77</v>
      </c>
      <c r="Q406" t="s">
        <v>30</v>
      </c>
      <c r="R406" t="s">
        <v>30</v>
      </c>
      <c r="S406">
        <v>11</v>
      </c>
      <c r="T406" t="s">
        <v>42</v>
      </c>
      <c r="U406" t="s">
        <v>91</v>
      </c>
      <c r="V406" s="1">
        <v>45393</v>
      </c>
      <c r="W406">
        <f>Table1[[#This Row],[customer_purchase count]]+1</f>
        <v>12</v>
      </c>
      <c r="X406">
        <f>Table1[[#This Row],[customer_purchase count]]*Rules!$B$3</f>
        <v>657.40794871794878</v>
      </c>
      <c r="Y406" t="str">
        <f>IF(Table1[[#This Row],[customer_subscription]]=1,"Subscribed","Not Subscribed")</f>
        <v>Subscribed</v>
      </c>
    </row>
    <row r="407" spans="1:26" x14ac:dyDescent="0.25">
      <c r="A407">
        <v>406</v>
      </c>
      <c r="B407">
        <v>41</v>
      </c>
      <c r="C407" t="s">
        <v>22</v>
      </c>
      <c r="D407">
        <v>406</v>
      </c>
      <c r="E407" t="s">
        <v>37</v>
      </c>
      <c r="F407" t="s">
        <v>24</v>
      </c>
      <c r="G407">
        <v>406</v>
      </c>
      <c r="H407">
        <v>686</v>
      </c>
      <c r="I407">
        <v>74</v>
      </c>
      <c r="J407" t="s">
        <v>134</v>
      </c>
      <c r="K407" t="s">
        <v>39</v>
      </c>
      <c r="L407" t="s">
        <v>68</v>
      </c>
      <c r="M407" t="s">
        <v>56</v>
      </c>
      <c r="N407">
        <v>3.8</v>
      </c>
      <c r="O407">
        <v>1</v>
      </c>
      <c r="P407" t="s">
        <v>57</v>
      </c>
      <c r="Q407" t="s">
        <v>30</v>
      </c>
      <c r="R407" t="s">
        <v>30</v>
      </c>
      <c r="S407">
        <v>15</v>
      </c>
      <c r="T407" t="s">
        <v>36</v>
      </c>
      <c r="U407" t="s">
        <v>52</v>
      </c>
      <c r="V407" s="1">
        <v>45506</v>
      </c>
      <c r="W407">
        <f>Table1[[#This Row],[customer_purchase count]]+1</f>
        <v>16</v>
      </c>
      <c r="X407">
        <f>Table1[[#This Row],[customer_purchase count]]*Rules!$B$3</f>
        <v>896.46538461538466</v>
      </c>
      <c r="Y407" t="str">
        <f>IF(Table1[[#This Row],[customer_subscription]]=1,"Subscribed","Not Subscribed")</f>
        <v>Subscribed</v>
      </c>
    </row>
    <row r="408" spans="1:26" x14ac:dyDescent="0.25">
      <c r="A408">
        <v>407</v>
      </c>
      <c r="B408">
        <v>52</v>
      </c>
      <c r="C408" t="s">
        <v>22</v>
      </c>
      <c r="D408">
        <v>407</v>
      </c>
      <c r="E408" t="s">
        <v>146</v>
      </c>
      <c r="F408" t="s">
        <v>70</v>
      </c>
      <c r="G408">
        <v>407</v>
      </c>
      <c r="H408">
        <v>687</v>
      </c>
      <c r="I408">
        <v>55</v>
      </c>
      <c r="J408" t="s">
        <v>131</v>
      </c>
      <c r="K408" t="s">
        <v>47</v>
      </c>
      <c r="L408" t="s">
        <v>103</v>
      </c>
      <c r="M408" t="s">
        <v>40</v>
      </c>
      <c r="N408">
        <v>4.5999999999999996</v>
      </c>
      <c r="O408">
        <v>1</v>
      </c>
      <c r="P408" t="s">
        <v>29</v>
      </c>
      <c r="Q408" t="s">
        <v>30</v>
      </c>
      <c r="R408" t="s">
        <v>30</v>
      </c>
      <c r="S408">
        <v>13</v>
      </c>
      <c r="T408" t="s">
        <v>36</v>
      </c>
      <c r="U408" t="s">
        <v>91</v>
      </c>
      <c r="V408" s="1">
        <v>45364</v>
      </c>
      <c r="W408">
        <f>Table1[[#This Row],[customer_purchase count]]+1</f>
        <v>14</v>
      </c>
      <c r="X408">
        <f>Table1[[#This Row],[customer_purchase count]]*Rules!$B$3</f>
        <v>776.93666666666672</v>
      </c>
      <c r="Y408" t="str">
        <f>IF(Table1[[#This Row],[customer_subscription]]=1,"Subscribed","Not Subscribed")</f>
        <v>Subscribed</v>
      </c>
    </row>
    <row r="409" spans="1:26" x14ac:dyDescent="0.25">
      <c r="A409">
        <v>408</v>
      </c>
      <c r="B409">
        <v>45</v>
      </c>
      <c r="C409" t="s">
        <v>22</v>
      </c>
      <c r="D409">
        <v>408</v>
      </c>
      <c r="E409" t="s">
        <v>107</v>
      </c>
      <c r="F409" t="s">
        <v>24</v>
      </c>
      <c r="G409">
        <v>408</v>
      </c>
      <c r="H409">
        <v>688</v>
      </c>
      <c r="I409">
        <v>76</v>
      </c>
      <c r="J409" t="s">
        <v>101</v>
      </c>
      <c r="K409" t="s">
        <v>95</v>
      </c>
      <c r="L409" t="s">
        <v>88</v>
      </c>
      <c r="M409" t="s">
        <v>40</v>
      </c>
      <c r="N409">
        <v>3.1</v>
      </c>
      <c r="O409">
        <v>1</v>
      </c>
      <c r="P409" t="s">
        <v>48</v>
      </c>
      <c r="Q409" t="s">
        <v>30</v>
      </c>
      <c r="R409" t="s">
        <v>30</v>
      </c>
      <c r="S409">
        <v>5</v>
      </c>
      <c r="T409" t="s">
        <v>42</v>
      </c>
      <c r="U409" t="s">
        <v>79</v>
      </c>
      <c r="V409" s="1">
        <v>45436</v>
      </c>
      <c r="W409">
        <f>Table1[[#This Row],[customer_purchase count]]+1</f>
        <v>6</v>
      </c>
      <c r="X409">
        <f>Table1[[#This Row],[customer_purchase count]]*Rules!$B$3</f>
        <v>298.82179487179491</v>
      </c>
      <c r="Y409" t="str">
        <f>IF(Table1[[#This Row],[customer_subscription]]=1,"Subscribed","Not Subscribed")</f>
        <v>Subscribed</v>
      </c>
    </row>
    <row r="410" spans="1:26" x14ac:dyDescent="0.25">
      <c r="A410">
        <v>409</v>
      </c>
      <c r="B410">
        <v>34</v>
      </c>
      <c r="C410" t="s">
        <v>22</v>
      </c>
      <c r="D410">
        <v>409</v>
      </c>
      <c r="E410" t="s">
        <v>53</v>
      </c>
      <c r="F410" t="s">
        <v>45</v>
      </c>
      <c r="G410">
        <v>409</v>
      </c>
      <c r="H410">
        <v>689</v>
      </c>
      <c r="I410">
        <v>66</v>
      </c>
      <c r="J410" t="s">
        <v>93</v>
      </c>
      <c r="K410" t="s">
        <v>26</v>
      </c>
      <c r="L410" t="s">
        <v>55</v>
      </c>
      <c r="M410" t="s">
        <v>40</v>
      </c>
      <c r="N410">
        <v>3.4</v>
      </c>
      <c r="O410">
        <v>1</v>
      </c>
      <c r="P410" t="s">
        <v>29</v>
      </c>
      <c r="Q410" t="s">
        <v>30</v>
      </c>
      <c r="R410" t="s">
        <v>30</v>
      </c>
      <c r="S410">
        <v>36</v>
      </c>
      <c r="T410" t="s">
        <v>36</v>
      </c>
      <c r="U410" t="s">
        <v>32</v>
      </c>
      <c r="V410" s="1">
        <v>45424</v>
      </c>
      <c r="W410">
        <f>Table1[[#This Row],[customer_purchase count]]+1</f>
        <v>37</v>
      </c>
      <c r="X410">
        <f>Table1[[#This Row],[customer_purchase count]]*Rules!$B$3</f>
        <v>2151.5169230769234</v>
      </c>
      <c r="Y410" t="str">
        <f>IF(Table1[[#This Row],[customer_subscription]]=1,"Subscribed","Not Subscribed")</f>
        <v>Subscribed</v>
      </c>
      <c r="Z410" t="s">
        <v>193</v>
      </c>
    </row>
    <row r="411" spans="1:26" x14ac:dyDescent="0.25">
      <c r="A411">
        <v>410</v>
      </c>
      <c r="B411">
        <v>35</v>
      </c>
      <c r="C411" t="s">
        <v>22</v>
      </c>
      <c r="D411">
        <v>410</v>
      </c>
      <c r="E411" t="s">
        <v>62</v>
      </c>
      <c r="F411" t="s">
        <v>24</v>
      </c>
      <c r="G411">
        <v>410</v>
      </c>
      <c r="H411">
        <v>691</v>
      </c>
      <c r="I411">
        <v>51</v>
      </c>
      <c r="J411" t="s">
        <v>151</v>
      </c>
      <c r="K411" t="s">
        <v>47</v>
      </c>
      <c r="L411" t="s">
        <v>113</v>
      </c>
      <c r="M411" t="s">
        <v>28</v>
      </c>
      <c r="N411">
        <v>3.3</v>
      </c>
      <c r="O411">
        <v>1</v>
      </c>
      <c r="P411" t="s">
        <v>73</v>
      </c>
      <c r="Q411" t="s">
        <v>30</v>
      </c>
      <c r="R411" t="s">
        <v>30</v>
      </c>
      <c r="S411">
        <v>32</v>
      </c>
      <c r="T411" t="s">
        <v>78</v>
      </c>
      <c r="U411" t="s">
        <v>91</v>
      </c>
      <c r="V411" s="1">
        <v>45310</v>
      </c>
      <c r="W411">
        <f>Table1[[#This Row],[customer_purchase count]]+1</f>
        <v>33</v>
      </c>
      <c r="X411">
        <f>Table1[[#This Row],[customer_purchase count]]*Rules!$B$3</f>
        <v>1912.4594871794873</v>
      </c>
      <c r="Y411" t="str">
        <f>IF(Table1[[#This Row],[customer_subscription]]=1,"Subscribed","Not Subscribed")</f>
        <v>Subscribed</v>
      </c>
    </row>
    <row r="412" spans="1:26" x14ac:dyDescent="0.25">
      <c r="A412">
        <v>411</v>
      </c>
      <c r="B412">
        <v>29</v>
      </c>
      <c r="C412" t="s">
        <v>22</v>
      </c>
      <c r="D412">
        <v>411</v>
      </c>
      <c r="E412" t="s">
        <v>33</v>
      </c>
      <c r="F412" t="s">
        <v>24</v>
      </c>
      <c r="G412">
        <v>411</v>
      </c>
      <c r="H412">
        <v>692</v>
      </c>
      <c r="I412">
        <v>26</v>
      </c>
      <c r="J412" t="s">
        <v>144</v>
      </c>
      <c r="K412" t="s">
        <v>26</v>
      </c>
      <c r="L412" t="s">
        <v>96</v>
      </c>
      <c r="M412" t="s">
        <v>40</v>
      </c>
      <c r="N412">
        <v>4.8</v>
      </c>
      <c r="O412">
        <v>1</v>
      </c>
      <c r="P412" t="s">
        <v>73</v>
      </c>
      <c r="Q412" t="s">
        <v>30</v>
      </c>
      <c r="R412" t="s">
        <v>30</v>
      </c>
      <c r="S412">
        <v>1</v>
      </c>
      <c r="T412" t="s">
        <v>42</v>
      </c>
      <c r="U412" t="s">
        <v>61</v>
      </c>
      <c r="V412" s="1">
        <v>45400</v>
      </c>
      <c r="W412">
        <f>Table1[[#This Row],[customer_purchase count]]+1</f>
        <v>2</v>
      </c>
      <c r="X412">
        <f>Table1[[#This Row],[customer_purchase count]]*Rules!$B$3</f>
        <v>59.764358974358977</v>
      </c>
      <c r="Y412" t="str">
        <f>IF(Table1[[#This Row],[customer_subscription]]=1,"Subscribed","Not Subscribed")</f>
        <v>Subscribed</v>
      </c>
    </row>
    <row r="413" spans="1:26" x14ac:dyDescent="0.25">
      <c r="A413">
        <v>412</v>
      </c>
      <c r="B413">
        <v>59</v>
      </c>
      <c r="C413" t="s">
        <v>22</v>
      </c>
      <c r="D413">
        <v>412</v>
      </c>
      <c r="E413" t="s">
        <v>37</v>
      </c>
      <c r="F413" t="s">
        <v>24</v>
      </c>
      <c r="G413">
        <v>412</v>
      </c>
      <c r="H413">
        <v>693</v>
      </c>
      <c r="I413">
        <v>29</v>
      </c>
      <c r="J413" t="s">
        <v>154</v>
      </c>
      <c r="K413" t="s">
        <v>47</v>
      </c>
      <c r="L413" t="s">
        <v>129</v>
      </c>
      <c r="M413" t="s">
        <v>56</v>
      </c>
      <c r="N413">
        <v>2.8</v>
      </c>
      <c r="O413">
        <v>1</v>
      </c>
      <c r="P413" t="s">
        <v>29</v>
      </c>
      <c r="Q413" t="s">
        <v>30</v>
      </c>
      <c r="R413" t="s">
        <v>30</v>
      </c>
      <c r="S413">
        <v>15</v>
      </c>
      <c r="T413" t="s">
        <v>49</v>
      </c>
      <c r="U413" t="s">
        <v>52</v>
      </c>
      <c r="V413" s="1">
        <v>45481</v>
      </c>
      <c r="W413">
        <f>Table1[[#This Row],[customer_purchase count]]+1</f>
        <v>16</v>
      </c>
      <c r="X413">
        <f>Table1[[#This Row],[customer_purchase count]]*Rules!$B$3</f>
        <v>896.46538461538466</v>
      </c>
      <c r="Y413" t="str">
        <f>IF(Table1[[#This Row],[customer_subscription]]=1,"Subscribed","Not Subscribed")</f>
        <v>Subscribed</v>
      </c>
    </row>
    <row r="414" spans="1:26" x14ac:dyDescent="0.25">
      <c r="A414">
        <v>413</v>
      </c>
      <c r="B414">
        <v>24</v>
      </c>
      <c r="C414" t="s">
        <v>22</v>
      </c>
      <c r="D414">
        <v>413</v>
      </c>
      <c r="E414" t="s">
        <v>105</v>
      </c>
      <c r="F414" t="s">
        <v>66</v>
      </c>
      <c r="G414">
        <v>413</v>
      </c>
      <c r="H414">
        <v>694</v>
      </c>
      <c r="I414">
        <v>74</v>
      </c>
      <c r="J414" t="s">
        <v>34</v>
      </c>
      <c r="K414" t="s">
        <v>47</v>
      </c>
      <c r="L414" t="s">
        <v>137</v>
      </c>
      <c r="M414" t="s">
        <v>56</v>
      </c>
      <c r="N414">
        <v>3.1</v>
      </c>
      <c r="O414">
        <v>1</v>
      </c>
      <c r="P414" t="s">
        <v>77</v>
      </c>
      <c r="Q414" t="s">
        <v>30</v>
      </c>
      <c r="R414" t="s">
        <v>30</v>
      </c>
      <c r="S414">
        <v>3</v>
      </c>
      <c r="T414" t="s">
        <v>78</v>
      </c>
      <c r="U414" t="s">
        <v>43</v>
      </c>
      <c r="V414" s="1">
        <v>45523</v>
      </c>
      <c r="W414">
        <f>Table1[[#This Row],[customer_purchase count]]+1</f>
        <v>4</v>
      </c>
      <c r="X414">
        <f>Table1[[#This Row],[customer_purchase count]]*Rules!$B$3</f>
        <v>179.29307692307694</v>
      </c>
      <c r="Y414" t="str">
        <f>IF(Table1[[#This Row],[customer_subscription]]=1,"Subscribed","Not Subscribed")</f>
        <v>Subscribed</v>
      </c>
    </row>
    <row r="415" spans="1:26" x14ac:dyDescent="0.25">
      <c r="A415">
        <v>414</v>
      </c>
      <c r="B415">
        <v>70</v>
      </c>
      <c r="C415" t="s">
        <v>22</v>
      </c>
      <c r="D415">
        <v>414</v>
      </c>
      <c r="E415" t="s">
        <v>109</v>
      </c>
      <c r="F415" t="s">
        <v>70</v>
      </c>
      <c r="G415">
        <v>414</v>
      </c>
      <c r="H415">
        <v>695</v>
      </c>
      <c r="I415">
        <v>99</v>
      </c>
      <c r="J415" t="s">
        <v>110</v>
      </c>
      <c r="K415" t="s">
        <v>39</v>
      </c>
      <c r="L415" t="s">
        <v>55</v>
      </c>
      <c r="M415" t="s">
        <v>56</v>
      </c>
      <c r="N415">
        <v>4.5999999999999996</v>
      </c>
      <c r="O415">
        <v>1</v>
      </c>
      <c r="P415" t="s">
        <v>41</v>
      </c>
      <c r="Q415" t="s">
        <v>30</v>
      </c>
      <c r="R415" t="s">
        <v>30</v>
      </c>
      <c r="S415">
        <v>48</v>
      </c>
      <c r="T415" t="s">
        <v>36</v>
      </c>
      <c r="U415" t="s">
        <v>91</v>
      </c>
      <c r="V415" s="1">
        <v>45520</v>
      </c>
      <c r="W415">
        <f>Table1[[#This Row],[customer_purchase count]]+1</f>
        <v>49</v>
      </c>
      <c r="X415">
        <f>Table1[[#This Row],[customer_purchase count]]*Rules!$B$3</f>
        <v>2868.689230769231</v>
      </c>
      <c r="Y415" t="str">
        <f>IF(Table1[[#This Row],[customer_subscription]]=1,"Subscribed","Not Subscribed")</f>
        <v>Subscribed</v>
      </c>
    </row>
    <row r="416" spans="1:26" x14ac:dyDescent="0.25">
      <c r="A416">
        <v>415</v>
      </c>
      <c r="B416">
        <v>29</v>
      </c>
      <c r="C416" t="s">
        <v>22</v>
      </c>
      <c r="D416">
        <v>415</v>
      </c>
      <c r="E416" t="s">
        <v>135</v>
      </c>
      <c r="F416" t="s">
        <v>70</v>
      </c>
      <c r="G416">
        <v>415</v>
      </c>
      <c r="H416">
        <v>697</v>
      </c>
      <c r="I416">
        <v>88</v>
      </c>
      <c r="J416" t="s">
        <v>54</v>
      </c>
      <c r="K416" t="s">
        <v>26</v>
      </c>
      <c r="L416" t="s">
        <v>86</v>
      </c>
      <c r="M416" t="s">
        <v>28</v>
      </c>
      <c r="N416">
        <v>2.6</v>
      </c>
      <c r="O416">
        <v>1</v>
      </c>
      <c r="P416" t="s">
        <v>77</v>
      </c>
      <c r="Q416" t="s">
        <v>30</v>
      </c>
      <c r="R416" t="s">
        <v>30</v>
      </c>
      <c r="S416">
        <v>30</v>
      </c>
      <c r="T416" t="s">
        <v>89</v>
      </c>
      <c r="U416" t="s">
        <v>43</v>
      </c>
      <c r="V416" s="1">
        <v>45643</v>
      </c>
      <c r="W416">
        <f>Table1[[#This Row],[customer_purchase count]]+1</f>
        <v>31</v>
      </c>
      <c r="X416">
        <f>Table1[[#This Row],[customer_purchase count]]*Rules!$B$3</f>
        <v>1792.9307692307693</v>
      </c>
      <c r="Y416" t="str">
        <f>IF(Table1[[#This Row],[customer_subscription]]=1,"Subscribed","Not Subscribed")</f>
        <v>Subscribed</v>
      </c>
    </row>
    <row r="417" spans="1:26" x14ac:dyDescent="0.25">
      <c r="A417">
        <v>416</v>
      </c>
      <c r="B417">
        <v>67</v>
      </c>
      <c r="C417" t="s">
        <v>22</v>
      </c>
      <c r="D417">
        <v>416</v>
      </c>
      <c r="E417" t="s">
        <v>65</v>
      </c>
      <c r="F417" t="s">
        <v>66</v>
      </c>
      <c r="G417">
        <v>416</v>
      </c>
      <c r="H417">
        <v>698</v>
      </c>
      <c r="I417">
        <v>31</v>
      </c>
      <c r="J417" t="s">
        <v>142</v>
      </c>
      <c r="K417" t="s">
        <v>47</v>
      </c>
      <c r="L417" t="s">
        <v>96</v>
      </c>
      <c r="M417" t="s">
        <v>28</v>
      </c>
      <c r="N417">
        <v>2.6</v>
      </c>
      <c r="O417">
        <v>1</v>
      </c>
      <c r="P417" t="s">
        <v>29</v>
      </c>
      <c r="Q417" t="s">
        <v>30</v>
      </c>
      <c r="R417" t="s">
        <v>30</v>
      </c>
      <c r="S417">
        <v>40</v>
      </c>
      <c r="T417" t="s">
        <v>78</v>
      </c>
      <c r="U417" t="s">
        <v>91</v>
      </c>
      <c r="V417" s="1">
        <v>45327</v>
      </c>
      <c r="W417">
        <f>Table1[[#This Row],[customer_purchase count]]+1</f>
        <v>41</v>
      </c>
      <c r="X417">
        <f>Table1[[#This Row],[customer_purchase count]]*Rules!$B$3</f>
        <v>2390.5743589743593</v>
      </c>
      <c r="Y417" t="str">
        <f>IF(Table1[[#This Row],[customer_subscription]]=1,"Subscribed","Not Subscribed")</f>
        <v>Subscribed</v>
      </c>
    </row>
    <row r="418" spans="1:26" x14ac:dyDescent="0.25">
      <c r="A418">
        <v>417</v>
      </c>
      <c r="B418">
        <v>36</v>
      </c>
      <c r="C418" t="s">
        <v>22</v>
      </c>
      <c r="D418">
        <v>417</v>
      </c>
      <c r="E418" t="s">
        <v>136</v>
      </c>
      <c r="F418" t="s">
        <v>70</v>
      </c>
      <c r="G418">
        <v>417</v>
      </c>
      <c r="H418">
        <v>699</v>
      </c>
      <c r="I418">
        <v>55</v>
      </c>
      <c r="J418" t="s">
        <v>50</v>
      </c>
      <c r="K418" t="s">
        <v>26</v>
      </c>
      <c r="L418" t="s">
        <v>81</v>
      </c>
      <c r="M418" t="s">
        <v>40</v>
      </c>
      <c r="N418">
        <v>3.8</v>
      </c>
      <c r="O418">
        <v>1</v>
      </c>
      <c r="P418" t="s">
        <v>41</v>
      </c>
      <c r="Q418" t="s">
        <v>30</v>
      </c>
      <c r="R418" t="s">
        <v>30</v>
      </c>
      <c r="S418">
        <v>24</v>
      </c>
      <c r="T418" t="s">
        <v>78</v>
      </c>
      <c r="U418" t="s">
        <v>32</v>
      </c>
      <c r="V418" s="1">
        <v>45368</v>
      </c>
      <c r="W418">
        <f>Table1[[#This Row],[customer_purchase count]]+1</f>
        <v>25</v>
      </c>
      <c r="X418">
        <f>Table1[[#This Row],[customer_purchase count]]*Rules!$B$3</f>
        <v>1434.3446153846155</v>
      </c>
      <c r="Y418" t="str">
        <f>IF(Table1[[#This Row],[customer_subscription]]=1,"Subscribed","Not Subscribed")</f>
        <v>Subscribed</v>
      </c>
    </row>
    <row r="419" spans="1:26" x14ac:dyDescent="0.25">
      <c r="A419">
        <v>418</v>
      </c>
      <c r="B419">
        <v>23</v>
      </c>
      <c r="C419" t="s">
        <v>22</v>
      </c>
      <c r="D419">
        <v>418</v>
      </c>
      <c r="E419" t="s">
        <v>44</v>
      </c>
      <c r="F419" t="s">
        <v>45</v>
      </c>
      <c r="G419">
        <v>418</v>
      </c>
      <c r="H419">
        <v>700</v>
      </c>
      <c r="I419">
        <v>81</v>
      </c>
      <c r="J419" t="s">
        <v>94</v>
      </c>
      <c r="K419" t="s">
        <v>26</v>
      </c>
      <c r="L419" t="s">
        <v>121</v>
      </c>
      <c r="M419" t="s">
        <v>60</v>
      </c>
      <c r="N419">
        <v>4.5</v>
      </c>
      <c r="O419">
        <v>1</v>
      </c>
      <c r="P419" t="s">
        <v>41</v>
      </c>
      <c r="Q419" t="s">
        <v>30</v>
      </c>
      <c r="R419" t="s">
        <v>30</v>
      </c>
      <c r="S419">
        <v>48</v>
      </c>
      <c r="T419" t="s">
        <v>89</v>
      </c>
      <c r="U419" t="s">
        <v>61</v>
      </c>
      <c r="V419" s="1">
        <v>45614</v>
      </c>
      <c r="W419">
        <f>Table1[[#This Row],[customer_purchase count]]+1</f>
        <v>49</v>
      </c>
      <c r="X419">
        <f>Table1[[#This Row],[customer_purchase count]]*Rules!$B$3</f>
        <v>2868.689230769231</v>
      </c>
      <c r="Y419" t="str">
        <f>IF(Table1[[#This Row],[customer_subscription]]=1,"Subscribed","Not Subscribed")</f>
        <v>Subscribed</v>
      </c>
    </row>
    <row r="420" spans="1:26" x14ac:dyDescent="0.25">
      <c r="A420">
        <v>419</v>
      </c>
      <c r="B420">
        <v>18</v>
      </c>
      <c r="C420" t="s">
        <v>22</v>
      </c>
      <c r="D420">
        <v>419</v>
      </c>
      <c r="E420" t="s">
        <v>33</v>
      </c>
      <c r="F420" t="s">
        <v>24</v>
      </c>
      <c r="G420">
        <v>419</v>
      </c>
      <c r="H420">
        <v>701</v>
      </c>
      <c r="I420">
        <v>73</v>
      </c>
      <c r="J420" t="s">
        <v>118</v>
      </c>
      <c r="K420" t="s">
        <v>26</v>
      </c>
      <c r="L420" t="s">
        <v>76</v>
      </c>
      <c r="M420" t="s">
        <v>40</v>
      </c>
      <c r="N420">
        <v>3</v>
      </c>
      <c r="O420">
        <v>1</v>
      </c>
      <c r="P420" t="s">
        <v>57</v>
      </c>
      <c r="Q420" t="s">
        <v>30</v>
      </c>
      <c r="R420" t="s">
        <v>30</v>
      </c>
      <c r="S420">
        <v>27</v>
      </c>
      <c r="T420" t="s">
        <v>31</v>
      </c>
      <c r="U420" t="s">
        <v>79</v>
      </c>
      <c r="V420" s="1">
        <v>45389</v>
      </c>
      <c r="W420">
        <f>Table1[[#This Row],[customer_purchase count]]+1</f>
        <v>28</v>
      </c>
      <c r="X420">
        <f>Table1[[#This Row],[customer_purchase count]]*Rules!$B$3</f>
        <v>1613.6376923076923</v>
      </c>
      <c r="Y420" t="str">
        <f>IF(Table1[[#This Row],[customer_subscription]]=1,"Subscribed","Not Subscribed")</f>
        <v>Subscribed</v>
      </c>
    </row>
    <row r="421" spans="1:26" x14ac:dyDescent="0.25">
      <c r="A421">
        <v>420</v>
      </c>
      <c r="B421">
        <v>53</v>
      </c>
      <c r="C421" t="s">
        <v>22</v>
      </c>
      <c r="D421">
        <v>420</v>
      </c>
      <c r="E421" t="s">
        <v>62</v>
      </c>
      <c r="F421" t="s">
        <v>24</v>
      </c>
      <c r="G421">
        <v>420</v>
      </c>
      <c r="H421">
        <v>703</v>
      </c>
      <c r="I421">
        <v>91</v>
      </c>
      <c r="J421" t="s">
        <v>143</v>
      </c>
      <c r="K421" t="s">
        <v>39</v>
      </c>
      <c r="L421" t="s">
        <v>88</v>
      </c>
      <c r="M421" t="s">
        <v>28</v>
      </c>
      <c r="N421">
        <v>3.5</v>
      </c>
      <c r="O421">
        <v>1</v>
      </c>
      <c r="P421" t="s">
        <v>41</v>
      </c>
      <c r="Q421" t="s">
        <v>30</v>
      </c>
      <c r="R421" t="s">
        <v>30</v>
      </c>
      <c r="S421">
        <v>14</v>
      </c>
      <c r="T421" t="s">
        <v>42</v>
      </c>
      <c r="U421" t="s">
        <v>100</v>
      </c>
      <c r="V421" s="1">
        <v>45345</v>
      </c>
      <c r="W421">
        <f>Table1[[#This Row],[customer_purchase count]]+1</f>
        <v>15</v>
      </c>
      <c r="X421">
        <f>Table1[[#This Row],[customer_purchase count]]*Rules!$B$3</f>
        <v>836.70102564102569</v>
      </c>
      <c r="Y421" t="str">
        <f>IF(Table1[[#This Row],[customer_subscription]]=1,"Subscribed","Not Subscribed")</f>
        <v>Subscribed</v>
      </c>
    </row>
    <row r="422" spans="1:26" x14ac:dyDescent="0.25">
      <c r="A422">
        <v>421</v>
      </c>
      <c r="B422">
        <v>32</v>
      </c>
      <c r="C422" t="s">
        <v>22</v>
      </c>
      <c r="D422">
        <v>421</v>
      </c>
      <c r="E422" t="s">
        <v>128</v>
      </c>
      <c r="F422" t="s">
        <v>24</v>
      </c>
      <c r="G422">
        <v>421</v>
      </c>
      <c r="H422">
        <v>704</v>
      </c>
      <c r="I422">
        <v>54</v>
      </c>
      <c r="J422" t="s">
        <v>101</v>
      </c>
      <c r="K422" t="s">
        <v>39</v>
      </c>
      <c r="L422" t="s">
        <v>103</v>
      </c>
      <c r="M422" t="s">
        <v>40</v>
      </c>
      <c r="N422">
        <v>3.8</v>
      </c>
      <c r="O422">
        <v>1</v>
      </c>
      <c r="P422" t="s">
        <v>41</v>
      </c>
      <c r="Q422" t="s">
        <v>30</v>
      </c>
      <c r="R422" t="s">
        <v>30</v>
      </c>
      <c r="S422">
        <v>18</v>
      </c>
      <c r="T422" t="s">
        <v>89</v>
      </c>
      <c r="U422" t="s">
        <v>79</v>
      </c>
      <c r="V422" s="1">
        <v>45414</v>
      </c>
      <c r="W422">
        <f>Table1[[#This Row],[customer_purchase count]]+1</f>
        <v>19</v>
      </c>
      <c r="X422">
        <f>Table1[[#This Row],[customer_purchase count]]*Rules!$B$3</f>
        <v>1075.7584615384617</v>
      </c>
      <c r="Y422" t="str">
        <f>IF(Table1[[#This Row],[customer_subscription]]=1,"Subscribed","Not Subscribed")</f>
        <v>Subscribed</v>
      </c>
    </row>
    <row r="423" spans="1:26" x14ac:dyDescent="0.25">
      <c r="A423">
        <v>422</v>
      </c>
      <c r="B423">
        <v>38</v>
      </c>
      <c r="C423" t="s">
        <v>22</v>
      </c>
      <c r="D423">
        <v>422</v>
      </c>
      <c r="E423" t="s">
        <v>58</v>
      </c>
      <c r="F423" t="s">
        <v>24</v>
      </c>
      <c r="G423">
        <v>422</v>
      </c>
      <c r="H423">
        <v>705</v>
      </c>
      <c r="I423">
        <v>40</v>
      </c>
      <c r="J423" t="s">
        <v>25</v>
      </c>
      <c r="K423" t="s">
        <v>47</v>
      </c>
      <c r="L423" t="s">
        <v>86</v>
      </c>
      <c r="M423" t="s">
        <v>28</v>
      </c>
      <c r="N423">
        <v>3.5</v>
      </c>
      <c r="O423">
        <v>1</v>
      </c>
      <c r="P423" t="s">
        <v>57</v>
      </c>
      <c r="Q423" t="s">
        <v>30</v>
      </c>
      <c r="R423" t="s">
        <v>30</v>
      </c>
      <c r="S423">
        <v>48</v>
      </c>
      <c r="T423" t="s">
        <v>36</v>
      </c>
      <c r="U423" t="s">
        <v>79</v>
      </c>
      <c r="V423" s="1">
        <v>45633</v>
      </c>
      <c r="W423">
        <f>Table1[[#This Row],[customer_purchase count]]+1</f>
        <v>49</v>
      </c>
      <c r="X423">
        <f>Table1[[#This Row],[customer_purchase count]]*Rules!$B$3</f>
        <v>2868.689230769231</v>
      </c>
      <c r="Y423" t="str">
        <f>IF(Table1[[#This Row],[customer_subscription]]=1,"Subscribed","Not Subscribed")</f>
        <v>Subscribed</v>
      </c>
      <c r="Z423" t="s">
        <v>193</v>
      </c>
    </row>
    <row r="424" spans="1:26" x14ac:dyDescent="0.25">
      <c r="A424">
        <v>423</v>
      </c>
      <c r="B424">
        <v>47</v>
      </c>
      <c r="C424" t="s">
        <v>22</v>
      </c>
      <c r="D424">
        <v>423</v>
      </c>
      <c r="E424" t="s">
        <v>98</v>
      </c>
      <c r="F424" t="s">
        <v>24</v>
      </c>
      <c r="G424">
        <v>423</v>
      </c>
      <c r="H424">
        <v>706</v>
      </c>
      <c r="I424">
        <v>59</v>
      </c>
      <c r="J424" t="s">
        <v>151</v>
      </c>
      <c r="K424" t="s">
        <v>47</v>
      </c>
      <c r="L424" t="s">
        <v>76</v>
      </c>
      <c r="M424" t="s">
        <v>60</v>
      </c>
      <c r="N424">
        <v>3.1</v>
      </c>
      <c r="O424">
        <v>1</v>
      </c>
      <c r="P424" t="s">
        <v>77</v>
      </c>
      <c r="Q424" t="s">
        <v>30</v>
      </c>
      <c r="R424" t="s">
        <v>30</v>
      </c>
      <c r="S424">
        <v>32</v>
      </c>
      <c r="T424" t="s">
        <v>89</v>
      </c>
      <c r="U424" t="s">
        <v>52</v>
      </c>
      <c r="V424" s="1">
        <v>45556</v>
      </c>
      <c r="W424">
        <f>Table1[[#This Row],[customer_purchase count]]+1</f>
        <v>33</v>
      </c>
      <c r="X424">
        <f>Table1[[#This Row],[customer_purchase count]]*Rules!$B$3</f>
        <v>1912.4594871794873</v>
      </c>
      <c r="Y424" t="str">
        <f>IF(Table1[[#This Row],[customer_subscription]]=1,"Subscribed","Not Subscribed")</f>
        <v>Subscribed</v>
      </c>
    </row>
    <row r="425" spans="1:26" x14ac:dyDescent="0.25">
      <c r="A425">
        <v>424</v>
      </c>
      <c r="B425">
        <v>46</v>
      </c>
      <c r="C425" t="s">
        <v>22</v>
      </c>
      <c r="D425">
        <v>424</v>
      </c>
      <c r="E425" t="s">
        <v>122</v>
      </c>
      <c r="F425" t="s">
        <v>70</v>
      </c>
      <c r="G425">
        <v>424</v>
      </c>
      <c r="H425">
        <v>707</v>
      </c>
      <c r="I425">
        <v>26</v>
      </c>
      <c r="J425" t="s">
        <v>87</v>
      </c>
      <c r="K425" t="s">
        <v>26</v>
      </c>
      <c r="L425" t="s">
        <v>88</v>
      </c>
      <c r="M425" t="s">
        <v>40</v>
      </c>
      <c r="N425">
        <v>3</v>
      </c>
      <c r="O425">
        <v>1</v>
      </c>
      <c r="P425" t="s">
        <v>77</v>
      </c>
      <c r="Q425" t="s">
        <v>30</v>
      </c>
      <c r="R425" t="s">
        <v>30</v>
      </c>
      <c r="S425">
        <v>21</v>
      </c>
      <c r="T425" t="s">
        <v>42</v>
      </c>
      <c r="U425" t="s">
        <v>79</v>
      </c>
      <c r="V425" s="1">
        <v>45439</v>
      </c>
      <c r="W425">
        <f>Table1[[#This Row],[customer_purchase count]]+1</f>
        <v>22</v>
      </c>
      <c r="X425">
        <f>Table1[[#This Row],[customer_purchase count]]*Rules!$B$3</f>
        <v>1255.0515384615385</v>
      </c>
      <c r="Y425" t="str">
        <f>IF(Table1[[#This Row],[customer_subscription]]=1,"Subscribed","Not Subscribed")</f>
        <v>Subscribed</v>
      </c>
    </row>
    <row r="426" spans="1:26" x14ac:dyDescent="0.25">
      <c r="A426">
        <v>425</v>
      </c>
      <c r="B426">
        <v>66</v>
      </c>
      <c r="C426" t="s">
        <v>22</v>
      </c>
      <c r="D426">
        <v>425</v>
      </c>
      <c r="E426" t="s">
        <v>33</v>
      </c>
      <c r="F426" t="s">
        <v>24</v>
      </c>
      <c r="G426">
        <v>425</v>
      </c>
      <c r="H426">
        <v>709</v>
      </c>
      <c r="I426">
        <v>23</v>
      </c>
      <c r="J426" t="s">
        <v>118</v>
      </c>
      <c r="K426" t="s">
        <v>47</v>
      </c>
      <c r="L426" t="s">
        <v>83</v>
      </c>
      <c r="M426" t="s">
        <v>28</v>
      </c>
      <c r="N426">
        <v>4.3</v>
      </c>
      <c r="O426">
        <v>1</v>
      </c>
      <c r="P426" t="s">
        <v>57</v>
      </c>
      <c r="Q426" t="s">
        <v>30</v>
      </c>
      <c r="R426" t="s">
        <v>30</v>
      </c>
      <c r="S426">
        <v>42</v>
      </c>
      <c r="T426" t="s">
        <v>49</v>
      </c>
      <c r="U426" t="s">
        <v>32</v>
      </c>
      <c r="V426" s="1">
        <v>45638</v>
      </c>
      <c r="W426">
        <f>Table1[[#This Row],[customer_purchase count]]+1</f>
        <v>43</v>
      </c>
      <c r="X426">
        <f>Table1[[#This Row],[customer_purchase count]]*Rules!$B$3</f>
        <v>2510.103076923077</v>
      </c>
      <c r="Y426" t="str">
        <f>IF(Table1[[#This Row],[customer_subscription]]=1,"Subscribed","Not Subscribed")</f>
        <v>Subscribed</v>
      </c>
    </row>
    <row r="427" spans="1:26" x14ac:dyDescent="0.25">
      <c r="A427">
        <v>426</v>
      </c>
      <c r="B427">
        <v>40</v>
      </c>
      <c r="C427" t="s">
        <v>22</v>
      </c>
      <c r="D427">
        <v>426</v>
      </c>
      <c r="E427" t="s">
        <v>37</v>
      </c>
      <c r="F427" t="s">
        <v>24</v>
      </c>
      <c r="G427">
        <v>426</v>
      </c>
      <c r="H427">
        <v>710</v>
      </c>
      <c r="I427">
        <v>87</v>
      </c>
      <c r="J427" t="s">
        <v>117</v>
      </c>
      <c r="K427" t="s">
        <v>39</v>
      </c>
      <c r="L427" t="s">
        <v>88</v>
      </c>
      <c r="M427" t="s">
        <v>28</v>
      </c>
      <c r="N427">
        <v>3.3</v>
      </c>
      <c r="O427">
        <v>1</v>
      </c>
      <c r="P427" t="s">
        <v>77</v>
      </c>
      <c r="Q427" t="s">
        <v>30</v>
      </c>
      <c r="R427" t="s">
        <v>30</v>
      </c>
      <c r="S427">
        <v>4</v>
      </c>
      <c r="T427" t="s">
        <v>42</v>
      </c>
      <c r="U427" t="s">
        <v>61</v>
      </c>
      <c r="V427" s="1">
        <v>45345</v>
      </c>
      <c r="W427">
        <f>Table1[[#This Row],[customer_purchase count]]+1</f>
        <v>5</v>
      </c>
      <c r="X427">
        <f>Table1[[#This Row],[customer_purchase count]]*Rules!$B$3</f>
        <v>239.05743589743591</v>
      </c>
      <c r="Y427" t="str">
        <f>IF(Table1[[#This Row],[customer_subscription]]=1,"Subscribed","Not Subscribed")</f>
        <v>Subscribed</v>
      </c>
    </row>
    <row r="428" spans="1:26" x14ac:dyDescent="0.25">
      <c r="A428">
        <v>427</v>
      </c>
      <c r="B428">
        <v>43</v>
      </c>
      <c r="C428" t="s">
        <v>22</v>
      </c>
      <c r="D428">
        <v>427</v>
      </c>
      <c r="E428" t="s">
        <v>98</v>
      </c>
      <c r="F428" t="s">
        <v>24</v>
      </c>
      <c r="G428">
        <v>427</v>
      </c>
      <c r="H428">
        <v>711</v>
      </c>
      <c r="I428">
        <v>71</v>
      </c>
      <c r="J428" t="s">
        <v>63</v>
      </c>
      <c r="K428" t="s">
        <v>47</v>
      </c>
      <c r="L428" t="s">
        <v>86</v>
      </c>
      <c r="M428" t="s">
        <v>28</v>
      </c>
      <c r="N428">
        <v>4.7</v>
      </c>
      <c r="O428">
        <v>1</v>
      </c>
      <c r="P428" t="s">
        <v>29</v>
      </c>
      <c r="Q428" t="s">
        <v>30</v>
      </c>
      <c r="R428" t="s">
        <v>30</v>
      </c>
      <c r="S428">
        <v>19</v>
      </c>
      <c r="T428" t="s">
        <v>42</v>
      </c>
      <c r="U428" t="s">
        <v>61</v>
      </c>
      <c r="V428" s="1">
        <v>45634</v>
      </c>
      <c r="W428">
        <f>Table1[[#This Row],[customer_purchase count]]+1</f>
        <v>20</v>
      </c>
      <c r="X428">
        <f>Table1[[#This Row],[customer_purchase count]]*Rules!$B$3</f>
        <v>1135.5228205128205</v>
      </c>
      <c r="Y428" t="str">
        <f>IF(Table1[[#This Row],[customer_subscription]]=1,"Subscribed","Not Subscribed")</f>
        <v>Subscribed</v>
      </c>
    </row>
    <row r="429" spans="1:26" x14ac:dyDescent="0.25">
      <c r="A429">
        <v>428</v>
      </c>
      <c r="B429">
        <v>58</v>
      </c>
      <c r="C429" t="s">
        <v>22</v>
      </c>
      <c r="D429">
        <v>428</v>
      </c>
      <c r="E429" t="s">
        <v>135</v>
      </c>
      <c r="F429" t="s">
        <v>70</v>
      </c>
      <c r="G429">
        <v>428</v>
      </c>
      <c r="H429">
        <v>712</v>
      </c>
      <c r="I429">
        <v>91</v>
      </c>
      <c r="J429" t="s">
        <v>118</v>
      </c>
      <c r="K429" t="s">
        <v>26</v>
      </c>
      <c r="L429" t="s">
        <v>97</v>
      </c>
      <c r="M429" t="s">
        <v>28</v>
      </c>
      <c r="N429">
        <v>4.5</v>
      </c>
      <c r="O429">
        <v>1</v>
      </c>
      <c r="P429" t="s">
        <v>77</v>
      </c>
      <c r="Q429" t="s">
        <v>30</v>
      </c>
      <c r="R429" t="s">
        <v>30</v>
      </c>
      <c r="S429">
        <v>6</v>
      </c>
      <c r="T429" t="s">
        <v>42</v>
      </c>
      <c r="U429" t="s">
        <v>61</v>
      </c>
      <c r="V429" s="1">
        <v>45347</v>
      </c>
      <c r="W429">
        <f>Table1[[#This Row],[customer_purchase count]]+1</f>
        <v>7</v>
      </c>
      <c r="X429">
        <f>Table1[[#This Row],[customer_purchase count]]*Rules!$B$3</f>
        <v>358.58615384615388</v>
      </c>
      <c r="Y429" t="str">
        <f>IF(Table1[[#This Row],[customer_subscription]]=1,"Subscribed","Not Subscribed")</f>
        <v>Subscribed</v>
      </c>
    </row>
    <row r="430" spans="1:26" x14ac:dyDescent="0.25">
      <c r="A430">
        <v>429</v>
      </c>
      <c r="B430">
        <v>21</v>
      </c>
      <c r="C430" t="s">
        <v>22</v>
      </c>
      <c r="D430">
        <v>429</v>
      </c>
      <c r="E430" t="s">
        <v>65</v>
      </c>
      <c r="F430" t="s">
        <v>66</v>
      </c>
      <c r="G430">
        <v>429</v>
      </c>
      <c r="H430">
        <v>713</v>
      </c>
      <c r="I430">
        <v>64</v>
      </c>
      <c r="J430" t="s">
        <v>54</v>
      </c>
      <c r="K430" t="s">
        <v>95</v>
      </c>
      <c r="L430" t="s">
        <v>83</v>
      </c>
      <c r="M430" t="s">
        <v>28</v>
      </c>
      <c r="N430">
        <v>2.9</v>
      </c>
      <c r="O430">
        <v>1</v>
      </c>
      <c r="P430" t="s">
        <v>41</v>
      </c>
      <c r="Q430" t="s">
        <v>30</v>
      </c>
      <c r="R430" t="s">
        <v>30</v>
      </c>
      <c r="S430">
        <v>2</v>
      </c>
      <c r="T430" t="s">
        <v>89</v>
      </c>
      <c r="U430" t="s">
        <v>32</v>
      </c>
      <c r="V430" s="1">
        <v>45647</v>
      </c>
      <c r="W430">
        <f>Table1[[#This Row],[customer_purchase count]]+1</f>
        <v>3</v>
      </c>
      <c r="X430">
        <f>Table1[[#This Row],[customer_purchase count]]*Rules!$B$3</f>
        <v>119.52871794871795</v>
      </c>
      <c r="Y430" t="str">
        <f>IF(Table1[[#This Row],[customer_subscription]]=1,"Subscribed","Not Subscribed")</f>
        <v>Subscribed</v>
      </c>
    </row>
    <row r="431" spans="1:26" x14ac:dyDescent="0.25">
      <c r="A431">
        <v>430</v>
      </c>
      <c r="B431">
        <v>42</v>
      </c>
      <c r="C431" t="s">
        <v>22</v>
      </c>
      <c r="D431">
        <v>430</v>
      </c>
      <c r="E431" t="s">
        <v>44</v>
      </c>
      <c r="F431" t="s">
        <v>45</v>
      </c>
      <c r="G431">
        <v>430</v>
      </c>
      <c r="H431">
        <v>715</v>
      </c>
      <c r="I431">
        <v>94</v>
      </c>
      <c r="J431" t="s">
        <v>152</v>
      </c>
      <c r="K431" t="s">
        <v>47</v>
      </c>
      <c r="L431" t="s">
        <v>83</v>
      </c>
      <c r="M431" t="s">
        <v>28</v>
      </c>
      <c r="N431">
        <v>4.0999999999999996</v>
      </c>
      <c r="O431">
        <v>1</v>
      </c>
      <c r="P431" t="s">
        <v>73</v>
      </c>
      <c r="Q431" t="s">
        <v>30</v>
      </c>
      <c r="R431" t="s">
        <v>30</v>
      </c>
      <c r="S431">
        <v>21</v>
      </c>
      <c r="T431" t="s">
        <v>36</v>
      </c>
      <c r="U431" t="s">
        <v>32</v>
      </c>
      <c r="V431" s="1">
        <v>45644</v>
      </c>
      <c r="W431">
        <f>Table1[[#This Row],[customer_purchase count]]+1</f>
        <v>22</v>
      </c>
      <c r="X431">
        <f>Table1[[#This Row],[customer_purchase count]]*Rules!$B$3</f>
        <v>1255.0515384615385</v>
      </c>
      <c r="Y431" t="str">
        <f>IF(Table1[[#This Row],[customer_subscription]]=1,"Subscribed","Not Subscribed")</f>
        <v>Subscribed</v>
      </c>
    </row>
    <row r="432" spans="1:26" x14ac:dyDescent="0.25">
      <c r="A432">
        <v>431</v>
      </c>
      <c r="B432">
        <v>24</v>
      </c>
      <c r="C432" t="s">
        <v>22</v>
      </c>
      <c r="D432">
        <v>431</v>
      </c>
      <c r="E432" t="s">
        <v>58</v>
      </c>
      <c r="F432" t="s">
        <v>24</v>
      </c>
      <c r="G432">
        <v>431</v>
      </c>
      <c r="H432">
        <v>716</v>
      </c>
      <c r="I432">
        <v>40</v>
      </c>
      <c r="J432" t="s">
        <v>108</v>
      </c>
      <c r="K432" t="s">
        <v>47</v>
      </c>
      <c r="L432" t="s">
        <v>113</v>
      </c>
      <c r="M432" t="s">
        <v>56</v>
      </c>
      <c r="N432">
        <v>3.5</v>
      </c>
      <c r="O432">
        <v>1</v>
      </c>
      <c r="P432" t="s">
        <v>77</v>
      </c>
      <c r="Q432" t="s">
        <v>30</v>
      </c>
      <c r="R432" t="s">
        <v>30</v>
      </c>
      <c r="S432">
        <v>40</v>
      </c>
      <c r="T432" t="s">
        <v>89</v>
      </c>
      <c r="U432" t="s">
        <v>52</v>
      </c>
      <c r="V432" s="1">
        <v>45507</v>
      </c>
      <c r="W432">
        <f>Table1[[#This Row],[customer_purchase count]]+1</f>
        <v>41</v>
      </c>
      <c r="X432">
        <f>Table1[[#This Row],[customer_purchase count]]*Rules!$B$3</f>
        <v>2390.5743589743593</v>
      </c>
      <c r="Y432" t="str">
        <f>IF(Table1[[#This Row],[customer_subscription]]=1,"Subscribed","Not Subscribed")</f>
        <v>Subscribed</v>
      </c>
    </row>
    <row r="433" spans="1:26" x14ac:dyDescent="0.25">
      <c r="A433">
        <v>432</v>
      </c>
      <c r="B433">
        <v>43</v>
      </c>
      <c r="C433" t="s">
        <v>22</v>
      </c>
      <c r="D433">
        <v>432</v>
      </c>
      <c r="E433" t="s">
        <v>127</v>
      </c>
      <c r="F433" t="s">
        <v>70</v>
      </c>
      <c r="G433">
        <v>432</v>
      </c>
      <c r="H433">
        <v>717</v>
      </c>
      <c r="I433">
        <v>76</v>
      </c>
      <c r="J433" t="s">
        <v>85</v>
      </c>
      <c r="K433" t="s">
        <v>26</v>
      </c>
      <c r="L433" t="s">
        <v>112</v>
      </c>
      <c r="M433" t="s">
        <v>28</v>
      </c>
      <c r="N433">
        <v>3.4</v>
      </c>
      <c r="O433">
        <v>1</v>
      </c>
      <c r="P433" t="s">
        <v>77</v>
      </c>
      <c r="Q433" t="s">
        <v>30</v>
      </c>
      <c r="R433" t="s">
        <v>30</v>
      </c>
      <c r="S433">
        <v>33</v>
      </c>
      <c r="T433" t="s">
        <v>36</v>
      </c>
      <c r="U433" t="s">
        <v>32</v>
      </c>
      <c r="V433" s="1">
        <v>45644</v>
      </c>
      <c r="W433">
        <f>Table1[[#This Row],[customer_purchase count]]+1</f>
        <v>34</v>
      </c>
      <c r="X433">
        <f>Table1[[#This Row],[customer_purchase count]]*Rules!$B$3</f>
        <v>1972.2238461538464</v>
      </c>
      <c r="Y433" t="str">
        <f>IF(Table1[[#This Row],[customer_subscription]]=1,"Subscribed","Not Subscribed")</f>
        <v>Subscribed</v>
      </c>
      <c r="Z433" t="s">
        <v>193</v>
      </c>
    </row>
    <row r="434" spans="1:26" x14ac:dyDescent="0.25">
      <c r="A434">
        <v>433</v>
      </c>
      <c r="B434">
        <v>47</v>
      </c>
      <c r="C434" t="s">
        <v>22</v>
      </c>
      <c r="D434">
        <v>433</v>
      </c>
      <c r="E434" t="s">
        <v>58</v>
      </c>
      <c r="F434" t="s">
        <v>24</v>
      </c>
      <c r="G434">
        <v>433</v>
      </c>
      <c r="H434">
        <v>718</v>
      </c>
      <c r="I434">
        <v>86</v>
      </c>
      <c r="J434" t="s">
        <v>119</v>
      </c>
      <c r="K434" t="s">
        <v>39</v>
      </c>
      <c r="L434" t="s">
        <v>129</v>
      </c>
      <c r="M434" t="s">
        <v>60</v>
      </c>
      <c r="N434">
        <v>3.3</v>
      </c>
      <c r="O434">
        <v>1</v>
      </c>
      <c r="P434" t="s">
        <v>41</v>
      </c>
      <c r="Q434" t="s">
        <v>30</v>
      </c>
      <c r="R434" t="s">
        <v>30</v>
      </c>
      <c r="S434">
        <v>26</v>
      </c>
      <c r="T434" t="s">
        <v>31</v>
      </c>
      <c r="U434" t="s">
        <v>43</v>
      </c>
      <c r="V434" s="1">
        <v>45580</v>
      </c>
      <c r="W434">
        <f>Table1[[#This Row],[customer_purchase count]]+1</f>
        <v>27</v>
      </c>
      <c r="X434">
        <f>Table1[[#This Row],[customer_purchase count]]*Rules!$B$3</f>
        <v>1553.8733333333334</v>
      </c>
      <c r="Y434" t="str">
        <f>IF(Table1[[#This Row],[customer_subscription]]=1,"Subscribed","Not Subscribed")</f>
        <v>Subscribed</v>
      </c>
    </row>
    <row r="435" spans="1:26" x14ac:dyDescent="0.25">
      <c r="A435">
        <v>434</v>
      </c>
      <c r="B435">
        <v>49</v>
      </c>
      <c r="C435" t="s">
        <v>22</v>
      </c>
      <c r="D435">
        <v>434</v>
      </c>
      <c r="E435" t="s">
        <v>90</v>
      </c>
      <c r="F435" t="s">
        <v>24</v>
      </c>
      <c r="G435">
        <v>434</v>
      </c>
      <c r="H435">
        <v>719</v>
      </c>
      <c r="I435">
        <v>92</v>
      </c>
      <c r="J435" t="s">
        <v>93</v>
      </c>
      <c r="K435" t="s">
        <v>47</v>
      </c>
      <c r="L435" t="s">
        <v>124</v>
      </c>
      <c r="M435" t="s">
        <v>60</v>
      </c>
      <c r="N435">
        <v>3.2</v>
      </c>
      <c r="O435">
        <v>1</v>
      </c>
      <c r="P435" t="s">
        <v>77</v>
      </c>
      <c r="Q435" t="s">
        <v>30</v>
      </c>
      <c r="R435" t="s">
        <v>30</v>
      </c>
      <c r="S435">
        <v>23</v>
      </c>
      <c r="T435" t="s">
        <v>42</v>
      </c>
      <c r="U435" t="s">
        <v>32</v>
      </c>
      <c r="V435" s="1">
        <v>45546</v>
      </c>
      <c r="W435">
        <f>Table1[[#This Row],[customer_purchase count]]+1</f>
        <v>24</v>
      </c>
      <c r="X435">
        <f>Table1[[#This Row],[customer_purchase count]]*Rules!$B$3</f>
        <v>1374.5802564102564</v>
      </c>
      <c r="Y435" t="str">
        <f>IF(Table1[[#This Row],[customer_subscription]]=1,"Subscribed","Not Subscribed")</f>
        <v>Subscribed</v>
      </c>
    </row>
    <row r="436" spans="1:26" x14ac:dyDescent="0.25">
      <c r="A436">
        <v>435</v>
      </c>
      <c r="B436">
        <v>50</v>
      </c>
      <c r="C436" t="s">
        <v>22</v>
      </c>
      <c r="D436">
        <v>435</v>
      </c>
      <c r="E436" t="s">
        <v>74</v>
      </c>
      <c r="F436" t="s">
        <v>45</v>
      </c>
      <c r="G436">
        <v>435</v>
      </c>
      <c r="H436">
        <v>721</v>
      </c>
      <c r="I436">
        <v>52</v>
      </c>
      <c r="J436" t="s">
        <v>104</v>
      </c>
      <c r="K436" t="s">
        <v>26</v>
      </c>
      <c r="L436" t="s">
        <v>72</v>
      </c>
      <c r="M436" t="s">
        <v>40</v>
      </c>
      <c r="N436">
        <v>4</v>
      </c>
      <c r="O436">
        <v>1</v>
      </c>
      <c r="P436" t="s">
        <v>77</v>
      </c>
      <c r="Q436" t="s">
        <v>30</v>
      </c>
      <c r="R436" t="s">
        <v>30</v>
      </c>
      <c r="S436">
        <v>39</v>
      </c>
      <c r="T436" t="s">
        <v>49</v>
      </c>
      <c r="U436" t="s">
        <v>100</v>
      </c>
      <c r="V436" s="1">
        <v>45433</v>
      </c>
      <c r="W436">
        <f>Table1[[#This Row],[customer_purchase count]]+1</f>
        <v>40</v>
      </c>
      <c r="X436">
        <f>Table1[[#This Row],[customer_purchase count]]*Rules!$B$3</f>
        <v>2330.81</v>
      </c>
      <c r="Y436" t="str">
        <f>IF(Table1[[#This Row],[customer_subscription]]=1,"Subscribed","Not Subscribed")</f>
        <v>Subscribed</v>
      </c>
      <c r="Z436" t="s">
        <v>193</v>
      </c>
    </row>
    <row r="437" spans="1:26" x14ac:dyDescent="0.25">
      <c r="A437">
        <v>436</v>
      </c>
      <c r="B437">
        <v>51</v>
      </c>
      <c r="C437" t="s">
        <v>22</v>
      </c>
      <c r="D437">
        <v>436</v>
      </c>
      <c r="E437" t="s">
        <v>65</v>
      </c>
      <c r="F437" t="s">
        <v>66</v>
      </c>
      <c r="G437">
        <v>436</v>
      </c>
      <c r="H437">
        <v>722</v>
      </c>
      <c r="I437">
        <v>28</v>
      </c>
      <c r="J437" t="s">
        <v>59</v>
      </c>
      <c r="K437" t="s">
        <v>95</v>
      </c>
      <c r="L437" t="s">
        <v>81</v>
      </c>
      <c r="M437" t="s">
        <v>28</v>
      </c>
      <c r="N437">
        <v>3.6</v>
      </c>
      <c r="O437">
        <v>1</v>
      </c>
      <c r="P437" t="s">
        <v>48</v>
      </c>
      <c r="Q437" t="s">
        <v>30</v>
      </c>
      <c r="R437" t="s">
        <v>30</v>
      </c>
      <c r="S437">
        <v>42</v>
      </c>
      <c r="T437" t="s">
        <v>78</v>
      </c>
      <c r="U437" t="s">
        <v>91</v>
      </c>
      <c r="V437" s="1">
        <v>45324</v>
      </c>
      <c r="W437">
        <f>Table1[[#This Row],[customer_purchase count]]+1</f>
        <v>43</v>
      </c>
      <c r="X437">
        <f>Table1[[#This Row],[customer_purchase count]]*Rules!$B$3</f>
        <v>2510.103076923077</v>
      </c>
      <c r="Y437" t="str">
        <f>IF(Table1[[#This Row],[customer_subscription]]=1,"Subscribed","Not Subscribed")</f>
        <v>Subscribed</v>
      </c>
      <c r="Z437" t="s">
        <v>193</v>
      </c>
    </row>
    <row r="438" spans="1:26" x14ac:dyDescent="0.25">
      <c r="A438">
        <v>437</v>
      </c>
      <c r="B438">
        <v>40</v>
      </c>
      <c r="C438" t="s">
        <v>22</v>
      </c>
      <c r="D438">
        <v>437</v>
      </c>
      <c r="E438" t="s">
        <v>98</v>
      </c>
      <c r="F438" t="s">
        <v>24</v>
      </c>
      <c r="G438">
        <v>437</v>
      </c>
      <c r="H438">
        <v>723</v>
      </c>
      <c r="I438">
        <v>46</v>
      </c>
      <c r="J438" t="s">
        <v>125</v>
      </c>
      <c r="K438" t="s">
        <v>26</v>
      </c>
      <c r="L438" t="s">
        <v>112</v>
      </c>
      <c r="M438" t="s">
        <v>56</v>
      </c>
      <c r="N438">
        <v>4.5999999999999996</v>
      </c>
      <c r="O438">
        <v>1</v>
      </c>
      <c r="P438" t="s">
        <v>41</v>
      </c>
      <c r="Q438" t="s">
        <v>30</v>
      </c>
      <c r="R438" t="s">
        <v>30</v>
      </c>
      <c r="S438">
        <v>41</v>
      </c>
      <c r="T438" t="s">
        <v>78</v>
      </c>
      <c r="U438" t="s">
        <v>43</v>
      </c>
      <c r="V438" s="1">
        <v>45458</v>
      </c>
      <c r="W438">
        <f>Table1[[#This Row],[customer_purchase count]]+1</f>
        <v>42</v>
      </c>
      <c r="X438">
        <f>Table1[[#This Row],[customer_purchase count]]*Rules!$B$3</f>
        <v>2450.3387179487181</v>
      </c>
      <c r="Y438" t="str">
        <f>IF(Table1[[#This Row],[customer_subscription]]=1,"Subscribed","Not Subscribed")</f>
        <v>Subscribed</v>
      </c>
      <c r="Z438" t="s">
        <v>193</v>
      </c>
    </row>
    <row r="439" spans="1:26" x14ac:dyDescent="0.25">
      <c r="A439">
        <v>438</v>
      </c>
      <c r="B439">
        <v>45</v>
      </c>
      <c r="C439" t="s">
        <v>22</v>
      </c>
      <c r="D439">
        <v>438</v>
      </c>
      <c r="E439" t="s">
        <v>109</v>
      </c>
      <c r="F439" t="s">
        <v>70</v>
      </c>
      <c r="G439">
        <v>438</v>
      </c>
      <c r="H439">
        <v>724</v>
      </c>
      <c r="I439">
        <v>50</v>
      </c>
      <c r="J439" t="s">
        <v>133</v>
      </c>
      <c r="K439" t="s">
        <v>47</v>
      </c>
      <c r="L439" t="s">
        <v>103</v>
      </c>
      <c r="M439" t="s">
        <v>56</v>
      </c>
      <c r="N439">
        <v>2.6</v>
      </c>
      <c r="O439">
        <v>1</v>
      </c>
      <c r="P439" t="s">
        <v>48</v>
      </c>
      <c r="Q439" t="s">
        <v>30</v>
      </c>
      <c r="R439" t="s">
        <v>30</v>
      </c>
      <c r="S439">
        <v>41</v>
      </c>
      <c r="T439" t="s">
        <v>49</v>
      </c>
      <c r="U439" t="s">
        <v>52</v>
      </c>
      <c r="V439" s="1">
        <v>45530</v>
      </c>
      <c r="W439">
        <f>Table1[[#This Row],[customer_purchase count]]+1</f>
        <v>42</v>
      </c>
      <c r="X439">
        <f>Table1[[#This Row],[customer_purchase count]]*Rules!$B$3</f>
        <v>2450.3387179487181</v>
      </c>
      <c r="Y439" t="str">
        <f>IF(Table1[[#This Row],[customer_subscription]]=1,"Subscribed","Not Subscribed")</f>
        <v>Subscribed</v>
      </c>
      <c r="Z439" t="s">
        <v>193</v>
      </c>
    </row>
    <row r="440" spans="1:26" x14ac:dyDescent="0.25">
      <c r="A440">
        <v>439</v>
      </c>
      <c r="B440">
        <v>52</v>
      </c>
      <c r="C440" t="s">
        <v>22</v>
      </c>
      <c r="D440">
        <v>439</v>
      </c>
      <c r="E440" t="s">
        <v>136</v>
      </c>
      <c r="F440" t="s">
        <v>70</v>
      </c>
      <c r="G440">
        <v>439</v>
      </c>
      <c r="H440">
        <v>725</v>
      </c>
      <c r="I440">
        <v>23</v>
      </c>
      <c r="J440" t="s">
        <v>149</v>
      </c>
      <c r="K440" t="s">
        <v>47</v>
      </c>
      <c r="L440" t="s">
        <v>51</v>
      </c>
      <c r="M440" t="s">
        <v>28</v>
      </c>
      <c r="N440">
        <v>4.3</v>
      </c>
      <c r="O440">
        <v>1</v>
      </c>
      <c r="P440" t="s">
        <v>29</v>
      </c>
      <c r="Q440" t="s">
        <v>30</v>
      </c>
      <c r="R440" t="s">
        <v>30</v>
      </c>
      <c r="S440">
        <v>12</v>
      </c>
      <c r="T440" t="s">
        <v>42</v>
      </c>
      <c r="U440" t="s">
        <v>32</v>
      </c>
      <c r="V440" s="1">
        <v>45638</v>
      </c>
      <c r="W440">
        <f>Table1[[#This Row],[customer_purchase count]]+1</f>
        <v>13</v>
      </c>
      <c r="X440">
        <f>Table1[[#This Row],[customer_purchase count]]*Rules!$B$3</f>
        <v>717.17230769230775</v>
      </c>
      <c r="Y440" t="str">
        <f>IF(Table1[[#This Row],[customer_subscription]]=1,"Subscribed","Not Subscribed")</f>
        <v>Subscribed</v>
      </c>
    </row>
    <row r="441" spans="1:26" x14ac:dyDescent="0.25">
      <c r="A441">
        <v>440</v>
      </c>
      <c r="B441">
        <v>62</v>
      </c>
      <c r="C441" t="s">
        <v>22</v>
      </c>
      <c r="D441">
        <v>440</v>
      </c>
      <c r="E441" t="s">
        <v>105</v>
      </c>
      <c r="F441" t="s">
        <v>66</v>
      </c>
      <c r="G441">
        <v>440</v>
      </c>
      <c r="H441">
        <v>727</v>
      </c>
      <c r="I441">
        <v>50</v>
      </c>
      <c r="J441" t="s">
        <v>138</v>
      </c>
      <c r="K441" t="s">
        <v>47</v>
      </c>
      <c r="L441" t="s">
        <v>51</v>
      </c>
      <c r="M441" t="s">
        <v>56</v>
      </c>
      <c r="N441">
        <v>3.4</v>
      </c>
      <c r="O441">
        <v>1</v>
      </c>
      <c r="P441" t="s">
        <v>41</v>
      </c>
      <c r="Q441" t="s">
        <v>30</v>
      </c>
      <c r="R441" t="s">
        <v>30</v>
      </c>
      <c r="S441">
        <v>31</v>
      </c>
      <c r="T441" t="s">
        <v>36</v>
      </c>
      <c r="U441" t="s">
        <v>91</v>
      </c>
      <c r="V441" s="1">
        <v>45532</v>
      </c>
      <c r="W441">
        <f>Table1[[#This Row],[customer_purchase count]]+1</f>
        <v>32</v>
      </c>
      <c r="X441">
        <f>Table1[[#This Row],[customer_purchase count]]*Rules!$B$3</f>
        <v>1852.6951282051282</v>
      </c>
      <c r="Y441" t="str">
        <f>IF(Table1[[#This Row],[customer_subscription]]=1,"Subscribed","Not Subscribed")</f>
        <v>Subscribed</v>
      </c>
    </row>
    <row r="442" spans="1:26" x14ac:dyDescent="0.25">
      <c r="A442">
        <v>441</v>
      </c>
      <c r="B442">
        <v>20</v>
      </c>
      <c r="C442" t="s">
        <v>22</v>
      </c>
      <c r="D442">
        <v>441</v>
      </c>
      <c r="E442" t="s">
        <v>58</v>
      </c>
      <c r="F442" t="s">
        <v>24</v>
      </c>
      <c r="G442">
        <v>441</v>
      </c>
      <c r="H442">
        <v>728</v>
      </c>
      <c r="I442">
        <v>89</v>
      </c>
      <c r="J442" t="s">
        <v>104</v>
      </c>
      <c r="K442" t="s">
        <v>95</v>
      </c>
      <c r="L442" t="s">
        <v>35</v>
      </c>
      <c r="M442" t="s">
        <v>28</v>
      </c>
      <c r="N442">
        <v>3.5</v>
      </c>
      <c r="O442">
        <v>1</v>
      </c>
      <c r="P442" t="s">
        <v>77</v>
      </c>
      <c r="Q442" t="s">
        <v>30</v>
      </c>
      <c r="R442" t="s">
        <v>30</v>
      </c>
      <c r="S442">
        <v>34</v>
      </c>
      <c r="T442" t="s">
        <v>89</v>
      </c>
      <c r="U442" t="s">
        <v>32</v>
      </c>
      <c r="V442" s="1">
        <v>45650</v>
      </c>
      <c r="W442">
        <f>Table1[[#This Row],[customer_purchase count]]+1</f>
        <v>35</v>
      </c>
      <c r="X442">
        <f>Table1[[#This Row],[customer_purchase count]]*Rules!$B$3</f>
        <v>2031.9882051282052</v>
      </c>
      <c r="Y442" t="str">
        <f>IF(Table1[[#This Row],[customer_subscription]]=1,"Subscribed","Not Subscribed")</f>
        <v>Subscribed</v>
      </c>
    </row>
    <row r="443" spans="1:26" x14ac:dyDescent="0.25">
      <c r="A443">
        <v>442</v>
      </c>
      <c r="B443">
        <v>43</v>
      </c>
      <c r="C443" t="s">
        <v>22</v>
      </c>
      <c r="D443">
        <v>442</v>
      </c>
      <c r="E443" t="s">
        <v>107</v>
      </c>
      <c r="F443" t="s">
        <v>24</v>
      </c>
      <c r="G443">
        <v>442</v>
      </c>
      <c r="H443">
        <v>729</v>
      </c>
      <c r="I443">
        <v>81</v>
      </c>
      <c r="J443" t="s">
        <v>106</v>
      </c>
      <c r="K443" t="s">
        <v>47</v>
      </c>
      <c r="L443" t="s">
        <v>35</v>
      </c>
      <c r="M443" t="s">
        <v>28</v>
      </c>
      <c r="N443">
        <v>4.2</v>
      </c>
      <c r="O443">
        <v>1</v>
      </c>
      <c r="P443" t="s">
        <v>57</v>
      </c>
      <c r="Q443" t="s">
        <v>30</v>
      </c>
      <c r="R443" t="s">
        <v>30</v>
      </c>
      <c r="S443">
        <v>32</v>
      </c>
      <c r="T443" t="s">
        <v>42</v>
      </c>
      <c r="U443" t="s">
        <v>52</v>
      </c>
      <c r="V443" s="1">
        <v>45308</v>
      </c>
      <c r="W443">
        <f>Table1[[#This Row],[customer_purchase count]]+1</f>
        <v>33</v>
      </c>
      <c r="X443">
        <f>Table1[[#This Row],[customer_purchase count]]*Rules!$B$3</f>
        <v>1912.4594871794873</v>
      </c>
      <c r="Y443" t="str">
        <f>IF(Table1[[#This Row],[customer_subscription]]=1,"Subscribed","Not Subscribed")</f>
        <v>Subscribed</v>
      </c>
    </row>
    <row r="444" spans="1:26" x14ac:dyDescent="0.25">
      <c r="A444">
        <v>443</v>
      </c>
      <c r="B444">
        <v>29</v>
      </c>
      <c r="C444" t="s">
        <v>22</v>
      </c>
      <c r="D444">
        <v>443</v>
      </c>
      <c r="E444" t="s">
        <v>92</v>
      </c>
      <c r="F444" t="s">
        <v>70</v>
      </c>
      <c r="G444">
        <v>443</v>
      </c>
      <c r="H444">
        <v>730</v>
      </c>
      <c r="I444">
        <v>69</v>
      </c>
      <c r="J444" t="s">
        <v>154</v>
      </c>
      <c r="K444" t="s">
        <v>47</v>
      </c>
      <c r="L444" t="s">
        <v>81</v>
      </c>
      <c r="M444" t="s">
        <v>60</v>
      </c>
      <c r="N444">
        <v>3.5</v>
      </c>
      <c r="O444">
        <v>1</v>
      </c>
      <c r="P444" t="s">
        <v>77</v>
      </c>
      <c r="Q444" t="s">
        <v>30</v>
      </c>
      <c r="R444" t="s">
        <v>30</v>
      </c>
      <c r="S444">
        <v>31</v>
      </c>
      <c r="T444" t="s">
        <v>42</v>
      </c>
      <c r="U444" t="s">
        <v>61</v>
      </c>
      <c r="V444" s="1">
        <v>45614</v>
      </c>
      <c r="W444">
        <f>Table1[[#This Row],[customer_purchase count]]+1</f>
        <v>32</v>
      </c>
      <c r="X444">
        <f>Table1[[#This Row],[customer_purchase count]]*Rules!$B$3</f>
        <v>1852.6951282051282</v>
      </c>
      <c r="Y444" t="str">
        <f>IF(Table1[[#This Row],[customer_subscription]]=1,"Subscribed","Not Subscribed")</f>
        <v>Subscribed</v>
      </c>
    </row>
    <row r="445" spans="1:26" x14ac:dyDescent="0.25">
      <c r="A445">
        <v>444</v>
      </c>
      <c r="B445">
        <v>22</v>
      </c>
      <c r="C445" t="s">
        <v>22</v>
      </c>
      <c r="D445">
        <v>444</v>
      </c>
      <c r="E445" t="s">
        <v>92</v>
      </c>
      <c r="F445" t="s">
        <v>70</v>
      </c>
      <c r="G445">
        <v>444</v>
      </c>
      <c r="H445">
        <v>731</v>
      </c>
      <c r="I445">
        <v>67</v>
      </c>
      <c r="J445" t="s">
        <v>80</v>
      </c>
      <c r="K445" t="s">
        <v>47</v>
      </c>
      <c r="L445" t="s">
        <v>139</v>
      </c>
      <c r="M445" t="s">
        <v>56</v>
      </c>
      <c r="N445">
        <v>3.6</v>
      </c>
      <c r="O445">
        <v>1</v>
      </c>
      <c r="P445" t="s">
        <v>41</v>
      </c>
      <c r="Q445" t="s">
        <v>30</v>
      </c>
      <c r="R445" t="s">
        <v>30</v>
      </c>
      <c r="S445">
        <v>24</v>
      </c>
      <c r="T445" t="s">
        <v>49</v>
      </c>
      <c r="U445" t="s">
        <v>52</v>
      </c>
      <c r="V445" s="1">
        <v>45499</v>
      </c>
      <c r="W445">
        <f>Table1[[#This Row],[customer_purchase count]]+1</f>
        <v>25</v>
      </c>
      <c r="X445">
        <f>Table1[[#This Row],[customer_purchase count]]*Rules!$B$3</f>
        <v>1434.3446153846155</v>
      </c>
      <c r="Y445" t="str">
        <f>IF(Table1[[#This Row],[customer_subscription]]=1,"Subscribed","Not Subscribed")</f>
        <v>Subscribed</v>
      </c>
    </row>
    <row r="446" spans="1:26" x14ac:dyDescent="0.25">
      <c r="A446">
        <v>445</v>
      </c>
      <c r="B446">
        <v>48</v>
      </c>
      <c r="C446" t="s">
        <v>22</v>
      </c>
      <c r="D446">
        <v>445</v>
      </c>
      <c r="E446" t="s">
        <v>84</v>
      </c>
      <c r="F446" t="s">
        <v>24</v>
      </c>
      <c r="G446">
        <v>445</v>
      </c>
      <c r="H446">
        <v>733</v>
      </c>
      <c r="I446">
        <v>20</v>
      </c>
      <c r="J446" t="s">
        <v>102</v>
      </c>
      <c r="K446" t="s">
        <v>47</v>
      </c>
      <c r="L446" t="s">
        <v>111</v>
      </c>
      <c r="M446" t="s">
        <v>56</v>
      </c>
      <c r="N446">
        <v>4.3</v>
      </c>
      <c r="O446">
        <v>1</v>
      </c>
      <c r="P446" t="s">
        <v>77</v>
      </c>
      <c r="Q446" t="s">
        <v>30</v>
      </c>
      <c r="R446" t="s">
        <v>30</v>
      </c>
      <c r="S446">
        <v>31</v>
      </c>
      <c r="T446" t="s">
        <v>89</v>
      </c>
      <c r="U446" t="s">
        <v>52</v>
      </c>
      <c r="V446" s="1">
        <v>45512</v>
      </c>
      <c r="W446">
        <f>Table1[[#This Row],[customer_purchase count]]+1</f>
        <v>32</v>
      </c>
      <c r="X446">
        <f>Table1[[#This Row],[customer_purchase count]]*Rules!$B$3</f>
        <v>1852.6951282051282</v>
      </c>
      <c r="Y446" t="str">
        <f>IF(Table1[[#This Row],[customer_subscription]]=1,"Subscribed","Not Subscribed")</f>
        <v>Subscribed</v>
      </c>
    </row>
    <row r="447" spans="1:26" x14ac:dyDescent="0.25">
      <c r="A447">
        <v>446</v>
      </c>
      <c r="B447">
        <v>42</v>
      </c>
      <c r="C447" t="s">
        <v>22</v>
      </c>
      <c r="D447">
        <v>446</v>
      </c>
      <c r="E447" t="s">
        <v>140</v>
      </c>
      <c r="F447" t="s">
        <v>45</v>
      </c>
      <c r="G447">
        <v>446</v>
      </c>
      <c r="H447">
        <v>734</v>
      </c>
      <c r="I447">
        <v>29</v>
      </c>
      <c r="J447" t="s">
        <v>149</v>
      </c>
      <c r="K447" t="s">
        <v>47</v>
      </c>
      <c r="L447" t="s">
        <v>81</v>
      </c>
      <c r="M447" t="s">
        <v>60</v>
      </c>
      <c r="N447">
        <v>4.9000000000000004</v>
      </c>
      <c r="O447">
        <v>1</v>
      </c>
      <c r="P447" t="s">
        <v>57</v>
      </c>
      <c r="Q447" t="s">
        <v>30</v>
      </c>
      <c r="R447" t="s">
        <v>30</v>
      </c>
      <c r="S447">
        <v>18</v>
      </c>
      <c r="T447" t="s">
        <v>31</v>
      </c>
      <c r="U447" t="s">
        <v>52</v>
      </c>
      <c r="V447" s="1">
        <v>45578</v>
      </c>
      <c r="W447">
        <f>Table1[[#This Row],[customer_purchase count]]+1</f>
        <v>19</v>
      </c>
      <c r="X447">
        <f>Table1[[#This Row],[customer_purchase count]]*Rules!$B$3</f>
        <v>1075.7584615384617</v>
      </c>
      <c r="Y447" t="str">
        <f>IF(Table1[[#This Row],[customer_subscription]]=1,"Subscribed","Not Subscribed")</f>
        <v>Subscribed</v>
      </c>
    </row>
    <row r="448" spans="1:26" x14ac:dyDescent="0.25">
      <c r="A448">
        <v>447</v>
      </c>
      <c r="B448">
        <v>19</v>
      </c>
      <c r="C448" t="s">
        <v>22</v>
      </c>
      <c r="D448">
        <v>447</v>
      </c>
      <c r="E448" t="s">
        <v>58</v>
      </c>
      <c r="F448" t="s">
        <v>24</v>
      </c>
      <c r="G448">
        <v>447</v>
      </c>
      <c r="H448">
        <v>735</v>
      </c>
      <c r="I448">
        <v>74</v>
      </c>
      <c r="J448" t="s">
        <v>67</v>
      </c>
      <c r="K448" t="s">
        <v>47</v>
      </c>
      <c r="L448" t="s">
        <v>68</v>
      </c>
      <c r="M448" t="s">
        <v>56</v>
      </c>
      <c r="N448">
        <v>4.0999999999999996</v>
      </c>
      <c r="O448">
        <v>1</v>
      </c>
      <c r="P448" t="s">
        <v>77</v>
      </c>
      <c r="Q448" t="s">
        <v>30</v>
      </c>
      <c r="R448" t="s">
        <v>30</v>
      </c>
      <c r="S448">
        <v>15</v>
      </c>
      <c r="T448" t="s">
        <v>31</v>
      </c>
      <c r="U448" t="s">
        <v>91</v>
      </c>
      <c r="V448" s="1">
        <v>45481</v>
      </c>
      <c r="W448">
        <f>Table1[[#This Row],[customer_purchase count]]+1</f>
        <v>16</v>
      </c>
      <c r="X448">
        <f>Table1[[#This Row],[customer_purchase count]]*Rules!$B$3</f>
        <v>896.46538461538466</v>
      </c>
      <c r="Y448" t="str">
        <f>IF(Table1[[#This Row],[customer_subscription]]=1,"Subscribed","Not Subscribed")</f>
        <v>Subscribed</v>
      </c>
      <c r="Z448" t="s">
        <v>187</v>
      </c>
    </row>
    <row r="449" spans="1:26" x14ac:dyDescent="0.25">
      <c r="A449">
        <v>448</v>
      </c>
      <c r="B449">
        <v>60</v>
      </c>
      <c r="C449" t="s">
        <v>22</v>
      </c>
      <c r="D449">
        <v>448</v>
      </c>
      <c r="E449" t="s">
        <v>62</v>
      </c>
      <c r="F449" t="s">
        <v>24</v>
      </c>
      <c r="G449">
        <v>448</v>
      </c>
      <c r="H449">
        <v>736</v>
      </c>
      <c r="I449">
        <v>82</v>
      </c>
      <c r="J449" t="s">
        <v>152</v>
      </c>
      <c r="K449" t="s">
        <v>39</v>
      </c>
      <c r="L449" t="s">
        <v>51</v>
      </c>
      <c r="M449" t="s">
        <v>40</v>
      </c>
      <c r="N449">
        <v>3.6</v>
      </c>
      <c r="O449">
        <v>1</v>
      </c>
      <c r="P449" t="s">
        <v>57</v>
      </c>
      <c r="Q449" t="s">
        <v>30</v>
      </c>
      <c r="R449" t="s">
        <v>30</v>
      </c>
      <c r="S449">
        <v>7</v>
      </c>
      <c r="T449" t="s">
        <v>78</v>
      </c>
      <c r="U449" t="s">
        <v>100</v>
      </c>
      <c r="V449" s="1">
        <v>45413</v>
      </c>
      <c r="W449">
        <f>Table1[[#This Row],[customer_purchase count]]+1</f>
        <v>8</v>
      </c>
      <c r="X449">
        <f>Table1[[#This Row],[customer_purchase count]]*Rules!$B$3</f>
        <v>418.35051282051285</v>
      </c>
      <c r="Y449" t="str">
        <f>IF(Table1[[#This Row],[customer_subscription]]=1,"Subscribed","Not Subscribed")</f>
        <v>Subscribed</v>
      </c>
    </row>
    <row r="450" spans="1:26" x14ac:dyDescent="0.25">
      <c r="A450">
        <v>449</v>
      </c>
      <c r="B450">
        <v>32</v>
      </c>
      <c r="C450" t="s">
        <v>22</v>
      </c>
      <c r="D450">
        <v>449</v>
      </c>
      <c r="E450" t="s">
        <v>146</v>
      </c>
      <c r="F450" t="s">
        <v>70</v>
      </c>
      <c r="G450">
        <v>449</v>
      </c>
      <c r="H450">
        <v>737</v>
      </c>
      <c r="I450">
        <v>23</v>
      </c>
      <c r="J450" t="s">
        <v>71</v>
      </c>
      <c r="K450" t="s">
        <v>47</v>
      </c>
      <c r="L450" t="s">
        <v>137</v>
      </c>
      <c r="M450" t="s">
        <v>56</v>
      </c>
      <c r="N450">
        <v>3.4</v>
      </c>
      <c r="O450">
        <v>1</v>
      </c>
      <c r="P450" t="s">
        <v>48</v>
      </c>
      <c r="Q450" t="s">
        <v>30</v>
      </c>
      <c r="R450" t="s">
        <v>30</v>
      </c>
      <c r="S450">
        <v>35</v>
      </c>
      <c r="T450" t="s">
        <v>78</v>
      </c>
      <c r="U450" t="s">
        <v>32</v>
      </c>
      <c r="V450" s="1">
        <v>45517</v>
      </c>
      <c r="W450">
        <f>Table1[[#This Row],[customer_purchase count]]+1</f>
        <v>36</v>
      </c>
      <c r="X450">
        <f>Table1[[#This Row],[customer_purchase count]]*Rules!$B$3</f>
        <v>2091.7525641025641</v>
      </c>
      <c r="Y450" t="str">
        <f>IF(Table1[[#This Row],[customer_subscription]]=1,"Subscribed","Not Subscribed")</f>
        <v>Subscribed</v>
      </c>
      <c r="Z450" t="s">
        <v>193</v>
      </c>
    </row>
    <row r="451" spans="1:26" x14ac:dyDescent="0.25">
      <c r="A451">
        <v>450</v>
      </c>
      <c r="B451">
        <v>26</v>
      </c>
      <c r="C451" t="s">
        <v>22</v>
      </c>
      <c r="D451">
        <v>450</v>
      </c>
      <c r="E451" t="s">
        <v>109</v>
      </c>
      <c r="F451" t="s">
        <v>70</v>
      </c>
      <c r="G451">
        <v>450</v>
      </c>
      <c r="H451">
        <v>739</v>
      </c>
      <c r="I451">
        <v>45</v>
      </c>
      <c r="J451" t="s">
        <v>87</v>
      </c>
      <c r="K451" t="s">
        <v>26</v>
      </c>
      <c r="L451" t="s">
        <v>103</v>
      </c>
      <c r="M451" t="s">
        <v>56</v>
      </c>
      <c r="N451">
        <v>2.9</v>
      </c>
      <c r="O451">
        <v>1</v>
      </c>
      <c r="P451" t="s">
        <v>73</v>
      </c>
      <c r="Q451" t="s">
        <v>30</v>
      </c>
      <c r="R451" t="s">
        <v>30</v>
      </c>
      <c r="S451">
        <v>35</v>
      </c>
      <c r="T451" t="s">
        <v>78</v>
      </c>
      <c r="U451" t="s">
        <v>91</v>
      </c>
      <c r="V451" s="1">
        <v>45479</v>
      </c>
      <c r="W451">
        <f>Table1[[#This Row],[customer_purchase count]]+1</f>
        <v>36</v>
      </c>
      <c r="X451">
        <f>Table1[[#This Row],[customer_purchase count]]*Rules!$B$3</f>
        <v>2091.7525641025641</v>
      </c>
      <c r="Y451" t="str">
        <f>IF(Table1[[#This Row],[customer_subscription]]=1,"Subscribed","Not Subscribed")</f>
        <v>Subscribed</v>
      </c>
    </row>
    <row r="452" spans="1:26" x14ac:dyDescent="0.25">
      <c r="A452">
        <v>451</v>
      </c>
      <c r="B452">
        <v>25</v>
      </c>
      <c r="C452" t="s">
        <v>22</v>
      </c>
      <c r="D452">
        <v>451</v>
      </c>
      <c r="E452" t="s">
        <v>140</v>
      </c>
      <c r="F452" t="s">
        <v>45</v>
      </c>
      <c r="G452">
        <v>451</v>
      </c>
      <c r="H452">
        <v>740</v>
      </c>
      <c r="I452">
        <v>21</v>
      </c>
      <c r="J452" t="s">
        <v>142</v>
      </c>
      <c r="K452" t="s">
        <v>26</v>
      </c>
      <c r="L452" t="s">
        <v>121</v>
      </c>
      <c r="M452" t="s">
        <v>56</v>
      </c>
      <c r="N452">
        <v>2.7</v>
      </c>
      <c r="O452">
        <v>1</v>
      </c>
      <c r="P452" t="s">
        <v>77</v>
      </c>
      <c r="Q452" t="s">
        <v>30</v>
      </c>
      <c r="R452" t="s">
        <v>30</v>
      </c>
      <c r="S452">
        <v>19</v>
      </c>
      <c r="T452" t="s">
        <v>42</v>
      </c>
      <c r="U452" t="s">
        <v>91</v>
      </c>
      <c r="V452" s="1">
        <v>45497</v>
      </c>
      <c r="W452">
        <f>Table1[[#This Row],[customer_purchase count]]+1</f>
        <v>20</v>
      </c>
      <c r="X452">
        <f>Table1[[#This Row],[customer_purchase count]]*Rules!$B$3</f>
        <v>1135.5228205128205</v>
      </c>
      <c r="Y452" t="str">
        <f>IF(Table1[[#This Row],[customer_subscription]]=1,"Subscribed","Not Subscribed")</f>
        <v>Subscribed</v>
      </c>
    </row>
    <row r="453" spans="1:26" x14ac:dyDescent="0.25">
      <c r="A453">
        <v>452</v>
      </c>
      <c r="B453">
        <v>66</v>
      </c>
      <c r="C453" t="s">
        <v>22</v>
      </c>
      <c r="D453">
        <v>452</v>
      </c>
      <c r="E453" t="s">
        <v>109</v>
      </c>
      <c r="F453" t="s">
        <v>70</v>
      </c>
      <c r="G453">
        <v>452</v>
      </c>
      <c r="H453">
        <v>741</v>
      </c>
      <c r="I453">
        <v>31</v>
      </c>
      <c r="J453" t="s">
        <v>144</v>
      </c>
      <c r="K453" t="s">
        <v>47</v>
      </c>
      <c r="L453" t="s">
        <v>72</v>
      </c>
      <c r="M453" t="s">
        <v>56</v>
      </c>
      <c r="N453">
        <v>4.3</v>
      </c>
      <c r="O453">
        <v>1</v>
      </c>
      <c r="P453" t="s">
        <v>29</v>
      </c>
      <c r="Q453" t="s">
        <v>30</v>
      </c>
      <c r="R453" t="s">
        <v>30</v>
      </c>
      <c r="S453">
        <v>26</v>
      </c>
      <c r="T453" t="s">
        <v>42</v>
      </c>
      <c r="U453" t="s">
        <v>32</v>
      </c>
      <c r="V453" s="1">
        <v>45505</v>
      </c>
      <c r="W453">
        <f>Table1[[#This Row],[customer_purchase count]]+1</f>
        <v>27</v>
      </c>
      <c r="X453">
        <f>Table1[[#This Row],[customer_purchase count]]*Rules!$B$3</f>
        <v>1553.8733333333334</v>
      </c>
      <c r="Y453" t="str">
        <f>IF(Table1[[#This Row],[customer_subscription]]=1,"Subscribed","Not Subscribed")</f>
        <v>Subscribed</v>
      </c>
    </row>
    <row r="454" spans="1:26" x14ac:dyDescent="0.25">
      <c r="A454">
        <v>453</v>
      </c>
      <c r="B454">
        <v>45</v>
      </c>
      <c r="C454" t="s">
        <v>22</v>
      </c>
      <c r="D454">
        <v>453</v>
      </c>
      <c r="E454" t="s">
        <v>98</v>
      </c>
      <c r="F454" t="s">
        <v>24</v>
      </c>
      <c r="G454">
        <v>453</v>
      </c>
      <c r="H454">
        <v>742</v>
      </c>
      <c r="I454">
        <v>45</v>
      </c>
      <c r="J454" t="s">
        <v>71</v>
      </c>
      <c r="K454" t="s">
        <v>47</v>
      </c>
      <c r="L454" t="s">
        <v>86</v>
      </c>
      <c r="M454" t="s">
        <v>56</v>
      </c>
      <c r="N454">
        <v>3.3</v>
      </c>
      <c r="O454">
        <v>1</v>
      </c>
      <c r="P454" t="s">
        <v>29</v>
      </c>
      <c r="Q454" t="s">
        <v>30</v>
      </c>
      <c r="R454" t="s">
        <v>30</v>
      </c>
      <c r="S454">
        <v>39</v>
      </c>
      <c r="T454" t="s">
        <v>49</v>
      </c>
      <c r="U454" t="s">
        <v>32</v>
      </c>
      <c r="V454" s="1">
        <v>45510</v>
      </c>
      <c r="W454">
        <f>Table1[[#This Row],[customer_purchase count]]+1</f>
        <v>40</v>
      </c>
      <c r="X454">
        <f>Table1[[#This Row],[customer_purchase count]]*Rules!$B$3</f>
        <v>2330.81</v>
      </c>
      <c r="Y454" t="str">
        <f>IF(Table1[[#This Row],[customer_subscription]]=1,"Subscribed","Not Subscribed")</f>
        <v>Subscribed</v>
      </c>
      <c r="Z454" t="s">
        <v>193</v>
      </c>
    </row>
    <row r="455" spans="1:26" x14ac:dyDescent="0.25">
      <c r="A455">
        <v>454</v>
      </c>
      <c r="B455">
        <v>54</v>
      </c>
      <c r="C455" t="s">
        <v>22</v>
      </c>
      <c r="D455">
        <v>454</v>
      </c>
      <c r="E455" t="s">
        <v>109</v>
      </c>
      <c r="F455" t="s">
        <v>70</v>
      </c>
      <c r="G455">
        <v>454</v>
      </c>
      <c r="H455">
        <v>743</v>
      </c>
      <c r="I455">
        <v>56</v>
      </c>
      <c r="J455" t="s">
        <v>148</v>
      </c>
      <c r="K455" t="s">
        <v>95</v>
      </c>
      <c r="L455" t="s">
        <v>103</v>
      </c>
      <c r="M455" t="s">
        <v>28</v>
      </c>
      <c r="N455">
        <v>2.8</v>
      </c>
      <c r="O455">
        <v>1</v>
      </c>
      <c r="P455" t="s">
        <v>48</v>
      </c>
      <c r="Q455" t="s">
        <v>30</v>
      </c>
      <c r="R455" t="s">
        <v>30</v>
      </c>
      <c r="S455">
        <v>22</v>
      </c>
      <c r="T455" t="s">
        <v>42</v>
      </c>
      <c r="U455" t="s">
        <v>43</v>
      </c>
      <c r="V455" s="1">
        <v>45333</v>
      </c>
      <c r="W455">
        <f>Table1[[#This Row],[customer_purchase count]]+1</f>
        <v>23</v>
      </c>
      <c r="X455">
        <f>Table1[[#This Row],[customer_purchase count]]*Rules!$B$3</f>
        <v>1314.8158974358976</v>
      </c>
      <c r="Y455" t="str">
        <f>IF(Table1[[#This Row],[customer_subscription]]=1,"Subscribed","Not Subscribed")</f>
        <v>Subscribed</v>
      </c>
    </row>
    <row r="456" spans="1:26" x14ac:dyDescent="0.25">
      <c r="A456">
        <v>455</v>
      </c>
      <c r="B456">
        <v>37</v>
      </c>
      <c r="C456" t="s">
        <v>22</v>
      </c>
      <c r="D456">
        <v>455</v>
      </c>
      <c r="E456" t="s">
        <v>105</v>
      </c>
      <c r="F456" t="s">
        <v>66</v>
      </c>
      <c r="G456">
        <v>455</v>
      </c>
      <c r="H456">
        <v>745</v>
      </c>
      <c r="I456">
        <v>97</v>
      </c>
      <c r="J456" t="s">
        <v>130</v>
      </c>
      <c r="K456" t="s">
        <v>39</v>
      </c>
      <c r="L456" t="s">
        <v>83</v>
      </c>
      <c r="M456" t="s">
        <v>56</v>
      </c>
      <c r="N456">
        <v>3.2</v>
      </c>
      <c r="O456">
        <v>1</v>
      </c>
      <c r="P456" t="s">
        <v>48</v>
      </c>
      <c r="Q456" t="s">
        <v>30</v>
      </c>
      <c r="R456" t="s">
        <v>30</v>
      </c>
      <c r="S456">
        <v>14</v>
      </c>
      <c r="T456" t="s">
        <v>36</v>
      </c>
      <c r="U456" t="s">
        <v>79</v>
      </c>
      <c r="V456" s="1">
        <v>45528</v>
      </c>
      <c r="W456">
        <f>Table1[[#This Row],[customer_purchase count]]+1</f>
        <v>15</v>
      </c>
      <c r="X456">
        <f>Table1[[#This Row],[customer_purchase count]]*Rules!$B$3</f>
        <v>836.70102564102569</v>
      </c>
      <c r="Y456" t="str">
        <f>IF(Table1[[#This Row],[customer_subscription]]=1,"Subscribed","Not Subscribed")</f>
        <v>Subscribed</v>
      </c>
    </row>
    <row r="457" spans="1:26" x14ac:dyDescent="0.25">
      <c r="A457">
        <v>456</v>
      </c>
      <c r="B457">
        <v>54</v>
      </c>
      <c r="C457" t="s">
        <v>22</v>
      </c>
      <c r="D457">
        <v>456</v>
      </c>
      <c r="E457" t="s">
        <v>23</v>
      </c>
      <c r="F457" t="s">
        <v>24</v>
      </c>
      <c r="G457">
        <v>456</v>
      </c>
      <c r="H457">
        <v>746</v>
      </c>
      <c r="I457">
        <v>100</v>
      </c>
      <c r="J457" t="s">
        <v>143</v>
      </c>
      <c r="K457" t="s">
        <v>95</v>
      </c>
      <c r="L457" t="s">
        <v>83</v>
      </c>
      <c r="M457" t="s">
        <v>60</v>
      </c>
      <c r="N457">
        <v>3.6</v>
      </c>
      <c r="O457">
        <v>1</v>
      </c>
      <c r="P457" t="s">
        <v>77</v>
      </c>
      <c r="Q457" t="s">
        <v>30</v>
      </c>
      <c r="R457" t="s">
        <v>30</v>
      </c>
      <c r="S457">
        <v>50</v>
      </c>
      <c r="T457" t="s">
        <v>89</v>
      </c>
      <c r="U457" t="s">
        <v>32</v>
      </c>
      <c r="V457" s="1">
        <v>45624</v>
      </c>
      <c r="W457">
        <f>Table1[[#This Row],[customer_purchase count]]+1</f>
        <v>51</v>
      </c>
      <c r="X457">
        <f>Table1[[#This Row],[customer_purchase count]]*Rules!$B$3</f>
        <v>2988.2179487179487</v>
      </c>
      <c r="Y457" t="str">
        <f>IF(Table1[[#This Row],[customer_subscription]]=1,"Subscribed","Not Subscribed")</f>
        <v>Subscribed</v>
      </c>
      <c r="Z457" t="s">
        <v>193</v>
      </c>
    </row>
    <row r="458" spans="1:26" x14ac:dyDescent="0.25">
      <c r="A458">
        <v>457</v>
      </c>
      <c r="B458">
        <v>50</v>
      </c>
      <c r="C458" t="s">
        <v>22</v>
      </c>
      <c r="D458">
        <v>457</v>
      </c>
      <c r="E458" t="s">
        <v>23</v>
      </c>
      <c r="F458" t="s">
        <v>24</v>
      </c>
      <c r="G458">
        <v>457</v>
      </c>
      <c r="H458">
        <v>747</v>
      </c>
      <c r="I458">
        <v>96</v>
      </c>
      <c r="J458" t="s">
        <v>101</v>
      </c>
      <c r="K458" t="s">
        <v>39</v>
      </c>
      <c r="L458" t="s">
        <v>129</v>
      </c>
      <c r="M458" t="s">
        <v>60</v>
      </c>
      <c r="N458">
        <v>4</v>
      </c>
      <c r="O458">
        <v>1</v>
      </c>
      <c r="P458" t="s">
        <v>73</v>
      </c>
      <c r="Q458" t="s">
        <v>30</v>
      </c>
      <c r="R458" t="s">
        <v>30</v>
      </c>
      <c r="S458">
        <v>33</v>
      </c>
      <c r="T458" t="s">
        <v>42</v>
      </c>
      <c r="U458" t="s">
        <v>61</v>
      </c>
      <c r="V458" s="1">
        <v>45574</v>
      </c>
      <c r="W458">
        <f>Table1[[#This Row],[customer_purchase count]]+1</f>
        <v>34</v>
      </c>
      <c r="X458">
        <f>Table1[[#This Row],[customer_purchase count]]*Rules!$B$3</f>
        <v>1972.2238461538464</v>
      </c>
      <c r="Y458" t="str">
        <f>IF(Table1[[#This Row],[customer_subscription]]=1,"Subscribed","Not Subscribed")</f>
        <v>Subscribed</v>
      </c>
      <c r="Z458" t="s">
        <v>193</v>
      </c>
    </row>
    <row r="459" spans="1:26" x14ac:dyDescent="0.25">
      <c r="A459">
        <v>458</v>
      </c>
      <c r="B459">
        <v>25</v>
      </c>
      <c r="C459" t="s">
        <v>22</v>
      </c>
      <c r="D459">
        <v>458</v>
      </c>
      <c r="E459" t="s">
        <v>146</v>
      </c>
      <c r="F459" t="s">
        <v>70</v>
      </c>
      <c r="G459">
        <v>458</v>
      </c>
      <c r="H459">
        <v>748</v>
      </c>
      <c r="I459">
        <v>99</v>
      </c>
      <c r="J459" t="s">
        <v>46</v>
      </c>
      <c r="K459" t="s">
        <v>47</v>
      </c>
      <c r="L459" t="s">
        <v>147</v>
      </c>
      <c r="M459" t="s">
        <v>40</v>
      </c>
      <c r="N459">
        <v>4.9000000000000004</v>
      </c>
      <c r="O459">
        <v>1</v>
      </c>
      <c r="P459" t="s">
        <v>48</v>
      </c>
      <c r="Q459" t="s">
        <v>30</v>
      </c>
      <c r="R459" t="s">
        <v>30</v>
      </c>
      <c r="S459">
        <v>48</v>
      </c>
      <c r="T459" t="s">
        <v>89</v>
      </c>
      <c r="U459" t="s">
        <v>100</v>
      </c>
      <c r="V459" s="1">
        <v>45439</v>
      </c>
      <c r="W459">
        <f>Table1[[#This Row],[customer_purchase count]]+1</f>
        <v>49</v>
      </c>
      <c r="X459">
        <f>Table1[[#This Row],[customer_purchase count]]*Rules!$B$3</f>
        <v>2868.689230769231</v>
      </c>
      <c r="Y459" t="str">
        <f>IF(Table1[[#This Row],[customer_subscription]]=1,"Subscribed","Not Subscribed")</f>
        <v>Subscribed</v>
      </c>
    </row>
    <row r="460" spans="1:26" x14ac:dyDescent="0.25">
      <c r="A460">
        <v>459</v>
      </c>
      <c r="B460">
        <v>47</v>
      </c>
      <c r="C460" t="s">
        <v>22</v>
      </c>
      <c r="D460">
        <v>459</v>
      </c>
      <c r="E460" t="s">
        <v>62</v>
      </c>
      <c r="F460" t="s">
        <v>24</v>
      </c>
      <c r="G460">
        <v>459</v>
      </c>
      <c r="H460">
        <v>749</v>
      </c>
      <c r="I460">
        <v>91</v>
      </c>
      <c r="J460" t="s">
        <v>75</v>
      </c>
      <c r="K460" t="s">
        <v>26</v>
      </c>
      <c r="L460" t="s">
        <v>97</v>
      </c>
      <c r="M460" t="s">
        <v>28</v>
      </c>
      <c r="N460">
        <v>4</v>
      </c>
      <c r="O460">
        <v>1</v>
      </c>
      <c r="P460" t="s">
        <v>73</v>
      </c>
      <c r="Q460" t="s">
        <v>30</v>
      </c>
      <c r="R460" t="s">
        <v>30</v>
      </c>
      <c r="S460">
        <v>48</v>
      </c>
      <c r="T460" t="s">
        <v>49</v>
      </c>
      <c r="U460" t="s">
        <v>91</v>
      </c>
      <c r="V460" s="1">
        <v>45325</v>
      </c>
      <c r="W460">
        <f>Table1[[#This Row],[customer_purchase count]]+1</f>
        <v>49</v>
      </c>
      <c r="X460">
        <f>Table1[[#This Row],[customer_purchase count]]*Rules!$B$3</f>
        <v>2868.689230769231</v>
      </c>
      <c r="Y460" t="str">
        <f>IF(Table1[[#This Row],[customer_subscription]]=1,"Subscribed","Not Subscribed")</f>
        <v>Subscribed</v>
      </c>
      <c r="Z460" t="s">
        <v>193</v>
      </c>
    </row>
    <row r="461" spans="1:26" x14ac:dyDescent="0.25">
      <c r="A461">
        <v>460</v>
      </c>
      <c r="B461">
        <v>63</v>
      </c>
      <c r="C461" t="s">
        <v>22</v>
      </c>
      <c r="D461">
        <v>460</v>
      </c>
      <c r="E461" t="s">
        <v>127</v>
      </c>
      <c r="F461" t="s">
        <v>70</v>
      </c>
      <c r="G461">
        <v>460</v>
      </c>
      <c r="H461">
        <v>751</v>
      </c>
      <c r="I461">
        <v>30</v>
      </c>
      <c r="J461" t="s">
        <v>131</v>
      </c>
      <c r="K461" t="s">
        <v>26</v>
      </c>
      <c r="L461" t="s">
        <v>97</v>
      </c>
      <c r="M461" t="s">
        <v>28</v>
      </c>
      <c r="N461">
        <v>3.8</v>
      </c>
      <c r="O461">
        <v>1</v>
      </c>
      <c r="P461" t="s">
        <v>57</v>
      </c>
      <c r="Q461" t="s">
        <v>30</v>
      </c>
      <c r="R461" t="s">
        <v>30</v>
      </c>
      <c r="S461">
        <v>27</v>
      </c>
      <c r="T461" t="s">
        <v>49</v>
      </c>
      <c r="U461" t="s">
        <v>32</v>
      </c>
      <c r="V461" s="1">
        <v>45347</v>
      </c>
      <c r="W461">
        <f>Table1[[#This Row],[customer_purchase count]]+1</f>
        <v>28</v>
      </c>
      <c r="X461">
        <f>Table1[[#This Row],[customer_purchase count]]*Rules!$B$3</f>
        <v>1613.6376923076923</v>
      </c>
      <c r="Y461" t="str">
        <f>IF(Table1[[#This Row],[customer_subscription]]=1,"Subscribed","Not Subscribed")</f>
        <v>Subscribed</v>
      </c>
    </row>
    <row r="462" spans="1:26" x14ac:dyDescent="0.25">
      <c r="A462">
        <v>461</v>
      </c>
      <c r="B462">
        <v>64</v>
      </c>
      <c r="C462" t="s">
        <v>22</v>
      </c>
      <c r="D462">
        <v>461</v>
      </c>
      <c r="E462" t="s">
        <v>74</v>
      </c>
      <c r="F462" t="s">
        <v>45</v>
      </c>
      <c r="G462">
        <v>461</v>
      </c>
      <c r="H462">
        <v>752</v>
      </c>
      <c r="I462">
        <v>65</v>
      </c>
      <c r="J462" t="s">
        <v>134</v>
      </c>
      <c r="K462" t="s">
        <v>26</v>
      </c>
      <c r="L462" t="s">
        <v>88</v>
      </c>
      <c r="M462" t="s">
        <v>56</v>
      </c>
      <c r="N462">
        <v>3.7</v>
      </c>
      <c r="O462">
        <v>1</v>
      </c>
      <c r="P462" t="s">
        <v>77</v>
      </c>
      <c r="Q462" t="s">
        <v>30</v>
      </c>
      <c r="R462" t="s">
        <v>30</v>
      </c>
      <c r="S462">
        <v>27</v>
      </c>
      <c r="T462" t="s">
        <v>78</v>
      </c>
      <c r="U462" t="s">
        <v>43</v>
      </c>
      <c r="V462" s="1">
        <v>45447</v>
      </c>
      <c r="W462">
        <f>Table1[[#This Row],[customer_purchase count]]+1</f>
        <v>28</v>
      </c>
      <c r="X462">
        <f>Table1[[#This Row],[customer_purchase count]]*Rules!$B$3</f>
        <v>1613.6376923076923</v>
      </c>
      <c r="Y462" t="str">
        <f>IF(Table1[[#This Row],[customer_subscription]]=1,"Subscribed","Not Subscribed")</f>
        <v>Subscribed</v>
      </c>
    </row>
    <row r="463" spans="1:26" x14ac:dyDescent="0.25">
      <c r="A463">
        <v>462</v>
      </c>
      <c r="B463">
        <v>18</v>
      </c>
      <c r="C463" t="s">
        <v>22</v>
      </c>
      <c r="D463">
        <v>462</v>
      </c>
      <c r="E463" t="s">
        <v>140</v>
      </c>
      <c r="F463" t="s">
        <v>45</v>
      </c>
      <c r="G463">
        <v>462</v>
      </c>
      <c r="H463">
        <v>753</v>
      </c>
      <c r="I463">
        <v>93</v>
      </c>
      <c r="J463" t="s">
        <v>126</v>
      </c>
      <c r="K463" t="s">
        <v>47</v>
      </c>
      <c r="L463" t="s">
        <v>137</v>
      </c>
      <c r="M463" t="s">
        <v>28</v>
      </c>
      <c r="N463">
        <v>3.9</v>
      </c>
      <c r="O463">
        <v>1</v>
      </c>
      <c r="P463" t="s">
        <v>29</v>
      </c>
      <c r="Q463" t="s">
        <v>30</v>
      </c>
      <c r="R463" t="s">
        <v>30</v>
      </c>
      <c r="S463">
        <v>20</v>
      </c>
      <c r="T463" t="s">
        <v>31</v>
      </c>
      <c r="U463" t="s">
        <v>43</v>
      </c>
      <c r="V463" s="1">
        <v>45342</v>
      </c>
      <c r="W463">
        <f>Table1[[#This Row],[customer_purchase count]]+1</f>
        <v>21</v>
      </c>
      <c r="X463">
        <f>Table1[[#This Row],[customer_purchase count]]*Rules!$B$3</f>
        <v>1195.2871794871796</v>
      </c>
      <c r="Y463" t="str">
        <f>IF(Table1[[#This Row],[customer_subscription]]=1,"Subscribed","Not Subscribed")</f>
        <v>Subscribed</v>
      </c>
    </row>
    <row r="464" spans="1:26" x14ac:dyDescent="0.25">
      <c r="A464">
        <v>463</v>
      </c>
      <c r="B464">
        <v>59</v>
      </c>
      <c r="C464" t="s">
        <v>22</v>
      </c>
      <c r="D464">
        <v>463</v>
      </c>
      <c r="E464" t="s">
        <v>105</v>
      </c>
      <c r="F464" t="s">
        <v>66</v>
      </c>
      <c r="G464">
        <v>463</v>
      </c>
      <c r="H464">
        <v>754</v>
      </c>
      <c r="I464">
        <v>81</v>
      </c>
      <c r="J464" t="s">
        <v>118</v>
      </c>
      <c r="K464" t="s">
        <v>47</v>
      </c>
      <c r="L464" t="s">
        <v>55</v>
      </c>
      <c r="M464" t="s">
        <v>60</v>
      </c>
      <c r="N464">
        <v>3.3</v>
      </c>
      <c r="O464">
        <v>1</v>
      </c>
      <c r="P464" t="s">
        <v>29</v>
      </c>
      <c r="Q464" t="s">
        <v>30</v>
      </c>
      <c r="R464" t="s">
        <v>30</v>
      </c>
      <c r="S464">
        <v>48</v>
      </c>
      <c r="T464" t="s">
        <v>31</v>
      </c>
      <c r="U464" t="s">
        <v>100</v>
      </c>
      <c r="V464" s="1">
        <v>45617</v>
      </c>
      <c r="W464">
        <f>Table1[[#This Row],[customer_purchase count]]+1</f>
        <v>49</v>
      </c>
      <c r="X464">
        <f>Table1[[#This Row],[customer_purchase count]]*Rules!$B$3</f>
        <v>2868.689230769231</v>
      </c>
      <c r="Y464" t="str">
        <f>IF(Table1[[#This Row],[customer_subscription]]=1,"Subscribed","Not Subscribed")</f>
        <v>Subscribed</v>
      </c>
      <c r="Z464" t="s">
        <v>193</v>
      </c>
    </row>
    <row r="465" spans="1:26" x14ac:dyDescent="0.25">
      <c r="A465">
        <v>464</v>
      </c>
      <c r="B465">
        <v>37</v>
      </c>
      <c r="C465" t="s">
        <v>22</v>
      </c>
      <c r="D465">
        <v>464</v>
      </c>
      <c r="E465" t="s">
        <v>109</v>
      </c>
      <c r="F465" t="s">
        <v>70</v>
      </c>
      <c r="G465">
        <v>464</v>
      </c>
      <c r="H465">
        <v>755</v>
      </c>
      <c r="I465">
        <v>81</v>
      </c>
      <c r="J465" t="s">
        <v>145</v>
      </c>
      <c r="K465" t="s">
        <v>39</v>
      </c>
      <c r="L465" t="s">
        <v>124</v>
      </c>
      <c r="M465" t="s">
        <v>56</v>
      </c>
      <c r="N465">
        <v>2.7</v>
      </c>
      <c r="O465">
        <v>1</v>
      </c>
      <c r="P465" t="s">
        <v>57</v>
      </c>
      <c r="Q465" t="s">
        <v>30</v>
      </c>
      <c r="R465" t="s">
        <v>30</v>
      </c>
      <c r="S465">
        <v>29</v>
      </c>
      <c r="T465" t="s">
        <v>31</v>
      </c>
      <c r="U465" t="s">
        <v>43</v>
      </c>
      <c r="V465" s="1">
        <v>45481</v>
      </c>
      <c r="W465">
        <f>Table1[[#This Row],[customer_purchase count]]+1</f>
        <v>30</v>
      </c>
      <c r="X465">
        <f>Table1[[#This Row],[customer_purchase count]]*Rules!$B$3</f>
        <v>1733.1664102564102</v>
      </c>
      <c r="Y465" t="str">
        <f>IF(Table1[[#This Row],[customer_subscription]]=1,"Subscribed","Not Subscribed")</f>
        <v>Subscribed</v>
      </c>
    </row>
    <row r="466" spans="1:26" x14ac:dyDescent="0.25">
      <c r="A466">
        <v>465</v>
      </c>
      <c r="B466">
        <v>23</v>
      </c>
      <c r="C466" t="s">
        <v>22</v>
      </c>
      <c r="D466">
        <v>465</v>
      </c>
      <c r="E466" t="s">
        <v>92</v>
      </c>
      <c r="F466" t="s">
        <v>70</v>
      </c>
      <c r="G466">
        <v>465</v>
      </c>
      <c r="H466">
        <v>757</v>
      </c>
      <c r="I466">
        <v>52</v>
      </c>
      <c r="J466" t="s">
        <v>93</v>
      </c>
      <c r="K466" t="s">
        <v>47</v>
      </c>
      <c r="L466" t="s">
        <v>68</v>
      </c>
      <c r="M466" t="s">
        <v>28</v>
      </c>
      <c r="N466">
        <v>4.7</v>
      </c>
      <c r="O466">
        <v>1</v>
      </c>
      <c r="P466" t="s">
        <v>48</v>
      </c>
      <c r="Q466" t="s">
        <v>30</v>
      </c>
      <c r="R466" t="s">
        <v>30</v>
      </c>
      <c r="S466">
        <v>45</v>
      </c>
      <c r="T466" t="s">
        <v>49</v>
      </c>
      <c r="U466" t="s">
        <v>91</v>
      </c>
      <c r="V466" s="1">
        <v>45327</v>
      </c>
      <c r="W466">
        <f>Table1[[#This Row],[customer_purchase count]]+1</f>
        <v>46</v>
      </c>
      <c r="X466">
        <f>Table1[[#This Row],[customer_purchase count]]*Rules!$B$3</f>
        <v>2689.396153846154</v>
      </c>
      <c r="Y466" t="str">
        <f>IF(Table1[[#This Row],[customer_subscription]]=1,"Subscribed","Not Subscribed")</f>
        <v>Subscribed</v>
      </c>
    </row>
    <row r="467" spans="1:26" x14ac:dyDescent="0.25">
      <c r="A467">
        <v>466</v>
      </c>
      <c r="B467">
        <v>54</v>
      </c>
      <c r="C467" t="s">
        <v>22</v>
      </c>
      <c r="D467">
        <v>466</v>
      </c>
      <c r="E467" t="s">
        <v>90</v>
      </c>
      <c r="F467" t="s">
        <v>24</v>
      </c>
      <c r="G467">
        <v>466</v>
      </c>
      <c r="H467">
        <v>758</v>
      </c>
      <c r="I467">
        <v>88</v>
      </c>
      <c r="J467" t="s">
        <v>104</v>
      </c>
      <c r="K467" t="s">
        <v>47</v>
      </c>
      <c r="L467" t="s">
        <v>72</v>
      </c>
      <c r="M467" t="s">
        <v>56</v>
      </c>
      <c r="N467">
        <v>2.8</v>
      </c>
      <c r="O467">
        <v>1</v>
      </c>
      <c r="P467" t="s">
        <v>48</v>
      </c>
      <c r="Q467" t="s">
        <v>30</v>
      </c>
      <c r="R467" t="s">
        <v>30</v>
      </c>
      <c r="S467">
        <v>25</v>
      </c>
      <c r="T467" t="s">
        <v>36</v>
      </c>
      <c r="U467" t="s">
        <v>61</v>
      </c>
      <c r="V467" s="1">
        <v>45480</v>
      </c>
      <c r="W467">
        <f>Table1[[#This Row],[customer_purchase count]]+1</f>
        <v>26</v>
      </c>
      <c r="X467">
        <f>Table1[[#This Row],[customer_purchase count]]*Rules!$B$3</f>
        <v>1494.1089743589744</v>
      </c>
      <c r="Y467" t="str">
        <f>IF(Table1[[#This Row],[customer_subscription]]=1,"Subscribed","Not Subscribed")</f>
        <v>Subscribed</v>
      </c>
    </row>
    <row r="468" spans="1:26" x14ac:dyDescent="0.25">
      <c r="A468">
        <v>467</v>
      </c>
      <c r="B468">
        <v>38</v>
      </c>
      <c r="C468" t="s">
        <v>22</v>
      </c>
      <c r="D468">
        <v>467</v>
      </c>
      <c r="E468" t="s">
        <v>37</v>
      </c>
      <c r="F468" t="s">
        <v>24</v>
      </c>
      <c r="G468">
        <v>467</v>
      </c>
      <c r="H468">
        <v>759</v>
      </c>
      <c r="I468">
        <v>24</v>
      </c>
      <c r="J468" t="s">
        <v>132</v>
      </c>
      <c r="K468" t="s">
        <v>26</v>
      </c>
      <c r="L468" t="s">
        <v>51</v>
      </c>
      <c r="M468" t="s">
        <v>28</v>
      </c>
      <c r="N468">
        <v>4.5999999999999996</v>
      </c>
      <c r="O468">
        <v>1</v>
      </c>
      <c r="P468" t="s">
        <v>41</v>
      </c>
      <c r="Q468" t="s">
        <v>30</v>
      </c>
      <c r="R468" t="s">
        <v>30</v>
      </c>
      <c r="S468">
        <v>25</v>
      </c>
      <c r="T468" t="s">
        <v>49</v>
      </c>
      <c r="U468" t="s">
        <v>43</v>
      </c>
      <c r="V468" s="1">
        <v>45348</v>
      </c>
      <c r="W468">
        <f>Table1[[#This Row],[customer_purchase count]]+1</f>
        <v>26</v>
      </c>
      <c r="X468">
        <f>Table1[[#This Row],[customer_purchase count]]*Rules!$B$3</f>
        <v>1494.1089743589744</v>
      </c>
      <c r="Y468" t="str">
        <f>IF(Table1[[#This Row],[customer_subscription]]=1,"Subscribed","Not Subscribed")</f>
        <v>Subscribed</v>
      </c>
    </row>
    <row r="469" spans="1:26" x14ac:dyDescent="0.25">
      <c r="A469">
        <v>468</v>
      </c>
      <c r="B469">
        <v>19</v>
      </c>
      <c r="C469" t="s">
        <v>22</v>
      </c>
      <c r="D469">
        <v>468</v>
      </c>
      <c r="E469" t="s">
        <v>135</v>
      </c>
      <c r="F469" t="s">
        <v>70</v>
      </c>
      <c r="G469">
        <v>468</v>
      </c>
      <c r="H469">
        <v>760</v>
      </c>
      <c r="I469">
        <v>51</v>
      </c>
      <c r="J469" t="s">
        <v>148</v>
      </c>
      <c r="K469" t="s">
        <v>39</v>
      </c>
      <c r="L469" t="s">
        <v>124</v>
      </c>
      <c r="M469" t="s">
        <v>40</v>
      </c>
      <c r="N469">
        <v>4.5</v>
      </c>
      <c r="O469">
        <v>1</v>
      </c>
      <c r="P469" t="s">
        <v>73</v>
      </c>
      <c r="Q469" t="s">
        <v>30</v>
      </c>
      <c r="R469" t="s">
        <v>30</v>
      </c>
      <c r="S469">
        <v>37</v>
      </c>
      <c r="T469" t="s">
        <v>89</v>
      </c>
      <c r="U469" t="s">
        <v>100</v>
      </c>
      <c r="V469" s="1">
        <v>45371</v>
      </c>
      <c r="W469">
        <f>Table1[[#This Row],[customer_purchase count]]+1</f>
        <v>38</v>
      </c>
      <c r="X469">
        <f>Table1[[#This Row],[customer_purchase count]]*Rules!$B$3</f>
        <v>2211.2812820512822</v>
      </c>
      <c r="Y469" t="str">
        <f>IF(Table1[[#This Row],[customer_subscription]]=1,"Subscribed","Not Subscribed")</f>
        <v>Subscribed</v>
      </c>
    </row>
    <row r="470" spans="1:26" x14ac:dyDescent="0.25">
      <c r="A470">
        <v>469</v>
      </c>
      <c r="B470">
        <v>34</v>
      </c>
      <c r="C470" t="s">
        <v>22</v>
      </c>
      <c r="D470">
        <v>469</v>
      </c>
      <c r="E470" t="s">
        <v>135</v>
      </c>
      <c r="F470" t="s">
        <v>70</v>
      </c>
      <c r="G470">
        <v>469</v>
      </c>
      <c r="H470">
        <v>761</v>
      </c>
      <c r="I470">
        <v>38</v>
      </c>
      <c r="J470" t="s">
        <v>145</v>
      </c>
      <c r="K470" t="s">
        <v>39</v>
      </c>
      <c r="L470" t="s">
        <v>103</v>
      </c>
      <c r="M470" t="s">
        <v>60</v>
      </c>
      <c r="N470">
        <v>5</v>
      </c>
      <c r="O470">
        <v>1</v>
      </c>
      <c r="P470" t="s">
        <v>41</v>
      </c>
      <c r="Q470" t="s">
        <v>30</v>
      </c>
      <c r="R470" t="s">
        <v>30</v>
      </c>
      <c r="S470">
        <v>16</v>
      </c>
      <c r="T470" t="s">
        <v>36</v>
      </c>
      <c r="U470" t="s">
        <v>61</v>
      </c>
      <c r="V470" s="1">
        <v>45550</v>
      </c>
      <c r="W470">
        <f>Table1[[#This Row],[customer_purchase count]]+1</f>
        <v>17</v>
      </c>
      <c r="X470">
        <f>Table1[[#This Row],[customer_purchase count]]*Rules!$B$3</f>
        <v>956.22974358974363</v>
      </c>
      <c r="Y470" t="str">
        <f>IF(Table1[[#This Row],[customer_subscription]]=1,"Subscribed","Not Subscribed")</f>
        <v>Subscribed</v>
      </c>
    </row>
    <row r="471" spans="1:26" x14ac:dyDescent="0.25">
      <c r="A471">
        <v>470</v>
      </c>
      <c r="B471">
        <v>21</v>
      </c>
      <c r="C471" t="s">
        <v>22</v>
      </c>
      <c r="D471">
        <v>470</v>
      </c>
      <c r="E471" t="s">
        <v>62</v>
      </c>
      <c r="F471" t="s">
        <v>24</v>
      </c>
      <c r="G471">
        <v>470</v>
      </c>
      <c r="H471">
        <v>763</v>
      </c>
      <c r="I471">
        <v>46</v>
      </c>
      <c r="J471" t="s">
        <v>93</v>
      </c>
      <c r="K471" t="s">
        <v>26</v>
      </c>
      <c r="L471" t="s">
        <v>72</v>
      </c>
      <c r="M471" t="s">
        <v>60</v>
      </c>
      <c r="N471">
        <v>4.0999999999999996</v>
      </c>
      <c r="O471">
        <v>1</v>
      </c>
      <c r="P471" t="s">
        <v>73</v>
      </c>
      <c r="Q471" t="s">
        <v>30</v>
      </c>
      <c r="R471" t="s">
        <v>30</v>
      </c>
      <c r="S471">
        <v>30</v>
      </c>
      <c r="T471" t="s">
        <v>89</v>
      </c>
      <c r="U471" t="s">
        <v>79</v>
      </c>
      <c r="V471" s="1">
        <v>45539</v>
      </c>
      <c r="W471">
        <f>Table1[[#This Row],[customer_purchase count]]+1</f>
        <v>31</v>
      </c>
      <c r="X471">
        <f>Table1[[#This Row],[customer_purchase count]]*Rules!$B$3</f>
        <v>1792.9307692307693</v>
      </c>
      <c r="Y471" t="str">
        <f>IF(Table1[[#This Row],[customer_subscription]]=1,"Subscribed","Not Subscribed")</f>
        <v>Subscribed</v>
      </c>
    </row>
    <row r="472" spans="1:26" x14ac:dyDescent="0.25">
      <c r="A472">
        <v>471</v>
      </c>
      <c r="B472">
        <v>50</v>
      </c>
      <c r="C472" t="s">
        <v>22</v>
      </c>
      <c r="D472">
        <v>471</v>
      </c>
      <c r="E472" t="s">
        <v>84</v>
      </c>
      <c r="F472" t="s">
        <v>24</v>
      </c>
      <c r="G472">
        <v>471</v>
      </c>
      <c r="H472">
        <v>764</v>
      </c>
      <c r="I472">
        <v>63</v>
      </c>
      <c r="J472" t="s">
        <v>151</v>
      </c>
      <c r="K472" t="s">
        <v>26</v>
      </c>
      <c r="L472" t="s">
        <v>88</v>
      </c>
      <c r="M472" t="s">
        <v>56</v>
      </c>
      <c r="N472">
        <v>4.5999999999999996</v>
      </c>
      <c r="O472">
        <v>1</v>
      </c>
      <c r="P472" t="s">
        <v>29</v>
      </c>
      <c r="Q472" t="s">
        <v>30</v>
      </c>
      <c r="R472" t="s">
        <v>30</v>
      </c>
      <c r="S472">
        <v>6</v>
      </c>
      <c r="T472" t="s">
        <v>36</v>
      </c>
      <c r="U472" t="s">
        <v>100</v>
      </c>
      <c r="V472" s="1">
        <v>45491</v>
      </c>
      <c r="W472">
        <f>Table1[[#This Row],[customer_purchase count]]+1</f>
        <v>7</v>
      </c>
      <c r="X472">
        <f>Table1[[#This Row],[customer_purchase count]]*Rules!$B$3</f>
        <v>358.58615384615388</v>
      </c>
      <c r="Y472" t="str">
        <f>IF(Table1[[#This Row],[customer_subscription]]=1,"Subscribed","Not Subscribed")</f>
        <v>Subscribed</v>
      </c>
    </row>
    <row r="473" spans="1:26" x14ac:dyDescent="0.25">
      <c r="A473">
        <v>472</v>
      </c>
      <c r="B473">
        <v>55</v>
      </c>
      <c r="C473" t="s">
        <v>22</v>
      </c>
      <c r="D473">
        <v>472</v>
      </c>
      <c r="E473" t="s">
        <v>122</v>
      </c>
      <c r="F473" t="s">
        <v>70</v>
      </c>
      <c r="G473">
        <v>472</v>
      </c>
      <c r="H473">
        <v>765</v>
      </c>
      <c r="I473">
        <v>72</v>
      </c>
      <c r="J473" t="s">
        <v>71</v>
      </c>
      <c r="K473" t="s">
        <v>95</v>
      </c>
      <c r="L473" t="s">
        <v>55</v>
      </c>
      <c r="M473" t="s">
        <v>28</v>
      </c>
      <c r="N473">
        <v>4.9000000000000004</v>
      </c>
      <c r="O473">
        <v>1</v>
      </c>
      <c r="P473" t="s">
        <v>73</v>
      </c>
      <c r="Q473" t="s">
        <v>30</v>
      </c>
      <c r="R473" t="s">
        <v>30</v>
      </c>
      <c r="S473">
        <v>36</v>
      </c>
      <c r="T473" t="s">
        <v>78</v>
      </c>
      <c r="U473" t="s">
        <v>61</v>
      </c>
      <c r="V473" s="1">
        <v>45301</v>
      </c>
      <c r="W473">
        <f>Table1[[#This Row],[customer_purchase count]]+1</f>
        <v>37</v>
      </c>
      <c r="X473">
        <f>Table1[[#This Row],[customer_purchase count]]*Rules!$B$3</f>
        <v>2151.5169230769234</v>
      </c>
      <c r="Y473" t="str">
        <f>IF(Table1[[#This Row],[customer_subscription]]=1,"Subscribed","Not Subscribed")</f>
        <v>Subscribed</v>
      </c>
      <c r="Z473" t="s">
        <v>193</v>
      </c>
    </row>
    <row r="474" spans="1:26" x14ac:dyDescent="0.25">
      <c r="A474">
        <v>473</v>
      </c>
      <c r="B474">
        <v>20</v>
      </c>
      <c r="C474" t="s">
        <v>22</v>
      </c>
      <c r="D474">
        <v>473</v>
      </c>
      <c r="E474" t="s">
        <v>37</v>
      </c>
      <c r="F474" t="s">
        <v>24</v>
      </c>
      <c r="G474">
        <v>473</v>
      </c>
      <c r="H474">
        <v>766</v>
      </c>
      <c r="I474">
        <v>39</v>
      </c>
      <c r="J474" t="s">
        <v>145</v>
      </c>
      <c r="K474" t="s">
        <v>26</v>
      </c>
      <c r="L474" t="s">
        <v>27</v>
      </c>
      <c r="M474" t="s">
        <v>28</v>
      </c>
      <c r="N474">
        <v>3.9</v>
      </c>
      <c r="O474">
        <v>1</v>
      </c>
      <c r="P474" t="s">
        <v>41</v>
      </c>
      <c r="Q474" t="s">
        <v>30</v>
      </c>
      <c r="R474" t="s">
        <v>30</v>
      </c>
      <c r="S474">
        <v>3</v>
      </c>
      <c r="T474" t="s">
        <v>78</v>
      </c>
      <c r="U474" t="s">
        <v>61</v>
      </c>
      <c r="V474" s="1">
        <v>45635</v>
      </c>
      <c r="W474">
        <f>Table1[[#This Row],[customer_purchase count]]+1</f>
        <v>4</v>
      </c>
      <c r="X474">
        <f>Table1[[#This Row],[customer_purchase count]]*Rules!$B$3</f>
        <v>179.29307692307694</v>
      </c>
      <c r="Y474" t="str">
        <f>IF(Table1[[#This Row],[customer_subscription]]=1,"Subscribed","Not Subscribed")</f>
        <v>Subscribed</v>
      </c>
    </row>
    <row r="475" spans="1:26" x14ac:dyDescent="0.25">
      <c r="A475">
        <v>474</v>
      </c>
      <c r="B475">
        <v>34</v>
      </c>
      <c r="C475" t="s">
        <v>22</v>
      </c>
      <c r="D475">
        <v>474</v>
      </c>
      <c r="E475" t="s">
        <v>65</v>
      </c>
      <c r="F475" t="s">
        <v>66</v>
      </c>
      <c r="G475">
        <v>474</v>
      </c>
      <c r="H475">
        <v>767</v>
      </c>
      <c r="I475">
        <v>42</v>
      </c>
      <c r="J475" t="s">
        <v>67</v>
      </c>
      <c r="K475" t="s">
        <v>26</v>
      </c>
      <c r="L475" t="s">
        <v>81</v>
      </c>
      <c r="M475" t="s">
        <v>40</v>
      </c>
      <c r="N475">
        <v>3.9</v>
      </c>
      <c r="O475">
        <v>1</v>
      </c>
      <c r="P475" t="s">
        <v>77</v>
      </c>
      <c r="Q475" t="s">
        <v>30</v>
      </c>
      <c r="R475" t="s">
        <v>30</v>
      </c>
      <c r="S475">
        <v>29</v>
      </c>
      <c r="T475" t="s">
        <v>49</v>
      </c>
      <c r="U475" t="s">
        <v>100</v>
      </c>
      <c r="V475" s="1">
        <v>45394</v>
      </c>
      <c r="W475">
        <f>Table1[[#This Row],[customer_purchase count]]+1</f>
        <v>30</v>
      </c>
      <c r="X475">
        <f>Table1[[#This Row],[customer_purchase count]]*Rules!$B$3</f>
        <v>1733.1664102564102</v>
      </c>
      <c r="Y475" t="str">
        <f>IF(Table1[[#This Row],[customer_subscription]]=1,"Subscribed","Not Subscribed")</f>
        <v>Subscribed</v>
      </c>
    </row>
    <row r="476" spans="1:26" x14ac:dyDescent="0.25">
      <c r="A476">
        <v>475</v>
      </c>
      <c r="B476">
        <v>62</v>
      </c>
      <c r="C476" t="s">
        <v>22</v>
      </c>
      <c r="D476">
        <v>475</v>
      </c>
      <c r="E476" t="s">
        <v>33</v>
      </c>
      <c r="F476" t="s">
        <v>24</v>
      </c>
      <c r="G476">
        <v>475</v>
      </c>
      <c r="H476">
        <v>769</v>
      </c>
      <c r="I476">
        <v>76</v>
      </c>
      <c r="J476" t="s">
        <v>75</v>
      </c>
      <c r="K476" t="s">
        <v>95</v>
      </c>
      <c r="L476" t="s">
        <v>35</v>
      </c>
      <c r="M476" t="s">
        <v>56</v>
      </c>
      <c r="N476">
        <v>2.6</v>
      </c>
      <c r="O476">
        <v>1</v>
      </c>
      <c r="P476" t="s">
        <v>73</v>
      </c>
      <c r="Q476" t="s">
        <v>30</v>
      </c>
      <c r="R476" t="s">
        <v>30</v>
      </c>
      <c r="S476">
        <v>15</v>
      </c>
      <c r="T476" t="s">
        <v>36</v>
      </c>
      <c r="U476" t="s">
        <v>61</v>
      </c>
      <c r="V476" s="1">
        <v>45462</v>
      </c>
      <c r="W476">
        <f>Table1[[#This Row],[customer_purchase count]]+1</f>
        <v>16</v>
      </c>
      <c r="X476">
        <f>Table1[[#This Row],[customer_purchase count]]*Rules!$B$3</f>
        <v>896.46538461538466</v>
      </c>
      <c r="Y476" t="str">
        <f>IF(Table1[[#This Row],[customer_subscription]]=1,"Subscribed","Not Subscribed")</f>
        <v>Subscribed</v>
      </c>
    </row>
    <row r="477" spans="1:26" x14ac:dyDescent="0.25">
      <c r="A477">
        <v>476</v>
      </c>
      <c r="B477">
        <v>21</v>
      </c>
      <c r="C477" t="s">
        <v>22</v>
      </c>
      <c r="D477">
        <v>476</v>
      </c>
      <c r="E477" t="s">
        <v>53</v>
      </c>
      <c r="F477" t="s">
        <v>45</v>
      </c>
      <c r="G477">
        <v>476</v>
      </c>
      <c r="H477">
        <v>770</v>
      </c>
      <c r="I477">
        <v>66</v>
      </c>
      <c r="J477" t="s">
        <v>126</v>
      </c>
      <c r="K477" t="s">
        <v>26</v>
      </c>
      <c r="L477" t="s">
        <v>139</v>
      </c>
      <c r="M477" t="s">
        <v>56</v>
      </c>
      <c r="N477">
        <v>2.7</v>
      </c>
      <c r="O477">
        <v>1</v>
      </c>
      <c r="P477" t="s">
        <v>41</v>
      </c>
      <c r="Q477" t="s">
        <v>30</v>
      </c>
      <c r="R477" t="s">
        <v>30</v>
      </c>
      <c r="S477">
        <v>18</v>
      </c>
      <c r="T477" t="s">
        <v>89</v>
      </c>
      <c r="U477" t="s">
        <v>52</v>
      </c>
      <c r="V477" s="1">
        <v>45501</v>
      </c>
      <c r="W477">
        <f>Table1[[#This Row],[customer_purchase count]]+1</f>
        <v>19</v>
      </c>
      <c r="X477">
        <f>Table1[[#This Row],[customer_purchase count]]*Rules!$B$3</f>
        <v>1075.7584615384617</v>
      </c>
      <c r="Y477" t="str">
        <f>IF(Table1[[#This Row],[customer_subscription]]=1,"Subscribed","Not Subscribed")</f>
        <v>Subscribed</v>
      </c>
    </row>
    <row r="478" spans="1:26" x14ac:dyDescent="0.25">
      <c r="A478">
        <v>477</v>
      </c>
      <c r="B478">
        <v>21</v>
      </c>
      <c r="C478" t="s">
        <v>22</v>
      </c>
      <c r="D478">
        <v>477</v>
      </c>
      <c r="E478" t="s">
        <v>122</v>
      </c>
      <c r="F478" t="s">
        <v>70</v>
      </c>
      <c r="G478">
        <v>477</v>
      </c>
      <c r="H478">
        <v>771</v>
      </c>
      <c r="I478">
        <v>90</v>
      </c>
      <c r="J478" t="s">
        <v>142</v>
      </c>
      <c r="K478" t="s">
        <v>47</v>
      </c>
      <c r="L478" t="s">
        <v>139</v>
      </c>
      <c r="M478" t="s">
        <v>40</v>
      </c>
      <c r="N478">
        <v>3.5</v>
      </c>
      <c r="O478">
        <v>1</v>
      </c>
      <c r="P478" t="s">
        <v>41</v>
      </c>
      <c r="Q478" t="s">
        <v>30</v>
      </c>
      <c r="R478" t="s">
        <v>30</v>
      </c>
      <c r="S478">
        <v>2</v>
      </c>
      <c r="T478" t="s">
        <v>89</v>
      </c>
      <c r="U478" t="s">
        <v>32</v>
      </c>
      <c r="V478" s="1">
        <v>45402</v>
      </c>
      <c r="W478">
        <f>Table1[[#This Row],[customer_purchase count]]+1</f>
        <v>3</v>
      </c>
      <c r="X478">
        <f>Table1[[#This Row],[customer_purchase count]]*Rules!$B$3</f>
        <v>119.52871794871795</v>
      </c>
      <c r="Y478" t="str">
        <f>IF(Table1[[#This Row],[customer_subscription]]=1,"Subscribed","Not Subscribed")</f>
        <v>Subscribed</v>
      </c>
    </row>
    <row r="479" spans="1:26" x14ac:dyDescent="0.25">
      <c r="A479">
        <v>478</v>
      </c>
      <c r="B479">
        <v>42</v>
      </c>
      <c r="C479" t="s">
        <v>22</v>
      </c>
      <c r="D479">
        <v>478</v>
      </c>
      <c r="E479" t="s">
        <v>33</v>
      </c>
      <c r="F479" t="s">
        <v>24</v>
      </c>
      <c r="G479">
        <v>478</v>
      </c>
      <c r="H479">
        <v>772</v>
      </c>
      <c r="I479">
        <v>56</v>
      </c>
      <c r="J479" t="s">
        <v>117</v>
      </c>
      <c r="K479" t="s">
        <v>47</v>
      </c>
      <c r="L479" t="s">
        <v>99</v>
      </c>
      <c r="M479" t="s">
        <v>56</v>
      </c>
      <c r="N479">
        <v>3.7</v>
      </c>
      <c r="O479">
        <v>1</v>
      </c>
      <c r="P479" t="s">
        <v>41</v>
      </c>
      <c r="Q479" t="s">
        <v>30</v>
      </c>
      <c r="R479" t="s">
        <v>30</v>
      </c>
      <c r="S479">
        <v>49</v>
      </c>
      <c r="T479" t="s">
        <v>89</v>
      </c>
      <c r="U479" t="s">
        <v>43</v>
      </c>
      <c r="V479" s="1">
        <v>45489</v>
      </c>
      <c r="W479">
        <f>Table1[[#This Row],[customer_purchase count]]+1</f>
        <v>50</v>
      </c>
      <c r="X479">
        <f>Table1[[#This Row],[customer_purchase count]]*Rules!$B$3</f>
        <v>2928.4535897435899</v>
      </c>
      <c r="Y479" t="str">
        <f>IF(Table1[[#This Row],[customer_subscription]]=1,"Subscribed","Not Subscribed")</f>
        <v>Subscribed</v>
      </c>
      <c r="Z479" t="s">
        <v>193</v>
      </c>
    </row>
    <row r="480" spans="1:26" x14ac:dyDescent="0.25">
      <c r="A480">
        <v>479</v>
      </c>
      <c r="B480">
        <v>35</v>
      </c>
      <c r="C480" t="s">
        <v>22</v>
      </c>
      <c r="D480">
        <v>479</v>
      </c>
      <c r="E480" t="s">
        <v>109</v>
      </c>
      <c r="F480" t="s">
        <v>70</v>
      </c>
      <c r="G480">
        <v>479</v>
      </c>
      <c r="H480">
        <v>773</v>
      </c>
      <c r="I480">
        <v>43</v>
      </c>
      <c r="J480" t="s">
        <v>114</v>
      </c>
      <c r="K480" t="s">
        <v>95</v>
      </c>
      <c r="L480" t="s">
        <v>51</v>
      </c>
      <c r="M480" t="s">
        <v>28</v>
      </c>
      <c r="N480">
        <v>3.2</v>
      </c>
      <c r="O480">
        <v>1</v>
      </c>
      <c r="P480" t="s">
        <v>41</v>
      </c>
      <c r="Q480" t="s">
        <v>30</v>
      </c>
      <c r="R480" t="s">
        <v>30</v>
      </c>
      <c r="S480">
        <v>48</v>
      </c>
      <c r="T480" t="s">
        <v>31</v>
      </c>
      <c r="U480" t="s">
        <v>52</v>
      </c>
      <c r="V480" s="1">
        <v>45328</v>
      </c>
      <c r="W480">
        <f>Table1[[#This Row],[customer_purchase count]]+1</f>
        <v>49</v>
      </c>
      <c r="X480">
        <f>Table1[[#This Row],[customer_purchase count]]*Rules!$B$3</f>
        <v>2868.689230769231</v>
      </c>
      <c r="Y480" t="str">
        <f>IF(Table1[[#This Row],[customer_subscription]]=1,"Subscribed","Not Subscribed")</f>
        <v>Subscribed</v>
      </c>
      <c r="Z480" t="s">
        <v>193</v>
      </c>
    </row>
    <row r="481" spans="1:26" x14ac:dyDescent="0.25">
      <c r="A481">
        <v>480</v>
      </c>
      <c r="B481">
        <v>39</v>
      </c>
      <c r="C481" t="s">
        <v>22</v>
      </c>
      <c r="D481">
        <v>480</v>
      </c>
      <c r="E481" t="s">
        <v>69</v>
      </c>
      <c r="F481" t="s">
        <v>70</v>
      </c>
      <c r="G481">
        <v>480</v>
      </c>
      <c r="H481">
        <v>775</v>
      </c>
      <c r="I481">
        <v>84</v>
      </c>
      <c r="J481" t="s">
        <v>149</v>
      </c>
      <c r="K481" t="s">
        <v>26</v>
      </c>
      <c r="L481" t="s">
        <v>137</v>
      </c>
      <c r="M481" t="s">
        <v>28</v>
      </c>
      <c r="N481">
        <v>3.3</v>
      </c>
      <c r="O481">
        <v>1</v>
      </c>
      <c r="P481" t="s">
        <v>77</v>
      </c>
      <c r="Q481" t="s">
        <v>30</v>
      </c>
      <c r="R481" t="s">
        <v>30</v>
      </c>
      <c r="S481">
        <v>43</v>
      </c>
      <c r="T481" t="s">
        <v>31</v>
      </c>
      <c r="U481" t="s">
        <v>91</v>
      </c>
      <c r="V481" s="1">
        <v>45346</v>
      </c>
      <c r="W481">
        <f>Table1[[#This Row],[customer_purchase count]]+1</f>
        <v>44</v>
      </c>
      <c r="X481">
        <f>Table1[[#This Row],[customer_purchase count]]*Rules!$B$3</f>
        <v>2569.8674358974358</v>
      </c>
      <c r="Y481" t="str">
        <f>IF(Table1[[#This Row],[customer_subscription]]=1,"Subscribed","Not Subscribed")</f>
        <v>Subscribed</v>
      </c>
      <c r="Z481" t="s">
        <v>193</v>
      </c>
    </row>
    <row r="482" spans="1:26" x14ac:dyDescent="0.25">
      <c r="A482">
        <v>481</v>
      </c>
      <c r="B482">
        <v>68</v>
      </c>
      <c r="C482" t="s">
        <v>22</v>
      </c>
      <c r="D482">
        <v>481</v>
      </c>
      <c r="E482" t="s">
        <v>107</v>
      </c>
      <c r="F482" t="s">
        <v>24</v>
      </c>
      <c r="G482">
        <v>481</v>
      </c>
      <c r="H482">
        <v>776</v>
      </c>
      <c r="I482">
        <v>88</v>
      </c>
      <c r="J482" t="s">
        <v>132</v>
      </c>
      <c r="K482" t="s">
        <v>47</v>
      </c>
      <c r="L482" t="s">
        <v>27</v>
      </c>
      <c r="M482" t="s">
        <v>56</v>
      </c>
      <c r="N482">
        <v>4.8</v>
      </c>
      <c r="O482">
        <v>1</v>
      </c>
      <c r="P482" t="s">
        <v>57</v>
      </c>
      <c r="Q482" t="s">
        <v>30</v>
      </c>
      <c r="R482" t="s">
        <v>30</v>
      </c>
      <c r="S482">
        <v>30</v>
      </c>
      <c r="T482" t="s">
        <v>89</v>
      </c>
      <c r="U482" t="s">
        <v>79</v>
      </c>
      <c r="V482" s="1">
        <v>45447</v>
      </c>
      <c r="W482">
        <f>Table1[[#This Row],[customer_purchase count]]+1</f>
        <v>31</v>
      </c>
      <c r="X482">
        <f>Table1[[#This Row],[customer_purchase count]]*Rules!$B$3</f>
        <v>1792.9307692307693</v>
      </c>
      <c r="Y482" t="str">
        <f>IF(Table1[[#This Row],[customer_subscription]]=1,"Subscribed","Not Subscribed")</f>
        <v>Subscribed</v>
      </c>
    </row>
    <row r="483" spans="1:26" x14ac:dyDescent="0.25">
      <c r="A483">
        <v>482</v>
      </c>
      <c r="B483">
        <v>46</v>
      </c>
      <c r="C483" t="s">
        <v>22</v>
      </c>
      <c r="D483">
        <v>482</v>
      </c>
      <c r="E483" t="s">
        <v>127</v>
      </c>
      <c r="F483" t="s">
        <v>70</v>
      </c>
      <c r="G483">
        <v>482</v>
      </c>
      <c r="H483">
        <v>777</v>
      </c>
      <c r="I483">
        <v>88</v>
      </c>
      <c r="J483" t="s">
        <v>153</v>
      </c>
      <c r="K483" t="s">
        <v>26</v>
      </c>
      <c r="L483" t="s">
        <v>103</v>
      </c>
      <c r="M483" t="s">
        <v>60</v>
      </c>
      <c r="N483">
        <v>3.2</v>
      </c>
      <c r="O483">
        <v>1</v>
      </c>
      <c r="P483" t="s">
        <v>73</v>
      </c>
      <c r="Q483" t="s">
        <v>30</v>
      </c>
      <c r="R483" t="s">
        <v>30</v>
      </c>
      <c r="S483">
        <v>10</v>
      </c>
      <c r="T483" t="s">
        <v>49</v>
      </c>
      <c r="U483" t="s">
        <v>32</v>
      </c>
      <c r="V483" s="1">
        <v>45554</v>
      </c>
      <c r="W483">
        <f>Table1[[#This Row],[customer_purchase count]]+1</f>
        <v>11</v>
      </c>
      <c r="X483">
        <f>Table1[[#This Row],[customer_purchase count]]*Rules!$B$3</f>
        <v>597.64358974358981</v>
      </c>
      <c r="Y483" t="str">
        <f>IF(Table1[[#This Row],[customer_subscription]]=1,"Subscribed","Not Subscribed")</f>
        <v>Subscribed</v>
      </c>
    </row>
    <row r="484" spans="1:26" x14ac:dyDescent="0.25">
      <c r="A484">
        <v>483</v>
      </c>
      <c r="B484">
        <v>41</v>
      </c>
      <c r="C484" t="s">
        <v>22</v>
      </c>
      <c r="D484">
        <v>483</v>
      </c>
      <c r="E484" t="s">
        <v>136</v>
      </c>
      <c r="F484" t="s">
        <v>70</v>
      </c>
      <c r="G484">
        <v>483</v>
      </c>
      <c r="H484">
        <v>778</v>
      </c>
      <c r="I484">
        <v>42</v>
      </c>
      <c r="J484" t="s">
        <v>142</v>
      </c>
      <c r="K484" t="s">
        <v>47</v>
      </c>
      <c r="L484" t="s">
        <v>137</v>
      </c>
      <c r="M484" t="s">
        <v>28</v>
      </c>
      <c r="N484">
        <v>2.5</v>
      </c>
      <c r="O484">
        <v>1</v>
      </c>
      <c r="P484" t="s">
        <v>73</v>
      </c>
      <c r="Q484" t="s">
        <v>30</v>
      </c>
      <c r="R484" t="s">
        <v>30</v>
      </c>
      <c r="S484">
        <v>11</v>
      </c>
      <c r="T484" t="s">
        <v>31</v>
      </c>
      <c r="U484" t="s">
        <v>52</v>
      </c>
      <c r="V484" s="1">
        <v>45314</v>
      </c>
      <c r="W484">
        <f>Table1[[#This Row],[customer_purchase count]]+1</f>
        <v>12</v>
      </c>
      <c r="X484">
        <f>Table1[[#This Row],[customer_purchase count]]*Rules!$B$3</f>
        <v>657.40794871794878</v>
      </c>
      <c r="Y484" t="str">
        <f>IF(Table1[[#This Row],[customer_subscription]]=1,"Subscribed","Not Subscribed")</f>
        <v>Subscribed</v>
      </c>
    </row>
    <row r="485" spans="1:26" x14ac:dyDescent="0.25">
      <c r="A485">
        <v>484</v>
      </c>
      <c r="B485">
        <v>23</v>
      </c>
      <c r="C485" t="s">
        <v>22</v>
      </c>
      <c r="D485">
        <v>484</v>
      </c>
      <c r="E485" t="s">
        <v>107</v>
      </c>
      <c r="F485" t="s">
        <v>24</v>
      </c>
      <c r="G485">
        <v>484</v>
      </c>
      <c r="H485">
        <v>779</v>
      </c>
      <c r="I485">
        <v>73</v>
      </c>
      <c r="J485" t="s">
        <v>104</v>
      </c>
      <c r="K485" t="s">
        <v>47</v>
      </c>
      <c r="L485" t="s">
        <v>55</v>
      </c>
      <c r="M485" t="s">
        <v>60</v>
      </c>
      <c r="N485">
        <v>3.9</v>
      </c>
      <c r="O485">
        <v>1</v>
      </c>
      <c r="P485" t="s">
        <v>77</v>
      </c>
      <c r="Q485" t="s">
        <v>30</v>
      </c>
      <c r="R485" t="s">
        <v>30</v>
      </c>
      <c r="S485">
        <v>12</v>
      </c>
      <c r="T485" t="s">
        <v>89</v>
      </c>
      <c r="U485" t="s">
        <v>43</v>
      </c>
      <c r="V485" s="1">
        <v>45615</v>
      </c>
      <c r="W485">
        <f>Table1[[#This Row],[customer_purchase count]]+1</f>
        <v>13</v>
      </c>
      <c r="X485">
        <f>Table1[[#This Row],[customer_purchase count]]*Rules!$B$3</f>
        <v>717.17230769230775</v>
      </c>
      <c r="Y485" t="str">
        <f>IF(Table1[[#This Row],[customer_subscription]]=1,"Subscribed","Not Subscribed")</f>
        <v>Subscribed</v>
      </c>
      <c r="Z485" t="s">
        <v>187</v>
      </c>
    </row>
    <row r="486" spans="1:26" x14ac:dyDescent="0.25">
      <c r="A486">
        <v>485</v>
      </c>
      <c r="B486">
        <v>68</v>
      </c>
      <c r="C486" t="s">
        <v>22</v>
      </c>
      <c r="D486">
        <v>485</v>
      </c>
      <c r="E486" t="s">
        <v>127</v>
      </c>
      <c r="F486" t="s">
        <v>70</v>
      </c>
      <c r="G486">
        <v>485</v>
      </c>
      <c r="H486">
        <v>781</v>
      </c>
      <c r="I486">
        <v>73</v>
      </c>
      <c r="J486" t="s">
        <v>71</v>
      </c>
      <c r="K486" t="s">
        <v>26</v>
      </c>
      <c r="L486" t="s">
        <v>96</v>
      </c>
      <c r="M486" t="s">
        <v>56</v>
      </c>
      <c r="N486">
        <v>4.7</v>
      </c>
      <c r="O486">
        <v>1</v>
      </c>
      <c r="P486" t="s">
        <v>41</v>
      </c>
      <c r="Q486" t="s">
        <v>30</v>
      </c>
      <c r="R486" t="s">
        <v>30</v>
      </c>
      <c r="S486">
        <v>28</v>
      </c>
      <c r="T486" t="s">
        <v>78</v>
      </c>
      <c r="U486" t="s">
        <v>61</v>
      </c>
      <c r="V486" s="1">
        <v>45528</v>
      </c>
      <c r="W486">
        <f>Table1[[#This Row],[customer_purchase count]]+1</f>
        <v>29</v>
      </c>
      <c r="X486">
        <f>Table1[[#This Row],[customer_purchase count]]*Rules!$B$3</f>
        <v>1673.4020512820514</v>
      </c>
      <c r="Y486" t="str">
        <f>IF(Table1[[#This Row],[customer_subscription]]=1,"Subscribed","Not Subscribed")</f>
        <v>Subscribed</v>
      </c>
    </row>
    <row r="487" spans="1:26" x14ac:dyDescent="0.25">
      <c r="A487">
        <v>486</v>
      </c>
      <c r="B487">
        <v>48</v>
      </c>
      <c r="C487" t="s">
        <v>22</v>
      </c>
      <c r="D487">
        <v>486</v>
      </c>
      <c r="E487" t="s">
        <v>74</v>
      </c>
      <c r="F487" t="s">
        <v>45</v>
      </c>
      <c r="G487">
        <v>486</v>
      </c>
      <c r="H487">
        <v>782</v>
      </c>
      <c r="I487">
        <v>44</v>
      </c>
      <c r="J487" t="s">
        <v>125</v>
      </c>
      <c r="K487" t="s">
        <v>39</v>
      </c>
      <c r="L487" t="s">
        <v>147</v>
      </c>
      <c r="M487" t="s">
        <v>40</v>
      </c>
      <c r="N487">
        <v>2.6</v>
      </c>
      <c r="O487">
        <v>1</v>
      </c>
      <c r="P487" t="s">
        <v>48</v>
      </c>
      <c r="Q487" t="s">
        <v>30</v>
      </c>
      <c r="R487" t="s">
        <v>30</v>
      </c>
      <c r="S487">
        <v>36</v>
      </c>
      <c r="T487" t="s">
        <v>89</v>
      </c>
      <c r="U487" t="s">
        <v>32</v>
      </c>
      <c r="V487" s="1">
        <v>45365</v>
      </c>
      <c r="W487">
        <f>Table1[[#This Row],[customer_purchase count]]+1</f>
        <v>37</v>
      </c>
      <c r="X487">
        <f>Table1[[#This Row],[customer_purchase count]]*Rules!$B$3</f>
        <v>2151.5169230769234</v>
      </c>
      <c r="Y487" t="str">
        <f>IF(Table1[[#This Row],[customer_subscription]]=1,"Subscribed","Not Subscribed")</f>
        <v>Subscribed</v>
      </c>
      <c r="Z487" t="s">
        <v>193</v>
      </c>
    </row>
    <row r="488" spans="1:26" x14ac:dyDescent="0.25">
      <c r="A488">
        <v>487</v>
      </c>
      <c r="B488">
        <v>38</v>
      </c>
      <c r="C488" t="s">
        <v>22</v>
      </c>
      <c r="D488">
        <v>487</v>
      </c>
      <c r="E488" t="s">
        <v>44</v>
      </c>
      <c r="F488" t="s">
        <v>45</v>
      </c>
      <c r="G488">
        <v>487</v>
      </c>
      <c r="H488">
        <v>783</v>
      </c>
      <c r="I488">
        <v>63</v>
      </c>
      <c r="J488" t="s">
        <v>133</v>
      </c>
      <c r="K488" t="s">
        <v>47</v>
      </c>
      <c r="L488" t="s">
        <v>64</v>
      </c>
      <c r="M488" t="s">
        <v>60</v>
      </c>
      <c r="N488">
        <v>2.8</v>
      </c>
      <c r="O488">
        <v>1</v>
      </c>
      <c r="P488" t="s">
        <v>77</v>
      </c>
      <c r="Q488" t="s">
        <v>30</v>
      </c>
      <c r="R488" t="s">
        <v>30</v>
      </c>
      <c r="S488">
        <v>37</v>
      </c>
      <c r="T488" t="s">
        <v>31</v>
      </c>
      <c r="U488" t="s">
        <v>100</v>
      </c>
      <c r="V488" s="1">
        <v>45611</v>
      </c>
      <c r="W488">
        <f>Table1[[#This Row],[customer_purchase count]]+1</f>
        <v>38</v>
      </c>
      <c r="X488">
        <f>Table1[[#This Row],[customer_purchase count]]*Rules!$B$3</f>
        <v>2211.2812820512822</v>
      </c>
      <c r="Y488" t="str">
        <f>IF(Table1[[#This Row],[customer_subscription]]=1,"Subscribed","Not Subscribed")</f>
        <v>Subscribed</v>
      </c>
      <c r="Z488" t="s">
        <v>193</v>
      </c>
    </row>
    <row r="489" spans="1:26" x14ac:dyDescent="0.25">
      <c r="A489">
        <v>488</v>
      </c>
      <c r="B489">
        <v>41</v>
      </c>
      <c r="C489" t="s">
        <v>22</v>
      </c>
      <c r="D489">
        <v>488</v>
      </c>
      <c r="E489" t="s">
        <v>105</v>
      </c>
      <c r="F489" t="s">
        <v>66</v>
      </c>
      <c r="G489">
        <v>488</v>
      </c>
      <c r="H489">
        <v>784</v>
      </c>
      <c r="I489">
        <v>68</v>
      </c>
      <c r="J489" t="s">
        <v>149</v>
      </c>
      <c r="K489" t="s">
        <v>26</v>
      </c>
      <c r="L489" t="s">
        <v>111</v>
      </c>
      <c r="M489" t="s">
        <v>28</v>
      </c>
      <c r="N489">
        <v>4.4000000000000004</v>
      </c>
      <c r="O489">
        <v>1</v>
      </c>
      <c r="P489" t="s">
        <v>77</v>
      </c>
      <c r="Q489" t="s">
        <v>30</v>
      </c>
      <c r="R489" t="s">
        <v>30</v>
      </c>
      <c r="S489">
        <v>22</v>
      </c>
      <c r="T489" t="s">
        <v>42</v>
      </c>
      <c r="U489" t="s">
        <v>61</v>
      </c>
      <c r="V489" s="1">
        <v>45309</v>
      </c>
      <c r="W489">
        <f>Table1[[#This Row],[customer_purchase count]]+1</f>
        <v>23</v>
      </c>
      <c r="X489">
        <f>Table1[[#This Row],[customer_purchase count]]*Rules!$B$3</f>
        <v>1314.8158974358976</v>
      </c>
      <c r="Y489" t="str">
        <f>IF(Table1[[#This Row],[customer_subscription]]=1,"Subscribed","Not Subscribed")</f>
        <v>Subscribed</v>
      </c>
    </row>
    <row r="490" spans="1:26" x14ac:dyDescent="0.25">
      <c r="A490">
        <v>489</v>
      </c>
      <c r="B490">
        <v>58</v>
      </c>
      <c r="C490" t="s">
        <v>22</v>
      </c>
      <c r="D490">
        <v>489</v>
      </c>
      <c r="E490" t="s">
        <v>33</v>
      </c>
      <c r="F490" t="s">
        <v>24</v>
      </c>
      <c r="G490">
        <v>489</v>
      </c>
      <c r="H490">
        <v>785</v>
      </c>
      <c r="I490">
        <v>29</v>
      </c>
      <c r="J490" t="s">
        <v>34</v>
      </c>
      <c r="K490" t="s">
        <v>26</v>
      </c>
      <c r="L490" t="s">
        <v>81</v>
      </c>
      <c r="M490" t="s">
        <v>40</v>
      </c>
      <c r="N490">
        <v>4.5999999999999996</v>
      </c>
      <c r="O490">
        <v>1</v>
      </c>
      <c r="P490" t="s">
        <v>57</v>
      </c>
      <c r="Q490" t="s">
        <v>30</v>
      </c>
      <c r="R490" t="s">
        <v>30</v>
      </c>
      <c r="S490">
        <v>32</v>
      </c>
      <c r="T490" t="s">
        <v>31</v>
      </c>
      <c r="U490" t="s">
        <v>43</v>
      </c>
      <c r="V490" s="1">
        <v>45401</v>
      </c>
      <c r="W490">
        <f>Table1[[#This Row],[customer_purchase count]]+1</f>
        <v>33</v>
      </c>
      <c r="X490">
        <f>Table1[[#This Row],[customer_purchase count]]*Rules!$B$3</f>
        <v>1912.4594871794873</v>
      </c>
      <c r="Y490" t="str">
        <f>IF(Table1[[#This Row],[customer_subscription]]=1,"Subscribed","Not Subscribed")</f>
        <v>Subscribed</v>
      </c>
    </row>
    <row r="491" spans="1:26" x14ac:dyDescent="0.25">
      <c r="A491">
        <v>490</v>
      </c>
      <c r="B491">
        <v>49</v>
      </c>
      <c r="C491" t="s">
        <v>22</v>
      </c>
      <c r="D491">
        <v>490</v>
      </c>
      <c r="E491" t="s">
        <v>128</v>
      </c>
      <c r="F491" t="s">
        <v>24</v>
      </c>
      <c r="G491">
        <v>490</v>
      </c>
      <c r="H491">
        <v>787</v>
      </c>
      <c r="I491">
        <v>85</v>
      </c>
      <c r="J491" t="s">
        <v>150</v>
      </c>
      <c r="K491" t="s">
        <v>47</v>
      </c>
      <c r="L491" t="s">
        <v>99</v>
      </c>
      <c r="M491" t="s">
        <v>56</v>
      </c>
      <c r="N491">
        <v>3.2</v>
      </c>
      <c r="O491">
        <v>1</v>
      </c>
      <c r="P491" t="s">
        <v>57</v>
      </c>
      <c r="Q491" t="s">
        <v>30</v>
      </c>
      <c r="R491" t="s">
        <v>30</v>
      </c>
      <c r="S491">
        <v>40</v>
      </c>
      <c r="T491" t="s">
        <v>49</v>
      </c>
      <c r="U491" t="s">
        <v>52</v>
      </c>
      <c r="V491" s="1">
        <v>45517</v>
      </c>
      <c r="W491">
        <f>Table1[[#This Row],[customer_purchase count]]+1</f>
        <v>41</v>
      </c>
      <c r="X491">
        <f>Table1[[#This Row],[customer_purchase count]]*Rules!$B$3</f>
        <v>2390.5743589743593</v>
      </c>
      <c r="Y491" t="str">
        <f>IF(Table1[[#This Row],[customer_subscription]]=1,"Subscribed","Not Subscribed")</f>
        <v>Subscribed</v>
      </c>
      <c r="Z491" t="s">
        <v>193</v>
      </c>
    </row>
    <row r="492" spans="1:26" x14ac:dyDescent="0.25">
      <c r="A492">
        <v>491</v>
      </c>
      <c r="B492">
        <v>57</v>
      </c>
      <c r="C492" t="s">
        <v>22</v>
      </c>
      <c r="D492">
        <v>491</v>
      </c>
      <c r="E492" t="s">
        <v>53</v>
      </c>
      <c r="F492" t="s">
        <v>45</v>
      </c>
      <c r="G492">
        <v>491</v>
      </c>
      <c r="H492">
        <v>788</v>
      </c>
      <c r="I492">
        <v>42</v>
      </c>
      <c r="J492" t="s">
        <v>115</v>
      </c>
      <c r="K492" t="s">
        <v>47</v>
      </c>
      <c r="L492" t="s">
        <v>68</v>
      </c>
      <c r="M492" t="s">
        <v>28</v>
      </c>
      <c r="N492">
        <v>4.2</v>
      </c>
      <c r="O492">
        <v>1</v>
      </c>
      <c r="P492" t="s">
        <v>73</v>
      </c>
      <c r="Q492" t="s">
        <v>30</v>
      </c>
      <c r="R492" t="s">
        <v>30</v>
      </c>
      <c r="S492">
        <v>47</v>
      </c>
      <c r="T492" t="s">
        <v>36</v>
      </c>
      <c r="U492" t="s">
        <v>91</v>
      </c>
      <c r="V492" s="1">
        <v>45648</v>
      </c>
      <c r="W492">
        <f>Table1[[#This Row],[customer_purchase count]]+1</f>
        <v>48</v>
      </c>
      <c r="X492">
        <f>Table1[[#This Row],[customer_purchase count]]*Rules!$B$3</f>
        <v>2808.9248717948717</v>
      </c>
      <c r="Y492" t="str">
        <f>IF(Table1[[#This Row],[customer_subscription]]=1,"Subscribed","Not Subscribed")</f>
        <v>Subscribed</v>
      </c>
      <c r="Z492" t="s">
        <v>193</v>
      </c>
    </row>
    <row r="493" spans="1:26" x14ac:dyDescent="0.25">
      <c r="A493">
        <v>492</v>
      </c>
      <c r="B493">
        <v>49</v>
      </c>
      <c r="C493" t="s">
        <v>22</v>
      </c>
      <c r="D493">
        <v>492</v>
      </c>
      <c r="E493" t="s">
        <v>65</v>
      </c>
      <c r="F493" t="s">
        <v>66</v>
      </c>
      <c r="G493">
        <v>492</v>
      </c>
      <c r="H493">
        <v>789</v>
      </c>
      <c r="I493">
        <v>69</v>
      </c>
      <c r="J493" t="s">
        <v>132</v>
      </c>
      <c r="K493" t="s">
        <v>47</v>
      </c>
      <c r="L493" t="s">
        <v>68</v>
      </c>
      <c r="M493" t="s">
        <v>56</v>
      </c>
      <c r="N493">
        <v>3.7</v>
      </c>
      <c r="O493">
        <v>1</v>
      </c>
      <c r="P493" t="s">
        <v>73</v>
      </c>
      <c r="Q493" t="s">
        <v>30</v>
      </c>
      <c r="R493" t="s">
        <v>30</v>
      </c>
      <c r="S493">
        <v>24</v>
      </c>
      <c r="T493" t="s">
        <v>42</v>
      </c>
      <c r="U493" t="s">
        <v>79</v>
      </c>
      <c r="V493" s="1">
        <v>45531</v>
      </c>
      <c r="W493">
        <f>Table1[[#This Row],[customer_purchase count]]+1</f>
        <v>25</v>
      </c>
      <c r="X493">
        <f>Table1[[#This Row],[customer_purchase count]]*Rules!$B$3</f>
        <v>1434.3446153846155</v>
      </c>
      <c r="Y493" t="str">
        <f>IF(Table1[[#This Row],[customer_subscription]]=1,"Subscribed","Not Subscribed")</f>
        <v>Subscribed</v>
      </c>
    </row>
    <row r="494" spans="1:26" x14ac:dyDescent="0.25">
      <c r="A494">
        <v>493</v>
      </c>
      <c r="B494">
        <v>50</v>
      </c>
      <c r="C494" t="s">
        <v>22</v>
      </c>
      <c r="D494">
        <v>493</v>
      </c>
      <c r="E494" t="s">
        <v>58</v>
      </c>
      <c r="F494" t="s">
        <v>24</v>
      </c>
      <c r="G494">
        <v>493</v>
      </c>
      <c r="H494">
        <v>790</v>
      </c>
      <c r="I494">
        <v>62</v>
      </c>
      <c r="J494" t="s">
        <v>154</v>
      </c>
      <c r="K494" t="s">
        <v>47</v>
      </c>
      <c r="L494" t="s">
        <v>97</v>
      </c>
      <c r="M494" t="s">
        <v>60</v>
      </c>
      <c r="N494">
        <v>3.9</v>
      </c>
      <c r="O494">
        <v>1</v>
      </c>
      <c r="P494" t="s">
        <v>57</v>
      </c>
      <c r="Q494" t="s">
        <v>30</v>
      </c>
      <c r="R494" t="s">
        <v>30</v>
      </c>
      <c r="S494">
        <v>11</v>
      </c>
      <c r="T494" t="s">
        <v>89</v>
      </c>
      <c r="U494" t="s">
        <v>43</v>
      </c>
      <c r="V494" s="1">
        <v>45546</v>
      </c>
      <c r="W494">
        <f>Table1[[#This Row],[customer_purchase count]]+1</f>
        <v>12</v>
      </c>
      <c r="X494">
        <f>Table1[[#This Row],[customer_purchase count]]*Rules!$B$3</f>
        <v>657.40794871794878</v>
      </c>
      <c r="Y494" t="str">
        <f>IF(Table1[[#This Row],[customer_subscription]]=1,"Subscribed","Not Subscribed")</f>
        <v>Subscribed</v>
      </c>
    </row>
    <row r="495" spans="1:26" x14ac:dyDescent="0.25">
      <c r="A495">
        <v>494</v>
      </c>
      <c r="B495">
        <v>28</v>
      </c>
      <c r="C495" t="s">
        <v>22</v>
      </c>
      <c r="D495">
        <v>494</v>
      </c>
      <c r="E495" t="s">
        <v>135</v>
      </c>
      <c r="F495" t="s">
        <v>70</v>
      </c>
      <c r="G495">
        <v>494</v>
      </c>
      <c r="H495">
        <v>791</v>
      </c>
      <c r="I495">
        <v>48</v>
      </c>
      <c r="J495" t="s">
        <v>110</v>
      </c>
      <c r="K495" t="s">
        <v>95</v>
      </c>
      <c r="L495" t="s">
        <v>111</v>
      </c>
      <c r="M495" t="s">
        <v>56</v>
      </c>
      <c r="N495">
        <v>4.7</v>
      </c>
      <c r="O495">
        <v>1</v>
      </c>
      <c r="P495" t="s">
        <v>77</v>
      </c>
      <c r="Q495" t="s">
        <v>30</v>
      </c>
      <c r="R495" t="s">
        <v>30</v>
      </c>
      <c r="S495">
        <v>19</v>
      </c>
      <c r="T495" t="s">
        <v>36</v>
      </c>
      <c r="U495" t="s">
        <v>79</v>
      </c>
      <c r="V495" s="1">
        <v>45493</v>
      </c>
      <c r="W495">
        <f>Table1[[#This Row],[customer_purchase count]]+1</f>
        <v>20</v>
      </c>
      <c r="X495">
        <f>Table1[[#This Row],[customer_purchase count]]*Rules!$B$3</f>
        <v>1135.5228205128205</v>
      </c>
      <c r="Y495" t="str">
        <f>IF(Table1[[#This Row],[customer_subscription]]=1,"Subscribed","Not Subscribed")</f>
        <v>Subscribed</v>
      </c>
    </row>
    <row r="496" spans="1:26" x14ac:dyDescent="0.25">
      <c r="A496">
        <v>495</v>
      </c>
      <c r="B496">
        <v>38</v>
      </c>
      <c r="C496" t="s">
        <v>22</v>
      </c>
      <c r="D496">
        <v>495</v>
      </c>
      <c r="E496" t="s">
        <v>140</v>
      </c>
      <c r="F496" t="s">
        <v>45</v>
      </c>
      <c r="G496">
        <v>495</v>
      </c>
      <c r="H496">
        <v>793</v>
      </c>
      <c r="I496">
        <v>68</v>
      </c>
      <c r="J496" t="s">
        <v>119</v>
      </c>
      <c r="K496" t="s">
        <v>47</v>
      </c>
      <c r="L496" t="s">
        <v>129</v>
      </c>
      <c r="M496" t="s">
        <v>28</v>
      </c>
      <c r="N496">
        <v>4.5</v>
      </c>
      <c r="O496">
        <v>1</v>
      </c>
      <c r="P496" t="s">
        <v>29</v>
      </c>
      <c r="Q496" t="s">
        <v>30</v>
      </c>
      <c r="R496" t="s">
        <v>30</v>
      </c>
      <c r="S496">
        <v>42</v>
      </c>
      <c r="T496" t="s">
        <v>89</v>
      </c>
      <c r="U496" t="s">
        <v>43</v>
      </c>
      <c r="V496" s="1">
        <v>45312</v>
      </c>
      <c r="W496">
        <f>Table1[[#This Row],[customer_purchase count]]+1</f>
        <v>43</v>
      </c>
      <c r="X496">
        <f>Table1[[#This Row],[customer_purchase count]]*Rules!$B$3</f>
        <v>2510.103076923077</v>
      </c>
      <c r="Y496" t="str">
        <f>IF(Table1[[#This Row],[customer_subscription]]=1,"Subscribed","Not Subscribed")</f>
        <v>Subscribed</v>
      </c>
      <c r="Z496" t="s">
        <v>193</v>
      </c>
    </row>
    <row r="497" spans="1:26" x14ac:dyDescent="0.25">
      <c r="A497">
        <v>496</v>
      </c>
      <c r="B497">
        <v>33</v>
      </c>
      <c r="C497" t="s">
        <v>22</v>
      </c>
      <c r="D497">
        <v>496</v>
      </c>
      <c r="E497" t="s">
        <v>69</v>
      </c>
      <c r="F497" t="s">
        <v>70</v>
      </c>
      <c r="G497">
        <v>496</v>
      </c>
      <c r="H497">
        <v>794</v>
      </c>
      <c r="I497">
        <v>36</v>
      </c>
      <c r="J497" t="s">
        <v>154</v>
      </c>
      <c r="K497" t="s">
        <v>95</v>
      </c>
      <c r="L497" t="s">
        <v>112</v>
      </c>
      <c r="M497" t="s">
        <v>60</v>
      </c>
      <c r="N497">
        <v>3.3</v>
      </c>
      <c r="O497">
        <v>1</v>
      </c>
      <c r="P497" t="s">
        <v>41</v>
      </c>
      <c r="Q497" t="s">
        <v>30</v>
      </c>
      <c r="R497" t="s">
        <v>30</v>
      </c>
      <c r="S497">
        <v>6</v>
      </c>
      <c r="T497" t="s">
        <v>89</v>
      </c>
      <c r="U497" t="s">
        <v>32</v>
      </c>
      <c r="V497" s="1">
        <v>45612</v>
      </c>
      <c r="W497">
        <f>Table1[[#This Row],[customer_purchase count]]+1</f>
        <v>7</v>
      </c>
      <c r="X497">
        <f>Table1[[#This Row],[customer_purchase count]]*Rules!$B$3</f>
        <v>358.58615384615388</v>
      </c>
      <c r="Y497" t="str">
        <f>IF(Table1[[#This Row],[customer_subscription]]=1,"Subscribed","Not Subscribed")</f>
        <v>Subscribed</v>
      </c>
    </row>
    <row r="498" spans="1:26" x14ac:dyDescent="0.25">
      <c r="A498">
        <v>497</v>
      </c>
      <c r="B498">
        <v>30</v>
      </c>
      <c r="C498" t="s">
        <v>22</v>
      </c>
      <c r="D498">
        <v>497</v>
      </c>
      <c r="E498" t="s">
        <v>84</v>
      </c>
      <c r="F498" t="s">
        <v>24</v>
      </c>
      <c r="G498">
        <v>497</v>
      </c>
      <c r="H498">
        <v>795</v>
      </c>
      <c r="I498">
        <v>63</v>
      </c>
      <c r="J498" t="s">
        <v>102</v>
      </c>
      <c r="K498" t="s">
        <v>39</v>
      </c>
      <c r="L498" t="s">
        <v>35</v>
      </c>
      <c r="M498" t="s">
        <v>60</v>
      </c>
      <c r="N498">
        <v>3.3</v>
      </c>
      <c r="O498">
        <v>1</v>
      </c>
      <c r="P498" t="s">
        <v>29</v>
      </c>
      <c r="Q498" t="s">
        <v>30</v>
      </c>
      <c r="R498" t="s">
        <v>30</v>
      </c>
      <c r="S498">
        <v>31</v>
      </c>
      <c r="T498" t="s">
        <v>31</v>
      </c>
      <c r="U498" t="s">
        <v>32</v>
      </c>
      <c r="V498" s="1">
        <v>45544</v>
      </c>
      <c r="W498">
        <f>Table1[[#This Row],[customer_purchase count]]+1</f>
        <v>32</v>
      </c>
      <c r="X498">
        <f>Table1[[#This Row],[customer_purchase count]]*Rules!$B$3</f>
        <v>1852.6951282051282</v>
      </c>
      <c r="Y498" t="str">
        <f>IF(Table1[[#This Row],[customer_subscription]]=1,"Subscribed","Not Subscribed")</f>
        <v>Subscribed</v>
      </c>
    </row>
    <row r="499" spans="1:26" x14ac:dyDescent="0.25">
      <c r="A499">
        <v>498</v>
      </c>
      <c r="B499">
        <v>43</v>
      </c>
      <c r="C499" t="s">
        <v>22</v>
      </c>
      <c r="D499">
        <v>498</v>
      </c>
      <c r="E499" t="s">
        <v>53</v>
      </c>
      <c r="F499" t="s">
        <v>45</v>
      </c>
      <c r="G499">
        <v>498</v>
      </c>
      <c r="H499">
        <v>796</v>
      </c>
      <c r="I499">
        <v>39</v>
      </c>
      <c r="J499" t="s">
        <v>104</v>
      </c>
      <c r="K499" t="s">
        <v>39</v>
      </c>
      <c r="L499" t="s">
        <v>68</v>
      </c>
      <c r="M499" t="s">
        <v>28</v>
      </c>
      <c r="N499">
        <v>4.5999999999999996</v>
      </c>
      <c r="O499">
        <v>1</v>
      </c>
      <c r="P499" t="s">
        <v>41</v>
      </c>
      <c r="Q499" t="s">
        <v>30</v>
      </c>
      <c r="R499" t="s">
        <v>30</v>
      </c>
      <c r="S499">
        <v>31</v>
      </c>
      <c r="T499" t="s">
        <v>36</v>
      </c>
      <c r="U499" t="s">
        <v>43</v>
      </c>
      <c r="V499" s="1">
        <v>45295</v>
      </c>
      <c r="W499">
        <f>Table1[[#This Row],[customer_purchase count]]+1</f>
        <v>32</v>
      </c>
      <c r="X499">
        <f>Table1[[#This Row],[customer_purchase count]]*Rules!$B$3</f>
        <v>1852.6951282051282</v>
      </c>
      <c r="Y499" t="str">
        <f>IF(Table1[[#This Row],[customer_subscription]]=1,"Subscribed","Not Subscribed")</f>
        <v>Subscribed</v>
      </c>
    </row>
    <row r="500" spans="1:26" x14ac:dyDescent="0.25">
      <c r="A500">
        <v>499</v>
      </c>
      <c r="B500">
        <v>43</v>
      </c>
      <c r="C500" t="s">
        <v>22</v>
      </c>
      <c r="D500">
        <v>499</v>
      </c>
      <c r="E500" t="s">
        <v>140</v>
      </c>
      <c r="F500" t="s">
        <v>45</v>
      </c>
      <c r="G500">
        <v>499</v>
      </c>
      <c r="H500">
        <v>797</v>
      </c>
      <c r="I500">
        <v>78</v>
      </c>
      <c r="J500" t="s">
        <v>149</v>
      </c>
      <c r="K500" t="s">
        <v>47</v>
      </c>
      <c r="L500" t="s">
        <v>96</v>
      </c>
      <c r="M500" t="s">
        <v>40</v>
      </c>
      <c r="N500">
        <v>3.6</v>
      </c>
      <c r="O500">
        <v>1</v>
      </c>
      <c r="P500" t="s">
        <v>41</v>
      </c>
      <c r="Q500" t="s">
        <v>30</v>
      </c>
      <c r="R500" t="s">
        <v>30</v>
      </c>
      <c r="S500">
        <v>27</v>
      </c>
      <c r="T500" t="s">
        <v>78</v>
      </c>
      <c r="U500" t="s">
        <v>91</v>
      </c>
      <c r="V500" s="1">
        <v>45369</v>
      </c>
      <c r="W500">
        <f>Table1[[#This Row],[customer_purchase count]]+1</f>
        <v>28</v>
      </c>
      <c r="X500">
        <f>Table1[[#This Row],[customer_purchase count]]*Rules!$B$3</f>
        <v>1613.6376923076923</v>
      </c>
      <c r="Y500" t="str">
        <f>IF(Table1[[#This Row],[customer_subscription]]=1,"Subscribed","Not Subscribed")</f>
        <v>Subscribed</v>
      </c>
    </row>
    <row r="501" spans="1:26" x14ac:dyDescent="0.25">
      <c r="A501">
        <v>500</v>
      </c>
      <c r="B501">
        <v>36</v>
      </c>
      <c r="C501" t="s">
        <v>22</v>
      </c>
      <c r="D501">
        <v>500</v>
      </c>
      <c r="E501" t="s">
        <v>74</v>
      </c>
      <c r="F501" t="s">
        <v>45</v>
      </c>
      <c r="G501">
        <v>500</v>
      </c>
      <c r="H501">
        <v>799</v>
      </c>
      <c r="I501">
        <v>99</v>
      </c>
      <c r="J501" t="s">
        <v>46</v>
      </c>
      <c r="K501" t="s">
        <v>26</v>
      </c>
      <c r="L501" t="s">
        <v>68</v>
      </c>
      <c r="M501" t="s">
        <v>28</v>
      </c>
      <c r="N501">
        <v>4.8</v>
      </c>
      <c r="O501">
        <v>1</v>
      </c>
      <c r="P501" t="s">
        <v>29</v>
      </c>
      <c r="Q501" t="s">
        <v>30</v>
      </c>
      <c r="R501" t="s">
        <v>30</v>
      </c>
      <c r="S501">
        <v>24</v>
      </c>
      <c r="T501" t="s">
        <v>49</v>
      </c>
      <c r="U501" t="s">
        <v>91</v>
      </c>
      <c r="V501" s="1">
        <v>45634</v>
      </c>
      <c r="W501">
        <f>Table1[[#This Row],[customer_purchase count]]+1</f>
        <v>25</v>
      </c>
      <c r="X501">
        <f>Table1[[#This Row],[customer_purchase count]]*Rules!$B$3</f>
        <v>1434.3446153846155</v>
      </c>
      <c r="Y501" t="str">
        <f>IF(Table1[[#This Row],[customer_subscription]]=1,"Subscribed","Not Subscribed")</f>
        <v>Subscribed</v>
      </c>
    </row>
    <row r="502" spans="1:26" x14ac:dyDescent="0.25">
      <c r="A502">
        <v>501</v>
      </c>
      <c r="B502">
        <v>36</v>
      </c>
      <c r="C502" t="s">
        <v>22</v>
      </c>
      <c r="D502">
        <v>501</v>
      </c>
      <c r="E502" t="s">
        <v>116</v>
      </c>
      <c r="F502" t="s">
        <v>24</v>
      </c>
      <c r="G502">
        <v>501</v>
      </c>
      <c r="H502">
        <v>800</v>
      </c>
      <c r="I502">
        <v>31</v>
      </c>
      <c r="J502" t="s">
        <v>152</v>
      </c>
      <c r="K502" t="s">
        <v>26</v>
      </c>
      <c r="L502" t="s">
        <v>76</v>
      </c>
      <c r="M502" t="s">
        <v>60</v>
      </c>
      <c r="N502">
        <v>4.8</v>
      </c>
      <c r="O502">
        <v>1</v>
      </c>
      <c r="P502" t="s">
        <v>48</v>
      </c>
      <c r="Q502" t="s">
        <v>30</v>
      </c>
      <c r="R502" t="s">
        <v>30</v>
      </c>
      <c r="S502">
        <v>35</v>
      </c>
      <c r="T502" t="s">
        <v>31</v>
      </c>
      <c r="U502" t="s">
        <v>100</v>
      </c>
      <c r="V502" s="1">
        <v>45544</v>
      </c>
      <c r="W502">
        <f>Table1[[#This Row],[customer_purchase count]]+1</f>
        <v>36</v>
      </c>
      <c r="X502">
        <f>Table1[[#This Row],[customer_purchase count]]*Rules!$B$3</f>
        <v>2091.7525641025641</v>
      </c>
      <c r="Y502" t="str">
        <f>IF(Table1[[#This Row],[customer_subscription]]=1,"Subscribed","Not Subscribed")</f>
        <v>Subscribed</v>
      </c>
      <c r="Z502" t="s">
        <v>193</v>
      </c>
    </row>
    <row r="503" spans="1:26" x14ac:dyDescent="0.25">
      <c r="A503">
        <v>502</v>
      </c>
      <c r="B503">
        <v>64</v>
      </c>
      <c r="C503" t="s">
        <v>22</v>
      </c>
      <c r="D503">
        <v>502</v>
      </c>
      <c r="E503" t="s">
        <v>140</v>
      </c>
      <c r="F503" t="s">
        <v>45</v>
      </c>
      <c r="G503">
        <v>502</v>
      </c>
      <c r="H503">
        <v>801</v>
      </c>
      <c r="I503">
        <v>45</v>
      </c>
      <c r="J503" t="s">
        <v>106</v>
      </c>
      <c r="K503" t="s">
        <v>47</v>
      </c>
      <c r="L503" t="s">
        <v>112</v>
      </c>
      <c r="M503" t="s">
        <v>40</v>
      </c>
      <c r="N503">
        <v>2.9</v>
      </c>
      <c r="O503">
        <v>1</v>
      </c>
      <c r="P503" t="s">
        <v>48</v>
      </c>
      <c r="Q503" t="s">
        <v>30</v>
      </c>
      <c r="R503" t="s">
        <v>30</v>
      </c>
      <c r="S503">
        <v>21</v>
      </c>
      <c r="T503" t="s">
        <v>31</v>
      </c>
      <c r="U503" t="s">
        <v>52</v>
      </c>
      <c r="V503" s="1">
        <v>45373</v>
      </c>
      <c r="W503">
        <f>Table1[[#This Row],[customer_purchase count]]+1</f>
        <v>22</v>
      </c>
      <c r="X503">
        <f>Table1[[#This Row],[customer_purchase count]]*Rules!$B$3</f>
        <v>1255.0515384615385</v>
      </c>
      <c r="Y503" t="str">
        <f>IF(Table1[[#This Row],[customer_subscription]]=1,"Subscribed","Not Subscribed")</f>
        <v>Subscribed</v>
      </c>
    </row>
    <row r="504" spans="1:26" x14ac:dyDescent="0.25">
      <c r="A504">
        <v>503</v>
      </c>
      <c r="B504">
        <v>59</v>
      </c>
      <c r="C504" t="s">
        <v>22</v>
      </c>
      <c r="D504">
        <v>503</v>
      </c>
      <c r="E504" t="s">
        <v>98</v>
      </c>
      <c r="F504" t="s">
        <v>24</v>
      </c>
      <c r="G504">
        <v>503</v>
      </c>
      <c r="H504">
        <v>802</v>
      </c>
      <c r="I504">
        <v>30</v>
      </c>
      <c r="J504" t="s">
        <v>134</v>
      </c>
      <c r="K504" t="s">
        <v>39</v>
      </c>
      <c r="L504" t="s">
        <v>112</v>
      </c>
      <c r="M504" t="s">
        <v>60</v>
      </c>
      <c r="N504">
        <v>2.8</v>
      </c>
      <c r="O504">
        <v>1</v>
      </c>
      <c r="P504" t="s">
        <v>29</v>
      </c>
      <c r="Q504" t="s">
        <v>30</v>
      </c>
      <c r="R504" t="s">
        <v>30</v>
      </c>
      <c r="S504">
        <v>8</v>
      </c>
      <c r="T504" t="s">
        <v>49</v>
      </c>
      <c r="U504" t="s">
        <v>32</v>
      </c>
      <c r="V504" s="1">
        <v>45552</v>
      </c>
      <c r="W504">
        <f>Table1[[#This Row],[customer_purchase count]]+1</f>
        <v>9</v>
      </c>
      <c r="X504">
        <f>Table1[[#This Row],[customer_purchase count]]*Rules!$B$3</f>
        <v>478.11487179487182</v>
      </c>
      <c r="Y504" t="str">
        <f>IF(Table1[[#This Row],[customer_subscription]]=1,"Subscribed","Not Subscribed")</f>
        <v>Subscribed</v>
      </c>
    </row>
    <row r="505" spans="1:26" x14ac:dyDescent="0.25">
      <c r="A505">
        <v>504</v>
      </c>
      <c r="B505">
        <v>55</v>
      </c>
      <c r="C505" t="s">
        <v>22</v>
      </c>
      <c r="D505">
        <v>504</v>
      </c>
      <c r="E505" t="s">
        <v>74</v>
      </c>
      <c r="F505" t="s">
        <v>45</v>
      </c>
      <c r="G505">
        <v>504</v>
      </c>
      <c r="H505">
        <v>803</v>
      </c>
      <c r="I505">
        <v>24</v>
      </c>
      <c r="J505" t="s">
        <v>67</v>
      </c>
      <c r="K505" t="s">
        <v>47</v>
      </c>
      <c r="L505" t="s">
        <v>96</v>
      </c>
      <c r="M505" t="s">
        <v>56</v>
      </c>
      <c r="N505">
        <v>3.2</v>
      </c>
      <c r="O505">
        <v>1</v>
      </c>
      <c r="P505" t="s">
        <v>48</v>
      </c>
      <c r="Q505" t="s">
        <v>30</v>
      </c>
      <c r="R505" t="s">
        <v>30</v>
      </c>
      <c r="S505">
        <v>26</v>
      </c>
      <c r="T505" t="s">
        <v>78</v>
      </c>
      <c r="U505" t="s">
        <v>61</v>
      </c>
      <c r="V505" s="1">
        <v>45524</v>
      </c>
      <c r="W505">
        <f>Table1[[#This Row],[customer_purchase count]]+1</f>
        <v>27</v>
      </c>
      <c r="X505">
        <f>Table1[[#This Row],[customer_purchase count]]*Rules!$B$3</f>
        <v>1553.8733333333334</v>
      </c>
      <c r="Y505" t="str">
        <f>IF(Table1[[#This Row],[customer_subscription]]=1,"Subscribed","Not Subscribed")</f>
        <v>Subscribed</v>
      </c>
    </row>
    <row r="506" spans="1:26" x14ac:dyDescent="0.25">
      <c r="A506">
        <v>505</v>
      </c>
      <c r="B506">
        <v>42</v>
      </c>
      <c r="C506" t="s">
        <v>22</v>
      </c>
      <c r="D506">
        <v>505</v>
      </c>
      <c r="E506" t="s">
        <v>74</v>
      </c>
      <c r="F506" t="s">
        <v>45</v>
      </c>
      <c r="G506">
        <v>505</v>
      </c>
      <c r="H506">
        <v>805</v>
      </c>
      <c r="I506">
        <v>22</v>
      </c>
      <c r="J506" t="s">
        <v>71</v>
      </c>
      <c r="K506" t="s">
        <v>47</v>
      </c>
      <c r="L506" t="s">
        <v>35</v>
      </c>
      <c r="M506" t="s">
        <v>28</v>
      </c>
      <c r="N506">
        <v>3.9</v>
      </c>
      <c r="O506">
        <v>1</v>
      </c>
      <c r="P506" t="s">
        <v>41</v>
      </c>
      <c r="Q506" t="s">
        <v>30</v>
      </c>
      <c r="R506" t="s">
        <v>30</v>
      </c>
      <c r="S506">
        <v>26</v>
      </c>
      <c r="T506" t="s">
        <v>49</v>
      </c>
      <c r="U506" t="s">
        <v>52</v>
      </c>
      <c r="V506" s="1">
        <v>45639</v>
      </c>
      <c r="W506">
        <f>Table1[[#This Row],[customer_purchase count]]+1</f>
        <v>27</v>
      </c>
      <c r="X506">
        <f>Table1[[#This Row],[customer_purchase count]]*Rules!$B$3</f>
        <v>1553.8733333333334</v>
      </c>
      <c r="Y506" t="str">
        <f>IF(Table1[[#This Row],[customer_subscription]]=1,"Subscribed","Not Subscribed")</f>
        <v>Subscribed</v>
      </c>
    </row>
    <row r="507" spans="1:26" x14ac:dyDescent="0.25">
      <c r="A507">
        <v>506</v>
      </c>
      <c r="B507">
        <v>61</v>
      </c>
      <c r="C507" t="s">
        <v>22</v>
      </c>
      <c r="D507">
        <v>506</v>
      </c>
      <c r="E507" t="s">
        <v>116</v>
      </c>
      <c r="F507" t="s">
        <v>24</v>
      </c>
      <c r="G507">
        <v>506</v>
      </c>
      <c r="H507">
        <v>806</v>
      </c>
      <c r="I507">
        <v>63</v>
      </c>
      <c r="J507" t="s">
        <v>34</v>
      </c>
      <c r="K507" t="s">
        <v>26</v>
      </c>
      <c r="L507" t="s">
        <v>27</v>
      </c>
      <c r="M507" t="s">
        <v>40</v>
      </c>
      <c r="N507">
        <v>4.3</v>
      </c>
      <c r="O507">
        <v>1</v>
      </c>
      <c r="P507" t="s">
        <v>29</v>
      </c>
      <c r="Q507" t="s">
        <v>30</v>
      </c>
      <c r="R507" t="s">
        <v>30</v>
      </c>
      <c r="S507">
        <v>9</v>
      </c>
      <c r="T507" t="s">
        <v>36</v>
      </c>
      <c r="U507" t="s">
        <v>79</v>
      </c>
      <c r="V507" s="1">
        <v>45432</v>
      </c>
      <c r="W507">
        <f>Table1[[#This Row],[customer_purchase count]]+1</f>
        <v>10</v>
      </c>
      <c r="X507">
        <f>Table1[[#This Row],[customer_purchase count]]*Rules!$B$3</f>
        <v>537.87923076923084</v>
      </c>
      <c r="Y507" t="str">
        <f>IF(Table1[[#This Row],[customer_subscription]]=1,"Subscribed","Not Subscribed")</f>
        <v>Subscribed</v>
      </c>
    </row>
    <row r="508" spans="1:26" x14ac:dyDescent="0.25">
      <c r="A508">
        <v>507</v>
      </c>
      <c r="B508">
        <v>28</v>
      </c>
      <c r="C508" t="s">
        <v>22</v>
      </c>
      <c r="D508">
        <v>507</v>
      </c>
      <c r="E508" t="s">
        <v>122</v>
      </c>
      <c r="F508" t="s">
        <v>70</v>
      </c>
      <c r="G508">
        <v>507</v>
      </c>
      <c r="H508">
        <v>807</v>
      </c>
      <c r="I508">
        <v>40</v>
      </c>
      <c r="J508" t="s">
        <v>145</v>
      </c>
      <c r="K508" t="s">
        <v>47</v>
      </c>
      <c r="L508" t="s">
        <v>81</v>
      </c>
      <c r="M508" t="s">
        <v>60</v>
      </c>
      <c r="N508">
        <v>2.7</v>
      </c>
      <c r="O508">
        <v>1</v>
      </c>
      <c r="P508" t="s">
        <v>73</v>
      </c>
      <c r="Q508" t="s">
        <v>30</v>
      </c>
      <c r="R508" t="s">
        <v>30</v>
      </c>
      <c r="S508">
        <v>48</v>
      </c>
      <c r="T508" t="s">
        <v>89</v>
      </c>
      <c r="U508" t="s">
        <v>52</v>
      </c>
      <c r="V508" s="1">
        <v>45580</v>
      </c>
      <c r="W508">
        <f>Table1[[#This Row],[customer_purchase count]]+1</f>
        <v>49</v>
      </c>
      <c r="X508">
        <f>Table1[[#This Row],[customer_purchase count]]*Rules!$B$3</f>
        <v>2868.689230769231</v>
      </c>
      <c r="Y508" t="str">
        <f>IF(Table1[[#This Row],[customer_subscription]]=1,"Subscribed","Not Subscribed")</f>
        <v>Subscribed</v>
      </c>
    </row>
    <row r="509" spans="1:26" x14ac:dyDescent="0.25">
      <c r="A509">
        <v>508</v>
      </c>
      <c r="B509">
        <v>65</v>
      </c>
      <c r="C509" t="s">
        <v>22</v>
      </c>
      <c r="D509">
        <v>508</v>
      </c>
      <c r="E509" t="s">
        <v>62</v>
      </c>
      <c r="F509" t="s">
        <v>24</v>
      </c>
      <c r="G509">
        <v>508</v>
      </c>
      <c r="H509">
        <v>808</v>
      </c>
      <c r="I509">
        <v>20</v>
      </c>
      <c r="J509" t="s">
        <v>34</v>
      </c>
      <c r="K509" t="s">
        <v>47</v>
      </c>
      <c r="L509" t="s">
        <v>139</v>
      </c>
      <c r="M509" t="s">
        <v>40</v>
      </c>
      <c r="N509">
        <v>5</v>
      </c>
      <c r="O509">
        <v>1</v>
      </c>
      <c r="P509" t="s">
        <v>77</v>
      </c>
      <c r="Q509" t="s">
        <v>30</v>
      </c>
      <c r="R509" t="s">
        <v>30</v>
      </c>
      <c r="S509">
        <v>33</v>
      </c>
      <c r="T509" t="s">
        <v>89</v>
      </c>
      <c r="U509" t="s">
        <v>32</v>
      </c>
      <c r="V509" s="1">
        <v>45365</v>
      </c>
      <c r="W509">
        <f>Table1[[#This Row],[customer_purchase count]]+1</f>
        <v>34</v>
      </c>
      <c r="X509">
        <f>Table1[[#This Row],[customer_purchase count]]*Rules!$B$3</f>
        <v>1972.2238461538464</v>
      </c>
      <c r="Y509" t="str">
        <f>IF(Table1[[#This Row],[customer_subscription]]=1,"Subscribed","Not Subscribed")</f>
        <v>Subscribed</v>
      </c>
    </row>
    <row r="510" spans="1:26" x14ac:dyDescent="0.25">
      <c r="A510">
        <v>509</v>
      </c>
      <c r="B510">
        <v>27</v>
      </c>
      <c r="C510" t="s">
        <v>22</v>
      </c>
      <c r="D510">
        <v>509</v>
      </c>
      <c r="E510" t="s">
        <v>109</v>
      </c>
      <c r="F510" t="s">
        <v>70</v>
      </c>
      <c r="G510">
        <v>509</v>
      </c>
      <c r="H510">
        <v>809</v>
      </c>
      <c r="I510">
        <v>20</v>
      </c>
      <c r="J510" t="s">
        <v>118</v>
      </c>
      <c r="K510" t="s">
        <v>39</v>
      </c>
      <c r="L510" t="s">
        <v>137</v>
      </c>
      <c r="M510" t="s">
        <v>28</v>
      </c>
      <c r="N510">
        <v>3.7</v>
      </c>
      <c r="O510">
        <v>1</v>
      </c>
      <c r="P510" t="s">
        <v>77</v>
      </c>
      <c r="Q510" t="s">
        <v>30</v>
      </c>
      <c r="R510" t="s">
        <v>30</v>
      </c>
      <c r="S510">
        <v>31</v>
      </c>
      <c r="T510" t="s">
        <v>49</v>
      </c>
      <c r="U510" t="s">
        <v>61</v>
      </c>
      <c r="V510" s="1">
        <v>45631</v>
      </c>
      <c r="W510">
        <f>Table1[[#This Row],[customer_purchase count]]+1</f>
        <v>32</v>
      </c>
      <c r="X510">
        <f>Table1[[#This Row],[customer_purchase count]]*Rules!$B$3</f>
        <v>1852.6951282051282</v>
      </c>
      <c r="Y510" t="str">
        <f>IF(Table1[[#This Row],[customer_subscription]]=1,"Subscribed","Not Subscribed")</f>
        <v>Subscribed</v>
      </c>
    </row>
    <row r="511" spans="1:26" x14ac:dyDescent="0.25">
      <c r="A511">
        <v>510</v>
      </c>
      <c r="B511">
        <v>41</v>
      </c>
      <c r="C511" t="s">
        <v>22</v>
      </c>
      <c r="D511">
        <v>510</v>
      </c>
      <c r="E511" t="s">
        <v>116</v>
      </c>
      <c r="F511" t="s">
        <v>24</v>
      </c>
      <c r="G511">
        <v>510</v>
      </c>
      <c r="H511">
        <v>811</v>
      </c>
      <c r="I511">
        <v>80</v>
      </c>
      <c r="J511" t="s">
        <v>82</v>
      </c>
      <c r="K511" t="s">
        <v>26</v>
      </c>
      <c r="L511" t="s">
        <v>112</v>
      </c>
      <c r="M511" t="s">
        <v>56</v>
      </c>
      <c r="N511">
        <v>3.9</v>
      </c>
      <c r="O511">
        <v>1</v>
      </c>
      <c r="P511" t="s">
        <v>41</v>
      </c>
      <c r="Q511" t="s">
        <v>30</v>
      </c>
      <c r="R511" t="s">
        <v>30</v>
      </c>
      <c r="S511">
        <v>17</v>
      </c>
      <c r="T511" t="s">
        <v>89</v>
      </c>
      <c r="U511" t="s">
        <v>43</v>
      </c>
      <c r="V511" s="1">
        <v>45529</v>
      </c>
      <c r="W511">
        <f>Table1[[#This Row],[customer_purchase count]]+1</f>
        <v>18</v>
      </c>
      <c r="X511">
        <f>Table1[[#This Row],[customer_purchase count]]*Rules!$B$3</f>
        <v>1015.9941025641026</v>
      </c>
      <c r="Y511" t="str">
        <f>IF(Table1[[#This Row],[customer_subscription]]=1,"Subscribed","Not Subscribed")</f>
        <v>Subscribed</v>
      </c>
    </row>
    <row r="512" spans="1:26" x14ac:dyDescent="0.25">
      <c r="A512">
        <v>511</v>
      </c>
      <c r="B512">
        <v>21</v>
      </c>
      <c r="C512" t="s">
        <v>22</v>
      </c>
      <c r="D512">
        <v>511</v>
      </c>
      <c r="E512" t="s">
        <v>58</v>
      </c>
      <c r="F512" t="s">
        <v>24</v>
      </c>
      <c r="G512">
        <v>511</v>
      </c>
      <c r="H512">
        <v>812</v>
      </c>
      <c r="I512">
        <v>87</v>
      </c>
      <c r="J512" t="s">
        <v>67</v>
      </c>
      <c r="K512" t="s">
        <v>47</v>
      </c>
      <c r="L512" t="s">
        <v>88</v>
      </c>
      <c r="M512" t="s">
        <v>60</v>
      </c>
      <c r="N512">
        <v>3.9</v>
      </c>
      <c r="O512">
        <v>1</v>
      </c>
      <c r="P512" t="s">
        <v>73</v>
      </c>
      <c r="Q512" t="s">
        <v>30</v>
      </c>
      <c r="R512" t="s">
        <v>30</v>
      </c>
      <c r="S512">
        <v>22</v>
      </c>
      <c r="T512" t="s">
        <v>31</v>
      </c>
      <c r="U512" t="s">
        <v>52</v>
      </c>
      <c r="V512" s="1">
        <v>45547</v>
      </c>
      <c r="W512">
        <f>Table1[[#This Row],[customer_purchase count]]+1</f>
        <v>23</v>
      </c>
      <c r="X512">
        <f>Table1[[#This Row],[customer_purchase count]]*Rules!$B$3</f>
        <v>1314.8158974358976</v>
      </c>
      <c r="Y512" t="str">
        <f>IF(Table1[[#This Row],[customer_subscription]]=1,"Subscribed","Not Subscribed")</f>
        <v>Subscribed</v>
      </c>
    </row>
    <row r="513" spans="1:26" x14ac:dyDescent="0.25">
      <c r="A513">
        <v>512</v>
      </c>
      <c r="B513">
        <v>61</v>
      </c>
      <c r="C513" t="s">
        <v>22</v>
      </c>
      <c r="D513">
        <v>512</v>
      </c>
      <c r="E513" t="s">
        <v>58</v>
      </c>
      <c r="F513" t="s">
        <v>24</v>
      </c>
      <c r="G513">
        <v>512</v>
      </c>
      <c r="H513">
        <v>813</v>
      </c>
      <c r="I513">
        <v>46</v>
      </c>
      <c r="J513" t="s">
        <v>80</v>
      </c>
      <c r="K513" t="s">
        <v>26</v>
      </c>
      <c r="L513" t="s">
        <v>137</v>
      </c>
      <c r="M513" t="s">
        <v>60</v>
      </c>
      <c r="N513">
        <v>3.1</v>
      </c>
      <c r="O513">
        <v>1</v>
      </c>
      <c r="P513" t="s">
        <v>41</v>
      </c>
      <c r="Q513" t="s">
        <v>30</v>
      </c>
      <c r="R513" t="s">
        <v>30</v>
      </c>
      <c r="S513">
        <v>8</v>
      </c>
      <c r="T513" t="s">
        <v>49</v>
      </c>
      <c r="U513" t="s">
        <v>52</v>
      </c>
      <c r="V513" s="1">
        <v>45601</v>
      </c>
      <c r="W513">
        <f>Table1[[#This Row],[customer_purchase count]]+1</f>
        <v>9</v>
      </c>
      <c r="X513">
        <f>Table1[[#This Row],[customer_purchase count]]*Rules!$B$3</f>
        <v>478.11487179487182</v>
      </c>
      <c r="Y513" t="str">
        <f>IF(Table1[[#This Row],[customer_subscription]]=1,"Subscribed","Not Subscribed")</f>
        <v>Subscribed</v>
      </c>
    </row>
    <row r="514" spans="1:26" x14ac:dyDescent="0.25">
      <c r="A514">
        <v>513</v>
      </c>
      <c r="B514">
        <v>19</v>
      </c>
      <c r="C514" t="s">
        <v>22</v>
      </c>
      <c r="D514">
        <v>513</v>
      </c>
      <c r="E514" t="s">
        <v>146</v>
      </c>
      <c r="F514" t="s">
        <v>70</v>
      </c>
      <c r="G514">
        <v>513</v>
      </c>
      <c r="H514">
        <v>814</v>
      </c>
      <c r="I514">
        <v>49</v>
      </c>
      <c r="J514" t="s">
        <v>87</v>
      </c>
      <c r="K514" t="s">
        <v>26</v>
      </c>
      <c r="L514" t="s">
        <v>103</v>
      </c>
      <c r="M514" t="s">
        <v>28</v>
      </c>
      <c r="N514">
        <v>3.3</v>
      </c>
      <c r="O514">
        <v>1</v>
      </c>
      <c r="P514" t="s">
        <v>48</v>
      </c>
      <c r="Q514" t="s">
        <v>30</v>
      </c>
      <c r="R514" t="s">
        <v>30</v>
      </c>
      <c r="S514">
        <v>2</v>
      </c>
      <c r="T514" t="s">
        <v>78</v>
      </c>
      <c r="U514" t="s">
        <v>91</v>
      </c>
      <c r="V514" s="1">
        <v>45640</v>
      </c>
      <c r="W514">
        <f>Table1[[#This Row],[customer_purchase count]]+1</f>
        <v>3</v>
      </c>
      <c r="X514">
        <f>Table1[[#This Row],[customer_purchase count]]*Rules!$B$3</f>
        <v>119.52871794871795</v>
      </c>
      <c r="Y514" t="str">
        <f>IF(Table1[[#This Row],[customer_subscription]]=1,"Subscribed","Not Subscribed")</f>
        <v>Subscribed</v>
      </c>
    </row>
    <row r="515" spans="1:26" x14ac:dyDescent="0.25">
      <c r="A515">
        <v>514</v>
      </c>
      <c r="B515">
        <v>22</v>
      </c>
      <c r="C515" t="s">
        <v>22</v>
      </c>
      <c r="D515">
        <v>514</v>
      </c>
      <c r="E515" t="s">
        <v>122</v>
      </c>
      <c r="F515" t="s">
        <v>70</v>
      </c>
      <c r="G515">
        <v>514</v>
      </c>
      <c r="H515">
        <v>815</v>
      </c>
      <c r="I515">
        <v>65</v>
      </c>
      <c r="J515" t="s">
        <v>133</v>
      </c>
      <c r="K515" t="s">
        <v>47</v>
      </c>
      <c r="L515" t="s">
        <v>103</v>
      </c>
      <c r="M515" t="s">
        <v>60</v>
      </c>
      <c r="N515">
        <v>3.6</v>
      </c>
      <c r="O515">
        <v>1</v>
      </c>
      <c r="P515" t="s">
        <v>77</v>
      </c>
      <c r="Q515" t="s">
        <v>30</v>
      </c>
      <c r="R515" t="s">
        <v>30</v>
      </c>
      <c r="S515">
        <v>45</v>
      </c>
      <c r="T515" t="s">
        <v>31</v>
      </c>
      <c r="U515" t="s">
        <v>52</v>
      </c>
      <c r="V515" s="1">
        <v>45602</v>
      </c>
      <c r="W515">
        <f>Table1[[#This Row],[customer_purchase count]]+1</f>
        <v>46</v>
      </c>
      <c r="X515">
        <f>Table1[[#This Row],[customer_purchase count]]*Rules!$B$3</f>
        <v>2689.396153846154</v>
      </c>
      <c r="Y515" t="str">
        <f>IF(Table1[[#This Row],[customer_subscription]]=1,"Subscribed","Not Subscribed")</f>
        <v>Subscribed</v>
      </c>
    </row>
    <row r="516" spans="1:26" x14ac:dyDescent="0.25">
      <c r="A516">
        <v>515</v>
      </c>
      <c r="B516">
        <v>64</v>
      </c>
      <c r="C516" t="s">
        <v>22</v>
      </c>
      <c r="D516">
        <v>515</v>
      </c>
      <c r="E516" t="s">
        <v>90</v>
      </c>
      <c r="F516" t="s">
        <v>24</v>
      </c>
      <c r="G516">
        <v>515</v>
      </c>
      <c r="H516">
        <v>817</v>
      </c>
      <c r="I516">
        <v>62</v>
      </c>
      <c r="J516" t="s">
        <v>119</v>
      </c>
      <c r="K516" t="s">
        <v>39</v>
      </c>
      <c r="L516" t="s">
        <v>81</v>
      </c>
      <c r="M516" t="s">
        <v>28</v>
      </c>
      <c r="N516">
        <v>4.3</v>
      </c>
      <c r="O516">
        <v>1</v>
      </c>
      <c r="P516" t="s">
        <v>57</v>
      </c>
      <c r="Q516" t="s">
        <v>30</v>
      </c>
      <c r="R516" t="s">
        <v>30</v>
      </c>
      <c r="S516">
        <v>47</v>
      </c>
      <c r="T516" t="s">
        <v>49</v>
      </c>
      <c r="U516" t="s">
        <v>61</v>
      </c>
      <c r="V516" s="1">
        <v>45345</v>
      </c>
      <c r="W516">
        <f>Table1[[#This Row],[customer_purchase count]]+1</f>
        <v>48</v>
      </c>
      <c r="X516">
        <f>Table1[[#This Row],[customer_purchase count]]*Rules!$B$3</f>
        <v>2808.9248717948717</v>
      </c>
      <c r="Y516" t="str">
        <f>IF(Table1[[#This Row],[customer_subscription]]=1,"Subscribed","Not Subscribed")</f>
        <v>Subscribed</v>
      </c>
    </row>
    <row r="517" spans="1:26" x14ac:dyDescent="0.25">
      <c r="A517">
        <v>516</v>
      </c>
      <c r="B517">
        <v>28</v>
      </c>
      <c r="C517" t="s">
        <v>22</v>
      </c>
      <c r="D517">
        <v>516</v>
      </c>
      <c r="E517" t="s">
        <v>127</v>
      </c>
      <c r="F517" t="s">
        <v>70</v>
      </c>
      <c r="G517">
        <v>516</v>
      </c>
      <c r="H517">
        <v>818</v>
      </c>
      <c r="I517">
        <v>67</v>
      </c>
      <c r="J517" t="s">
        <v>25</v>
      </c>
      <c r="K517" t="s">
        <v>26</v>
      </c>
      <c r="L517" t="s">
        <v>64</v>
      </c>
      <c r="M517" t="s">
        <v>40</v>
      </c>
      <c r="N517">
        <v>4.5</v>
      </c>
      <c r="O517">
        <v>1</v>
      </c>
      <c r="P517" t="s">
        <v>48</v>
      </c>
      <c r="Q517" t="s">
        <v>30</v>
      </c>
      <c r="R517" t="s">
        <v>30</v>
      </c>
      <c r="S517">
        <v>7</v>
      </c>
      <c r="T517" t="s">
        <v>36</v>
      </c>
      <c r="U517" t="s">
        <v>91</v>
      </c>
      <c r="V517" s="1">
        <v>45403</v>
      </c>
      <c r="W517">
        <f>Table1[[#This Row],[customer_purchase count]]+1</f>
        <v>8</v>
      </c>
      <c r="X517">
        <f>Table1[[#This Row],[customer_purchase count]]*Rules!$B$3</f>
        <v>418.35051282051285</v>
      </c>
      <c r="Y517" t="str">
        <f>IF(Table1[[#This Row],[customer_subscription]]=1,"Subscribed","Not Subscribed")</f>
        <v>Subscribed</v>
      </c>
    </row>
    <row r="518" spans="1:26" x14ac:dyDescent="0.25">
      <c r="A518">
        <v>517</v>
      </c>
      <c r="B518">
        <v>34</v>
      </c>
      <c r="C518" t="s">
        <v>22</v>
      </c>
      <c r="D518">
        <v>517</v>
      </c>
      <c r="E518" t="s">
        <v>107</v>
      </c>
      <c r="F518" t="s">
        <v>24</v>
      </c>
      <c r="G518">
        <v>517</v>
      </c>
      <c r="H518">
        <v>819</v>
      </c>
      <c r="I518">
        <v>41</v>
      </c>
      <c r="J518" t="s">
        <v>67</v>
      </c>
      <c r="K518" t="s">
        <v>26</v>
      </c>
      <c r="L518" t="s">
        <v>129</v>
      </c>
      <c r="M518" t="s">
        <v>60</v>
      </c>
      <c r="N518">
        <v>2.8</v>
      </c>
      <c r="O518">
        <v>1</v>
      </c>
      <c r="P518" t="s">
        <v>73</v>
      </c>
      <c r="Q518" t="s">
        <v>30</v>
      </c>
      <c r="R518" t="s">
        <v>30</v>
      </c>
      <c r="S518">
        <v>19</v>
      </c>
      <c r="T518" t="s">
        <v>89</v>
      </c>
      <c r="U518" t="s">
        <v>79</v>
      </c>
      <c r="V518" s="1">
        <v>45550</v>
      </c>
      <c r="W518">
        <f>Table1[[#This Row],[customer_purchase count]]+1</f>
        <v>20</v>
      </c>
      <c r="X518">
        <f>Table1[[#This Row],[customer_purchase count]]*Rules!$B$3</f>
        <v>1135.5228205128205</v>
      </c>
      <c r="Y518" t="str">
        <f>IF(Table1[[#This Row],[customer_subscription]]=1,"Subscribed","Not Subscribed")</f>
        <v>Subscribed</v>
      </c>
    </row>
    <row r="519" spans="1:26" x14ac:dyDescent="0.25">
      <c r="A519">
        <v>518</v>
      </c>
      <c r="B519">
        <v>61</v>
      </c>
      <c r="C519" t="s">
        <v>22</v>
      </c>
      <c r="D519">
        <v>518</v>
      </c>
      <c r="E519" t="s">
        <v>140</v>
      </c>
      <c r="F519" t="s">
        <v>45</v>
      </c>
      <c r="G519">
        <v>518</v>
      </c>
      <c r="H519">
        <v>820</v>
      </c>
      <c r="I519">
        <v>49</v>
      </c>
      <c r="J519" t="s">
        <v>117</v>
      </c>
      <c r="K519" t="s">
        <v>26</v>
      </c>
      <c r="L519" t="s">
        <v>68</v>
      </c>
      <c r="M519" t="s">
        <v>60</v>
      </c>
      <c r="N519">
        <v>2.7</v>
      </c>
      <c r="O519">
        <v>1</v>
      </c>
      <c r="P519" t="s">
        <v>41</v>
      </c>
      <c r="Q519" t="s">
        <v>30</v>
      </c>
      <c r="R519" t="s">
        <v>30</v>
      </c>
      <c r="S519">
        <v>44</v>
      </c>
      <c r="T519" t="s">
        <v>36</v>
      </c>
      <c r="U519" t="s">
        <v>100</v>
      </c>
      <c r="V519" s="1">
        <v>45616</v>
      </c>
      <c r="W519">
        <f>Table1[[#This Row],[customer_purchase count]]+1</f>
        <v>45</v>
      </c>
      <c r="X519">
        <f>Table1[[#This Row],[customer_purchase count]]*Rules!$B$3</f>
        <v>2629.6317948717951</v>
      </c>
      <c r="Y519" t="str">
        <f>IF(Table1[[#This Row],[customer_subscription]]=1,"Subscribed","Not Subscribed")</f>
        <v>Subscribed</v>
      </c>
    </row>
    <row r="520" spans="1:26" x14ac:dyDescent="0.25">
      <c r="A520">
        <v>519</v>
      </c>
      <c r="B520">
        <v>24</v>
      </c>
      <c r="C520" t="s">
        <v>22</v>
      </c>
      <c r="D520">
        <v>519</v>
      </c>
      <c r="E520" t="s">
        <v>23</v>
      </c>
      <c r="F520" t="s">
        <v>24</v>
      </c>
      <c r="G520">
        <v>519</v>
      </c>
      <c r="H520">
        <v>821</v>
      </c>
      <c r="I520">
        <v>100</v>
      </c>
      <c r="J520" t="s">
        <v>50</v>
      </c>
      <c r="K520" t="s">
        <v>47</v>
      </c>
      <c r="L520" t="s">
        <v>121</v>
      </c>
      <c r="M520" t="s">
        <v>60</v>
      </c>
      <c r="N520">
        <v>2.9</v>
      </c>
      <c r="O520">
        <v>1</v>
      </c>
      <c r="P520" t="s">
        <v>48</v>
      </c>
      <c r="Q520" t="s">
        <v>30</v>
      </c>
      <c r="R520" t="s">
        <v>30</v>
      </c>
      <c r="S520">
        <v>16</v>
      </c>
      <c r="T520" t="s">
        <v>31</v>
      </c>
      <c r="U520" t="s">
        <v>100</v>
      </c>
      <c r="V520" s="1">
        <v>45551</v>
      </c>
      <c r="W520">
        <f>Table1[[#This Row],[customer_purchase count]]+1</f>
        <v>17</v>
      </c>
      <c r="X520">
        <f>Table1[[#This Row],[customer_purchase count]]*Rules!$B$3</f>
        <v>956.22974358974363</v>
      </c>
      <c r="Y520" t="str">
        <f>IF(Table1[[#This Row],[customer_subscription]]=1,"Subscribed","Not Subscribed")</f>
        <v>Subscribed</v>
      </c>
      <c r="Z520" t="s">
        <v>187</v>
      </c>
    </row>
    <row r="521" spans="1:26" x14ac:dyDescent="0.25">
      <c r="A521">
        <v>520</v>
      </c>
      <c r="B521">
        <v>19</v>
      </c>
      <c r="C521" t="s">
        <v>22</v>
      </c>
      <c r="D521">
        <v>520</v>
      </c>
      <c r="E521" t="s">
        <v>136</v>
      </c>
      <c r="F521" t="s">
        <v>70</v>
      </c>
      <c r="G521">
        <v>520</v>
      </c>
      <c r="H521">
        <v>823</v>
      </c>
      <c r="I521">
        <v>54</v>
      </c>
      <c r="J521" t="s">
        <v>151</v>
      </c>
      <c r="K521" t="s">
        <v>26</v>
      </c>
      <c r="L521" t="s">
        <v>147</v>
      </c>
      <c r="M521" t="s">
        <v>56</v>
      </c>
      <c r="N521">
        <v>4.4000000000000004</v>
      </c>
      <c r="O521">
        <v>1</v>
      </c>
      <c r="P521" t="s">
        <v>73</v>
      </c>
      <c r="Q521" t="s">
        <v>30</v>
      </c>
      <c r="R521" t="s">
        <v>30</v>
      </c>
      <c r="S521">
        <v>17</v>
      </c>
      <c r="T521" t="s">
        <v>78</v>
      </c>
      <c r="U521" t="s">
        <v>61</v>
      </c>
      <c r="V521" s="1">
        <v>45494</v>
      </c>
      <c r="W521">
        <f>Table1[[#This Row],[customer_purchase count]]+1</f>
        <v>18</v>
      </c>
      <c r="X521">
        <f>Table1[[#This Row],[customer_purchase count]]*Rules!$B$3</f>
        <v>1015.9941025641026</v>
      </c>
      <c r="Y521" t="str">
        <f>IF(Table1[[#This Row],[customer_subscription]]=1,"Subscribed","Not Subscribed")</f>
        <v>Subscribed</v>
      </c>
      <c r="Z521" t="s">
        <v>187</v>
      </c>
    </row>
    <row r="522" spans="1:26" x14ac:dyDescent="0.25">
      <c r="A522">
        <v>521</v>
      </c>
      <c r="B522">
        <v>51</v>
      </c>
      <c r="C522" t="s">
        <v>22</v>
      </c>
      <c r="D522">
        <v>521</v>
      </c>
      <c r="E522" t="s">
        <v>92</v>
      </c>
      <c r="F522" t="s">
        <v>70</v>
      </c>
      <c r="G522">
        <v>521</v>
      </c>
      <c r="H522">
        <v>824</v>
      </c>
      <c r="I522">
        <v>84</v>
      </c>
      <c r="J522" t="s">
        <v>134</v>
      </c>
      <c r="K522" t="s">
        <v>47</v>
      </c>
      <c r="L522" t="s">
        <v>55</v>
      </c>
      <c r="M522" t="s">
        <v>40</v>
      </c>
      <c r="N522">
        <v>3.9</v>
      </c>
      <c r="O522">
        <v>1</v>
      </c>
      <c r="P522" t="s">
        <v>41</v>
      </c>
      <c r="Q522" t="s">
        <v>30</v>
      </c>
      <c r="R522" t="s">
        <v>30</v>
      </c>
      <c r="S522">
        <v>20</v>
      </c>
      <c r="T522" t="s">
        <v>89</v>
      </c>
      <c r="U522" t="s">
        <v>61</v>
      </c>
      <c r="V522" s="1">
        <v>45420</v>
      </c>
      <c r="W522">
        <f>Table1[[#This Row],[customer_purchase count]]+1</f>
        <v>21</v>
      </c>
      <c r="X522">
        <f>Table1[[#This Row],[customer_purchase count]]*Rules!$B$3</f>
        <v>1195.2871794871796</v>
      </c>
      <c r="Y522" t="str">
        <f>IF(Table1[[#This Row],[customer_subscription]]=1,"Subscribed","Not Subscribed")</f>
        <v>Subscribed</v>
      </c>
    </row>
    <row r="523" spans="1:26" x14ac:dyDescent="0.25">
      <c r="A523">
        <v>522</v>
      </c>
      <c r="B523">
        <v>36</v>
      </c>
      <c r="C523" t="s">
        <v>22</v>
      </c>
      <c r="D523">
        <v>522</v>
      </c>
      <c r="E523" t="s">
        <v>62</v>
      </c>
      <c r="F523" t="s">
        <v>24</v>
      </c>
      <c r="G523">
        <v>522</v>
      </c>
      <c r="H523">
        <v>825</v>
      </c>
      <c r="I523">
        <v>41</v>
      </c>
      <c r="J523" t="s">
        <v>132</v>
      </c>
      <c r="K523" t="s">
        <v>26</v>
      </c>
      <c r="L523" t="s">
        <v>83</v>
      </c>
      <c r="M523" t="s">
        <v>28</v>
      </c>
      <c r="N523">
        <v>3.5</v>
      </c>
      <c r="O523">
        <v>1</v>
      </c>
      <c r="P523" t="s">
        <v>57</v>
      </c>
      <c r="Q523" t="s">
        <v>30</v>
      </c>
      <c r="R523" t="s">
        <v>30</v>
      </c>
      <c r="S523">
        <v>50</v>
      </c>
      <c r="T523" t="s">
        <v>78</v>
      </c>
      <c r="U523" t="s">
        <v>52</v>
      </c>
      <c r="V523" s="1">
        <v>45627</v>
      </c>
      <c r="W523">
        <f>Table1[[#This Row],[customer_purchase count]]+1</f>
        <v>51</v>
      </c>
      <c r="X523">
        <f>Table1[[#This Row],[customer_purchase count]]*Rules!$B$3</f>
        <v>2988.2179487179487</v>
      </c>
      <c r="Y523" t="str">
        <f>IF(Table1[[#This Row],[customer_subscription]]=1,"Subscribed","Not Subscribed")</f>
        <v>Subscribed</v>
      </c>
      <c r="Z523" t="s">
        <v>193</v>
      </c>
    </row>
    <row r="524" spans="1:26" x14ac:dyDescent="0.25">
      <c r="A524">
        <v>523</v>
      </c>
      <c r="B524">
        <v>65</v>
      </c>
      <c r="C524" t="s">
        <v>22</v>
      </c>
      <c r="D524">
        <v>523</v>
      </c>
      <c r="E524" t="s">
        <v>146</v>
      </c>
      <c r="F524" t="s">
        <v>70</v>
      </c>
      <c r="G524">
        <v>523</v>
      </c>
      <c r="H524">
        <v>826</v>
      </c>
      <c r="I524">
        <v>88</v>
      </c>
      <c r="J524" t="s">
        <v>151</v>
      </c>
      <c r="K524" t="s">
        <v>47</v>
      </c>
      <c r="L524" t="s">
        <v>147</v>
      </c>
      <c r="M524" t="s">
        <v>40</v>
      </c>
      <c r="N524">
        <v>2.5</v>
      </c>
      <c r="O524">
        <v>1</v>
      </c>
      <c r="P524" t="s">
        <v>77</v>
      </c>
      <c r="Q524" t="s">
        <v>30</v>
      </c>
      <c r="R524" t="s">
        <v>30</v>
      </c>
      <c r="S524">
        <v>37</v>
      </c>
      <c r="T524" t="s">
        <v>36</v>
      </c>
      <c r="U524" t="s">
        <v>61</v>
      </c>
      <c r="V524" s="1">
        <v>45417</v>
      </c>
      <c r="W524">
        <f>Table1[[#This Row],[customer_purchase count]]+1</f>
        <v>38</v>
      </c>
      <c r="X524">
        <f>Table1[[#This Row],[customer_purchase count]]*Rules!$B$3</f>
        <v>2211.2812820512822</v>
      </c>
      <c r="Y524" t="str">
        <f>IF(Table1[[#This Row],[customer_subscription]]=1,"Subscribed","Not Subscribed")</f>
        <v>Subscribed</v>
      </c>
    </row>
    <row r="525" spans="1:26" x14ac:dyDescent="0.25">
      <c r="A525">
        <v>524</v>
      </c>
      <c r="B525">
        <v>46</v>
      </c>
      <c r="C525" t="s">
        <v>22</v>
      </c>
      <c r="D525">
        <v>524</v>
      </c>
      <c r="E525" t="s">
        <v>44</v>
      </c>
      <c r="F525" t="s">
        <v>45</v>
      </c>
      <c r="G525">
        <v>524</v>
      </c>
      <c r="H525">
        <v>827</v>
      </c>
      <c r="I525">
        <v>40</v>
      </c>
      <c r="J525" t="s">
        <v>82</v>
      </c>
      <c r="K525" t="s">
        <v>47</v>
      </c>
      <c r="L525" t="s">
        <v>124</v>
      </c>
      <c r="M525" t="s">
        <v>40</v>
      </c>
      <c r="N525">
        <v>4.9000000000000004</v>
      </c>
      <c r="O525">
        <v>1</v>
      </c>
      <c r="P525" t="s">
        <v>29</v>
      </c>
      <c r="Q525" t="s">
        <v>30</v>
      </c>
      <c r="R525" t="s">
        <v>30</v>
      </c>
      <c r="S525">
        <v>5</v>
      </c>
      <c r="T525" t="s">
        <v>49</v>
      </c>
      <c r="U525" t="s">
        <v>61</v>
      </c>
      <c r="V525" s="1">
        <v>45423</v>
      </c>
      <c r="W525">
        <f>Table1[[#This Row],[customer_purchase count]]+1</f>
        <v>6</v>
      </c>
      <c r="X525">
        <f>Table1[[#This Row],[customer_purchase count]]*Rules!$B$3</f>
        <v>298.82179487179491</v>
      </c>
      <c r="Y525" t="str">
        <f>IF(Table1[[#This Row],[customer_subscription]]=1,"Subscribed","Not Subscribed")</f>
        <v>Subscribed</v>
      </c>
    </row>
    <row r="526" spans="1:26" x14ac:dyDescent="0.25">
      <c r="A526">
        <v>525</v>
      </c>
      <c r="B526">
        <v>59</v>
      </c>
      <c r="C526" t="s">
        <v>22</v>
      </c>
      <c r="D526">
        <v>525</v>
      </c>
      <c r="E526" t="s">
        <v>58</v>
      </c>
      <c r="F526" t="s">
        <v>24</v>
      </c>
      <c r="G526">
        <v>525</v>
      </c>
      <c r="H526">
        <v>829</v>
      </c>
      <c r="I526">
        <v>39</v>
      </c>
      <c r="J526" t="s">
        <v>141</v>
      </c>
      <c r="K526" t="s">
        <v>47</v>
      </c>
      <c r="L526" t="s">
        <v>83</v>
      </c>
      <c r="M526" t="s">
        <v>56</v>
      </c>
      <c r="N526">
        <v>4.8</v>
      </c>
      <c r="O526">
        <v>1</v>
      </c>
      <c r="P526" t="s">
        <v>41</v>
      </c>
      <c r="Q526" t="s">
        <v>30</v>
      </c>
      <c r="R526" t="s">
        <v>30</v>
      </c>
      <c r="S526">
        <v>44</v>
      </c>
      <c r="T526" t="s">
        <v>49</v>
      </c>
      <c r="U526" t="s">
        <v>52</v>
      </c>
      <c r="V526" s="1">
        <v>45482</v>
      </c>
      <c r="W526">
        <f>Table1[[#This Row],[customer_purchase count]]+1</f>
        <v>45</v>
      </c>
      <c r="X526">
        <f>Table1[[#This Row],[customer_purchase count]]*Rules!$B$3</f>
        <v>2629.6317948717951</v>
      </c>
      <c r="Y526" t="str">
        <f>IF(Table1[[#This Row],[customer_subscription]]=1,"Subscribed","Not Subscribed")</f>
        <v>Subscribed</v>
      </c>
      <c r="Z526" t="s">
        <v>193</v>
      </c>
    </row>
    <row r="527" spans="1:26" x14ac:dyDescent="0.25">
      <c r="A527">
        <v>526</v>
      </c>
      <c r="B527">
        <v>51</v>
      </c>
      <c r="C527" t="s">
        <v>22</v>
      </c>
      <c r="D527">
        <v>526</v>
      </c>
      <c r="E527" t="s">
        <v>65</v>
      </c>
      <c r="F527" t="s">
        <v>66</v>
      </c>
      <c r="G527">
        <v>526</v>
      </c>
      <c r="H527">
        <v>830</v>
      </c>
      <c r="I527">
        <v>37</v>
      </c>
      <c r="J527" t="s">
        <v>149</v>
      </c>
      <c r="K527" t="s">
        <v>47</v>
      </c>
      <c r="L527" t="s">
        <v>112</v>
      </c>
      <c r="M527" t="s">
        <v>40</v>
      </c>
      <c r="N527">
        <v>3.2</v>
      </c>
      <c r="O527">
        <v>1</v>
      </c>
      <c r="P527" t="s">
        <v>48</v>
      </c>
      <c r="Q527" t="s">
        <v>30</v>
      </c>
      <c r="R527" t="s">
        <v>30</v>
      </c>
      <c r="S527">
        <v>41</v>
      </c>
      <c r="T527" t="s">
        <v>89</v>
      </c>
      <c r="U527" t="s">
        <v>91</v>
      </c>
      <c r="V527" s="1">
        <v>45401</v>
      </c>
      <c r="W527">
        <f>Table1[[#This Row],[customer_purchase count]]+1</f>
        <v>42</v>
      </c>
      <c r="X527">
        <f>Table1[[#This Row],[customer_purchase count]]*Rules!$B$3</f>
        <v>2450.3387179487181</v>
      </c>
      <c r="Y527" t="str">
        <f>IF(Table1[[#This Row],[customer_subscription]]=1,"Subscribed","Not Subscribed")</f>
        <v>Subscribed</v>
      </c>
      <c r="Z527" t="s">
        <v>193</v>
      </c>
    </row>
    <row r="528" spans="1:26" x14ac:dyDescent="0.25">
      <c r="A528">
        <v>527</v>
      </c>
      <c r="B528">
        <v>51</v>
      </c>
      <c r="C528" t="s">
        <v>22</v>
      </c>
      <c r="D528">
        <v>527</v>
      </c>
      <c r="E528" t="s">
        <v>98</v>
      </c>
      <c r="F528" t="s">
        <v>24</v>
      </c>
      <c r="G528">
        <v>527</v>
      </c>
      <c r="H528">
        <v>831</v>
      </c>
      <c r="I528">
        <v>52</v>
      </c>
      <c r="J528" t="s">
        <v>130</v>
      </c>
      <c r="K528" t="s">
        <v>39</v>
      </c>
      <c r="L528" t="s">
        <v>111</v>
      </c>
      <c r="M528" t="s">
        <v>28</v>
      </c>
      <c r="N528">
        <v>4.9000000000000004</v>
      </c>
      <c r="O528">
        <v>1</v>
      </c>
      <c r="P528" t="s">
        <v>57</v>
      </c>
      <c r="Q528" t="s">
        <v>30</v>
      </c>
      <c r="R528" t="s">
        <v>30</v>
      </c>
      <c r="S528">
        <v>19</v>
      </c>
      <c r="T528" t="s">
        <v>36</v>
      </c>
      <c r="U528" t="s">
        <v>91</v>
      </c>
      <c r="V528" s="1">
        <v>45330</v>
      </c>
      <c r="W528">
        <f>Table1[[#This Row],[customer_purchase count]]+1</f>
        <v>20</v>
      </c>
      <c r="X528">
        <f>Table1[[#This Row],[customer_purchase count]]*Rules!$B$3</f>
        <v>1135.5228205128205</v>
      </c>
      <c r="Y528" t="str">
        <f>IF(Table1[[#This Row],[customer_subscription]]=1,"Subscribed","Not Subscribed")</f>
        <v>Subscribed</v>
      </c>
    </row>
    <row r="529" spans="1:26" x14ac:dyDescent="0.25">
      <c r="A529">
        <v>528</v>
      </c>
      <c r="B529">
        <v>21</v>
      </c>
      <c r="C529" t="s">
        <v>22</v>
      </c>
      <c r="D529">
        <v>528</v>
      </c>
      <c r="E529" t="s">
        <v>116</v>
      </c>
      <c r="F529" t="s">
        <v>24</v>
      </c>
      <c r="G529">
        <v>528</v>
      </c>
      <c r="H529">
        <v>832</v>
      </c>
      <c r="I529">
        <v>23</v>
      </c>
      <c r="J529" t="s">
        <v>134</v>
      </c>
      <c r="K529" t="s">
        <v>26</v>
      </c>
      <c r="L529" t="s">
        <v>137</v>
      </c>
      <c r="M529" t="s">
        <v>28</v>
      </c>
      <c r="N529">
        <v>4.3</v>
      </c>
      <c r="O529">
        <v>1</v>
      </c>
      <c r="P529" t="s">
        <v>48</v>
      </c>
      <c r="Q529" t="s">
        <v>30</v>
      </c>
      <c r="R529" t="s">
        <v>30</v>
      </c>
      <c r="S529">
        <v>47</v>
      </c>
      <c r="T529" t="s">
        <v>78</v>
      </c>
      <c r="U529" t="s">
        <v>100</v>
      </c>
      <c r="V529" s="1">
        <v>45302</v>
      </c>
      <c r="W529">
        <f>Table1[[#This Row],[customer_purchase count]]+1</f>
        <v>48</v>
      </c>
      <c r="X529">
        <f>Table1[[#This Row],[customer_purchase count]]*Rules!$B$3</f>
        <v>2808.9248717948717</v>
      </c>
      <c r="Y529" t="str">
        <f>IF(Table1[[#This Row],[customer_subscription]]=1,"Subscribed","Not Subscribed")</f>
        <v>Subscribed</v>
      </c>
    </row>
    <row r="530" spans="1:26" x14ac:dyDescent="0.25">
      <c r="A530">
        <v>529</v>
      </c>
      <c r="B530">
        <v>34</v>
      </c>
      <c r="C530" t="s">
        <v>22</v>
      </c>
      <c r="D530">
        <v>529</v>
      </c>
      <c r="E530" t="s">
        <v>53</v>
      </c>
      <c r="F530" t="s">
        <v>45</v>
      </c>
      <c r="G530">
        <v>529</v>
      </c>
      <c r="H530">
        <v>833</v>
      </c>
      <c r="I530">
        <v>88</v>
      </c>
      <c r="J530" t="s">
        <v>131</v>
      </c>
      <c r="K530" t="s">
        <v>39</v>
      </c>
      <c r="L530" t="s">
        <v>121</v>
      </c>
      <c r="M530" t="s">
        <v>28</v>
      </c>
      <c r="N530">
        <v>3.2</v>
      </c>
      <c r="O530">
        <v>1</v>
      </c>
      <c r="P530" t="s">
        <v>29</v>
      </c>
      <c r="Q530" t="s">
        <v>30</v>
      </c>
      <c r="R530" t="s">
        <v>30</v>
      </c>
      <c r="S530">
        <v>40</v>
      </c>
      <c r="T530" t="s">
        <v>36</v>
      </c>
      <c r="U530" t="s">
        <v>52</v>
      </c>
      <c r="V530" s="1">
        <v>45628</v>
      </c>
      <c r="W530">
        <f>Table1[[#This Row],[customer_purchase count]]+1</f>
        <v>41</v>
      </c>
      <c r="X530">
        <f>Table1[[#This Row],[customer_purchase count]]*Rules!$B$3</f>
        <v>2390.5743589743593</v>
      </c>
      <c r="Y530" t="str">
        <f>IF(Table1[[#This Row],[customer_subscription]]=1,"Subscribed","Not Subscribed")</f>
        <v>Subscribed</v>
      </c>
      <c r="Z530" t="s">
        <v>193</v>
      </c>
    </row>
    <row r="531" spans="1:26" x14ac:dyDescent="0.25">
      <c r="A531">
        <v>530</v>
      </c>
      <c r="B531">
        <v>32</v>
      </c>
      <c r="C531" t="s">
        <v>22</v>
      </c>
      <c r="D531">
        <v>530</v>
      </c>
      <c r="E531" t="s">
        <v>62</v>
      </c>
      <c r="F531" t="s">
        <v>24</v>
      </c>
      <c r="G531">
        <v>530</v>
      </c>
      <c r="H531">
        <v>835</v>
      </c>
      <c r="I531">
        <v>84</v>
      </c>
      <c r="J531" t="s">
        <v>102</v>
      </c>
      <c r="K531" t="s">
        <v>47</v>
      </c>
      <c r="L531" t="s">
        <v>124</v>
      </c>
      <c r="M531" t="s">
        <v>60</v>
      </c>
      <c r="N531">
        <v>3.7</v>
      </c>
      <c r="O531">
        <v>1</v>
      </c>
      <c r="P531" t="s">
        <v>57</v>
      </c>
      <c r="Q531" t="s">
        <v>30</v>
      </c>
      <c r="R531" t="s">
        <v>30</v>
      </c>
      <c r="S531">
        <v>6</v>
      </c>
      <c r="T531" t="s">
        <v>42</v>
      </c>
      <c r="U531" t="s">
        <v>91</v>
      </c>
      <c r="V531" s="1">
        <v>45617</v>
      </c>
      <c r="W531">
        <f>Table1[[#This Row],[customer_purchase count]]+1</f>
        <v>7</v>
      </c>
      <c r="X531">
        <f>Table1[[#This Row],[customer_purchase count]]*Rules!$B$3</f>
        <v>358.58615384615388</v>
      </c>
      <c r="Y531" t="str">
        <f>IF(Table1[[#This Row],[customer_subscription]]=1,"Subscribed","Not Subscribed")</f>
        <v>Subscribed</v>
      </c>
    </row>
    <row r="532" spans="1:26" x14ac:dyDescent="0.25">
      <c r="A532">
        <v>531</v>
      </c>
      <c r="B532">
        <v>48</v>
      </c>
      <c r="C532" t="s">
        <v>22</v>
      </c>
      <c r="D532">
        <v>531</v>
      </c>
      <c r="E532" t="s">
        <v>65</v>
      </c>
      <c r="F532" t="s">
        <v>66</v>
      </c>
      <c r="G532">
        <v>531</v>
      </c>
      <c r="H532">
        <v>836</v>
      </c>
      <c r="I532">
        <v>37</v>
      </c>
      <c r="J532" t="s">
        <v>59</v>
      </c>
      <c r="K532" t="s">
        <v>95</v>
      </c>
      <c r="L532" t="s">
        <v>139</v>
      </c>
      <c r="M532" t="s">
        <v>28</v>
      </c>
      <c r="N532">
        <v>3.2</v>
      </c>
      <c r="O532">
        <v>1</v>
      </c>
      <c r="P532" t="s">
        <v>77</v>
      </c>
      <c r="Q532" t="s">
        <v>30</v>
      </c>
      <c r="R532" t="s">
        <v>30</v>
      </c>
      <c r="S532">
        <v>25</v>
      </c>
      <c r="T532" t="s">
        <v>42</v>
      </c>
      <c r="U532" t="s">
        <v>79</v>
      </c>
      <c r="V532" s="1">
        <v>45633</v>
      </c>
      <c r="W532">
        <f>Table1[[#This Row],[customer_purchase count]]+1</f>
        <v>26</v>
      </c>
      <c r="X532">
        <f>Table1[[#This Row],[customer_purchase count]]*Rules!$B$3</f>
        <v>1494.1089743589744</v>
      </c>
      <c r="Y532" t="str">
        <f>IF(Table1[[#This Row],[customer_subscription]]=1,"Subscribed","Not Subscribed")</f>
        <v>Subscribed</v>
      </c>
    </row>
    <row r="533" spans="1:26" x14ac:dyDescent="0.25">
      <c r="A533">
        <v>532</v>
      </c>
      <c r="B533">
        <v>50</v>
      </c>
      <c r="C533" t="s">
        <v>22</v>
      </c>
      <c r="D533">
        <v>532</v>
      </c>
      <c r="E533" t="s">
        <v>44</v>
      </c>
      <c r="F533" t="s">
        <v>45</v>
      </c>
      <c r="G533">
        <v>532</v>
      </c>
      <c r="H533">
        <v>837</v>
      </c>
      <c r="I533">
        <v>51</v>
      </c>
      <c r="J533" t="s">
        <v>132</v>
      </c>
      <c r="K533" t="s">
        <v>26</v>
      </c>
      <c r="L533" t="s">
        <v>76</v>
      </c>
      <c r="M533" t="s">
        <v>60</v>
      </c>
      <c r="N533">
        <v>3.4</v>
      </c>
      <c r="O533">
        <v>1</v>
      </c>
      <c r="P533" t="s">
        <v>48</v>
      </c>
      <c r="Q533" t="s">
        <v>30</v>
      </c>
      <c r="R533" t="s">
        <v>30</v>
      </c>
      <c r="S533">
        <v>42</v>
      </c>
      <c r="T533" t="s">
        <v>36</v>
      </c>
      <c r="U533" t="s">
        <v>43</v>
      </c>
      <c r="V533" s="1">
        <v>45592</v>
      </c>
      <c r="W533">
        <f>Table1[[#This Row],[customer_purchase count]]+1</f>
        <v>43</v>
      </c>
      <c r="X533">
        <f>Table1[[#This Row],[customer_purchase count]]*Rules!$B$3</f>
        <v>2510.103076923077</v>
      </c>
      <c r="Y533" t="str">
        <f>IF(Table1[[#This Row],[customer_subscription]]=1,"Subscribed","Not Subscribed")</f>
        <v>Subscribed</v>
      </c>
      <c r="Z533" t="s">
        <v>193</v>
      </c>
    </row>
    <row r="534" spans="1:26" x14ac:dyDescent="0.25">
      <c r="A534">
        <v>533</v>
      </c>
      <c r="B534">
        <v>26</v>
      </c>
      <c r="C534" t="s">
        <v>22</v>
      </c>
      <c r="D534">
        <v>533</v>
      </c>
      <c r="E534" t="s">
        <v>98</v>
      </c>
      <c r="F534" t="s">
        <v>24</v>
      </c>
      <c r="G534">
        <v>533</v>
      </c>
      <c r="H534">
        <v>838</v>
      </c>
      <c r="I534">
        <v>76</v>
      </c>
      <c r="J534" t="s">
        <v>108</v>
      </c>
      <c r="K534" t="s">
        <v>26</v>
      </c>
      <c r="L534" t="s">
        <v>97</v>
      </c>
      <c r="M534" t="s">
        <v>28</v>
      </c>
      <c r="N534">
        <v>4.0999999999999996</v>
      </c>
      <c r="O534">
        <v>1</v>
      </c>
      <c r="P534" t="s">
        <v>29</v>
      </c>
      <c r="Q534" t="s">
        <v>30</v>
      </c>
      <c r="R534" t="s">
        <v>30</v>
      </c>
      <c r="S534">
        <v>35</v>
      </c>
      <c r="T534" t="s">
        <v>78</v>
      </c>
      <c r="U534" t="s">
        <v>100</v>
      </c>
      <c r="V534" s="1">
        <v>45317</v>
      </c>
      <c r="W534">
        <f>Table1[[#This Row],[customer_purchase count]]+1</f>
        <v>36</v>
      </c>
      <c r="X534">
        <f>Table1[[#This Row],[customer_purchase count]]*Rules!$B$3</f>
        <v>2091.7525641025641</v>
      </c>
      <c r="Y534" t="str">
        <f>IF(Table1[[#This Row],[customer_subscription]]=1,"Subscribed","Not Subscribed")</f>
        <v>Subscribed</v>
      </c>
    </row>
    <row r="535" spans="1:26" x14ac:dyDescent="0.25">
      <c r="A535">
        <v>534</v>
      </c>
      <c r="B535">
        <v>57</v>
      </c>
      <c r="C535" t="s">
        <v>22</v>
      </c>
      <c r="D535">
        <v>534</v>
      </c>
      <c r="E535" t="s">
        <v>44</v>
      </c>
      <c r="F535" t="s">
        <v>45</v>
      </c>
      <c r="G535">
        <v>534</v>
      </c>
      <c r="H535">
        <v>839</v>
      </c>
      <c r="I535">
        <v>60</v>
      </c>
      <c r="J535" t="s">
        <v>101</v>
      </c>
      <c r="K535" t="s">
        <v>26</v>
      </c>
      <c r="L535" t="s">
        <v>72</v>
      </c>
      <c r="M535" t="s">
        <v>40</v>
      </c>
      <c r="N535">
        <v>4.5</v>
      </c>
      <c r="O535">
        <v>1</v>
      </c>
      <c r="P535" t="s">
        <v>48</v>
      </c>
      <c r="Q535" t="s">
        <v>30</v>
      </c>
      <c r="R535" t="s">
        <v>30</v>
      </c>
      <c r="S535">
        <v>17</v>
      </c>
      <c r="T535" t="s">
        <v>89</v>
      </c>
      <c r="U535" t="s">
        <v>43</v>
      </c>
      <c r="V535" s="1">
        <v>45394</v>
      </c>
      <c r="W535">
        <f>Table1[[#This Row],[customer_purchase count]]+1</f>
        <v>18</v>
      </c>
      <c r="X535">
        <f>Table1[[#This Row],[customer_purchase count]]*Rules!$B$3</f>
        <v>1015.9941025641026</v>
      </c>
      <c r="Y535" t="str">
        <f>IF(Table1[[#This Row],[customer_subscription]]=1,"Subscribed","Not Subscribed")</f>
        <v>Subscribed</v>
      </c>
    </row>
    <row r="536" spans="1:26" x14ac:dyDescent="0.25">
      <c r="A536">
        <v>535</v>
      </c>
      <c r="B536">
        <v>65</v>
      </c>
      <c r="C536" t="s">
        <v>22</v>
      </c>
      <c r="D536">
        <v>535</v>
      </c>
      <c r="E536" t="s">
        <v>146</v>
      </c>
      <c r="F536" t="s">
        <v>70</v>
      </c>
      <c r="G536">
        <v>535</v>
      </c>
      <c r="H536">
        <v>841</v>
      </c>
      <c r="I536">
        <v>72</v>
      </c>
      <c r="J536" t="s">
        <v>106</v>
      </c>
      <c r="K536" t="s">
        <v>26</v>
      </c>
      <c r="L536" t="s">
        <v>72</v>
      </c>
      <c r="M536" t="s">
        <v>60</v>
      </c>
      <c r="N536">
        <v>4.5</v>
      </c>
      <c r="O536">
        <v>1</v>
      </c>
      <c r="P536" t="s">
        <v>48</v>
      </c>
      <c r="Q536" t="s">
        <v>30</v>
      </c>
      <c r="R536" t="s">
        <v>30</v>
      </c>
      <c r="S536">
        <v>4</v>
      </c>
      <c r="T536" t="s">
        <v>49</v>
      </c>
      <c r="U536" t="s">
        <v>61</v>
      </c>
      <c r="V536" s="1">
        <v>45604</v>
      </c>
      <c r="W536">
        <f>Table1[[#This Row],[customer_purchase count]]+1</f>
        <v>5</v>
      </c>
      <c r="X536">
        <f>Table1[[#This Row],[customer_purchase count]]*Rules!$B$3</f>
        <v>239.05743589743591</v>
      </c>
      <c r="Y536" t="str">
        <f>IF(Table1[[#This Row],[customer_subscription]]=1,"Subscribed","Not Subscribed")</f>
        <v>Subscribed</v>
      </c>
    </row>
    <row r="537" spans="1:26" x14ac:dyDescent="0.25">
      <c r="A537">
        <v>536</v>
      </c>
      <c r="B537">
        <v>56</v>
      </c>
      <c r="C537" t="s">
        <v>22</v>
      </c>
      <c r="D537">
        <v>536</v>
      </c>
      <c r="E537" t="s">
        <v>116</v>
      </c>
      <c r="F537" t="s">
        <v>24</v>
      </c>
      <c r="G537">
        <v>536</v>
      </c>
      <c r="H537">
        <v>842</v>
      </c>
      <c r="I537">
        <v>45</v>
      </c>
      <c r="J537" t="s">
        <v>67</v>
      </c>
      <c r="K537" t="s">
        <v>26</v>
      </c>
      <c r="L537" t="s">
        <v>35</v>
      </c>
      <c r="M537" t="s">
        <v>40</v>
      </c>
      <c r="N537">
        <v>3.2</v>
      </c>
      <c r="O537">
        <v>1</v>
      </c>
      <c r="P537" t="s">
        <v>41</v>
      </c>
      <c r="Q537" t="s">
        <v>30</v>
      </c>
      <c r="R537" t="s">
        <v>30</v>
      </c>
      <c r="S537">
        <v>24</v>
      </c>
      <c r="T537" t="s">
        <v>78</v>
      </c>
      <c r="U537" t="s">
        <v>43</v>
      </c>
      <c r="V537" s="1">
        <v>45418</v>
      </c>
      <c r="W537">
        <f>Table1[[#This Row],[customer_purchase count]]+1</f>
        <v>25</v>
      </c>
      <c r="X537">
        <f>Table1[[#This Row],[customer_purchase count]]*Rules!$B$3</f>
        <v>1434.3446153846155</v>
      </c>
      <c r="Y537" t="str">
        <f>IF(Table1[[#This Row],[customer_subscription]]=1,"Subscribed","Not Subscribed")</f>
        <v>Subscribed</v>
      </c>
    </row>
    <row r="538" spans="1:26" x14ac:dyDescent="0.25">
      <c r="A538">
        <v>537</v>
      </c>
      <c r="B538">
        <v>44</v>
      </c>
      <c r="C538" t="s">
        <v>22</v>
      </c>
      <c r="D538">
        <v>537</v>
      </c>
      <c r="E538" t="s">
        <v>105</v>
      </c>
      <c r="F538" t="s">
        <v>66</v>
      </c>
      <c r="G538">
        <v>537</v>
      </c>
      <c r="H538">
        <v>843</v>
      </c>
      <c r="I538">
        <v>84</v>
      </c>
      <c r="J538" t="s">
        <v>118</v>
      </c>
      <c r="K538" t="s">
        <v>39</v>
      </c>
      <c r="L538" t="s">
        <v>35</v>
      </c>
      <c r="M538" t="s">
        <v>60</v>
      </c>
      <c r="N538">
        <v>4.4000000000000004</v>
      </c>
      <c r="O538">
        <v>1</v>
      </c>
      <c r="P538" t="s">
        <v>77</v>
      </c>
      <c r="Q538" t="s">
        <v>30</v>
      </c>
      <c r="R538" t="s">
        <v>30</v>
      </c>
      <c r="S538">
        <v>16</v>
      </c>
      <c r="T538" t="s">
        <v>89</v>
      </c>
      <c r="U538" t="s">
        <v>100</v>
      </c>
      <c r="V538" s="1">
        <v>45585</v>
      </c>
      <c r="W538">
        <f>Table1[[#This Row],[customer_purchase count]]+1</f>
        <v>17</v>
      </c>
      <c r="X538">
        <f>Table1[[#This Row],[customer_purchase count]]*Rules!$B$3</f>
        <v>956.22974358974363</v>
      </c>
      <c r="Y538" t="str">
        <f>IF(Table1[[#This Row],[customer_subscription]]=1,"Subscribed","Not Subscribed")</f>
        <v>Subscribed</v>
      </c>
    </row>
    <row r="539" spans="1:26" x14ac:dyDescent="0.25">
      <c r="A539">
        <v>538</v>
      </c>
      <c r="B539">
        <v>50</v>
      </c>
      <c r="C539" t="s">
        <v>22</v>
      </c>
      <c r="D539">
        <v>538</v>
      </c>
      <c r="E539" t="s">
        <v>23</v>
      </c>
      <c r="F539" t="s">
        <v>24</v>
      </c>
      <c r="G539">
        <v>538</v>
      </c>
      <c r="H539">
        <v>844</v>
      </c>
      <c r="I539">
        <v>49</v>
      </c>
      <c r="J539" t="s">
        <v>144</v>
      </c>
      <c r="K539" t="s">
        <v>39</v>
      </c>
      <c r="L539" t="s">
        <v>51</v>
      </c>
      <c r="M539" t="s">
        <v>56</v>
      </c>
      <c r="N539">
        <v>3</v>
      </c>
      <c r="O539">
        <v>1</v>
      </c>
      <c r="P539" t="s">
        <v>77</v>
      </c>
      <c r="Q539" t="s">
        <v>30</v>
      </c>
      <c r="R539" t="s">
        <v>30</v>
      </c>
      <c r="S539">
        <v>14</v>
      </c>
      <c r="T539" t="s">
        <v>89</v>
      </c>
      <c r="U539" t="s">
        <v>52</v>
      </c>
      <c r="V539" s="1">
        <v>45474</v>
      </c>
      <c r="W539">
        <f>Table1[[#This Row],[customer_purchase count]]+1</f>
        <v>15</v>
      </c>
      <c r="X539">
        <f>Table1[[#This Row],[customer_purchase count]]*Rules!$B$3</f>
        <v>836.70102564102569</v>
      </c>
      <c r="Y539" t="str">
        <f>IF(Table1[[#This Row],[customer_subscription]]=1,"Subscribed","Not Subscribed")</f>
        <v>Subscribed</v>
      </c>
    </row>
    <row r="540" spans="1:26" x14ac:dyDescent="0.25">
      <c r="A540">
        <v>539</v>
      </c>
      <c r="B540">
        <v>27</v>
      </c>
      <c r="C540" t="s">
        <v>22</v>
      </c>
      <c r="D540">
        <v>539</v>
      </c>
      <c r="E540" t="s">
        <v>128</v>
      </c>
      <c r="F540" t="s">
        <v>24</v>
      </c>
      <c r="G540">
        <v>539</v>
      </c>
      <c r="H540">
        <v>845</v>
      </c>
      <c r="I540">
        <v>22</v>
      </c>
      <c r="J540" t="s">
        <v>144</v>
      </c>
      <c r="K540" t="s">
        <v>95</v>
      </c>
      <c r="L540" t="s">
        <v>99</v>
      </c>
      <c r="M540" t="s">
        <v>40</v>
      </c>
      <c r="N540">
        <v>3.2</v>
      </c>
      <c r="O540">
        <v>1</v>
      </c>
      <c r="P540" t="s">
        <v>41</v>
      </c>
      <c r="Q540" t="s">
        <v>30</v>
      </c>
      <c r="R540" t="s">
        <v>30</v>
      </c>
      <c r="S540">
        <v>43</v>
      </c>
      <c r="T540" t="s">
        <v>36</v>
      </c>
      <c r="U540" t="s">
        <v>43</v>
      </c>
      <c r="V540" s="1">
        <v>45377</v>
      </c>
      <c r="W540">
        <f>Table1[[#This Row],[customer_purchase count]]+1</f>
        <v>44</v>
      </c>
      <c r="X540">
        <f>Table1[[#This Row],[customer_purchase count]]*Rules!$B$3</f>
        <v>2569.8674358974358</v>
      </c>
      <c r="Y540" t="str">
        <f>IF(Table1[[#This Row],[customer_subscription]]=1,"Subscribed","Not Subscribed")</f>
        <v>Subscribed</v>
      </c>
    </row>
    <row r="541" spans="1:26" x14ac:dyDescent="0.25">
      <c r="A541">
        <v>540</v>
      </c>
      <c r="B541">
        <v>49</v>
      </c>
      <c r="C541" t="s">
        <v>22</v>
      </c>
      <c r="D541">
        <v>540</v>
      </c>
      <c r="E541" t="s">
        <v>65</v>
      </c>
      <c r="F541" t="s">
        <v>66</v>
      </c>
      <c r="G541">
        <v>540</v>
      </c>
      <c r="H541">
        <v>847</v>
      </c>
      <c r="I541">
        <v>48</v>
      </c>
      <c r="J541" t="s">
        <v>54</v>
      </c>
      <c r="K541" t="s">
        <v>47</v>
      </c>
      <c r="L541" t="s">
        <v>86</v>
      </c>
      <c r="M541" t="s">
        <v>28</v>
      </c>
      <c r="N541">
        <v>4</v>
      </c>
      <c r="O541">
        <v>1</v>
      </c>
      <c r="P541" t="s">
        <v>77</v>
      </c>
      <c r="Q541" t="s">
        <v>30</v>
      </c>
      <c r="R541" t="s">
        <v>30</v>
      </c>
      <c r="S541">
        <v>49</v>
      </c>
      <c r="T541" t="s">
        <v>89</v>
      </c>
      <c r="U541" t="s">
        <v>43</v>
      </c>
      <c r="V541" s="1">
        <v>45329</v>
      </c>
      <c r="W541">
        <f>Table1[[#This Row],[customer_purchase count]]+1</f>
        <v>50</v>
      </c>
      <c r="X541">
        <f>Table1[[#This Row],[customer_purchase count]]*Rules!$B$3</f>
        <v>2928.4535897435899</v>
      </c>
      <c r="Y541" t="str">
        <f>IF(Table1[[#This Row],[customer_subscription]]=1,"Subscribed","Not Subscribed")</f>
        <v>Subscribed</v>
      </c>
      <c r="Z541" t="s">
        <v>193</v>
      </c>
    </row>
    <row r="542" spans="1:26" x14ac:dyDescent="0.25">
      <c r="A542">
        <v>541</v>
      </c>
      <c r="B542">
        <v>49</v>
      </c>
      <c r="C542" t="s">
        <v>22</v>
      </c>
      <c r="D542">
        <v>541</v>
      </c>
      <c r="E542" t="s">
        <v>84</v>
      </c>
      <c r="F542" t="s">
        <v>24</v>
      </c>
      <c r="G542">
        <v>541</v>
      </c>
      <c r="H542">
        <v>848</v>
      </c>
      <c r="I542">
        <v>37</v>
      </c>
      <c r="J542" t="s">
        <v>134</v>
      </c>
      <c r="K542" t="s">
        <v>47</v>
      </c>
      <c r="L542" t="s">
        <v>96</v>
      </c>
      <c r="M542" t="s">
        <v>40</v>
      </c>
      <c r="N542">
        <v>3.1</v>
      </c>
      <c r="O542">
        <v>1</v>
      </c>
      <c r="P542" t="s">
        <v>48</v>
      </c>
      <c r="Q542" t="s">
        <v>30</v>
      </c>
      <c r="R542" t="s">
        <v>30</v>
      </c>
      <c r="S542">
        <v>33</v>
      </c>
      <c r="T542" t="s">
        <v>36</v>
      </c>
      <c r="U542" t="s">
        <v>100</v>
      </c>
      <c r="V542" s="1">
        <v>45431</v>
      </c>
      <c r="W542">
        <f>Table1[[#This Row],[customer_purchase count]]+1</f>
        <v>34</v>
      </c>
      <c r="X542">
        <f>Table1[[#This Row],[customer_purchase count]]*Rules!$B$3</f>
        <v>1972.2238461538464</v>
      </c>
      <c r="Y542" t="str">
        <f>IF(Table1[[#This Row],[customer_subscription]]=1,"Subscribed","Not Subscribed")</f>
        <v>Subscribed</v>
      </c>
      <c r="Z542" t="s">
        <v>193</v>
      </c>
    </row>
    <row r="543" spans="1:26" x14ac:dyDescent="0.25">
      <c r="A543">
        <v>542</v>
      </c>
      <c r="B543">
        <v>52</v>
      </c>
      <c r="C543" t="s">
        <v>22</v>
      </c>
      <c r="D543">
        <v>542</v>
      </c>
      <c r="E543" t="s">
        <v>105</v>
      </c>
      <c r="F543" t="s">
        <v>66</v>
      </c>
      <c r="G543">
        <v>542</v>
      </c>
      <c r="H543">
        <v>849</v>
      </c>
      <c r="I543">
        <v>27</v>
      </c>
      <c r="J543" t="s">
        <v>142</v>
      </c>
      <c r="K543" t="s">
        <v>26</v>
      </c>
      <c r="L543" t="s">
        <v>27</v>
      </c>
      <c r="M543" t="s">
        <v>60</v>
      </c>
      <c r="N543">
        <v>2.8</v>
      </c>
      <c r="O543">
        <v>1</v>
      </c>
      <c r="P543" t="s">
        <v>48</v>
      </c>
      <c r="Q543" t="s">
        <v>30</v>
      </c>
      <c r="R543" t="s">
        <v>30</v>
      </c>
      <c r="S543">
        <v>45</v>
      </c>
      <c r="T543" t="s">
        <v>36</v>
      </c>
      <c r="U543" t="s">
        <v>79</v>
      </c>
      <c r="V543" s="1">
        <v>45546</v>
      </c>
      <c r="W543">
        <f>Table1[[#This Row],[customer_purchase count]]+1</f>
        <v>46</v>
      </c>
      <c r="X543">
        <f>Table1[[#This Row],[customer_purchase count]]*Rules!$B$3</f>
        <v>2689.396153846154</v>
      </c>
      <c r="Y543" t="str">
        <f>IF(Table1[[#This Row],[customer_subscription]]=1,"Subscribed","Not Subscribed")</f>
        <v>Subscribed</v>
      </c>
      <c r="Z543" t="s">
        <v>193</v>
      </c>
    </row>
    <row r="544" spans="1:26" x14ac:dyDescent="0.25">
      <c r="A544">
        <v>543</v>
      </c>
      <c r="B544">
        <v>27</v>
      </c>
      <c r="C544" t="s">
        <v>22</v>
      </c>
      <c r="D544">
        <v>543</v>
      </c>
      <c r="E544" t="s">
        <v>140</v>
      </c>
      <c r="F544" t="s">
        <v>45</v>
      </c>
      <c r="G544">
        <v>543</v>
      </c>
      <c r="H544">
        <v>850</v>
      </c>
      <c r="I544">
        <v>79</v>
      </c>
      <c r="J544" t="s">
        <v>118</v>
      </c>
      <c r="K544" t="s">
        <v>95</v>
      </c>
      <c r="L544" t="s">
        <v>88</v>
      </c>
      <c r="M544" t="s">
        <v>40</v>
      </c>
      <c r="N544">
        <v>4.5999999999999996</v>
      </c>
      <c r="O544">
        <v>1</v>
      </c>
      <c r="P544" t="s">
        <v>48</v>
      </c>
      <c r="Q544" t="s">
        <v>30</v>
      </c>
      <c r="R544" t="s">
        <v>30</v>
      </c>
      <c r="S544">
        <v>35</v>
      </c>
      <c r="T544" t="s">
        <v>36</v>
      </c>
      <c r="U544" t="s">
        <v>79</v>
      </c>
      <c r="V544" s="1">
        <v>45437</v>
      </c>
      <c r="W544">
        <f>Table1[[#This Row],[customer_purchase count]]+1</f>
        <v>36</v>
      </c>
      <c r="X544">
        <f>Table1[[#This Row],[customer_purchase count]]*Rules!$B$3</f>
        <v>2091.7525641025641</v>
      </c>
      <c r="Y544" t="str">
        <f>IF(Table1[[#This Row],[customer_subscription]]=1,"Subscribed","Not Subscribed")</f>
        <v>Subscribed</v>
      </c>
    </row>
    <row r="545" spans="1:26" x14ac:dyDescent="0.25">
      <c r="A545">
        <v>544</v>
      </c>
      <c r="B545">
        <v>53</v>
      </c>
      <c r="C545" t="s">
        <v>22</v>
      </c>
      <c r="D545">
        <v>544</v>
      </c>
      <c r="E545" t="s">
        <v>90</v>
      </c>
      <c r="F545" t="s">
        <v>24</v>
      </c>
      <c r="G545">
        <v>544</v>
      </c>
      <c r="H545">
        <v>851</v>
      </c>
      <c r="I545">
        <v>98</v>
      </c>
      <c r="J545" t="s">
        <v>93</v>
      </c>
      <c r="K545" t="s">
        <v>39</v>
      </c>
      <c r="L545" t="s">
        <v>111</v>
      </c>
      <c r="M545" t="s">
        <v>40</v>
      </c>
      <c r="N545">
        <v>4.3</v>
      </c>
      <c r="O545">
        <v>1</v>
      </c>
      <c r="P545" t="s">
        <v>29</v>
      </c>
      <c r="Q545" t="s">
        <v>30</v>
      </c>
      <c r="R545" t="s">
        <v>30</v>
      </c>
      <c r="S545">
        <v>11</v>
      </c>
      <c r="T545" t="s">
        <v>42</v>
      </c>
      <c r="U545" t="s">
        <v>91</v>
      </c>
      <c r="V545" s="1">
        <v>45393</v>
      </c>
      <c r="W545">
        <f>Table1[[#This Row],[customer_purchase count]]+1</f>
        <v>12</v>
      </c>
      <c r="X545">
        <f>Table1[[#This Row],[customer_purchase count]]*Rules!$B$3</f>
        <v>657.40794871794878</v>
      </c>
      <c r="Y545" t="str">
        <f>IF(Table1[[#This Row],[customer_subscription]]=1,"Subscribed","Not Subscribed")</f>
        <v>Subscribed</v>
      </c>
    </row>
    <row r="546" spans="1:26" x14ac:dyDescent="0.25">
      <c r="A546">
        <v>545</v>
      </c>
      <c r="B546">
        <v>34</v>
      </c>
      <c r="C546" t="s">
        <v>22</v>
      </c>
      <c r="D546">
        <v>545</v>
      </c>
      <c r="E546" t="s">
        <v>44</v>
      </c>
      <c r="F546" t="s">
        <v>45</v>
      </c>
      <c r="G546">
        <v>545</v>
      </c>
      <c r="H546">
        <v>853</v>
      </c>
      <c r="I546">
        <v>64</v>
      </c>
      <c r="J546" t="s">
        <v>152</v>
      </c>
      <c r="K546" t="s">
        <v>39</v>
      </c>
      <c r="L546" t="s">
        <v>137</v>
      </c>
      <c r="M546" t="s">
        <v>56</v>
      </c>
      <c r="N546">
        <v>3.3</v>
      </c>
      <c r="O546">
        <v>1</v>
      </c>
      <c r="P546" t="s">
        <v>57</v>
      </c>
      <c r="Q546" t="s">
        <v>30</v>
      </c>
      <c r="R546" t="s">
        <v>30</v>
      </c>
      <c r="S546">
        <v>30</v>
      </c>
      <c r="T546" t="s">
        <v>78</v>
      </c>
      <c r="U546" t="s">
        <v>100</v>
      </c>
      <c r="V546" s="1">
        <v>45506</v>
      </c>
      <c r="W546">
        <f>Table1[[#This Row],[customer_purchase count]]+1</f>
        <v>31</v>
      </c>
      <c r="X546">
        <f>Table1[[#This Row],[customer_purchase count]]*Rules!$B$3</f>
        <v>1792.9307692307693</v>
      </c>
      <c r="Y546" t="str">
        <f>IF(Table1[[#This Row],[customer_subscription]]=1,"Subscribed","Not Subscribed")</f>
        <v>Subscribed</v>
      </c>
    </row>
    <row r="547" spans="1:26" x14ac:dyDescent="0.25">
      <c r="A547">
        <v>546</v>
      </c>
      <c r="B547">
        <v>33</v>
      </c>
      <c r="C547" t="s">
        <v>22</v>
      </c>
      <c r="D547">
        <v>546</v>
      </c>
      <c r="E547" t="s">
        <v>65</v>
      </c>
      <c r="F547" t="s">
        <v>66</v>
      </c>
      <c r="G547">
        <v>546</v>
      </c>
      <c r="H547">
        <v>854</v>
      </c>
      <c r="I547">
        <v>32</v>
      </c>
      <c r="J547" t="s">
        <v>93</v>
      </c>
      <c r="K547" t="s">
        <v>26</v>
      </c>
      <c r="L547" t="s">
        <v>139</v>
      </c>
      <c r="M547" t="s">
        <v>56</v>
      </c>
      <c r="N547">
        <v>3.5</v>
      </c>
      <c r="O547">
        <v>1</v>
      </c>
      <c r="P547" t="s">
        <v>73</v>
      </c>
      <c r="Q547" t="s">
        <v>30</v>
      </c>
      <c r="R547" t="s">
        <v>30</v>
      </c>
      <c r="S547">
        <v>48</v>
      </c>
      <c r="T547" t="s">
        <v>89</v>
      </c>
      <c r="U547" t="s">
        <v>52</v>
      </c>
      <c r="V547" s="1">
        <v>45497</v>
      </c>
      <c r="W547">
        <f>Table1[[#This Row],[customer_purchase count]]+1</f>
        <v>49</v>
      </c>
      <c r="X547">
        <f>Table1[[#This Row],[customer_purchase count]]*Rules!$B$3</f>
        <v>2868.689230769231</v>
      </c>
      <c r="Y547" t="str">
        <f>IF(Table1[[#This Row],[customer_subscription]]=1,"Subscribed","Not Subscribed")</f>
        <v>Subscribed</v>
      </c>
      <c r="Z547" t="s">
        <v>193</v>
      </c>
    </row>
    <row r="548" spans="1:26" x14ac:dyDescent="0.25">
      <c r="A548">
        <v>547</v>
      </c>
      <c r="B548">
        <v>62</v>
      </c>
      <c r="C548" t="s">
        <v>22</v>
      </c>
      <c r="D548">
        <v>547</v>
      </c>
      <c r="E548" t="s">
        <v>107</v>
      </c>
      <c r="F548" t="s">
        <v>24</v>
      </c>
      <c r="G548">
        <v>547</v>
      </c>
      <c r="H548">
        <v>855</v>
      </c>
      <c r="I548">
        <v>74</v>
      </c>
      <c r="J548" t="s">
        <v>133</v>
      </c>
      <c r="K548" t="s">
        <v>47</v>
      </c>
      <c r="L548" t="s">
        <v>113</v>
      </c>
      <c r="M548" t="s">
        <v>28</v>
      </c>
      <c r="N548">
        <v>3.4</v>
      </c>
      <c r="O548">
        <v>1</v>
      </c>
      <c r="P548" t="s">
        <v>41</v>
      </c>
      <c r="Q548" t="s">
        <v>30</v>
      </c>
      <c r="R548" t="s">
        <v>30</v>
      </c>
      <c r="S548">
        <v>45</v>
      </c>
      <c r="T548" t="s">
        <v>31</v>
      </c>
      <c r="U548" t="s">
        <v>79</v>
      </c>
      <c r="V548" s="1">
        <v>45347</v>
      </c>
      <c r="W548">
        <f>Table1[[#This Row],[customer_purchase count]]+1</f>
        <v>46</v>
      </c>
      <c r="X548">
        <f>Table1[[#This Row],[customer_purchase count]]*Rules!$B$3</f>
        <v>2689.396153846154</v>
      </c>
      <c r="Y548" t="str">
        <f>IF(Table1[[#This Row],[customer_subscription]]=1,"Subscribed","Not Subscribed")</f>
        <v>Subscribed</v>
      </c>
    </row>
    <row r="549" spans="1:26" x14ac:dyDescent="0.25">
      <c r="A549">
        <v>548</v>
      </c>
      <c r="B549">
        <v>38</v>
      </c>
      <c r="C549" t="s">
        <v>22</v>
      </c>
      <c r="D549">
        <v>548</v>
      </c>
      <c r="E549" t="s">
        <v>105</v>
      </c>
      <c r="F549" t="s">
        <v>66</v>
      </c>
      <c r="G549">
        <v>548</v>
      </c>
      <c r="H549">
        <v>856</v>
      </c>
      <c r="I549">
        <v>50</v>
      </c>
      <c r="J549" t="s">
        <v>110</v>
      </c>
      <c r="K549" t="s">
        <v>47</v>
      </c>
      <c r="L549" t="s">
        <v>147</v>
      </c>
      <c r="M549" t="s">
        <v>28</v>
      </c>
      <c r="N549">
        <v>2.8</v>
      </c>
      <c r="O549">
        <v>1</v>
      </c>
      <c r="P549" t="s">
        <v>41</v>
      </c>
      <c r="Q549" t="s">
        <v>30</v>
      </c>
      <c r="R549" t="s">
        <v>30</v>
      </c>
      <c r="S549">
        <v>26</v>
      </c>
      <c r="T549" t="s">
        <v>31</v>
      </c>
      <c r="U549" t="s">
        <v>43</v>
      </c>
      <c r="V549" s="1">
        <v>45633</v>
      </c>
      <c r="W549">
        <f>Table1[[#This Row],[customer_purchase count]]+1</f>
        <v>27</v>
      </c>
      <c r="X549">
        <f>Table1[[#This Row],[customer_purchase count]]*Rules!$B$3</f>
        <v>1553.8733333333334</v>
      </c>
      <c r="Y549" t="str">
        <f>IF(Table1[[#This Row],[customer_subscription]]=1,"Subscribed","Not Subscribed")</f>
        <v>Subscribed</v>
      </c>
    </row>
    <row r="550" spans="1:26" x14ac:dyDescent="0.25">
      <c r="A550">
        <v>549</v>
      </c>
      <c r="B550">
        <v>36</v>
      </c>
      <c r="C550" t="s">
        <v>22</v>
      </c>
      <c r="D550">
        <v>549</v>
      </c>
      <c r="E550" t="s">
        <v>135</v>
      </c>
      <c r="F550" t="s">
        <v>70</v>
      </c>
      <c r="G550">
        <v>549</v>
      </c>
      <c r="H550">
        <v>857</v>
      </c>
      <c r="I550">
        <v>64</v>
      </c>
      <c r="J550" t="s">
        <v>148</v>
      </c>
      <c r="K550" t="s">
        <v>47</v>
      </c>
      <c r="L550" t="s">
        <v>97</v>
      </c>
      <c r="M550" t="s">
        <v>28</v>
      </c>
      <c r="N550">
        <v>4.5999999999999996</v>
      </c>
      <c r="O550">
        <v>1</v>
      </c>
      <c r="P550" t="s">
        <v>77</v>
      </c>
      <c r="Q550" t="s">
        <v>30</v>
      </c>
      <c r="R550" t="s">
        <v>30</v>
      </c>
      <c r="S550">
        <v>41</v>
      </c>
      <c r="T550" t="s">
        <v>89</v>
      </c>
      <c r="U550" t="s">
        <v>100</v>
      </c>
      <c r="V550" s="1">
        <v>45350</v>
      </c>
      <c r="W550">
        <f>Table1[[#This Row],[customer_purchase count]]+1</f>
        <v>42</v>
      </c>
      <c r="X550">
        <f>Table1[[#This Row],[customer_purchase count]]*Rules!$B$3</f>
        <v>2450.3387179487181</v>
      </c>
      <c r="Y550" t="str">
        <f>IF(Table1[[#This Row],[customer_subscription]]=1,"Subscribed","Not Subscribed")</f>
        <v>Subscribed</v>
      </c>
      <c r="Z550" t="s">
        <v>193</v>
      </c>
    </row>
    <row r="551" spans="1:26" x14ac:dyDescent="0.25">
      <c r="A551">
        <v>550</v>
      </c>
      <c r="B551">
        <v>31</v>
      </c>
      <c r="C551" t="s">
        <v>22</v>
      </c>
      <c r="D551">
        <v>550</v>
      </c>
      <c r="E551" t="s">
        <v>135</v>
      </c>
      <c r="F551" t="s">
        <v>70</v>
      </c>
      <c r="G551">
        <v>550</v>
      </c>
      <c r="H551">
        <v>859</v>
      </c>
      <c r="I551">
        <v>29</v>
      </c>
      <c r="J551" t="s">
        <v>120</v>
      </c>
      <c r="K551" t="s">
        <v>39</v>
      </c>
      <c r="L551" t="s">
        <v>81</v>
      </c>
      <c r="M551" t="s">
        <v>60</v>
      </c>
      <c r="N551">
        <v>3.6</v>
      </c>
      <c r="O551">
        <v>1</v>
      </c>
      <c r="P551" t="s">
        <v>29</v>
      </c>
      <c r="Q551" t="s">
        <v>30</v>
      </c>
      <c r="R551" t="s">
        <v>30</v>
      </c>
      <c r="S551">
        <v>37</v>
      </c>
      <c r="T551" t="s">
        <v>31</v>
      </c>
      <c r="U551" t="s">
        <v>79</v>
      </c>
      <c r="V551" s="1">
        <v>45541</v>
      </c>
      <c r="W551">
        <f>Table1[[#This Row],[customer_purchase count]]+1</f>
        <v>38</v>
      </c>
      <c r="X551">
        <f>Table1[[#This Row],[customer_purchase count]]*Rules!$B$3</f>
        <v>2211.2812820512822</v>
      </c>
      <c r="Y551" t="str">
        <f>IF(Table1[[#This Row],[customer_subscription]]=1,"Subscribed","Not Subscribed")</f>
        <v>Subscribed</v>
      </c>
      <c r="Z551" t="s">
        <v>193</v>
      </c>
    </row>
    <row r="552" spans="1:26" x14ac:dyDescent="0.25">
      <c r="A552">
        <v>551</v>
      </c>
      <c r="B552">
        <v>62</v>
      </c>
      <c r="C552" t="s">
        <v>22</v>
      </c>
      <c r="D552">
        <v>551</v>
      </c>
      <c r="E552" t="s">
        <v>136</v>
      </c>
      <c r="F552" t="s">
        <v>70</v>
      </c>
      <c r="G552">
        <v>551</v>
      </c>
      <c r="H552">
        <v>860</v>
      </c>
      <c r="I552">
        <v>62</v>
      </c>
      <c r="J552" t="s">
        <v>145</v>
      </c>
      <c r="K552" t="s">
        <v>47</v>
      </c>
      <c r="L552" t="s">
        <v>81</v>
      </c>
      <c r="M552" t="s">
        <v>56</v>
      </c>
      <c r="N552">
        <v>3.3</v>
      </c>
      <c r="O552">
        <v>1</v>
      </c>
      <c r="P552" t="s">
        <v>77</v>
      </c>
      <c r="Q552" t="s">
        <v>30</v>
      </c>
      <c r="R552" t="s">
        <v>30</v>
      </c>
      <c r="S552">
        <v>12</v>
      </c>
      <c r="T552" t="s">
        <v>49</v>
      </c>
      <c r="U552" t="s">
        <v>43</v>
      </c>
      <c r="V552" s="1">
        <v>45482</v>
      </c>
      <c r="W552">
        <f>Table1[[#This Row],[customer_purchase count]]+1</f>
        <v>13</v>
      </c>
      <c r="X552">
        <f>Table1[[#This Row],[customer_purchase count]]*Rules!$B$3</f>
        <v>717.17230769230775</v>
      </c>
      <c r="Y552" t="str">
        <f>IF(Table1[[#This Row],[customer_subscription]]=1,"Subscribed","Not Subscribed")</f>
        <v>Subscribed</v>
      </c>
    </row>
    <row r="553" spans="1:26" x14ac:dyDescent="0.25">
      <c r="A553">
        <v>552</v>
      </c>
      <c r="B553">
        <v>29</v>
      </c>
      <c r="C553" t="s">
        <v>22</v>
      </c>
      <c r="D553">
        <v>552</v>
      </c>
      <c r="E553" t="s">
        <v>65</v>
      </c>
      <c r="F553" t="s">
        <v>66</v>
      </c>
      <c r="G553">
        <v>552</v>
      </c>
      <c r="H553">
        <v>861</v>
      </c>
      <c r="I553">
        <v>78</v>
      </c>
      <c r="J553" t="s">
        <v>138</v>
      </c>
      <c r="K553" t="s">
        <v>95</v>
      </c>
      <c r="L553" t="s">
        <v>99</v>
      </c>
      <c r="M553" t="s">
        <v>60</v>
      </c>
      <c r="N553">
        <v>3.1</v>
      </c>
      <c r="O553">
        <v>1</v>
      </c>
      <c r="P553" t="s">
        <v>73</v>
      </c>
      <c r="Q553" t="s">
        <v>30</v>
      </c>
      <c r="R553" t="s">
        <v>30</v>
      </c>
      <c r="S553">
        <v>27</v>
      </c>
      <c r="T553" t="s">
        <v>36</v>
      </c>
      <c r="U553" t="s">
        <v>79</v>
      </c>
      <c r="V553" s="1">
        <v>45567</v>
      </c>
      <c r="W553">
        <f>Table1[[#This Row],[customer_purchase count]]+1</f>
        <v>28</v>
      </c>
      <c r="X553">
        <f>Table1[[#This Row],[customer_purchase count]]*Rules!$B$3</f>
        <v>1613.6376923076923</v>
      </c>
      <c r="Y553" t="str">
        <f>IF(Table1[[#This Row],[customer_subscription]]=1,"Subscribed","Not Subscribed")</f>
        <v>Subscribed</v>
      </c>
    </row>
    <row r="554" spans="1:26" x14ac:dyDescent="0.25">
      <c r="A554">
        <v>553</v>
      </c>
      <c r="B554">
        <v>24</v>
      </c>
      <c r="C554" t="s">
        <v>22</v>
      </c>
      <c r="D554">
        <v>553</v>
      </c>
      <c r="E554" t="s">
        <v>116</v>
      </c>
      <c r="F554" t="s">
        <v>24</v>
      </c>
      <c r="G554">
        <v>553</v>
      </c>
      <c r="H554">
        <v>862</v>
      </c>
      <c r="I554">
        <v>94</v>
      </c>
      <c r="J554" t="s">
        <v>71</v>
      </c>
      <c r="K554" t="s">
        <v>47</v>
      </c>
      <c r="L554" t="s">
        <v>103</v>
      </c>
      <c r="M554" t="s">
        <v>60</v>
      </c>
      <c r="N554">
        <v>3.5</v>
      </c>
      <c r="O554">
        <v>1</v>
      </c>
      <c r="P554" t="s">
        <v>29</v>
      </c>
      <c r="Q554" t="s">
        <v>30</v>
      </c>
      <c r="R554" t="s">
        <v>30</v>
      </c>
      <c r="S554">
        <v>18</v>
      </c>
      <c r="T554" t="s">
        <v>78</v>
      </c>
      <c r="U554" t="s">
        <v>43</v>
      </c>
      <c r="V554" s="1">
        <v>45618</v>
      </c>
      <c r="W554">
        <f>Table1[[#This Row],[customer_purchase count]]+1</f>
        <v>19</v>
      </c>
      <c r="X554">
        <f>Table1[[#This Row],[customer_purchase count]]*Rules!$B$3</f>
        <v>1075.7584615384617</v>
      </c>
      <c r="Y554" t="str">
        <f>IF(Table1[[#This Row],[customer_subscription]]=1,"Subscribed","Not Subscribed")</f>
        <v>Subscribed</v>
      </c>
    </row>
    <row r="555" spans="1:26" x14ac:dyDescent="0.25">
      <c r="A555">
        <v>554</v>
      </c>
      <c r="B555">
        <v>63</v>
      </c>
      <c r="C555" t="s">
        <v>22</v>
      </c>
      <c r="D555">
        <v>554</v>
      </c>
      <c r="E555" t="s">
        <v>92</v>
      </c>
      <c r="F555" t="s">
        <v>70</v>
      </c>
      <c r="G555">
        <v>554</v>
      </c>
      <c r="H555">
        <v>863</v>
      </c>
      <c r="I555">
        <v>59</v>
      </c>
      <c r="J555" t="s">
        <v>106</v>
      </c>
      <c r="K555" t="s">
        <v>47</v>
      </c>
      <c r="L555" t="s">
        <v>55</v>
      </c>
      <c r="M555" t="s">
        <v>28</v>
      </c>
      <c r="N555">
        <v>3.2</v>
      </c>
      <c r="O555">
        <v>1</v>
      </c>
      <c r="P555" t="s">
        <v>29</v>
      </c>
      <c r="Q555" t="s">
        <v>30</v>
      </c>
      <c r="R555" t="s">
        <v>30</v>
      </c>
      <c r="S555">
        <v>15</v>
      </c>
      <c r="T555" t="s">
        <v>42</v>
      </c>
      <c r="U555" t="s">
        <v>61</v>
      </c>
      <c r="V555" s="1">
        <v>45339</v>
      </c>
      <c r="W555">
        <f>Table1[[#This Row],[customer_purchase count]]+1</f>
        <v>16</v>
      </c>
      <c r="X555">
        <f>Table1[[#This Row],[customer_purchase count]]*Rules!$B$3</f>
        <v>896.46538461538466</v>
      </c>
      <c r="Y555" t="str">
        <f>IF(Table1[[#This Row],[customer_subscription]]=1,"Subscribed","Not Subscribed")</f>
        <v>Subscribed</v>
      </c>
    </row>
    <row r="556" spans="1:26" x14ac:dyDescent="0.25">
      <c r="A556">
        <v>555</v>
      </c>
      <c r="B556">
        <v>56</v>
      </c>
      <c r="C556" t="s">
        <v>22</v>
      </c>
      <c r="D556">
        <v>555</v>
      </c>
      <c r="E556" t="s">
        <v>53</v>
      </c>
      <c r="F556" t="s">
        <v>45</v>
      </c>
      <c r="G556">
        <v>555</v>
      </c>
      <c r="H556">
        <v>865</v>
      </c>
      <c r="I556">
        <v>47</v>
      </c>
      <c r="J556" t="s">
        <v>151</v>
      </c>
      <c r="K556" t="s">
        <v>47</v>
      </c>
      <c r="L556" t="s">
        <v>111</v>
      </c>
      <c r="M556" t="s">
        <v>56</v>
      </c>
      <c r="N556">
        <v>3</v>
      </c>
      <c r="O556">
        <v>1</v>
      </c>
      <c r="P556" t="s">
        <v>29</v>
      </c>
      <c r="Q556" t="s">
        <v>30</v>
      </c>
      <c r="R556" t="s">
        <v>30</v>
      </c>
      <c r="S556">
        <v>34</v>
      </c>
      <c r="T556" t="s">
        <v>78</v>
      </c>
      <c r="U556" t="s">
        <v>43</v>
      </c>
      <c r="V556" s="1">
        <v>45532</v>
      </c>
      <c r="W556">
        <f>Table1[[#This Row],[customer_purchase count]]+1</f>
        <v>35</v>
      </c>
      <c r="X556">
        <f>Table1[[#This Row],[customer_purchase count]]*Rules!$B$3</f>
        <v>2031.9882051282052</v>
      </c>
      <c r="Y556" t="str">
        <f>IF(Table1[[#This Row],[customer_subscription]]=1,"Subscribed","Not Subscribed")</f>
        <v>Subscribed</v>
      </c>
      <c r="Z556" t="s">
        <v>193</v>
      </c>
    </row>
    <row r="557" spans="1:26" x14ac:dyDescent="0.25">
      <c r="A557">
        <v>556</v>
      </c>
      <c r="B557">
        <v>63</v>
      </c>
      <c r="C557" t="s">
        <v>22</v>
      </c>
      <c r="D557">
        <v>556</v>
      </c>
      <c r="E557" t="s">
        <v>146</v>
      </c>
      <c r="F557" t="s">
        <v>70</v>
      </c>
      <c r="G557">
        <v>556</v>
      </c>
      <c r="H557">
        <v>866</v>
      </c>
      <c r="I557">
        <v>57</v>
      </c>
      <c r="J557" t="s">
        <v>34</v>
      </c>
      <c r="K557" t="s">
        <v>47</v>
      </c>
      <c r="L557" t="s">
        <v>55</v>
      </c>
      <c r="M557" t="s">
        <v>60</v>
      </c>
      <c r="N557">
        <v>4.8</v>
      </c>
      <c r="O557">
        <v>1</v>
      </c>
      <c r="P557" t="s">
        <v>29</v>
      </c>
      <c r="Q557" t="s">
        <v>30</v>
      </c>
      <c r="R557" t="s">
        <v>30</v>
      </c>
      <c r="S557">
        <v>37</v>
      </c>
      <c r="T557" t="s">
        <v>31</v>
      </c>
      <c r="U557" t="s">
        <v>52</v>
      </c>
      <c r="V557" s="1">
        <v>45589</v>
      </c>
      <c r="W557">
        <f>Table1[[#This Row],[customer_purchase count]]+1</f>
        <v>38</v>
      </c>
      <c r="X557">
        <f>Table1[[#This Row],[customer_purchase count]]*Rules!$B$3</f>
        <v>2211.2812820512822</v>
      </c>
      <c r="Y557" t="str">
        <f>IF(Table1[[#This Row],[customer_subscription]]=1,"Subscribed","Not Subscribed")</f>
        <v>Subscribed</v>
      </c>
    </row>
    <row r="558" spans="1:26" x14ac:dyDescent="0.25">
      <c r="A558">
        <v>557</v>
      </c>
      <c r="B558">
        <v>40</v>
      </c>
      <c r="C558" t="s">
        <v>22</v>
      </c>
      <c r="D558">
        <v>557</v>
      </c>
      <c r="E558" t="s">
        <v>65</v>
      </c>
      <c r="F558" t="s">
        <v>66</v>
      </c>
      <c r="G558">
        <v>557</v>
      </c>
      <c r="H558">
        <v>867</v>
      </c>
      <c r="I558">
        <v>90</v>
      </c>
      <c r="J558" t="s">
        <v>59</v>
      </c>
      <c r="K558" t="s">
        <v>26</v>
      </c>
      <c r="L558" t="s">
        <v>129</v>
      </c>
      <c r="M558" t="s">
        <v>28</v>
      </c>
      <c r="N558">
        <v>5</v>
      </c>
      <c r="O558">
        <v>1</v>
      </c>
      <c r="P558" t="s">
        <v>77</v>
      </c>
      <c r="Q558" t="s">
        <v>30</v>
      </c>
      <c r="R558" t="s">
        <v>30</v>
      </c>
      <c r="S558">
        <v>21</v>
      </c>
      <c r="T558" t="s">
        <v>36</v>
      </c>
      <c r="U558" t="s">
        <v>32</v>
      </c>
      <c r="V558" s="1">
        <v>45342</v>
      </c>
      <c r="W558">
        <f>Table1[[#This Row],[customer_purchase count]]+1</f>
        <v>22</v>
      </c>
      <c r="X558">
        <f>Table1[[#This Row],[customer_purchase count]]*Rules!$B$3</f>
        <v>1255.0515384615385</v>
      </c>
      <c r="Y558" t="str">
        <f>IF(Table1[[#This Row],[customer_subscription]]=1,"Subscribed","Not Subscribed")</f>
        <v>Subscribed</v>
      </c>
    </row>
    <row r="559" spans="1:26" x14ac:dyDescent="0.25">
      <c r="A559">
        <v>558</v>
      </c>
      <c r="B559">
        <v>18</v>
      </c>
      <c r="C559" t="s">
        <v>22</v>
      </c>
      <c r="D559">
        <v>558</v>
      </c>
      <c r="E559" t="s">
        <v>58</v>
      </c>
      <c r="F559" t="s">
        <v>24</v>
      </c>
      <c r="G559">
        <v>558</v>
      </c>
      <c r="H559">
        <v>868</v>
      </c>
      <c r="I559">
        <v>60</v>
      </c>
      <c r="J559" t="s">
        <v>123</v>
      </c>
      <c r="K559" t="s">
        <v>47</v>
      </c>
      <c r="L559" t="s">
        <v>55</v>
      </c>
      <c r="M559" t="s">
        <v>40</v>
      </c>
      <c r="N559">
        <v>2.9</v>
      </c>
      <c r="O559">
        <v>1</v>
      </c>
      <c r="P559" t="s">
        <v>41</v>
      </c>
      <c r="Q559" t="s">
        <v>30</v>
      </c>
      <c r="R559" t="s">
        <v>30</v>
      </c>
      <c r="S559">
        <v>31</v>
      </c>
      <c r="T559" t="s">
        <v>89</v>
      </c>
      <c r="U559" t="s">
        <v>43</v>
      </c>
      <c r="V559" s="1">
        <v>45361</v>
      </c>
      <c r="W559">
        <f>Table1[[#This Row],[customer_purchase count]]+1</f>
        <v>32</v>
      </c>
      <c r="X559">
        <f>Table1[[#This Row],[customer_purchase count]]*Rules!$B$3</f>
        <v>1852.6951282051282</v>
      </c>
      <c r="Y559" t="str">
        <f>IF(Table1[[#This Row],[customer_subscription]]=1,"Subscribed","Not Subscribed")</f>
        <v>Subscribed</v>
      </c>
    </row>
    <row r="560" spans="1:26" x14ac:dyDescent="0.25">
      <c r="A560">
        <v>559</v>
      </c>
      <c r="B560">
        <v>50</v>
      </c>
      <c r="C560" t="s">
        <v>22</v>
      </c>
      <c r="D560">
        <v>559</v>
      </c>
      <c r="E560" t="s">
        <v>53</v>
      </c>
      <c r="F560" t="s">
        <v>45</v>
      </c>
      <c r="G560">
        <v>559</v>
      </c>
      <c r="H560">
        <v>869</v>
      </c>
      <c r="I560">
        <v>77</v>
      </c>
      <c r="J560" t="s">
        <v>149</v>
      </c>
      <c r="K560" t="s">
        <v>26</v>
      </c>
      <c r="L560" t="s">
        <v>88</v>
      </c>
      <c r="M560" t="s">
        <v>60</v>
      </c>
      <c r="N560">
        <v>3.2</v>
      </c>
      <c r="O560">
        <v>1</v>
      </c>
      <c r="P560" t="s">
        <v>29</v>
      </c>
      <c r="Q560" t="s">
        <v>30</v>
      </c>
      <c r="R560" t="s">
        <v>30</v>
      </c>
      <c r="S560">
        <v>43</v>
      </c>
      <c r="T560" t="s">
        <v>89</v>
      </c>
      <c r="U560" t="s">
        <v>100</v>
      </c>
      <c r="V560" s="1">
        <v>45577</v>
      </c>
      <c r="W560">
        <f>Table1[[#This Row],[customer_purchase count]]+1</f>
        <v>44</v>
      </c>
      <c r="X560">
        <f>Table1[[#This Row],[customer_purchase count]]*Rules!$B$3</f>
        <v>2569.8674358974358</v>
      </c>
      <c r="Y560" t="str">
        <f>IF(Table1[[#This Row],[customer_subscription]]=1,"Subscribed","Not Subscribed")</f>
        <v>Subscribed</v>
      </c>
      <c r="Z560" t="s">
        <v>193</v>
      </c>
    </row>
    <row r="561" spans="1:26" x14ac:dyDescent="0.25">
      <c r="A561">
        <v>560</v>
      </c>
      <c r="B561">
        <v>66</v>
      </c>
      <c r="C561" t="s">
        <v>22</v>
      </c>
      <c r="D561">
        <v>560</v>
      </c>
      <c r="E561" t="s">
        <v>122</v>
      </c>
      <c r="F561" t="s">
        <v>70</v>
      </c>
      <c r="G561">
        <v>560</v>
      </c>
      <c r="H561">
        <v>871</v>
      </c>
      <c r="I561">
        <v>41</v>
      </c>
      <c r="J561" t="s">
        <v>120</v>
      </c>
      <c r="K561" t="s">
        <v>47</v>
      </c>
      <c r="L561" t="s">
        <v>129</v>
      </c>
      <c r="M561" t="s">
        <v>60</v>
      </c>
      <c r="N561">
        <v>2.9</v>
      </c>
      <c r="O561">
        <v>1</v>
      </c>
      <c r="P561" t="s">
        <v>77</v>
      </c>
      <c r="Q561" t="s">
        <v>30</v>
      </c>
      <c r="R561" t="s">
        <v>30</v>
      </c>
      <c r="S561">
        <v>22</v>
      </c>
      <c r="T561" t="s">
        <v>78</v>
      </c>
      <c r="U561" t="s">
        <v>91</v>
      </c>
      <c r="V561" s="1">
        <v>45576</v>
      </c>
      <c r="W561">
        <f>Table1[[#This Row],[customer_purchase count]]+1</f>
        <v>23</v>
      </c>
      <c r="X561">
        <f>Table1[[#This Row],[customer_purchase count]]*Rules!$B$3</f>
        <v>1314.8158974358976</v>
      </c>
      <c r="Y561" t="str">
        <f>IF(Table1[[#This Row],[customer_subscription]]=1,"Subscribed","Not Subscribed")</f>
        <v>Subscribed</v>
      </c>
    </row>
    <row r="562" spans="1:26" x14ac:dyDescent="0.25">
      <c r="A562">
        <v>561</v>
      </c>
      <c r="B562">
        <v>25</v>
      </c>
      <c r="C562" t="s">
        <v>22</v>
      </c>
      <c r="D562">
        <v>561</v>
      </c>
      <c r="E562" t="s">
        <v>109</v>
      </c>
      <c r="F562" t="s">
        <v>70</v>
      </c>
      <c r="G562">
        <v>561</v>
      </c>
      <c r="H562">
        <v>872</v>
      </c>
      <c r="I562">
        <v>48</v>
      </c>
      <c r="J562" t="s">
        <v>63</v>
      </c>
      <c r="K562" t="s">
        <v>26</v>
      </c>
      <c r="L562" t="s">
        <v>111</v>
      </c>
      <c r="M562" t="s">
        <v>60</v>
      </c>
      <c r="N562">
        <v>3.3</v>
      </c>
      <c r="O562">
        <v>1</v>
      </c>
      <c r="P562" t="s">
        <v>41</v>
      </c>
      <c r="Q562" t="s">
        <v>30</v>
      </c>
      <c r="R562" t="s">
        <v>30</v>
      </c>
      <c r="S562">
        <v>12</v>
      </c>
      <c r="T562" t="s">
        <v>89</v>
      </c>
      <c r="U562" t="s">
        <v>52</v>
      </c>
      <c r="V562" s="1">
        <v>45547</v>
      </c>
      <c r="W562">
        <f>Table1[[#This Row],[customer_purchase count]]+1</f>
        <v>13</v>
      </c>
      <c r="X562">
        <f>Table1[[#This Row],[customer_purchase count]]*Rules!$B$3</f>
        <v>717.17230769230775</v>
      </c>
      <c r="Y562" t="str">
        <f>IF(Table1[[#This Row],[customer_subscription]]=1,"Subscribed","Not Subscribed")</f>
        <v>Subscribed</v>
      </c>
      <c r="Z562" t="s">
        <v>187</v>
      </c>
    </row>
    <row r="563" spans="1:26" x14ac:dyDescent="0.25">
      <c r="A563">
        <v>562</v>
      </c>
      <c r="B563">
        <v>65</v>
      </c>
      <c r="C563" t="s">
        <v>22</v>
      </c>
      <c r="D563">
        <v>562</v>
      </c>
      <c r="E563" t="s">
        <v>105</v>
      </c>
      <c r="F563" t="s">
        <v>66</v>
      </c>
      <c r="G563">
        <v>562</v>
      </c>
      <c r="H563">
        <v>873</v>
      </c>
      <c r="I563">
        <v>65</v>
      </c>
      <c r="J563" t="s">
        <v>93</v>
      </c>
      <c r="K563" t="s">
        <v>47</v>
      </c>
      <c r="L563" t="s">
        <v>147</v>
      </c>
      <c r="M563" t="s">
        <v>60</v>
      </c>
      <c r="N563">
        <v>2.6</v>
      </c>
      <c r="O563">
        <v>1</v>
      </c>
      <c r="P563" t="s">
        <v>48</v>
      </c>
      <c r="Q563" t="s">
        <v>30</v>
      </c>
      <c r="R563" t="s">
        <v>30</v>
      </c>
      <c r="S563">
        <v>25</v>
      </c>
      <c r="T563" t="s">
        <v>49</v>
      </c>
      <c r="U563" t="s">
        <v>32</v>
      </c>
      <c r="V563" s="1">
        <v>45536</v>
      </c>
      <c r="W563">
        <f>Table1[[#This Row],[customer_purchase count]]+1</f>
        <v>26</v>
      </c>
      <c r="X563">
        <f>Table1[[#This Row],[customer_purchase count]]*Rules!$B$3</f>
        <v>1494.1089743589744</v>
      </c>
      <c r="Y563" t="str">
        <f>IF(Table1[[#This Row],[customer_subscription]]=1,"Subscribed","Not Subscribed")</f>
        <v>Subscribed</v>
      </c>
    </row>
    <row r="564" spans="1:26" x14ac:dyDescent="0.25">
      <c r="A564">
        <v>563</v>
      </c>
      <c r="B564">
        <v>53</v>
      </c>
      <c r="C564" t="s">
        <v>22</v>
      </c>
      <c r="D564">
        <v>563</v>
      </c>
      <c r="E564" t="s">
        <v>37</v>
      </c>
      <c r="F564" t="s">
        <v>24</v>
      </c>
      <c r="G564">
        <v>563</v>
      </c>
      <c r="H564">
        <v>874</v>
      </c>
      <c r="I564">
        <v>62</v>
      </c>
      <c r="J564" t="s">
        <v>71</v>
      </c>
      <c r="K564" t="s">
        <v>47</v>
      </c>
      <c r="L564" t="s">
        <v>147</v>
      </c>
      <c r="M564" t="s">
        <v>56</v>
      </c>
      <c r="N564">
        <v>3.5</v>
      </c>
      <c r="O564">
        <v>1</v>
      </c>
      <c r="P564" t="s">
        <v>57</v>
      </c>
      <c r="Q564" t="s">
        <v>30</v>
      </c>
      <c r="R564" t="s">
        <v>30</v>
      </c>
      <c r="S564">
        <v>40</v>
      </c>
      <c r="T564" t="s">
        <v>89</v>
      </c>
      <c r="U564" t="s">
        <v>52</v>
      </c>
      <c r="V564" s="1">
        <v>45525</v>
      </c>
      <c r="W564">
        <f>Table1[[#This Row],[customer_purchase count]]+1</f>
        <v>41</v>
      </c>
      <c r="X564">
        <f>Table1[[#This Row],[customer_purchase count]]*Rules!$B$3</f>
        <v>2390.5743589743593</v>
      </c>
      <c r="Y564" t="str">
        <f>IF(Table1[[#This Row],[customer_subscription]]=1,"Subscribed","Not Subscribed")</f>
        <v>Subscribed</v>
      </c>
      <c r="Z564" t="s">
        <v>193</v>
      </c>
    </row>
    <row r="565" spans="1:26" x14ac:dyDescent="0.25">
      <c r="A565">
        <v>564</v>
      </c>
      <c r="B565">
        <v>61</v>
      </c>
      <c r="C565" t="s">
        <v>22</v>
      </c>
      <c r="D565">
        <v>564</v>
      </c>
      <c r="E565" t="s">
        <v>74</v>
      </c>
      <c r="F565" t="s">
        <v>45</v>
      </c>
      <c r="G565">
        <v>564</v>
      </c>
      <c r="H565">
        <v>875</v>
      </c>
      <c r="I565">
        <v>99</v>
      </c>
      <c r="J565" t="s">
        <v>138</v>
      </c>
      <c r="K565" t="s">
        <v>47</v>
      </c>
      <c r="L565" t="s">
        <v>97</v>
      </c>
      <c r="M565" t="s">
        <v>60</v>
      </c>
      <c r="N565">
        <v>4.4000000000000004</v>
      </c>
      <c r="O565">
        <v>1</v>
      </c>
      <c r="P565" t="s">
        <v>57</v>
      </c>
      <c r="Q565" t="s">
        <v>30</v>
      </c>
      <c r="R565" t="s">
        <v>30</v>
      </c>
      <c r="S565">
        <v>16</v>
      </c>
      <c r="T565" t="s">
        <v>89</v>
      </c>
      <c r="U565" t="s">
        <v>61</v>
      </c>
      <c r="V565" s="1">
        <v>45558</v>
      </c>
      <c r="W565">
        <f>Table1[[#This Row],[customer_purchase count]]+1</f>
        <v>17</v>
      </c>
      <c r="X565">
        <f>Table1[[#This Row],[customer_purchase count]]*Rules!$B$3</f>
        <v>956.22974358974363</v>
      </c>
      <c r="Y565" t="str">
        <f>IF(Table1[[#This Row],[customer_subscription]]=1,"Subscribed","Not Subscribed")</f>
        <v>Subscribed</v>
      </c>
    </row>
    <row r="566" spans="1:26" x14ac:dyDescent="0.25">
      <c r="A566">
        <v>565</v>
      </c>
      <c r="B566">
        <v>67</v>
      </c>
      <c r="C566" t="s">
        <v>22</v>
      </c>
      <c r="D566">
        <v>565</v>
      </c>
      <c r="E566" t="s">
        <v>107</v>
      </c>
      <c r="F566" t="s">
        <v>24</v>
      </c>
      <c r="G566">
        <v>565</v>
      </c>
      <c r="H566">
        <v>877</v>
      </c>
      <c r="I566">
        <v>58</v>
      </c>
      <c r="J566" t="s">
        <v>106</v>
      </c>
      <c r="K566" t="s">
        <v>47</v>
      </c>
      <c r="L566" t="s">
        <v>81</v>
      </c>
      <c r="M566" t="s">
        <v>28</v>
      </c>
      <c r="N566">
        <v>3.4</v>
      </c>
      <c r="O566">
        <v>1</v>
      </c>
      <c r="P566" t="s">
        <v>48</v>
      </c>
      <c r="Q566" t="s">
        <v>30</v>
      </c>
      <c r="R566" t="s">
        <v>30</v>
      </c>
      <c r="S566">
        <v>30</v>
      </c>
      <c r="T566" t="s">
        <v>78</v>
      </c>
      <c r="U566" t="s">
        <v>43</v>
      </c>
      <c r="V566" s="1">
        <v>45345</v>
      </c>
      <c r="W566">
        <f>Table1[[#This Row],[customer_purchase count]]+1</f>
        <v>31</v>
      </c>
      <c r="X566">
        <f>Table1[[#This Row],[customer_purchase count]]*Rules!$B$3</f>
        <v>1792.9307692307693</v>
      </c>
      <c r="Y566" t="str">
        <f>IF(Table1[[#This Row],[customer_subscription]]=1,"Subscribed","Not Subscribed")</f>
        <v>Subscribed</v>
      </c>
    </row>
    <row r="567" spans="1:26" x14ac:dyDescent="0.25">
      <c r="A567">
        <v>566</v>
      </c>
      <c r="B567">
        <v>59</v>
      </c>
      <c r="C567" t="s">
        <v>22</v>
      </c>
      <c r="D567">
        <v>566</v>
      </c>
      <c r="E567" t="s">
        <v>135</v>
      </c>
      <c r="F567" t="s">
        <v>70</v>
      </c>
      <c r="G567">
        <v>566</v>
      </c>
      <c r="H567">
        <v>878</v>
      </c>
      <c r="I567">
        <v>43</v>
      </c>
      <c r="J567" t="s">
        <v>138</v>
      </c>
      <c r="K567" t="s">
        <v>26</v>
      </c>
      <c r="L567" t="s">
        <v>96</v>
      </c>
      <c r="M567" t="s">
        <v>60</v>
      </c>
      <c r="N567">
        <v>4.2</v>
      </c>
      <c r="O567">
        <v>1</v>
      </c>
      <c r="P567" t="s">
        <v>77</v>
      </c>
      <c r="Q567" t="s">
        <v>30</v>
      </c>
      <c r="R567" t="s">
        <v>30</v>
      </c>
      <c r="S567">
        <v>10</v>
      </c>
      <c r="T567" t="s">
        <v>31</v>
      </c>
      <c r="U567" t="s">
        <v>43</v>
      </c>
      <c r="V567" s="1">
        <v>45543</v>
      </c>
      <c r="W567">
        <f>Table1[[#This Row],[customer_purchase count]]+1</f>
        <v>11</v>
      </c>
      <c r="X567">
        <f>Table1[[#This Row],[customer_purchase count]]*Rules!$B$3</f>
        <v>597.64358974358981</v>
      </c>
      <c r="Y567" t="str">
        <f>IF(Table1[[#This Row],[customer_subscription]]=1,"Subscribed","Not Subscribed")</f>
        <v>Subscribed</v>
      </c>
    </row>
    <row r="568" spans="1:26" x14ac:dyDescent="0.25">
      <c r="A568">
        <v>567</v>
      </c>
      <c r="B568">
        <v>55</v>
      </c>
      <c r="C568" t="s">
        <v>22</v>
      </c>
      <c r="D568">
        <v>567</v>
      </c>
      <c r="E568" t="s">
        <v>53</v>
      </c>
      <c r="F568" t="s">
        <v>45</v>
      </c>
      <c r="G568">
        <v>567</v>
      </c>
      <c r="H568">
        <v>879</v>
      </c>
      <c r="I568">
        <v>93</v>
      </c>
      <c r="J568" t="s">
        <v>93</v>
      </c>
      <c r="K568" t="s">
        <v>47</v>
      </c>
      <c r="L568" t="s">
        <v>129</v>
      </c>
      <c r="M568" t="s">
        <v>40</v>
      </c>
      <c r="N568">
        <v>3.6</v>
      </c>
      <c r="O568">
        <v>1</v>
      </c>
      <c r="P568" t="s">
        <v>77</v>
      </c>
      <c r="Q568" t="s">
        <v>30</v>
      </c>
      <c r="R568" t="s">
        <v>30</v>
      </c>
      <c r="S568">
        <v>1</v>
      </c>
      <c r="T568" t="s">
        <v>89</v>
      </c>
      <c r="U568" t="s">
        <v>32</v>
      </c>
      <c r="V568" s="1">
        <v>45434</v>
      </c>
      <c r="W568">
        <f>Table1[[#This Row],[customer_purchase count]]+1</f>
        <v>2</v>
      </c>
      <c r="X568">
        <f>Table1[[#This Row],[customer_purchase count]]*Rules!$B$3</f>
        <v>59.764358974358977</v>
      </c>
      <c r="Y568" t="str">
        <f>IF(Table1[[#This Row],[customer_subscription]]=1,"Subscribed","Not Subscribed")</f>
        <v>Subscribed</v>
      </c>
    </row>
    <row r="569" spans="1:26" x14ac:dyDescent="0.25">
      <c r="A569">
        <v>568</v>
      </c>
      <c r="B569">
        <v>21</v>
      </c>
      <c r="C569" t="s">
        <v>22</v>
      </c>
      <c r="D569">
        <v>568</v>
      </c>
      <c r="E569" t="s">
        <v>23</v>
      </c>
      <c r="F569" t="s">
        <v>24</v>
      </c>
      <c r="G569">
        <v>568</v>
      </c>
      <c r="H569">
        <v>880</v>
      </c>
      <c r="I569">
        <v>50</v>
      </c>
      <c r="J569" t="s">
        <v>85</v>
      </c>
      <c r="K569" t="s">
        <v>39</v>
      </c>
      <c r="L569" t="s">
        <v>111</v>
      </c>
      <c r="M569" t="s">
        <v>28</v>
      </c>
      <c r="N569">
        <v>3</v>
      </c>
      <c r="O569">
        <v>1</v>
      </c>
      <c r="P569" t="s">
        <v>48</v>
      </c>
      <c r="Q569" t="s">
        <v>30</v>
      </c>
      <c r="R569" t="s">
        <v>30</v>
      </c>
      <c r="S569">
        <v>24</v>
      </c>
      <c r="T569" t="s">
        <v>31</v>
      </c>
      <c r="U569" t="s">
        <v>32</v>
      </c>
      <c r="V569" s="1">
        <v>45296</v>
      </c>
      <c r="W569">
        <f>Table1[[#This Row],[customer_purchase count]]+1</f>
        <v>25</v>
      </c>
      <c r="X569">
        <f>Table1[[#This Row],[customer_purchase count]]*Rules!$B$3</f>
        <v>1434.3446153846155</v>
      </c>
      <c r="Y569" t="str">
        <f>IF(Table1[[#This Row],[customer_subscription]]=1,"Subscribed","Not Subscribed")</f>
        <v>Subscribed</v>
      </c>
    </row>
    <row r="570" spans="1:26" x14ac:dyDescent="0.25">
      <c r="A570">
        <v>569</v>
      </c>
      <c r="B570">
        <v>44</v>
      </c>
      <c r="C570" t="s">
        <v>22</v>
      </c>
      <c r="D570">
        <v>569</v>
      </c>
      <c r="E570" t="s">
        <v>98</v>
      </c>
      <c r="F570" t="s">
        <v>24</v>
      </c>
      <c r="G570">
        <v>569</v>
      </c>
      <c r="H570">
        <v>881</v>
      </c>
      <c r="I570">
        <v>88</v>
      </c>
      <c r="J570" t="s">
        <v>143</v>
      </c>
      <c r="K570" t="s">
        <v>26</v>
      </c>
      <c r="L570" t="s">
        <v>111</v>
      </c>
      <c r="M570" t="s">
        <v>56</v>
      </c>
      <c r="N570">
        <v>4</v>
      </c>
      <c r="O570">
        <v>1</v>
      </c>
      <c r="P570" t="s">
        <v>41</v>
      </c>
      <c r="Q570" t="s">
        <v>30</v>
      </c>
      <c r="R570" t="s">
        <v>30</v>
      </c>
      <c r="S570">
        <v>36</v>
      </c>
      <c r="T570" t="s">
        <v>49</v>
      </c>
      <c r="U570" t="s">
        <v>91</v>
      </c>
      <c r="V570" s="1">
        <v>45462</v>
      </c>
      <c r="W570">
        <f>Table1[[#This Row],[customer_purchase count]]+1</f>
        <v>37</v>
      </c>
      <c r="X570">
        <f>Table1[[#This Row],[customer_purchase count]]*Rules!$B$3</f>
        <v>2151.5169230769234</v>
      </c>
      <c r="Y570" t="str">
        <f>IF(Table1[[#This Row],[customer_subscription]]=1,"Subscribed","Not Subscribed")</f>
        <v>Subscribed</v>
      </c>
      <c r="Z570" t="s">
        <v>193</v>
      </c>
    </row>
    <row r="571" spans="1:26" x14ac:dyDescent="0.25">
      <c r="A571">
        <v>570</v>
      </c>
      <c r="B571">
        <v>65</v>
      </c>
      <c r="C571" t="s">
        <v>22</v>
      </c>
      <c r="D571">
        <v>570</v>
      </c>
      <c r="E571" t="s">
        <v>90</v>
      </c>
      <c r="F571" t="s">
        <v>24</v>
      </c>
      <c r="G571">
        <v>570</v>
      </c>
      <c r="H571">
        <v>883</v>
      </c>
      <c r="I571">
        <v>33</v>
      </c>
      <c r="J571" t="s">
        <v>93</v>
      </c>
      <c r="K571" t="s">
        <v>47</v>
      </c>
      <c r="L571" t="s">
        <v>72</v>
      </c>
      <c r="M571" t="s">
        <v>60</v>
      </c>
      <c r="N571">
        <v>4.4000000000000004</v>
      </c>
      <c r="O571">
        <v>1</v>
      </c>
      <c r="P571" t="s">
        <v>29</v>
      </c>
      <c r="Q571" t="s">
        <v>30</v>
      </c>
      <c r="R571" t="s">
        <v>30</v>
      </c>
      <c r="S571">
        <v>46</v>
      </c>
      <c r="T571" t="s">
        <v>42</v>
      </c>
      <c r="U571" t="s">
        <v>100</v>
      </c>
      <c r="V571" s="1">
        <v>45587</v>
      </c>
      <c r="W571">
        <f>Table1[[#This Row],[customer_purchase count]]+1</f>
        <v>47</v>
      </c>
      <c r="X571">
        <f>Table1[[#This Row],[customer_purchase count]]*Rules!$B$3</f>
        <v>2749.1605128205128</v>
      </c>
      <c r="Y571" t="str">
        <f>IF(Table1[[#This Row],[customer_subscription]]=1,"Subscribed","Not Subscribed")</f>
        <v>Subscribed</v>
      </c>
    </row>
    <row r="572" spans="1:26" x14ac:dyDescent="0.25">
      <c r="A572">
        <v>571</v>
      </c>
      <c r="B572">
        <v>65</v>
      </c>
      <c r="C572" t="s">
        <v>22</v>
      </c>
      <c r="D572">
        <v>571</v>
      </c>
      <c r="E572" t="s">
        <v>116</v>
      </c>
      <c r="F572" t="s">
        <v>24</v>
      </c>
      <c r="G572">
        <v>571</v>
      </c>
      <c r="H572">
        <v>884</v>
      </c>
      <c r="I572">
        <v>99</v>
      </c>
      <c r="J572" t="s">
        <v>149</v>
      </c>
      <c r="K572" t="s">
        <v>95</v>
      </c>
      <c r="L572" t="s">
        <v>76</v>
      </c>
      <c r="M572" t="s">
        <v>60</v>
      </c>
      <c r="N572">
        <v>4.0999999999999996</v>
      </c>
      <c r="O572">
        <v>1</v>
      </c>
      <c r="P572" t="s">
        <v>57</v>
      </c>
      <c r="Q572" t="s">
        <v>30</v>
      </c>
      <c r="R572" t="s">
        <v>30</v>
      </c>
      <c r="S572">
        <v>20</v>
      </c>
      <c r="T572" t="s">
        <v>36</v>
      </c>
      <c r="U572" t="s">
        <v>52</v>
      </c>
      <c r="V572" s="1">
        <v>45584</v>
      </c>
      <c r="W572">
        <f>Table1[[#This Row],[customer_purchase count]]+1</f>
        <v>21</v>
      </c>
      <c r="X572">
        <f>Table1[[#This Row],[customer_purchase count]]*Rules!$B$3</f>
        <v>1195.2871794871796</v>
      </c>
      <c r="Y572" t="str">
        <f>IF(Table1[[#This Row],[customer_subscription]]=1,"Subscribed","Not Subscribed")</f>
        <v>Subscribed</v>
      </c>
    </row>
    <row r="573" spans="1:26" x14ac:dyDescent="0.25">
      <c r="A573">
        <v>572</v>
      </c>
      <c r="B573">
        <v>54</v>
      </c>
      <c r="C573" t="s">
        <v>22</v>
      </c>
      <c r="D573">
        <v>572</v>
      </c>
      <c r="E573" t="s">
        <v>105</v>
      </c>
      <c r="F573" t="s">
        <v>66</v>
      </c>
      <c r="G573">
        <v>572</v>
      </c>
      <c r="H573">
        <v>885</v>
      </c>
      <c r="I573">
        <v>76</v>
      </c>
      <c r="J573" t="s">
        <v>25</v>
      </c>
      <c r="K573" t="s">
        <v>95</v>
      </c>
      <c r="L573" t="s">
        <v>112</v>
      </c>
      <c r="M573" t="s">
        <v>40</v>
      </c>
      <c r="N573">
        <v>3.6</v>
      </c>
      <c r="O573">
        <v>1</v>
      </c>
      <c r="P573" t="s">
        <v>41</v>
      </c>
      <c r="Q573" t="s">
        <v>30</v>
      </c>
      <c r="R573" t="s">
        <v>30</v>
      </c>
      <c r="S573">
        <v>37</v>
      </c>
      <c r="T573" t="s">
        <v>31</v>
      </c>
      <c r="U573" t="s">
        <v>43</v>
      </c>
      <c r="V573" s="1">
        <v>45377</v>
      </c>
      <c r="W573">
        <f>Table1[[#This Row],[customer_purchase count]]+1</f>
        <v>38</v>
      </c>
      <c r="X573">
        <f>Table1[[#This Row],[customer_purchase count]]*Rules!$B$3</f>
        <v>2211.2812820512822</v>
      </c>
      <c r="Y573" t="str">
        <f>IF(Table1[[#This Row],[customer_subscription]]=1,"Subscribed","Not Subscribed")</f>
        <v>Subscribed</v>
      </c>
      <c r="Z573" t="s">
        <v>193</v>
      </c>
    </row>
    <row r="574" spans="1:26" x14ac:dyDescent="0.25">
      <c r="A574">
        <v>573</v>
      </c>
      <c r="B574">
        <v>56</v>
      </c>
      <c r="C574" t="s">
        <v>22</v>
      </c>
      <c r="D574">
        <v>573</v>
      </c>
      <c r="E574" t="s">
        <v>122</v>
      </c>
      <c r="F574" t="s">
        <v>70</v>
      </c>
      <c r="G574">
        <v>573</v>
      </c>
      <c r="H574">
        <v>886</v>
      </c>
      <c r="I574">
        <v>97</v>
      </c>
      <c r="J574" t="s">
        <v>134</v>
      </c>
      <c r="K574" t="s">
        <v>95</v>
      </c>
      <c r="L574" t="s">
        <v>112</v>
      </c>
      <c r="M574" t="s">
        <v>56</v>
      </c>
      <c r="N574">
        <v>4.5999999999999996</v>
      </c>
      <c r="O574">
        <v>1</v>
      </c>
      <c r="P574" t="s">
        <v>48</v>
      </c>
      <c r="Q574" t="s">
        <v>30</v>
      </c>
      <c r="R574" t="s">
        <v>30</v>
      </c>
      <c r="S574">
        <v>26</v>
      </c>
      <c r="T574" t="s">
        <v>78</v>
      </c>
      <c r="U574" t="s">
        <v>52</v>
      </c>
      <c r="V574" s="1">
        <v>45493</v>
      </c>
      <c r="W574">
        <f>Table1[[#This Row],[customer_purchase count]]+1</f>
        <v>27</v>
      </c>
      <c r="X574">
        <f>Table1[[#This Row],[customer_purchase count]]*Rules!$B$3</f>
        <v>1553.8733333333334</v>
      </c>
      <c r="Y574" t="str">
        <f>IF(Table1[[#This Row],[customer_subscription]]=1,"Subscribed","Not Subscribed")</f>
        <v>Subscribed</v>
      </c>
    </row>
    <row r="575" spans="1:26" x14ac:dyDescent="0.25">
      <c r="A575">
        <v>574</v>
      </c>
      <c r="B575">
        <v>58</v>
      </c>
      <c r="C575" t="s">
        <v>22</v>
      </c>
      <c r="D575">
        <v>574</v>
      </c>
      <c r="E575" t="s">
        <v>98</v>
      </c>
      <c r="F575" t="s">
        <v>24</v>
      </c>
      <c r="G575">
        <v>574</v>
      </c>
      <c r="H575">
        <v>887</v>
      </c>
      <c r="I575">
        <v>68</v>
      </c>
      <c r="J575" t="s">
        <v>102</v>
      </c>
      <c r="K575" t="s">
        <v>47</v>
      </c>
      <c r="L575" t="s">
        <v>64</v>
      </c>
      <c r="M575" t="s">
        <v>56</v>
      </c>
      <c r="N575">
        <v>3.2</v>
      </c>
      <c r="O575">
        <v>1</v>
      </c>
      <c r="P575" t="s">
        <v>73</v>
      </c>
      <c r="Q575" t="s">
        <v>30</v>
      </c>
      <c r="R575" t="s">
        <v>30</v>
      </c>
      <c r="S575">
        <v>23</v>
      </c>
      <c r="T575" t="s">
        <v>42</v>
      </c>
      <c r="U575" t="s">
        <v>79</v>
      </c>
      <c r="V575" s="1">
        <v>45490</v>
      </c>
      <c r="W575">
        <f>Table1[[#This Row],[customer_purchase count]]+1</f>
        <v>24</v>
      </c>
      <c r="X575">
        <f>Table1[[#This Row],[customer_purchase count]]*Rules!$B$3</f>
        <v>1374.5802564102564</v>
      </c>
      <c r="Y575" t="str">
        <f>IF(Table1[[#This Row],[customer_subscription]]=1,"Subscribed","Not Subscribed")</f>
        <v>Subscribed</v>
      </c>
    </row>
    <row r="576" spans="1:26" x14ac:dyDescent="0.25">
      <c r="A576">
        <v>575</v>
      </c>
      <c r="B576">
        <v>54</v>
      </c>
      <c r="C576" t="s">
        <v>22</v>
      </c>
      <c r="D576">
        <v>575</v>
      </c>
      <c r="E576" t="s">
        <v>53</v>
      </c>
      <c r="F576" t="s">
        <v>45</v>
      </c>
      <c r="G576">
        <v>575</v>
      </c>
      <c r="H576">
        <v>889</v>
      </c>
      <c r="I576">
        <v>79</v>
      </c>
      <c r="J576" t="s">
        <v>34</v>
      </c>
      <c r="K576" t="s">
        <v>26</v>
      </c>
      <c r="L576" t="s">
        <v>111</v>
      </c>
      <c r="M576" t="s">
        <v>60</v>
      </c>
      <c r="N576">
        <v>4.8</v>
      </c>
      <c r="O576">
        <v>1</v>
      </c>
      <c r="P576" t="s">
        <v>41</v>
      </c>
      <c r="Q576" t="s">
        <v>30</v>
      </c>
      <c r="R576" t="s">
        <v>30</v>
      </c>
      <c r="S576">
        <v>20</v>
      </c>
      <c r="T576" t="s">
        <v>78</v>
      </c>
      <c r="U576" t="s">
        <v>79</v>
      </c>
      <c r="V576" s="1">
        <v>45588</v>
      </c>
      <c r="W576">
        <f>Table1[[#This Row],[customer_purchase count]]+1</f>
        <v>21</v>
      </c>
      <c r="X576">
        <f>Table1[[#This Row],[customer_purchase count]]*Rules!$B$3</f>
        <v>1195.2871794871796</v>
      </c>
      <c r="Y576" t="str">
        <f>IF(Table1[[#This Row],[customer_subscription]]=1,"Subscribed","Not Subscribed")</f>
        <v>Subscribed</v>
      </c>
    </row>
    <row r="577" spans="1:26" x14ac:dyDescent="0.25">
      <c r="A577">
        <v>576</v>
      </c>
      <c r="B577">
        <v>58</v>
      </c>
      <c r="C577" t="s">
        <v>22</v>
      </c>
      <c r="D577">
        <v>576</v>
      </c>
      <c r="E577" t="s">
        <v>37</v>
      </c>
      <c r="F577" t="s">
        <v>24</v>
      </c>
      <c r="G577">
        <v>576</v>
      </c>
      <c r="H577">
        <v>890</v>
      </c>
      <c r="I577">
        <v>86</v>
      </c>
      <c r="J577" t="s">
        <v>148</v>
      </c>
      <c r="K577" t="s">
        <v>47</v>
      </c>
      <c r="L577" t="s">
        <v>103</v>
      </c>
      <c r="M577" t="s">
        <v>60</v>
      </c>
      <c r="N577">
        <v>4.8</v>
      </c>
      <c r="O577">
        <v>1</v>
      </c>
      <c r="P577" t="s">
        <v>29</v>
      </c>
      <c r="Q577" t="s">
        <v>30</v>
      </c>
      <c r="R577" t="s">
        <v>30</v>
      </c>
      <c r="S577">
        <v>38</v>
      </c>
      <c r="T577" t="s">
        <v>49</v>
      </c>
      <c r="U577" t="s">
        <v>91</v>
      </c>
      <c r="V577" s="1">
        <v>45548</v>
      </c>
      <c r="W577">
        <f>Table1[[#This Row],[customer_purchase count]]+1</f>
        <v>39</v>
      </c>
      <c r="X577">
        <f>Table1[[#This Row],[customer_purchase count]]*Rules!$B$3</f>
        <v>2271.0456410256411</v>
      </c>
      <c r="Y577" t="str">
        <f>IF(Table1[[#This Row],[customer_subscription]]=1,"Subscribed","Not Subscribed")</f>
        <v>Subscribed</v>
      </c>
      <c r="Z577" t="s">
        <v>193</v>
      </c>
    </row>
    <row r="578" spans="1:26" x14ac:dyDescent="0.25">
      <c r="A578">
        <v>577</v>
      </c>
      <c r="B578">
        <v>48</v>
      </c>
      <c r="C578" t="s">
        <v>22</v>
      </c>
      <c r="D578">
        <v>577</v>
      </c>
      <c r="E578" t="s">
        <v>127</v>
      </c>
      <c r="F578" t="s">
        <v>70</v>
      </c>
      <c r="G578">
        <v>577</v>
      </c>
      <c r="H578">
        <v>891</v>
      </c>
      <c r="I578">
        <v>68</v>
      </c>
      <c r="J578" t="s">
        <v>152</v>
      </c>
      <c r="K578" t="s">
        <v>47</v>
      </c>
      <c r="L578" t="s">
        <v>97</v>
      </c>
      <c r="M578" t="s">
        <v>28</v>
      </c>
      <c r="N578">
        <v>5</v>
      </c>
      <c r="O578">
        <v>1</v>
      </c>
      <c r="P578" t="s">
        <v>73</v>
      </c>
      <c r="Q578" t="s">
        <v>30</v>
      </c>
      <c r="R578" t="s">
        <v>30</v>
      </c>
      <c r="S578">
        <v>5</v>
      </c>
      <c r="T578" t="s">
        <v>42</v>
      </c>
      <c r="U578" t="s">
        <v>100</v>
      </c>
      <c r="V578" s="1">
        <v>45293</v>
      </c>
      <c r="W578">
        <f>Table1[[#This Row],[customer_purchase count]]+1</f>
        <v>6</v>
      </c>
      <c r="X578">
        <f>Table1[[#This Row],[customer_purchase count]]*Rules!$B$3</f>
        <v>298.82179487179491</v>
      </c>
      <c r="Y578" t="str">
        <f>IF(Table1[[#This Row],[customer_subscription]]=1,"Subscribed","Not Subscribed")</f>
        <v>Subscribed</v>
      </c>
    </row>
    <row r="579" spans="1:26" x14ac:dyDescent="0.25">
      <c r="A579">
        <v>578</v>
      </c>
      <c r="B579">
        <v>19</v>
      </c>
      <c r="C579" t="s">
        <v>22</v>
      </c>
      <c r="D579">
        <v>578</v>
      </c>
      <c r="E579" t="s">
        <v>90</v>
      </c>
      <c r="F579" t="s">
        <v>24</v>
      </c>
      <c r="G579">
        <v>578</v>
      </c>
      <c r="H579">
        <v>892</v>
      </c>
      <c r="I579">
        <v>52</v>
      </c>
      <c r="J579" t="s">
        <v>93</v>
      </c>
      <c r="K579" t="s">
        <v>47</v>
      </c>
      <c r="L579" t="s">
        <v>97</v>
      </c>
      <c r="M579" t="s">
        <v>60</v>
      </c>
      <c r="N579">
        <v>3.7</v>
      </c>
      <c r="O579">
        <v>1</v>
      </c>
      <c r="P579" t="s">
        <v>77</v>
      </c>
      <c r="Q579" t="s">
        <v>30</v>
      </c>
      <c r="R579" t="s">
        <v>30</v>
      </c>
      <c r="S579">
        <v>41</v>
      </c>
      <c r="T579" t="s">
        <v>31</v>
      </c>
      <c r="U579" t="s">
        <v>52</v>
      </c>
      <c r="V579" s="1">
        <v>45581</v>
      </c>
      <c r="W579">
        <f>Table1[[#This Row],[customer_purchase count]]+1</f>
        <v>42</v>
      </c>
      <c r="X579">
        <f>Table1[[#This Row],[customer_purchase count]]*Rules!$B$3</f>
        <v>2450.3387179487181</v>
      </c>
      <c r="Y579" t="str">
        <f>IF(Table1[[#This Row],[customer_subscription]]=1,"Subscribed","Not Subscribed")</f>
        <v>Subscribed</v>
      </c>
    </row>
    <row r="580" spans="1:26" x14ac:dyDescent="0.25">
      <c r="A580">
        <v>579</v>
      </c>
      <c r="B580">
        <v>69</v>
      </c>
      <c r="C580" t="s">
        <v>22</v>
      </c>
      <c r="D580">
        <v>579</v>
      </c>
      <c r="E580" t="s">
        <v>44</v>
      </c>
      <c r="F580" t="s">
        <v>45</v>
      </c>
      <c r="G580">
        <v>579</v>
      </c>
      <c r="H580">
        <v>893</v>
      </c>
      <c r="I580">
        <v>90</v>
      </c>
      <c r="J580" t="s">
        <v>34</v>
      </c>
      <c r="K580" t="s">
        <v>47</v>
      </c>
      <c r="L580" t="s">
        <v>76</v>
      </c>
      <c r="M580" t="s">
        <v>60</v>
      </c>
      <c r="N580">
        <v>4.5999999999999996</v>
      </c>
      <c r="O580">
        <v>1</v>
      </c>
      <c r="P580" t="s">
        <v>48</v>
      </c>
      <c r="Q580" t="s">
        <v>30</v>
      </c>
      <c r="R580" t="s">
        <v>30</v>
      </c>
      <c r="S580">
        <v>22</v>
      </c>
      <c r="T580" t="s">
        <v>42</v>
      </c>
      <c r="U580" t="s">
        <v>32</v>
      </c>
      <c r="V580" s="1">
        <v>45545</v>
      </c>
      <c r="W580">
        <f>Table1[[#This Row],[customer_purchase count]]+1</f>
        <v>23</v>
      </c>
      <c r="X580">
        <f>Table1[[#This Row],[customer_purchase count]]*Rules!$B$3</f>
        <v>1314.8158974358976</v>
      </c>
      <c r="Y580" t="str">
        <f>IF(Table1[[#This Row],[customer_subscription]]=1,"Subscribed","Not Subscribed")</f>
        <v>Subscribed</v>
      </c>
    </row>
    <row r="581" spans="1:26" x14ac:dyDescent="0.25">
      <c r="A581">
        <v>580</v>
      </c>
      <c r="B581">
        <v>58</v>
      </c>
      <c r="C581" t="s">
        <v>22</v>
      </c>
      <c r="D581">
        <v>580</v>
      </c>
      <c r="E581" t="s">
        <v>44</v>
      </c>
      <c r="F581" t="s">
        <v>45</v>
      </c>
      <c r="G581">
        <v>580</v>
      </c>
      <c r="H581">
        <v>895</v>
      </c>
      <c r="I581">
        <v>41</v>
      </c>
      <c r="J581" t="s">
        <v>102</v>
      </c>
      <c r="K581" t="s">
        <v>47</v>
      </c>
      <c r="L581" t="s">
        <v>86</v>
      </c>
      <c r="M581" t="s">
        <v>28</v>
      </c>
      <c r="N581">
        <v>3.7</v>
      </c>
      <c r="O581">
        <v>1</v>
      </c>
      <c r="P581" t="s">
        <v>41</v>
      </c>
      <c r="Q581" t="s">
        <v>30</v>
      </c>
      <c r="R581" t="s">
        <v>30</v>
      </c>
      <c r="S581">
        <v>48</v>
      </c>
      <c r="T581" t="s">
        <v>42</v>
      </c>
      <c r="U581" t="s">
        <v>52</v>
      </c>
      <c r="V581" s="1">
        <v>45327</v>
      </c>
      <c r="W581">
        <f>Table1[[#This Row],[customer_purchase count]]+1</f>
        <v>49</v>
      </c>
      <c r="X581">
        <f>Table1[[#This Row],[customer_purchase count]]*Rules!$B$3</f>
        <v>2868.689230769231</v>
      </c>
      <c r="Y581" t="str">
        <f>IF(Table1[[#This Row],[customer_subscription]]=1,"Subscribed","Not Subscribed")</f>
        <v>Subscribed</v>
      </c>
      <c r="Z581" t="s">
        <v>193</v>
      </c>
    </row>
    <row r="582" spans="1:26" x14ac:dyDescent="0.25">
      <c r="A582">
        <v>581</v>
      </c>
      <c r="B582">
        <v>49</v>
      </c>
      <c r="C582" t="s">
        <v>22</v>
      </c>
      <c r="D582">
        <v>581</v>
      </c>
      <c r="E582" t="s">
        <v>33</v>
      </c>
      <c r="F582" t="s">
        <v>24</v>
      </c>
      <c r="G582">
        <v>581</v>
      </c>
      <c r="H582">
        <v>896</v>
      </c>
      <c r="I582">
        <v>80</v>
      </c>
      <c r="J582" t="s">
        <v>149</v>
      </c>
      <c r="K582" t="s">
        <v>47</v>
      </c>
      <c r="L582" t="s">
        <v>124</v>
      </c>
      <c r="M582" t="s">
        <v>40</v>
      </c>
      <c r="N582">
        <v>4.0999999999999996</v>
      </c>
      <c r="O582">
        <v>1</v>
      </c>
      <c r="P582" t="s">
        <v>41</v>
      </c>
      <c r="Q582" t="s">
        <v>30</v>
      </c>
      <c r="R582" t="s">
        <v>30</v>
      </c>
      <c r="S582">
        <v>10</v>
      </c>
      <c r="T582" t="s">
        <v>49</v>
      </c>
      <c r="U582" t="s">
        <v>43</v>
      </c>
      <c r="V582" s="1">
        <v>45425</v>
      </c>
      <c r="W582">
        <f>Table1[[#This Row],[customer_purchase count]]+1</f>
        <v>11</v>
      </c>
      <c r="X582">
        <f>Table1[[#This Row],[customer_purchase count]]*Rules!$B$3</f>
        <v>597.64358974358981</v>
      </c>
      <c r="Y582" t="str">
        <f>IF(Table1[[#This Row],[customer_subscription]]=1,"Subscribed","Not Subscribed")</f>
        <v>Subscribed</v>
      </c>
    </row>
    <row r="583" spans="1:26" x14ac:dyDescent="0.25">
      <c r="A583">
        <v>582</v>
      </c>
      <c r="B583">
        <v>32</v>
      </c>
      <c r="C583" t="s">
        <v>22</v>
      </c>
      <c r="D583">
        <v>582</v>
      </c>
      <c r="E583" t="s">
        <v>33</v>
      </c>
      <c r="F583" t="s">
        <v>24</v>
      </c>
      <c r="G583">
        <v>582</v>
      </c>
      <c r="H583">
        <v>897</v>
      </c>
      <c r="I583">
        <v>100</v>
      </c>
      <c r="J583" t="s">
        <v>149</v>
      </c>
      <c r="K583" t="s">
        <v>95</v>
      </c>
      <c r="L583" t="s">
        <v>64</v>
      </c>
      <c r="M583" t="s">
        <v>28</v>
      </c>
      <c r="N583">
        <v>2.7</v>
      </c>
      <c r="O583">
        <v>1</v>
      </c>
      <c r="P583" t="s">
        <v>77</v>
      </c>
      <c r="Q583" t="s">
        <v>30</v>
      </c>
      <c r="R583" t="s">
        <v>30</v>
      </c>
      <c r="S583">
        <v>12</v>
      </c>
      <c r="T583" t="s">
        <v>78</v>
      </c>
      <c r="U583" t="s">
        <v>100</v>
      </c>
      <c r="V583" s="1">
        <v>45632</v>
      </c>
      <c r="W583">
        <f>Table1[[#This Row],[customer_purchase count]]+1</f>
        <v>13</v>
      </c>
      <c r="X583">
        <f>Table1[[#This Row],[customer_purchase count]]*Rules!$B$3</f>
        <v>717.17230769230775</v>
      </c>
      <c r="Y583" t="str">
        <f>IF(Table1[[#This Row],[customer_subscription]]=1,"Subscribed","Not Subscribed")</f>
        <v>Subscribed</v>
      </c>
    </row>
    <row r="584" spans="1:26" x14ac:dyDescent="0.25">
      <c r="A584">
        <v>583</v>
      </c>
      <c r="B584">
        <v>40</v>
      </c>
      <c r="C584" t="s">
        <v>22</v>
      </c>
      <c r="D584">
        <v>583</v>
      </c>
      <c r="E584" t="s">
        <v>105</v>
      </c>
      <c r="F584" t="s">
        <v>66</v>
      </c>
      <c r="G584">
        <v>583</v>
      </c>
      <c r="H584">
        <v>898</v>
      </c>
      <c r="I584">
        <v>77</v>
      </c>
      <c r="J584" t="s">
        <v>115</v>
      </c>
      <c r="K584" t="s">
        <v>26</v>
      </c>
      <c r="L584" t="s">
        <v>51</v>
      </c>
      <c r="M584" t="s">
        <v>40</v>
      </c>
      <c r="N584">
        <v>4.9000000000000004</v>
      </c>
      <c r="O584">
        <v>1</v>
      </c>
      <c r="P584" t="s">
        <v>77</v>
      </c>
      <c r="Q584" t="s">
        <v>30</v>
      </c>
      <c r="R584" t="s">
        <v>30</v>
      </c>
      <c r="S584">
        <v>2</v>
      </c>
      <c r="T584" t="s">
        <v>78</v>
      </c>
      <c r="U584" t="s">
        <v>61</v>
      </c>
      <c r="V584" s="1">
        <v>45356</v>
      </c>
      <c r="W584">
        <f>Table1[[#This Row],[customer_purchase count]]+1</f>
        <v>3</v>
      </c>
      <c r="X584">
        <f>Table1[[#This Row],[customer_purchase count]]*Rules!$B$3</f>
        <v>119.52871794871795</v>
      </c>
      <c r="Y584" t="str">
        <f>IF(Table1[[#This Row],[customer_subscription]]=1,"Subscribed","Not Subscribed")</f>
        <v>Subscribed</v>
      </c>
    </row>
    <row r="585" spans="1:26" x14ac:dyDescent="0.25">
      <c r="A585">
        <v>584</v>
      </c>
      <c r="B585">
        <v>25</v>
      </c>
      <c r="C585" t="s">
        <v>22</v>
      </c>
      <c r="D585">
        <v>584</v>
      </c>
      <c r="E585" t="s">
        <v>62</v>
      </c>
      <c r="F585" t="s">
        <v>24</v>
      </c>
      <c r="G585">
        <v>584</v>
      </c>
      <c r="H585">
        <v>899</v>
      </c>
      <c r="I585">
        <v>78</v>
      </c>
      <c r="J585" t="s">
        <v>102</v>
      </c>
      <c r="K585" t="s">
        <v>26</v>
      </c>
      <c r="L585" t="s">
        <v>137</v>
      </c>
      <c r="M585" t="s">
        <v>40</v>
      </c>
      <c r="N585">
        <v>4</v>
      </c>
      <c r="O585">
        <v>1</v>
      </c>
      <c r="P585" t="s">
        <v>77</v>
      </c>
      <c r="Q585" t="s">
        <v>30</v>
      </c>
      <c r="R585" t="s">
        <v>30</v>
      </c>
      <c r="S585">
        <v>38</v>
      </c>
      <c r="T585" t="s">
        <v>49</v>
      </c>
      <c r="U585" t="s">
        <v>91</v>
      </c>
      <c r="V585" s="1">
        <v>45368</v>
      </c>
      <c r="W585">
        <f>Table1[[#This Row],[customer_purchase count]]+1</f>
        <v>39</v>
      </c>
      <c r="X585">
        <f>Table1[[#This Row],[customer_purchase count]]*Rules!$B$3</f>
        <v>2271.0456410256411</v>
      </c>
      <c r="Y585" t="str">
        <f>IF(Table1[[#This Row],[customer_subscription]]=1,"Subscribed","Not Subscribed")</f>
        <v>Subscribed</v>
      </c>
    </row>
    <row r="586" spans="1:26" x14ac:dyDescent="0.25">
      <c r="A586">
        <v>585</v>
      </c>
      <c r="B586">
        <v>70</v>
      </c>
      <c r="C586" t="s">
        <v>22</v>
      </c>
      <c r="D586">
        <v>585</v>
      </c>
      <c r="E586" t="s">
        <v>128</v>
      </c>
      <c r="F586" t="s">
        <v>24</v>
      </c>
      <c r="G586">
        <v>585</v>
      </c>
      <c r="H586">
        <v>901</v>
      </c>
      <c r="I586">
        <v>94</v>
      </c>
      <c r="J586" t="s">
        <v>119</v>
      </c>
      <c r="K586" t="s">
        <v>47</v>
      </c>
      <c r="L586" t="s">
        <v>55</v>
      </c>
      <c r="M586" t="s">
        <v>40</v>
      </c>
      <c r="N586">
        <v>4.7</v>
      </c>
      <c r="O586">
        <v>1</v>
      </c>
      <c r="P586" t="s">
        <v>41</v>
      </c>
      <c r="Q586" t="s">
        <v>30</v>
      </c>
      <c r="R586" t="s">
        <v>30</v>
      </c>
      <c r="S586">
        <v>20</v>
      </c>
      <c r="T586" t="s">
        <v>89</v>
      </c>
      <c r="U586" t="s">
        <v>91</v>
      </c>
      <c r="V586" s="1">
        <v>45397</v>
      </c>
      <c r="W586">
        <f>Table1[[#This Row],[customer_purchase count]]+1</f>
        <v>21</v>
      </c>
      <c r="X586">
        <f>Table1[[#This Row],[customer_purchase count]]*Rules!$B$3</f>
        <v>1195.2871794871796</v>
      </c>
      <c r="Y586" t="str">
        <f>IF(Table1[[#This Row],[customer_subscription]]=1,"Subscribed","Not Subscribed")</f>
        <v>Subscribed</v>
      </c>
    </row>
    <row r="587" spans="1:26" x14ac:dyDescent="0.25">
      <c r="A587">
        <v>586</v>
      </c>
      <c r="B587">
        <v>69</v>
      </c>
      <c r="C587" t="s">
        <v>22</v>
      </c>
      <c r="D587">
        <v>586</v>
      </c>
      <c r="E587" t="s">
        <v>128</v>
      </c>
      <c r="F587" t="s">
        <v>24</v>
      </c>
      <c r="G587">
        <v>586</v>
      </c>
      <c r="H587">
        <v>902</v>
      </c>
      <c r="I587">
        <v>23</v>
      </c>
      <c r="J587" t="s">
        <v>134</v>
      </c>
      <c r="K587" t="s">
        <v>47</v>
      </c>
      <c r="L587" t="s">
        <v>27</v>
      </c>
      <c r="M587" t="s">
        <v>60</v>
      </c>
      <c r="N587">
        <v>2.8</v>
      </c>
      <c r="O587">
        <v>1</v>
      </c>
      <c r="P587" t="s">
        <v>48</v>
      </c>
      <c r="Q587" t="s">
        <v>30</v>
      </c>
      <c r="R587" t="s">
        <v>30</v>
      </c>
      <c r="S587">
        <v>5</v>
      </c>
      <c r="T587" t="s">
        <v>36</v>
      </c>
      <c r="U587" t="s">
        <v>100</v>
      </c>
      <c r="V587" s="1">
        <v>45581</v>
      </c>
      <c r="W587">
        <f>Table1[[#This Row],[customer_purchase count]]+1</f>
        <v>6</v>
      </c>
      <c r="X587">
        <f>Table1[[#This Row],[customer_purchase count]]*Rules!$B$3</f>
        <v>298.82179487179491</v>
      </c>
      <c r="Y587" t="str">
        <f>IF(Table1[[#This Row],[customer_subscription]]=1,"Subscribed","Not Subscribed")</f>
        <v>Subscribed</v>
      </c>
    </row>
    <row r="588" spans="1:26" x14ac:dyDescent="0.25">
      <c r="A588">
        <v>587</v>
      </c>
      <c r="B588">
        <v>45</v>
      </c>
      <c r="C588" t="s">
        <v>22</v>
      </c>
      <c r="D588">
        <v>587</v>
      </c>
      <c r="E588" t="s">
        <v>107</v>
      </c>
      <c r="F588" t="s">
        <v>24</v>
      </c>
      <c r="G588">
        <v>587</v>
      </c>
      <c r="H588">
        <v>903</v>
      </c>
      <c r="I588">
        <v>20</v>
      </c>
      <c r="J588" t="s">
        <v>153</v>
      </c>
      <c r="K588" t="s">
        <v>39</v>
      </c>
      <c r="L588" t="s">
        <v>147</v>
      </c>
      <c r="M588" t="s">
        <v>28</v>
      </c>
      <c r="N588">
        <v>4.9000000000000004</v>
      </c>
      <c r="O588">
        <v>1</v>
      </c>
      <c r="P588" t="s">
        <v>73</v>
      </c>
      <c r="Q588" t="s">
        <v>30</v>
      </c>
      <c r="R588" t="s">
        <v>30</v>
      </c>
      <c r="S588">
        <v>9</v>
      </c>
      <c r="T588" t="s">
        <v>31</v>
      </c>
      <c r="U588" t="s">
        <v>52</v>
      </c>
      <c r="V588" s="1">
        <v>45304</v>
      </c>
      <c r="W588">
        <f>Table1[[#This Row],[customer_purchase count]]+1</f>
        <v>10</v>
      </c>
      <c r="X588">
        <f>Table1[[#This Row],[customer_purchase count]]*Rules!$B$3</f>
        <v>537.87923076923084</v>
      </c>
      <c r="Y588" t="str">
        <f>IF(Table1[[#This Row],[customer_subscription]]=1,"Subscribed","Not Subscribed")</f>
        <v>Subscribed</v>
      </c>
    </row>
    <row r="589" spans="1:26" x14ac:dyDescent="0.25">
      <c r="A589">
        <v>588</v>
      </c>
      <c r="B589">
        <v>29</v>
      </c>
      <c r="C589" t="s">
        <v>22</v>
      </c>
      <c r="D589">
        <v>588</v>
      </c>
      <c r="E589" t="s">
        <v>128</v>
      </c>
      <c r="F589" t="s">
        <v>24</v>
      </c>
      <c r="G589">
        <v>588</v>
      </c>
      <c r="H589">
        <v>904</v>
      </c>
      <c r="I589">
        <v>86</v>
      </c>
      <c r="J589" t="s">
        <v>152</v>
      </c>
      <c r="K589" t="s">
        <v>39</v>
      </c>
      <c r="L589" t="s">
        <v>35</v>
      </c>
      <c r="M589" t="s">
        <v>60</v>
      </c>
      <c r="N589">
        <v>4.2</v>
      </c>
      <c r="O589">
        <v>1</v>
      </c>
      <c r="P589" t="s">
        <v>29</v>
      </c>
      <c r="Q589" t="s">
        <v>30</v>
      </c>
      <c r="R589" t="s">
        <v>30</v>
      </c>
      <c r="S589">
        <v>48</v>
      </c>
      <c r="T589" t="s">
        <v>89</v>
      </c>
      <c r="U589" t="s">
        <v>100</v>
      </c>
      <c r="V589" s="1">
        <v>45590</v>
      </c>
      <c r="W589">
        <f>Table1[[#This Row],[customer_purchase count]]+1</f>
        <v>49</v>
      </c>
      <c r="X589">
        <f>Table1[[#This Row],[customer_purchase count]]*Rules!$B$3</f>
        <v>2868.689230769231</v>
      </c>
      <c r="Y589" t="str">
        <f>IF(Table1[[#This Row],[customer_subscription]]=1,"Subscribed","Not Subscribed")</f>
        <v>Subscribed</v>
      </c>
    </row>
    <row r="590" spans="1:26" x14ac:dyDescent="0.25">
      <c r="A590">
        <v>589</v>
      </c>
      <c r="B590">
        <v>47</v>
      </c>
      <c r="C590" t="s">
        <v>22</v>
      </c>
      <c r="D590">
        <v>589</v>
      </c>
      <c r="E590" t="s">
        <v>140</v>
      </c>
      <c r="F590" t="s">
        <v>45</v>
      </c>
      <c r="G590">
        <v>589</v>
      </c>
      <c r="H590">
        <v>905</v>
      </c>
      <c r="I590">
        <v>60</v>
      </c>
      <c r="J590" t="s">
        <v>150</v>
      </c>
      <c r="K590" t="s">
        <v>47</v>
      </c>
      <c r="L590" t="s">
        <v>86</v>
      </c>
      <c r="M590" t="s">
        <v>60</v>
      </c>
      <c r="N590">
        <v>3</v>
      </c>
      <c r="O590">
        <v>1</v>
      </c>
      <c r="P590" t="s">
        <v>57</v>
      </c>
      <c r="Q590" t="s">
        <v>30</v>
      </c>
      <c r="R590" t="s">
        <v>30</v>
      </c>
      <c r="S590">
        <v>9</v>
      </c>
      <c r="T590" t="s">
        <v>89</v>
      </c>
      <c r="U590" t="s">
        <v>61</v>
      </c>
      <c r="V590" s="1">
        <v>45609</v>
      </c>
      <c r="W590">
        <f>Table1[[#This Row],[customer_purchase count]]+1</f>
        <v>10</v>
      </c>
      <c r="X590">
        <f>Table1[[#This Row],[customer_purchase count]]*Rules!$B$3</f>
        <v>537.87923076923084</v>
      </c>
      <c r="Y590" t="str">
        <f>IF(Table1[[#This Row],[customer_subscription]]=1,"Subscribed","Not Subscribed")</f>
        <v>Subscribed</v>
      </c>
    </row>
    <row r="591" spans="1:26" x14ac:dyDescent="0.25">
      <c r="A591">
        <v>590</v>
      </c>
      <c r="B591">
        <v>28</v>
      </c>
      <c r="C591" t="s">
        <v>22</v>
      </c>
      <c r="D591">
        <v>590</v>
      </c>
      <c r="E591" t="s">
        <v>58</v>
      </c>
      <c r="F591" t="s">
        <v>24</v>
      </c>
      <c r="G591">
        <v>590</v>
      </c>
      <c r="H591">
        <v>907</v>
      </c>
      <c r="I591">
        <v>70</v>
      </c>
      <c r="J591" t="s">
        <v>151</v>
      </c>
      <c r="K591" t="s">
        <v>47</v>
      </c>
      <c r="L591" t="s">
        <v>124</v>
      </c>
      <c r="M591" t="s">
        <v>60</v>
      </c>
      <c r="N591">
        <v>3.4</v>
      </c>
      <c r="O591">
        <v>1</v>
      </c>
      <c r="P591" t="s">
        <v>73</v>
      </c>
      <c r="Q591" t="s">
        <v>30</v>
      </c>
      <c r="R591" t="s">
        <v>30</v>
      </c>
      <c r="S591">
        <v>40</v>
      </c>
      <c r="T591" t="s">
        <v>49</v>
      </c>
      <c r="U591" t="s">
        <v>52</v>
      </c>
      <c r="V591" s="1">
        <v>45608</v>
      </c>
      <c r="W591">
        <f>Table1[[#This Row],[customer_purchase count]]+1</f>
        <v>41</v>
      </c>
      <c r="X591">
        <f>Table1[[#This Row],[customer_purchase count]]*Rules!$B$3</f>
        <v>2390.5743589743593</v>
      </c>
      <c r="Y591" t="str">
        <f>IF(Table1[[#This Row],[customer_subscription]]=1,"Subscribed","Not Subscribed")</f>
        <v>Subscribed</v>
      </c>
    </row>
    <row r="592" spans="1:26" x14ac:dyDescent="0.25">
      <c r="A592">
        <v>591</v>
      </c>
      <c r="B592">
        <v>64</v>
      </c>
      <c r="C592" t="s">
        <v>22</v>
      </c>
      <c r="D592">
        <v>591</v>
      </c>
      <c r="E592" t="s">
        <v>136</v>
      </c>
      <c r="F592" t="s">
        <v>70</v>
      </c>
      <c r="G592">
        <v>591</v>
      </c>
      <c r="H592">
        <v>908</v>
      </c>
      <c r="I592">
        <v>39</v>
      </c>
      <c r="J592" t="s">
        <v>123</v>
      </c>
      <c r="K592" t="s">
        <v>39</v>
      </c>
      <c r="L592" t="s">
        <v>51</v>
      </c>
      <c r="M592" t="s">
        <v>60</v>
      </c>
      <c r="N592">
        <v>4.5999999999999996</v>
      </c>
      <c r="O592">
        <v>1</v>
      </c>
      <c r="P592" t="s">
        <v>57</v>
      </c>
      <c r="Q592" t="s">
        <v>30</v>
      </c>
      <c r="R592" t="s">
        <v>30</v>
      </c>
      <c r="S592">
        <v>30</v>
      </c>
      <c r="T592" t="s">
        <v>31</v>
      </c>
      <c r="U592" t="s">
        <v>32</v>
      </c>
      <c r="V592" s="1">
        <v>45618</v>
      </c>
      <c r="W592">
        <f>Table1[[#This Row],[customer_purchase count]]+1</f>
        <v>31</v>
      </c>
      <c r="X592">
        <f>Table1[[#This Row],[customer_purchase count]]*Rules!$B$3</f>
        <v>1792.9307692307693</v>
      </c>
      <c r="Y592" t="str">
        <f>IF(Table1[[#This Row],[customer_subscription]]=1,"Subscribed","Not Subscribed")</f>
        <v>Subscribed</v>
      </c>
    </row>
    <row r="593" spans="1:26" x14ac:dyDescent="0.25">
      <c r="A593">
        <v>592</v>
      </c>
      <c r="B593">
        <v>47</v>
      </c>
      <c r="C593" t="s">
        <v>22</v>
      </c>
      <c r="D593">
        <v>592</v>
      </c>
      <c r="E593" t="s">
        <v>135</v>
      </c>
      <c r="F593" t="s">
        <v>70</v>
      </c>
      <c r="G593">
        <v>592</v>
      </c>
      <c r="H593">
        <v>909</v>
      </c>
      <c r="I593">
        <v>37</v>
      </c>
      <c r="J593" t="s">
        <v>25</v>
      </c>
      <c r="K593" t="s">
        <v>26</v>
      </c>
      <c r="L593" t="s">
        <v>81</v>
      </c>
      <c r="M593" t="s">
        <v>60</v>
      </c>
      <c r="N593">
        <v>4.2</v>
      </c>
      <c r="O593">
        <v>1</v>
      </c>
      <c r="P593" t="s">
        <v>77</v>
      </c>
      <c r="Q593" t="s">
        <v>30</v>
      </c>
      <c r="R593" t="s">
        <v>30</v>
      </c>
      <c r="S593">
        <v>6</v>
      </c>
      <c r="T593" t="s">
        <v>89</v>
      </c>
      <c r="U593" t="s">
        <v>79</v>
      </c>
      <c r="V593" s="1">
        <v>45601</v>
      </c>
      <c r="W593">
        <f>Table1[[#This Row],[customer_purchase count]]+1</f>
        <v>7</v>
      </c>
      <c r="X593">
        <f>Table1[[#This Row],[customer_purchase count]]*Rules!$B$3</f>
        <v>358.58615384615388</v>
      </c>
      <c r="Y593" t="str">
        <f>IF(Table1[[#This Row],[customer_subscription]]=1,"Subscribed","Not Subscribed")</f>
        <v>Subscribed</v>
      </c>
    </row>
    <row r="594" spans="1:26" x14ac:dyDescent="0.25">
      <c r="A594">
        <v>593</v>
      </c>
      <c r="B594">
        <v>60</v>
      </c>
      <c r="C594" t="s">
        <v>22</v>
      </c>
      <c r="D594">
        <v>593</v>
      </c>
      <c r="E594" t="s">
        <v>140</v>
      </c>
      <c r="F594" t="s">
        <v>45</v>
      </c>
      <c r="G594">
        <v>593</v>
      </c>
      <c r="H594">
        <v>910</v>
      </c>
      <c r="I594">
        <v>29</v>
      </c>
      <c r="J594" t="s">
        <v>117</v>
      </c>
      <c r="K594" t="s">
        <v>47</v>
      </c>
      <c r="L594" t="s">
        <v>113</v>
      </c>
      <c r="M594" t="s">
        <v>60</v>
      </c>
      <c r="N594">
        <v>3.2</v>
      </c>
      <c r="O594">
        <v>1</v>
      </c>
      <c r="P594" t="s">
        <v>41</v>
      </c>
      <c r="Q594" t="s">
        <v>30</v>
      </c>
      <c r="R594" t="s">
        <v>30</v>
      </c>
      <c r="S594">
        <v>42</v>
      </c>
      <c r="T594" t="s">
        <v>31</v>
      </c>
      <c r="U594" t="s">
        <v>100</v>
      </c>
      <c r="V594" s="1">
        <v>45600</v>
      </c>
      <c r="W594">
        <f>Table1[[#This Row],[customer_purchase count]]+1</f>
        <v>43</v>
      </c>
      <c r="X594">
        <f>Table1[[#This Row],[customer_purchase count]]*Rules!$B$3</f>
        <v>2510.103076923077</v>
      </c>
      <c r="Y594" t="str">
        <f>IF(Table1[[#This Row],[customer_subscription]]=1,"Subscribed","Not Subscribed")</f>
        <v>Subscribed</v>
      </c>
      <c r="Z594" t="s">
        <v>193</v>
      </c>
    </row>
    <row r="595" spans="1:26" x14ac:dyDescent="0.25">
      <c r="A595">
        <v>594</v>
      </c>
      <c r="B595">
        <v>67</v>
      </c>
      <c r="C595" t="s">
        <v>22</v>
      </c>
      <c r="D595">
        <v>594</v>
      </c>
      <c r="E595" t="s">
        <v>65</v>
      </c>
      <c r="F595" t="s">
        <v>66</v>
      </c>
      <c r="G595">
        <v>594</v>
      </c>
      <c r="H595">
        <v>911</v>
      </c>
      <c r="I595">
        <v>35</v>
      </c>
      <c r="J595" t="s">
        <v>123</v>
      </c>
      <c r="K595" t="s">
        <v>39</v>
      </c>
      <c r="L595" t="s">
        <v>99</v>
      </c>
      <c r="M595" t="s">
        <v>28</v>
      </c>
      <c r="N595">
        <v>4.4000000000000004</v>
      </c>
      <c r="O595">
        <v>1</v>
      </c>
      <c r="P595" t="s">
        <v>77</v>
      </c>
      <c r="Q595" t="s">
        <v>30</v>
      </c>
      <c r="R595" t="s">
        <v>30</v>
      </c>
      <c r="S595">
        <v>9</v>
      </c>
      <c r="T595" t="s">
        <v>49</v>
      </c>
      <c r="U595" t="s">
        <v>100</v>
      </c>
      <c r="V595" s="1">
        <v>45319</v>
      </c>
      <c r="W595">
        <f>Table1[[#This Row],[customer_purchase count]]+1</f>
        <v>10</v>
      </c>
      <c r="X595">
        <f>Table1[[#This Row],[customer_purchase count]]*Rules!$B$3</f>
        <v>537.87923076923084</v>
      </c>
      <c r="Y595" t="str">
        <f>IF(Table1[[#This Row],[customer_subscription]]=1,"Subscribed","Not Subscribed")</f>
        <v>Subscribed</v>
      </c>
    </row>
    <row r="596" spans="1:26" x14ac:dyDescent="0.25">
      <c r="A596">
        <v>595</v>
      </c>
      <c r="B596">
        <v>35</v>
      </c>
      <c r="C596" t="s">
        <v>22</v>
      </c>
      <c r="D596">
        <v>595</v>
      </c>
      <c r="E596" t="s">
        <v>107</v>
      </c>
      <c r="F596" t="s">
        <v>24</v>
      </c>
      <c r="G596">
        <v>595</v>
      </c>
      <c r="H596">
        <v>913</v>
      </c>
      <c r="I596">
        <v>83</v>
      </c>
      <c r="J596" t="s">
        <v>104</v>
      </c>
      <c r="K596" t="s">
        <v>39</v>
      </c>
      <c r="L596" t="s">
        <v>113</v>
      </c>
      <c r="M596" t="s">
        <v>28</v>
      </c>
      <c r="N596">
        <v>2.5</v>
      </c>
      <c r="O596">
        <v>1</v>
      </c>
      <c r="P596" t="s">
        <v>48</v>
      </c>
      <c r="Q596" t="s">
        <v>30</v>
      </c>
      <c r="R596" t="s">
        <v>30</v>
      </c>
      <c r="S596">
        <v>6</v>
      </c>
      <c r="T596" t="s">
        <v>89</v>
      </c>
      <c r="U596" t="s">
        <v>91</v>
      </c>
      <c r="V596" s="1">
        <v>45307</v>
      </c>
      <c r="W596">
        <f>Table1[[#This Row],[customer_purchase count]]+1</f>
        <v>7</v>
      </c>
      <c r="X596">
        <f>Table1[[#This Row],[customer_purchase count]]*Rules!$B$3</f>
        <v>358.58615384615388</v>
      </c>
      <c r="Y596" t="str">
        <f>IF(Table1[[#This Row],[customer_subscription]]=1,"Subscribed","Not Subscribed")</f>
        <v>Subscribed</v>
      </c>
    </row>
    <row r="597" spans="1:26" x14ac:dyDescent="0.25">
      <c r="A597">
        <v>596</v>
      </c>
      <c r="B597">
        <v>30</v>
      </c>
      <c r="C597" t="s">
        <v>22</v>
      </c>
      <c r="D597">
        <v>596</v>
      </c>
      <c r="E597" t="s">
        <v>74</v>
      </c>
      <c r="F597" t="s">
        <v>45</v>
      </c>
      <c r="G597">
        <v>596</v>
      </c>
      <c r="H597">
        <v>914</v>
      </c>
      <c r="I597">
        <v>77</v>
      </c>
      <c r="J597" t="s">
        <v>82</v>
      </c>
      <c r="K597" t="s">
        <v>47</v>
      </c>
      <c r="L597" t="s">
        <v>68</v>
      </c>
      <c r="M597" t="s">
        <v>56</v>
      </c>
      <c r="N597">
        <v>3.6</v>
      </c>
      <c r="O597">
        <v>1</v>
      </c>
      <c r="P597" t="s">
        <v>48</v>
      </c>
      <c r="Q597" t="s">
        <v>30</v>
      </c>
      <c r="R597" t="s">
        <v>30</v>
      </c>
      <c r="S597">
        <v>47</v>
      </c>
      <c r="T597" t="s">
        <v>49</v>
      </c>
      <c r="U597" t="s">
        <v>61</v>
      </c>
      <c r="V597" s="1">
        <v>45510</v>
      </c>
      <c r="W597">
        <f>Table1[[#This Row],[customer_purchase count]]+1</f>
        <v>48</v>
      </c>
      <c r="X597">
        <f>Table1[[#This Row],[customer_purchase count]]*Rules!$B$3</f>
        <v>2808.9248717948717</v>
      </c>
      <c r="Y597" t="str">
        <f>IF(Table1[[#This Row],[customer_subscription]]=1,"Subscribed","Not Subscribed")</f>
        <v>Subscribed</v>
      </c>
      <c r="Z597" t="s">
        <v>193</v>
      </c>
    </row>
    <row r="598" spans="1:26" x14ac:dyDescent="0.25">
      <c r="A598">
        <v>597</v>
      </c>
      <c r="B598">
        <v>23</v>
      </c>
      <c r="C598" t="s">
        <v>22</v>
      </c>
      <c r="D598">
        <v>597</v>
      </c>
      <c r="E598" t="s">
        <v>74</v>
      </c>
      <c r="F598" t="s">
        <v>45</v>
      </c>
      <c r="G598">
        <v>597</v>
      </c>
      <c r="H598">
        <v>915</v>
      </c>
      <c r="I598">
        <v>37</v>
      </c>
      <c r="J598" t="s">
        <v>59</v>
      </c>
      <c r="K598" t="s">
        <v>95</v>
      </c>
      <c r="L598" t="s">
        <v>55</v>
      </c>
      <c r="M598" t="s">
        <v>56</v>
      </c>
      <c r="N598">
        <v>4.5</v>
      </c>
      <c r="O598">
        <v>1</v>
      </c>
      <c r="P598" t="s">
        <v>77</v>
      </c>
      <c r="Q598" t="s">
        <v>30</v>
      </c>
      <c r="R598" t="s">
        <v>30</v>
      </c>
      <c r="S598">
        <v>36</v>
      </c>
      <c r="T598" t="s">
        <v>31</v>
      </c>
      <c r="U598" t="s">
        <v>52</v>
      </c>
      <c r="V598" s="1">
        <v>45497</v>
      </c>
      <c r="W598">
        <f>Table1[[#This Row],[customer_purchase count]]+1</f>
        <v>37</v>
      </c>
      <c r="X598">
        <f>Table1[[#This Row],[customer_purchase count]]*Rules!$B$3</f>
        <v>2151.5169230769234</v>
      </c>
      <c r="Y598" t="str">
        <f>IF(Table1[[#This Row],[customer_subscription]]=1,"Subscribed","Not Subscribed")</f>
        <v>Subscribed</v>
      </c>
    </row>
    <row r="599" spans="1:26" x14ac:dyDescent="0.25">
      <c r="A599">
        <v>598</v>
      </c>
      <c r="B599">
        <v>70</v>
      </c>
      <c r="C599" t="s">
        <v>22</v>
      </c>
      <c r="D599">
        <v>598</v>
      </c>
      <c r="E599" t="s">
        <v>109</v>
      </c>
      <c r="F599" t="s">
        <v>70</v>
      </c>
      <c r="G599">
        <v>598</v>
      </c>
      <c r="H599">
        <v>916</v>
      </c>
      <c r="I599">
        <v>69</v>
      </c>
      <c r="J599" t="s">
        <v>123</v>
      </c>
      <c r="K599" t="s">
        <v>26</v>
      </c>
      <c r="L599" t="s">
        <v>83</v>
      </c>
      <c r="M599" t="s">
        <v>56</v>
      </c>
      <c r="N599">
        <v>3.4</v>
      </c>
      <c r="O599">
        <v>1</v>
      </c>
      <c r="P599" t="s">
        <v>57</v>
      </c>
      <c r="Q599" t="s">
        <v>30</v>
      </c>
      <c r="R599" t="s">
        <v>30</v>
      </c>
      <c r="S599">
        <v>19</v>
      </c>
      <c r="T599" t="s">
        <v>78</v>
      </c>
      <c r="U599" t="s">
        <v>32</v>
      </c>
      <c r="V599" s="1">
        <v>45493</v>
      </c>
      <c r="W599">
        <f>Table1[[#This Row],[customer_purchase count]]+1</f>
        <v>20</v>
      </c>
      <c r="X599">
        <f>Table1[[#This Row],[customer_purchase count]]*Rules!$B$3</f>
        <v>1135.5228205128205</v>
      </c>
      <c r="Y599" t="str">
        <f>IF(Table1[[#This Row],[customer_subscription]]=1,"Subscribed","Not Subscribed")</f>
        <v>Subscribed</v>
      </c>
    </row>
    <row r="600" spans="1:26" x14ac:dyDescent="0.25">
      <c r="A600">
        <v>599</v>
      </c>
      <c r="B600">
        <v>21</v>
      </c>
      <c r="C600" t="s">
        <v>22</v>
      </c>
      <c r="D600">
        <v>599</v>
      </c>
      <c r="E600" t="s">
        <v>84</v>
      </c>
      <c r="F600" t="s">
        <v>24</v>
      </c>
      <c r="G600">
        <v>599</v>
      </c>
      <c r="H600">
        <v>917</v>
      </c>
      <c r="I600">
        <v>66</v>
      </c>
      <c r="J600" t="s">
        <v>102</v>
      </c>
      <c r="K600" t="s">
        <v>26</v>
      </c>
      <c r="L600" t="s">
        <v>99</v>
      </c>
      <c r="M600" t="s">
        <v>28</v>
      </c>
      <c r="N600">
        <v>3.2</v>
      </c>
      <c r="O600">
        <v>1</v>
      </c>
      <c r="P600" t="s">
        <v>73</v>
      </c>
      <c r="Q600" t="s">
        <v>30</v>
      </c>
      <c r="R600" t="s">
        <v>30</v>
      </c>
      <c r="S600">
        <v>30</v>
      </c>
      <c r="T600" t="s">
        <v>36</v>
      </c>
      <c r="U600" t="s">
        <v>100</v>
      </c>
      <c r="V600" s="1">
        <v>45632</v>
      </c>
      <c r="W600">
        <f>Table1[[#This Row],[customer_purchase count]]+1</f>
        <v>31</v>
      </c>
      <c r="X600">
        <f>Table1[[#This Row],[customer_purchase count]]*Rules!$B$3</f>
        <v>1792.9307692307693</v>
      </c>
      <c r="Y600" t="str">
        <f>IF(Table1[[#This Row],[customer_subscription]]=1,"Subscribed","Not Subscribed")</f>
        <v>Subscribed</v>
      </c>
    </row>
    <row r="601" spans="1:26" x14ac:dyDescent="0.25">
      <c r="A601">
        <v>600</v>
      </c>
      <c r="B601">
        <v>51</v>
      </c>
      <c r="C601" t="s">
        <v>22</v>
      </c>
      <c r="D601">
        <v>600</v>
      </c>
      <c r="E601" t="s">
        <v>140</v>
      </c>
      <c r="F601" t="s">
        <v>45</v>
      </c>
      <c r="G601">
        <v>600</v>
      </c>
      <c r="H601">
        <v>919</v>
      </c>
      <c r="I601">
        <v>26</v>
      </c>
      <c r="J601" t="s">
        <v>38</v>
      </c>
      <c r="K601" t="s">
        <v>26</v>
      </c>
      <c r="L601" t="s">
        <v>88</v>
      </c>
      <c r="M601" t="s">
        <v>40</v>
      </c>
      <c r="N601">
        <v>4.2</v>
      </c>
      <c r="O601">
        <v>1</v>
      </c>
      <c r="P601" t="s">
        <v>57</v>
      </c>
      <c r="Q601" t="s">
        <v>30</v>
      </c>
      <c r="R601" t="s">
        <v>30</v>
      </c>
      <c r="S601">
        <v>27</v>
      </c>
      <c r="T601" t="s">
        <v>89</v>
      </c>
      <c r="U601" t="s">
        <v>100</v>
      </c>
      <c r="V601" s="1">
        <v>45396</v>
      </c>
      <c r="W601">
        <f>Table1[[#This Row],[customer_purchase count]]+1</f>
        <v>28</v>
      </c>
      <c r="X601">
        <f>Table1[[#This Row],[customer_purchase count]]*Rules!$B$3</f>
        <v>1613.6376923076923</v>
      </c>
      <c r="Y601" t="str">
        <f>IF(Table1[[#This Row],[customer_subscription]]=1,"Subscribed","Not Subscribed")</f>
        <v>Subscribed</v>
      </c>
    </row>
    <row r="602" spans="1:26" x14ac:dyDescent="0.25">
      <c r="A602">
        <v>601</v>
      </c>
      <c r="B602">
        <v>22</v>
      </c>
      <c r="C602" t="s">
        <v>22</v>
      </c>
      <c r="D602">
        <v>601</v>
      </c>
      <c r="E602" t="s">
        <v>127</v>
      </c>
      <c r="F602" t="s">
        <v>70</v>
      </c>
      <c r="G602">
        <v>601</v>
      </c>
      <c r="H602">
        <v>920</v>
      </c>
      <c r="I602">
        <v>63</v>
      </c>
      <c r="J602" t="s">
        <v>134</v>
      </c>
      <c r="K602" t="s">
        <v>47</v>
      </c>
      <c r="L602" t="s">
        <v>64</v>
      </c>
      <c r="M602" t="s">
        <v>40</v>
      </c>
      <c r="N602">
        <v>5</v>
      </c>
      <c r="O602">
        <v>1</v>
      </c>
      <c r="P602" t="s">
        <v>73</v>
      </c>
      <c r="Q602" t="s">
        <v>30</v>
      </c>
      <c r="R602" t="s">
        <v>30</v>
      </c>
      <c r="S602">
        <v>25</v>
      </c>
      <c r="T602" t="s">
        <v>31</v>
      </c>
      <c r="U602" t="s">
        <v>91</v>
      </c>
      <c r="V602" s="1">
        <v>45358</v>
      </c>
      <c r="W602">
        <f>Table1[[#This Row],[customer_purchase count]]+1</f>
        <v>26</v>
      </c>
      <c r="X602">
        <f>Table1[[#This Row],[customer_purchase count]]*Rules!$B$3</f>
        <v>1494.1089743589744</v>
      </c>
      <c r="Y602" t="str">
        <f>IF(Table1[[#This Row],[customer_subscription]]=1,"Subscribed","Not Subscribed")</f>
        <v>Subscribed</v>
      </c>
    </row>
    <row r="603" spans="1:26" x14ac:dyDescent="0.25">
      <c r="A603">
        <v>602</v>
      </c>
      <c r="B603">
        <v>32</v>
      </c>
      <c r="C603" t="s">
        <v>22</v>
      </c>
      <c r="D603">
        <v>602</v>
      </c>
      <c r="E603" t="s">
        <v>135</v>
      </c>
      <c r="F603" t="s">
        <v>70</v>
      </c>
      <c r="G603">
        <v>602</v>
      </c>
      <c r="H603">
        <v>921</v>
      </c>
      <c r="I603">
        <v>38</v>
      </c>
      <c r="J603" t="s">
        <v>67</v>
      </c>
      <c r="K603" t="s">
        <v>47</v>
      </c>
      <c r="L603" t="s">
        <v>35</v>
      </c>
      <c r="M603" t="s">
        <v>56</v>
      </c>
      <c r="N603">
        <v>4.7</v>
      </c>
      <c r="O603">
        <v>1</v>
      </c>
      <c r="P603" t="s">
        <v>77</v>
      </c>
      <c r="Q603" t="s">
        <v>30</v>
      </c>
      <c r="R603" t="s">
        <v>30</v>
      </c>
      <c r="S603">
        <v>5</v>
      </c>
      <c r="T603" t="s">
        <v>36</v>
      </c>
      <c r="U603" t="s">
        <v>32</v>
      </c>
      <c r="V603" s="1">
        <v>45444</v>
      </c>
      <c r="W603">
        <f>Table1[[#This Row],[customer_purchase count]]+1</f>
        <v>6</v>
      </c>
      <c r="X603">
        <f>Table1[[#This Row],[customer_purchase count]]*Rules!$B$3</f>
        <v>298.82179487179491</v>
      </c>
      <c r="Y603" t="str">
        <f>IF(Table1[[#This Row],[customer_subscription]]=1,"Subscribed","Not Subscribed")</f>
        <v>Subscribed</v>
      </c>
    </row>
    <row r="604" spans="1:26" x14ac:dyDescent="0.25">
      <c r="A604">
        <v>603</v>
      </c>
      <c r="B604">
        <v>37</v>
      </c>
      <c r="C604" t="s">
        <v>22</v>
      </c>
      <c r="D604">
        <v>603</v>
      </c>
      <c r="E604" t="s">
        <v>74</v>
      </c>
      <c r="F604" t="s">
        <v>45</v>
      </c>
      <c r="G604">
        <v>603</v>
      </c>
      <c r="H604">
        <v>922</v>
      </c>
      <c r="I604">
        <v>58</v>
      </c>
      <c r="J604" t="s">
        <v>50</v>
      </c>
      <c r="K604" t="s">
        <v>26</v>
      </c>
      <c r="L604" t="s">
        <v>96</v>
      </c>
      <c r="M604" t="s">
        <v>56</v>
      </c>
      <c r="N604">
        <v>4.2</v>
      </c>
      <c r="O604">
        <v>1</v>
      </c>
      <c r="P604" t="s">
        <v>48</v>
      </c>
      <c r="Q604" t="s">
        <v>30</v>
      </c>
      <c r="R604" t="s">
        <v>30</v>
      </c>
      <c r="S604">
        <v>10</v>
      </c>
      <c r="T604" t="s">
        <v>36</v>
      </c>
      <c r="U604" t="s">
        <v>100</v>
      </c>
      <c r="V604" s="1">
        <v>45455</v>
      </c>
      <c r="W604">
        <f>Table1[[#This Row],[customer_purchase count]]+1</f>
        <v>11</v>
      </c>
      <c r="X604">
        <f>Table1[[#This Row],[customer_purchase count]]*Rules!$B$3</f>
        <v>597.64358974358981</v>
      </c>
      <c r="Y604" t="str">
        <f>IF(Table1[[#This Row],[customer_subscription]]=1,"Subscribed","Not Subscribed")</f>
        <v>Subscribed</v>
      </c>
    </row>
    <row r="605" spans="1:26" x14ac:dyDescent="0.25">
      <c r="A605">
        <v>604</v>
      </c>
      <c r="B605">
        <v>31</v>
      </c>
      <c r="C605" t="s">
        <v>22</v>
      </c>
      <c r="D605">
        <v>604</v>
      </c>
      <c r="E605" t="s">
        <v>69</v>
      </c>
      <c r="F605" t="s">
        <v>70</v>
      </c>
      <c r="G605">
        <v>604</v>
      </c>
      <c r="H605">
        <v>923</v>
      </c>
      <c r="I605">
        <v>46</v>
      </c>
      <c r="J605" t="s">
        <v>38</v>
      </c>
      <c r="K605" t="s">
        <v>26</v>
      </c>
      <c r="L605" t="s">
        <v>99</v>
      </c>
      <c r="M605" t="s">
        <v>28</v>
      </c>
      <c r="N605">
        <v>3.4</v>
      </c>
      <c r="O605">
        <v>1</v>
      </c>
      <c r="P605" t="s">
        <v>73</v>
      </c>
      <c r="Q605" t="s">
        <v>30</v>
      </c>
      <c r="R605" t="s">
        <v>30</v>
      </c>
      <c r="S605">
        <v>26</v>
      </c>
      <c r="T605" t="s">
        <v>49</v>
      </c>
      <c r="U605" t="s">
        <v>100</v>
      </c>
      <c r="V605" s="1">
        <v>45339</v>
      </c>
      <c r="W605">
        <f>Table1[[#This Row],[customer_purchase count]]+1</f>
        <v>27</v>
      </c>
      <c r="X605">
        <f>Table1[[#This Row],[customer_purchase count]]*Rules!$B$3</f>
        <v>1553.8733333333334</v>
      </c>
      <c r="Y605" t="str">
        <f>IF(Table1[[#This Row],[customer_subscription]]=1,"Subscribed","Not Subscribed")</f>
        <v>Subscribed</v>
      </c>
    </row>
    <row r="606" spans="1:26" x14ac:dyDescent="0.25">
      <c r="A606">
        <v>605</v>
      </c>
      <c r="B606">
        <v>44</v>
      </c>
      <c r="C606" t="s">
        <v>22</v>
      </c>
      <c r="D606">
        <v>605</v>
      </c>
      <c r="E606" t="s">
        <v>92</v>
      </c>
      <c r="F606" t="s">
        <v>70</v>
      </c>
      <c r="G606">
        <v>605</v>
      </c>
      <c r="H606">
        <v>925</v>
      </c>
      <c r="I606">
        <v>92</v>
      </c>
      <c r="J606" t="s">
        <v>67</v>
      </c>
      <c r="K606" t="s">
        <v>39</v>
      </c>
      <c r="L606" t="s">
        <v>72</v>
      </c>
      <c r="M606" t="s">
        <v>60</v>
      </c>
      <c r="N606">
        <v>4.4000000000000004</v>
      </c>
      <c r="O606">
        <v>1</v>
      </c>
      <c r="P606" t="s">
        <v>77</v>
      </c>
      <c r="Q606" t="s">
        <v>30</v>
      </c>
      <c r="R606" t="s">
        <v>30</v>
      </c>
      <c r="S606">
        <v>11</v>
      </c>
      <c r="T606" t="s">
        <v>42</v>
      </c>
      <c r="U606" t="s">
        <v>100</v>
      </c>
      <c r="V606" s="1">
        <v>45541</v>
      </c>
      <c r="W606">
        <f>Table1[[#This Row],[customer_purchase count]]+1</f>
        <v>12</v>
      </c>
      <c r="X606">
        <f>Table1[[#This Row],[customer_purchase count]]*Rules!$B$3</f>
        <v>657.40794871794878</v>
      </c>
      <c r="Y606" t="str">
        <f>IF(Table1[[#This Row],[customer_subscription]]=1,"Subscribed","Not Subscribed")</f>
        <v>Subscribed</v>
      </c>
    </row>
    <row r="607" spans="1:26" x14ac:dyDescent="0.25">
      <c r="A607">
        <v>606</v>
      </c>
      <c r="B607">
        <v>40</v>
      </c>
      <c r="C607" t="s">
        <v>22</v>
      </c>
      <c r="D607">
        <v>606</v>
      </c>
      <c r="E607" t="s">
        <v>127</v>
      </c>
      <c r="F607" t="s">
        <v>70</v>
      </c>
      <c r="G607">
        <v>606</v>
      </c>
      <c r="H607">
        <v>926</v>
      </c>
      <c r="I607">
        <v>32</v>
      </c>
      <c r="J607" t="s">
        <v>102</v>
      </c>
      <c r="K607" t="s">
        <v>95</v>
      </c>
      <c r="L607" t="s">
        <v>64</v>
      </c>
      <c r="M607" t="s">
        <v>28</v>
      </c>
      <c r="N607">
        <v>4.2</v>
      </c>
      <c r="O607">
        <v>1</v>
      </c>
      <c r="P607" t="s">
        <v>57</v>
      </c>
      <c r="Q607" t="s">
        <v>30</v>
      </c>
      <c r="R607" t="s">
        <v>30</v>
      </c>
      <c r="S607">
        <v>17</v>
      </c>
      <c r="T607" t="s">
        <v>78</v>
      </c>
      <c r="U607" t="s">
        <v>43</v>
      </c>
      <c r="V607" s="1">
        <v>45627</v>
      </c>
      <c r="W607">
        <f>Table1[[#This Row],[customer_purchase count]]+1</f>
        <v>18</v>
      </c>
      <c r="X607">
        <f>Table1[[#This Row],[customer_purchase count]]*Rules!$B$3</f>
        <v>1015.9941025641026</v>
      </c>
      <c r="Y607" t="str">
        <f>IF(Table1[[#This Row],[customer_subscription]]=1,"Subscribed","Not Subscribed")</f>
        <v>Subscribed</v>
      </c>
    </row>
    <row r="608" spans="1:26" x14ac:dyDescent="0.25">
      <c r="A608">
        <v>607</v>
      </c>
      <c r="B608">
        <v>27</v>
      </c>
      <c r="C608" t="s">
        <v>22</v>
      </c>
      <c r="D608">
        <v>607</v>
      </c>
      <c r="E608" t="s">
        <v>122</v>
      </c>
      <c r="F608" t="s">
        <v>70</v>
      </c>
      <c r="G608">
        <v>607</v>
      </c>
      <c r="H608">
        <v>927</v>
      </c>
      <c r="I608">
        <v>90</v>
      </c>
      <c r="J608" t="s">
        <v>115</v>
      </c>
      <c r="K608" t="s">
        <v>47</v>
      </c>
      <c r="L608" t="s">
        <v>147</v>
      </c>
      <c r="M608" t="s">
        <v>40</v>
      </c>
      <c r="N608">
        <v>4.5</v>
      </c>
      <c r="O608">
        <v>1</v>
      </c>
      <c r="P608" t="s">
        <v>57</v>
      </c>
      <c r="Q608" t="s">
        <v>30</v>
      </c>
      <c r="R608" t="s">
        <v>30</v>
      </c>
      <c r="S608">
        <v>44</v>
      </c>
      <c r="T608" t="s">
        <v>49</v>
      </c>
      <c r="U608" t="s">
        <v>91</v>
      </c>
      <c r="V608" s="1">
        <v>45408</v>
      </c>
      <c r="W608">
        <f>Table1[[#This Row],[customer_purchase count]]+1</f>
        <v>45</v>
      </c>
      <c r="X608">
        <f>Table1[[#This Row],[customer_purchase count]]*Rules!$B$3</f>
        <v>2629.6317948717951</v>
      </c>
      <c r="Y608" t="str">
        <f>IF(Table1[[#This Row],[customer_subscription]]=1,"Subscribed","Not Subscribed")</f>
        <v>Subscribed</v>
      </c>
    </row>
    <row r="609" spans="1:26" x14ac:dyDescent="0.25">
      <c r="A609">
        <v>608</v>
      </c>
      <c r="B609">
        <v>47</v>
      </c>
      <c r="C609" t="s">
        <v>22</v>
      </c>
      <c r="D609">
        <v>608</v>
      </c>
      <c r="E609" t="s">
        <v>107</v>
      </c>
      <c r="F609" t="s">
        <v>24</v>
      </c>
      <c r="G609">
        <v>608</v>
      </c>
      <c r="H609">
        <v>928</v>
      </c>
      <c r="I609">
        <v>23</v>
      </c>
      <c r="J609" t="s">
        <v>119</v>
      </c>
      <c r="K609" t="s">
        <v>26</v>
      </c>
      <c r="L609" t="s">
        <v>76</v>
      </c>
      <c r="M609" t="s">
        <v>60</v>
      </c>
      <c r="N609">
        <v>2.8</v>
      </c>
      <c r="O609">
        <v>1</v>
      </c>
      <c r="P609" t="s">
        <v>48</v>
      </c>
      <c r="Q609" t="s">
        <v>30</v>
      </c>
      <c r="R609" t="s">
        <v>30</v>
      </c>
      <c r="S609">
        <v>44</v>
      </c>
      <c r="T609" t="s">
        <v>36</v>
      </c>
      <c r="U609" t="s">
        <v>91</v>
      </c>
      <c r="V609" s="1">
        <v>45601</v>
      </c>
      <c r="W609">
        <f>Table1[[#This Row],[customer_purchase count]]+1</f>
        <v>45</v>
      </c>
      <c r="X609">
        <f>Table1[[#This Row],[customer_purchase count]]*Rules!$B$3</f>
        <v>2629.6317948717951</v>
      </c>
      <c r="Y609" t="str">
        <f>IF(Table1[[#This Row],[customer_subscription]]=1,"Subscribed","Not Subscribed")</f>
        <v>Subscribed</v>
      </c>
      <c r="Z609" t="s">
        <v>193</v>
      </c>
    </row>
    <row r="610" spans="1:26" x14ac:dyDescent="0.25">
      <c r="A610">
        <v>609</v>
      </c>
      <c r="B610">
        <v>41</v>
      </c>
      <c r="C610" t="s">
        <v>22</v>
      </c>
      <c r="D610">
        <v>609</v>
      </c>
      <c r="E610" t="s">
        <v>135</v>
      </c>
      <c r="F610" t="s">
        <v>70</v>
      </c>
      <c r="G610">
        <v>609</v>
      </c>
      <c r="H610">
        <v>929</v>
      </c>
      <c r="I610">
        <v>25</v>
      </c>
      <c r="J610" t="s">
        <v>82</v>
      </c>
      <c r="K610" t="s">
        <v>39</v>
      </c>
      <c r="L610" t="s">
        <v>83</v>
      </c>
      <c r="M610" t="s">
        <v>60</v>
      </c>
      <c r="N610">
        <v>3.3</v>
      </c>
      <c r="O610">
        <v>1</v>
      </c>
      <c r="P610" t="s">
        <v>48</v>
      </c>
      <c r="Q610" t="s">
        <v>30</v>
      </c>
      <c r="R610" t="s">
        <v>30</v>
      </c>
      <c r="S610">
        <v>21</v>
      </c>
      <c r="T610" t="s">
        <v>31</v>
      </c>
      <c r="U610" t="s">
        <v>100</v>
      </c>
      <c r="V610" s="1">
        <v>45541</v>
      </c>
      <c r="W610">
        <f>Table1[[#This Row],[customer_purchase count]]+1</f>
        <v>22</v>
      </c>
      <c r="X610">
        <f>Table1[[#This Row],[customer_purchase count]]*Rules!$B$3</f>
        <v>1255.0515384615385</v>
      </c>
      <c r="Y610" t="str">
        <f>IF(Table1[[#This Row],[customer_subscription]]=1,"Subscribed","Not Subscribed")</f>
        <v>Subscribed</v>
      </c>
    </row>
    <row r="611" spans="1:26" x14ac:dyDescent="0.25">
      <c r="A611">
        <v>610</v>
      </c>
      <c r="B611">
        <v>51</v>
      </c>
      <c r="C611" t="s">
        <v>22</v>
      </c>
      <c r="D611">
        <v>610</v>
      </c>
      <c r="E611" t="s">
        <v>33</v>
      </c>
      <c r="F611" t="s">
        <v>24</v>
      </c>
      <c r="G611">
        <v>610</v>
      </c>
      <c r="H611">
        <v>931</v>
      </c>
      <c r="I611">
        <v>54</v>
      </c>
      <c r="J611" t="s">
        <v>126</v>
      </c>
      <c r="K611" t="s">
        <v>26</v>
      </c>
      <c r="L611" t="s">
        <v>76</v>
      </c>
      <c r="M611" t="s">
        <v>60</v>
      </c>
      <c r="N611">
        <v>4.5999999999999996</v>
      </c>
      <c r="O611">
        <v>1</v>
      </c>
      <c r="P611" t="s">
        <v>48</v>
      </c>
      <c r="Q611" t="s">
        <v>30</v>
      </c>
      <c r="R611" t="s">
        <v>30</v>
      </c>
      <c r="S611">
        <v>49</v>
      </c>
      <c r="T611" t="s">
        <v>42</v>
      </c>
      <c r="U611" t="s">
        <v>32</v>
      </c>
      <c r="V611" s="1">
        <v>45544</v>
      </c>
      <c r="W611">
        <f>Table1[[#This Row],[customer_purchase count]]+1</f>
        <v>50</v>
      </c>
      <c r="X611">
        <f>Table1[[#This Row],[customer_purchase count]]*Rules!$B$3</f>
        <v>2928.4535897435899</v>
      </c>
      <c r="Y611" t="str">
        <f>IF(Table1[[#This Row],[customer_subscription]]=1,"Subscribed","Not Subscribed")</f>
        <v>Subscribed</v>
      </c>
      <c r="Z611" t="s">
        <v>193</v>
      </c>
    </row>
    <row r="612" spans="1:26" x14ac:dyDescent="0.25">
      <c r="A612">
        <v>611</v>
      </c>
      <c r="B612">
        <v>53</v>
      </c>
      <c r="C612" t="s">
        <v>22</v>
      </c>
      <c r="D612">
        <v>611</v>
      </c>
      <c r="E612" t="s">
        <v>62</v>
      </c>
      <c r="F612" t="s">
        <v>24</v>
      </c>
      <c r="G612">
        <v>611</v>
      </c>
      <c r="H612">
        <v>932</v>
      </c>
      <c r="I612">
        <v>72</v>
      </c>
      <c r="J612" t="s">
        <v>104</v>
      </c>
      <c r="K612" t="s">
        <v>47</v>
      </c>
      <c r="L612" t="s">
        <v>64</v>
      </c>
      <c r="M612" t="s">
        <v>56</v>
      </c>
      <c r="N612">
        <v>2.5</v>
      </c>
      <c r="O612">
        <v>1</v>
      </c>
      <c r="P612" t="s">
        <v>41</v>
      </c>
      <c r="Q612" t="s">
        <v>30</v>
      </c>
      <c r="R612" t="s">
        <v>30</v>
      </c>
      <c r="S612">
        <v>27</v>
      </c>
      <c r="T612" t="s">
        <v>78</v>
      </c>
      <c r="U612" t="s">
        <v>100</v>
      </c>
      <c r="V612" s="1">
        <v>45530</v>
      </c>
      <c r="W612">
        <f>Table1[[#This Row],[customer_purchase count]]+1</f>
        <v>28</v>
      </c>
      <c r="X612">
        <f>Table1[[#This Row],[customer_purchase count]]*Rules!$B$3</f>
        <v>1613.6376923076923</v>
      </c>
      <c r="Y612" t="str">
        <f>IF(Table1[[#This Row],[customer_subscription]]=1,"Subscribed","Not Subscribed")</f>
        <v>Subscribed</v>
      </c>
    </row>
    <row r="613" spans="1:26" x14ac:dyDescent="0.25">
      <c r="A613">
        <v>612</v>
      </c>
      <c r="B613">
        <v>43</v>
      </c>
      <c r="C613" t="s">
        <v>22</v>
      </c>
      <c r="D613">
        <v>612</v>
      </c>
      <c r="E613" t="s">
        <v>122</v>
      </c>
      <c r="F613" t="s">
        <v>70</v>
      </c>
      <c r="G613">
        <v>612</v>
      </c>
      <c r="H613">
        <v>933</v>
      </c>
      <c r="I613">
        <v>33</v>
      </c>
      <c r="J613" t="s">
        <v>102</v>
      </c>
      <c r="K613" t="s">
        <v>47</v>
      </c>
      <c r="L613" t="s">
        <v>97</v>
      </c>
      <c r="M613" t="s">
        <v>28</v>
      </c>
      <c r="N613">
        <v>4.7</v>
      </c>
      <c r="O613">
        <v>1</v>
      </c>
      <c r="P613" t="s">
        <v>77</v>
      </c>
      <c r="Q613" t="s">
        <v>30</v>
      </c>
      <c r="R613" t="s">
        <v>30</v>
      </c>
      <c r="S613">
        <v>19</v>
      </c>
      <c r="T613" t="s">
        <v>36</v>
      </c>
      <c r="U613" t="s">
        <v>91</v>
      </c>
      <c r="V613" s="1">
        <v>45313</v>
      </c>
      <c r="W613">
        <f>Table1[[#This Row],[customer_purchase count]]+1</f>
        <v>20</v>
      </c>
      <c r="X613">
        <f>Table1[[#This Row],[customer_purchase count]]*Rules!$B$3</f>
        <v>1135.5228205128205</v>
      </c>
      <c r="Y613" t="str">
        <f>IF(Table1[[#This Row],[customer_subscription]]=1,"Subscribed","Not Subscribed")</f>
        <v>Subscribed</v>
      </c>
    </row>
    <row r="614" spans="1:26" x14ac:dyDescent="0.25">
      <c r="A614">
        <v>613</v>
      </c>
      <c r="B614">
        <v>67</v>
      </c>
      <c r="C614" t="s">
        <v>22</v>
      </c>
      <c r="D614">
        <v>613</v>
      </c>
      <c r="E614" t="s">
        <v>127</v>
      </c>
      <c r="F614" t="s">
        <v>70</v>
      </c>
      <c r="G614">
        <v>613</v>
      </c>
      <c r="H614">
        <v>934</v>
      </c>
      <c r="I614">
        <v>43</v>
      </c>
      <c r="J614" t="s">
        <v>85</v>
      </c>
      <c r="K614" t="s">
        <v>26</v>
      </c>
      <c r="L614" t="s">
        <v>96</v>
      </c>
      <c r="M614" t="s">
        <v>60</v>
      </c>
      <c r="N614">
        <v>4.5999999999999996</v>
      </c>
      <c r="O614">
        <v>1</v>
      </c>
      <c r="P614" t="s">
        <v>29</v>
      </c>
      <c r="Q614" t="s">
        <v>30</v>
      </c>
      <c r="R614" t="s">
        <v>30</v>
      </c>
      <c r="S614">
        <v>33</v>
      </c>
      <c r="T614" t="s">
        <v>42</v>
      </c>
      <c r="U614" t="s">
        <v>61</v>
      </c>
      <c r="V614" s="1">
        <v>45570</v>
      </c>
      <c r="W614">
        <f>Table1[[#This Row],[customer_purchase count]]+1</f>
        <v>34</v>
      </c>
      <c r="X614">
        <f>Table1[[#This Row],[customer_purchase count]]*Rules!$B$3</f>
        <v>1972.2238461538464</v>
      </c>
      <c r="Y614" t="str">
        <f>IF(Table1[[#This Row],[customer_subscription]]=1,"Subscribed","Not Subscribed")</f>
        <v>Subscribed</v>
      </c>
    </row>
    <row r="615" spans="1:26" x14ac:dyDescent="0.25">
      <c r="A615">
        <v>614</v>
      </c>
      <c r="B615">
        <v>61</v>
      </c>
      <c r="C615" t="s">
        <v>22</v>
      </c>
      <c r="D615">
        <v>614</v>
      </c>
      <c r="E615" t="s">
        <v>65</v>
      </c>
      <c r="F615" t="s">
        <v>66</v>
      </c>
      <c r="G615">
        <v>614</v>
      </c>
      <c r="H615">
        <v>935</v>
      </c>
      <c r="I615">
        <v>51</v>
      </c>
      <c r="J615" t="s">
        <v>141</v>
      </c>
      <c r="K615" t="s">
        <v>26</v>
      </c>
      <c r="L615" t="s">
        <v>96</v>
      </c>
      <c r="M615" t="s">
        <v>60</v>
      </c>
      <c r="N615">
        <v>2.6</v>
      </c>
      <c r="O615">
        <v>1</v>
      </c>
      <c r="P615" t="s">
        <v>57</v>
      </c>
      <c r="Q615" t="s">
        <v>30</v>
      </c>
      <c r="R615" t="s">
        <v>30</v>
      </c>
      <c r="S615">
        <v>46</v>
      </c>
      <c r="T615" t="s">
        <v>36</v>
      </c>
      <c r="U615" t="s">
        <v>79</v>
      </c>
      <c r="V615" s="1">
        <v>45611</v>
      </c>
      <c r="W615">
        <f>Table1[[#This Row],[customer_purchase count]]+1</f>
        <v>47</v>
      </c>
      <c r="X615">
        <f>Table1[[#This Row],[customer_purchase count]]*Rules!$B$3</f>
        <v>2749.1605128205128</v>
      </c>
      <c r="Y615" t="str">
        <f>IF(Table1[[#This Row],[customer_subscription]]=1,"Subscribed","Not Subscribed")</f>
        <v>Subscribed</v>
      </c>
    </row>
    <row r="616" spans="1:26" x14ac:dyDescent="0.25">
      <c r="A616">
        <v>615</v>
      </c>
      <c r="B616">
        <v>68</v>
      </c>
      <c r="C616" t="s">
        <v>22</v>
      </c>
      <c r="D616">
        <v>615</v>
      </c>
      <c r="E616" t="s">
        <v>109</v>
      </c>
      <c r="F616" t="s">
        <v>70</v>
      </c>
      <c r="G616">
        <v>615</v>
      </c>
      <c r="H616">
        <v>937</v>
      </c>
      <c r="I616">
        <v>85</v>
      </c>
      <c r="J616" t="s">
        <v>138</v>
      </c>
      <c r="K616" t="s">
        <v>47</v>
      </c>
      <c r="L616" t="s">
        <v>96</v>
      </c>
      <c r="M616" t="s">
        <v>28</v>
      </c>
      <c r="N616">
        <v>4</v>
      </c>
      <c r="O616">
        <v>1</v>
      </c>
      <c r="P616" t="s">
        <v>57</v>
      </c>
      <c r="Q616" t="s">
        <v>30</v>
      </c>
      <c r="R616" t="s">
        <v>30</v>
      </c>
      <c r="S616">
        <v>21</v>
      </c>
      <c r="T616" t="s">
        <v>42</v>
      </c>
      <c r="U616" t="s">
        <v>79</v>
      </c>
      <c r="V616" s="1">
        <v>45645</v>
      </c>
      <c r="W616">
        <f>Table1[[#This Row],[customer_purchase count]]+1</f>
        <v>22</v>
      </c>
      <c r="X616">
        <f>Table1[[#This Row],[customer_purchase count]]*Rules!$B$3</f>
        <v>1255.0515384615385</v>
      </c>
      <c r="Y616" t="str">
        <f>IF(Table1[[#This Row],[customer_subscription]]=1,"Subscribed","Not Subscribed")</f>
        <v>Subscribed</v>
      </c>
    </row>
    <row r="617" spans="1:26" x14ac:dyDescent="0.25">
      <c r="A617">
        <v>616</v>
      </c>
      <c r="B617">
        <v>67</v>
      </c>
      <c r="C617" t="s">
        <v>22</v>
      </c>
      <c r="D617">
        <v>616</v>
      </c>
      <c r="E617" t="s">
        <v>44</v>
      </c>
      <c r="F617" t="s">
        <v>45</v>
      </c>
      <c r="G617">
        <v>616</v>
      </c>
      <c r="H617">
        <v>938</v>
      </c>
      <c r="I617">
        <v>100</v>
      </c>
      <c r="J617" t="s">
        <v>131</v>
      </c>
      <c r="K617" t="s">
        <v>26</v>
      </c>
      <c r="L617" t="s">
        <v>81</v>
      </c>
      <c r="M617" t="s">
        <v>56</v>
      </c>
      <c r="N617">
        <v>2.6</v>
      </c>
      <c r="O617">
        <v>1</v>
      </c>
      <c r="P617" t="s">
        <v>48</v>
      </c>
      <c r="Q617" t="s">
        <v>30</v>
      </c>
      <c r="R617" t="s">
        <v>30</v>
      </c>
      <c r="S617">
        <v>23</v>
      </c>
      <c r="T617" t="s">
        <v>31</v>
      </c>
      <c r="U617" t="s">
        <v>52</v>
      </c>
      <c r="V617" s="1">
        <v>45509</v>
      </c>
      <c r="W617">
        <f>Table1[[#This Row],[customer_purchase count]]+1</f>
        <v>24</v>
      </c>
      <c r="X617">
        <f>Table1[[#This Row],[customer_purchase count]]*Rules!$B$3</f>
        <v>1374.5802564102564</v>
      </c>
      <c r="Y617" t="str">
        <f>IF(Table1[[#This Row],[customer_subscription]]=1,"Subscribed","Not Subscribed")</f>
        <v>Subscribed</v>
      </c>
    </row>
    <row r="618" spans="1:26" x14ac:dyDescent="0.25">
      <c r="A618">
        <v>617</v>
      </c>
      <c r="B618">
        <v>29</v>
      </c>
      <c r="C618" t="s">
        <v>22</v>
      </c>
      <c r="D618">
        <v>617</v>
      </c>
      <c r="E618" t="s">
        <v>146</v>
      </c>
      <c r="F618" t="s">
        <v>70</v>
      </c>
      <c r="G618">
        <v>617</v>
      </c>
      <c r="H618">
        <v>939</v>
      </c>
      <c r="I618">
        <v>72</v>
      </c>
      <c r="J618" t="s">
        <v>141</v>
      </c>
      <c r="K618" t="s">
        <v>26</v>
      </c>
      <c r="L618" t="s">
        <v>88</v>
      </c>
      <c r="M618" t="s">
        <v>40</v>
      </c>
      <c r="N618">
        <v>4.5999999999999996</v>
      </c>
      <c r="O618">
        <v>1</v>
      </c>
      <c r="P618" t="s">
        <v>41</v>
      </c>
      <c r="Q618" t="s">
        <v>30</v>
      </c>
      <c r="R618" t="s">
        <v>30</v>
      </c>
      <c r="S618">
        <v>38</v>
      </c>
      <c r="T618" t="s">
        <v>42</v>
      </c>
      <c r="U618" t="s">
        <v>100</v>
      </c>
      <c r="V618" s="1">
        <v>45433</v>
      </c>
      <c r="W618">
        <f>Table1[[#This Row],[customer_purchase count]]+1</f>
        <v>39</v>
      </c>
      <c r="X618">
        <f>Table1[[#This Row],[customer_purchase count]]*Rules!$B$3</f>
        <v>2271.0456410256411</v>
      </c>
      <c r="Y618" t="str">
        <f>IF(Table1[[#This Row],[customer_subscription]]=1,"Subscribed","Not Subscribed")</f>
        <v>Subscribed</v>
      </c>
    </row>
    <row r="619" spans="1:26" x14ac:dyDescent="0.25">
      <c r="A619">
        <v>618</v>
      </c>
      <c r="B619">
        <v>50</v>
      </c>
      <c r="C619" t="s">
        <v>22</v>
      </c>
      <c r="D619">
        <v>618</v>
      </c>
      <c r="E619" t="s">
        <v>135</v>
      </c>
      <c r="F619" t="s">
        <v>70</v>
      </c>
      <c r="G619">
        <v>618</v>
      </c>
      <c r="H619">
        <v>940</v>
      </c>
      <c r="I619">
        <v>57</v>
      </c>
      <c r="J619" t="s">
        <v>115</v>
      </c>
      <c r="K619" t="s">
        <v>47</v>
      </c>
      <c r="L619" t="s">
        <v>35</v>
      </c>
      <c r="M619" t="s">
        <v>60</v>
      </c>
      <c r="N619">
        <v>2.6</v>
      </c>
      <c r="O619">
        <v>1</v>
      </c>
      <c r="P619" t="s">
        <v>57</v>
      </c>
      <c r="Q619" t="s">
        <v>30</v>
      </c>
      <c r="R619" t="s">
        <v>30</v>
      </c>
      <c r="S619">
        <v>2</v>
      </c>
      <c r="T619" t="s">
        <v>78</v>
      </c>
      <c r="U619" t="s">
        <v>61</v>
      </c>
      <c r="V619" s="1">
        <v>45546</v>
      </c>
      <c r="W619">
        <f>Table1[[#This Row],[customer_purchase count]]+1</f>
        <v>3</v>
      </c>
      <c r="X619">
        <f>Table1[[#This Row],[customer_purchase count]]*Rules!$B$3</f>
        <v>119.52871794871795</v>
      </c>
      <c r="Y619" t="str">
        <f>IF(Table1[[#This Row],[customer_subscription]]=1,"Subscribed","Not Subscribed")</f>
        <v>Subscribed</v>
      </c>
    </row>
    <row r="620" spans="1:26" x14ac:dyDescent="0.25">
      <c r="A620">
        <v>619</v>
      </c>
      <c r="B620">
        <v>61</v>
      </c>
      <c r="C620" t="s">
        <v>22</v>
      </c>
      <c r="D620">
        <v>619</v>
      </c>
      <c r="E620" t="s">
        <v>105</v>
      </c>
      <c r="F620" t="s">
        <v>66</v>
      </c>
      <c r="G620">
        <v>619</v>
      </c>
      <c r="H620">
        <v>941</v>
      </c>
      <c r="I620">
        <v>94</v>
      </c>
      <c r="J620" t="s">
        <v>119</v>
      </c>
      <c r="K620" t="s">
        <v>26</v>
      </c>
      <c r="L620" t="s">
        <v>112</v>
      </c>
      <c r="M620" t="s">
        <v>40</v>
      </c>
      <c r="N620">
        <v>4</v>
      </c>
      <c r="O620">
        <v>1</v>
      </c>
      <c r="P620" t="s">
        <v>29</v>
      </c>
      <c r="Q620" t="s">
        <v>30</v>
      </c>
      <c r="R620" t="s">
        <v>30</v>
      </c>
      <c r="S620">
        <v>21</v>
      </c>
      <c r="T620" t="s">
        <v>89</v>
      </c>
      <c r="U620" t="s">
        <v>79</v>
      </c>
      <c r="V620" s="1">
        <v>45401</v>
      </c>
      <c r="W620">
        <f>Table1[[#This Row],[customer_purchase count]]+1</f>
        <v>22</v>
      </c>
      <c r="X620">
        <f>Table1[[#This Row],[customer_purchase count]]*Rules!$B$3</f>
        <v>1255.0515384615385</v>
      </c>
      <c r="Y620" t="str">
        <f>IF(Table1[[#This Row],[customer_subscription]]=1,"Subscribed","Not Subscribed")</f>
        <v>Subscribed</v>
      </c>
    </row>
    <row r="621" spans="1:26" x14ac:dyDescent="0.25">
      <c r="A621">
        <v>620</v>
      </c>
      <c r="B621">
        <v>19</v>
      </c>
      <c r="C621" t="s">
        <v>22</v>
      </c>
      <c r="D621">
        <v>620</v>
      </c>
      <c r="E621" t="s">
        <v>135</v>
      </c>
      <c r="F621" t="s">
        <v>70</v>
      </c>
      <c r="G621">
        <v>620</v>
      </c>
      <c r="H621">
        <v>943</v>
      </c>
      <c r="I621">
        <v>34</v>
      </c>
      <c r="J621" t="s">
        <v>148</v>
      </c>
      <c r="K621" t="s">
        <v>47</v>
      </c>
      <c r="L621" t="s">
        <v>64</v>
      </c>
      <c r="M621" t="s">
        <v>56</v>
      </c>
      <c r="N621">
        <v>4.5999999999999996</v>
      </c>
      <c r="O621">
        <v>1</v>
      </c>
      <c r="P621" t="s">
        <v>77</v>
      </c>
      <c r="Q621" t="s">
        <v>30</v>
      </c>
      <c r="R621" t="s">
        <v>30</v>
      </c>
      <c r="S621">
        <v>1</v>
      </c>
      <c r="T621" t="s">
        <v>89</v>
      </c>
      <c r="U621" t="s">
        <v>100</v>
      </c>
      <c r="V621" s="1">
        <v>45524</v>
      </c>
      <c r="W621">
        <f>Table1[[#This Row],[customer_purchase count]]+1</f>
        <v>2</v>
      </c>
      <c r="X621">
        <f>Table1[[#This Row],[customer_purchase count]]*Rules!$B$3</f>
        <v>59.764358974358977</v>
      </c>
      <c r="Y621" t="str">
        <f>IF(Table1[[#This Row],[customer_subscription]]=1,"Subscribed","Not Subscribed")</f>
        <v>Subscribed</v>
      </c>
    </row>
    <row r="622" spans="1:26" x14ac:dyDescent="0.25">
      <c r="A622">
        <v>621</v>
      </c>
      <c r="B622">
        <v>33</v>
      </c>
      <c r="C622" t="s">
        <v>22</v>
      </c>
      <c r="D622">
        <v>621</v>
      </c>
      <c r="E622" t="s">
        <v>135</v>
      </c>
      <c r="F622" t="s">
        <v>70</v>
      </c>
      <c r="G622">
        <v>621</v>
      </c>
      <c r="H622">
        <v>944</v>
      </c>
      <c r="I622">
        <v>89</v>
      </c>
      <c r="J622" t="s">
        <v>46</v>
      </c>
      <c r="K622" t="s">
        <v>47</v>
      </c>
      <c r="L622" t="s">
        <v>97</v>
      </c>
      <c r="M622" t="s">
        <v>60</v>
      </c>
      <c r="N622">
        <v>3.7</v>
      </c>
      <c r="O622">
        <v>1</v>
      </c>
      <c r="P622" t="s">
        <v>73</v>
      </c>
      <c r="Q622" t="s">
        <v>30</v>
      </c>
      <c r="R622" t="s">
        <v>30</v>
      </c>
      <c r="S622">
        <v>10</v>
      </c>
      <c r="T622" t="s">
        <v>31</v>
      </c>
      <c r="U622" t="s">
        <v>100</v>
      </c>
      <c r="V622" s="1">
        <v>45568</v>
      </c>
      <c r="W622">
        <f>Table1[[#This Row],[customer_purchase count]]+1</f>
        <v>11</v>
      </c>
      <c r="X622">
        <f>Table1[[#This Row],[customer_purchase count]]*Rules!$B$3</f>
        <v>597.64358974358981</v>
      </c>
      <c r="Y622" t="str">
        <f>IF(Table1[[#This Row],[customer_subscription]]=1,"Subscribed","Not Subscribed")</f>
        <v>Subscribed</v>
      </c>
    </row>
    <row r="623" spans="1:26" x14ac:dyDescent="0.25">
      <c r="A623">
        <v>622</v>
      </c>
      <c r="B623">
        <v>51</v>
      </c>
      <c r="C623" t="s">
        <v>22</v>
      </c>
      <c r="D623">
        <v>622</v>
      </c>
      <c r="E623" t="s">
        <v>92</v>
      </c>
      <c r="F623" t="s">
        <v>70</v>
      </c>
      <c r="G623">
        <v>622</v>
      </c>
      <c r="H623">
        <v>945</v>
      </c>
      <c r="I623">
        <v>27</v>
      </c>
      <c r="J623" t="s">
        <v>114</v>
      </c>
      <c r="K623" t="s">
        <v>39</v>
      </c>
      <c r="L623" t="s">
        <v>111</v>
      </c>
      <c r="M623" t="s">
        <v>60</v>
      </c>
      <c r="N623">
        <v>4.4000000000000004</v>
      </c>
      <c r="O623">
        <v>1</v>
      </c>
      <c r="P623" t="s">
        <v>77</v>
      </c>
      <c r="Q623" t="s">
        <v>30</v>
      </c>
      <c r="R623" t="s">
        <v>30</v>
      </c>
      <c r="S623">
        <v>45</v>
      </c>
      <c r="T623" t="s">
        <v>42</v>
      </c>
      <c r="U623" t="s">
        <v>43</v>
      </c>
      <c r="V623" s="1">
        <v>45562</v>
      </c>
      <c r="W623">
        <f>Table1[[#This Row],[customer_purchase count]]+1</f>
        <v>46</v>
      </c>
      <c r="X623">
        <f>Table1[[#This Row],[customer_purchase count]]*Rules!$B$3</f>
        <v>2689.396153846154</v>
      </c>
      <c r="Y623" t="str">
        <f>IF(Table1[[#This Row],[customer_subscription]]=1,"Subscribed","Not Subscribed")</f>
        <v>Subscribed</v>
      </c>
      <c r="Z623" t="s">
        <v>193</v>
      </c>
    </row>
    <row r="624" spans="1:26" x14ac:dyDescent="0.25">
      <c r="A624">
        <v>623</v>
      </c>
      <c r="B624">
        <v>69</v>
      </c>
      <c r="C624" t="s">
        <v>22</v>
      </c>
      <c r="D624">
        <v>623</v>
      </c>
      <c r="E624" t="s">
        <v>128</v>
      </c>
      <c r="F624" t="s">
        <v>24</v>
      </c>
      <c r="G624">
        <v>623</v>
      </c>
      <c r="H624">
        <v>946</v>
      </c>
      <c r="I624">
        <v>63</v>
      </c>
      <c r="J624" t="s">
        <v>145</v>
      </c>
      <c r="K624" t="s">
        <v>39</v>
      </c>
      <c r="L624" t="s">
        <v>103</v>
      </c>
      <c r="M624" t="s">
        <v>40</v>
      </c>
      <c r="N624">
        <v>4</v>
      </c>
      <c r="O624">
        <v>1</v>
      </c>
      <c r="P624" t="s">
        <v>48</v>
      </c>
      <c r="Q624" t="s">
        <v>30</v>
      </c>
      <c r="R624" t="s">
        <v>30</v>
      </c>
      <c r="S624">
        <v>44</v>
      </c>
      <c r="T624" t="s">
        <v>78</v>
      </c>
      <c r="U624" t="s">
        <v>32</v>
      </c>
      <c r="V624" s="1">
        <v>45422</v>
      </c>
      <c r="W624">
        <f>Table1[[#This Row],[customer_purchase count]]+1</f>
        <v>45</v>
      </c>
      <c r="X624">
        <f>Table1[[#This Row],[customer_purchase count]]*Rules!$B$3</f>
        <v>2629.6317948717951</v>
      </c>
      <c r="Y624" t="str">
        <f>IF(Table1[[#This Row],[customer_subscription]]=1,"Subscribed","Not Subscribed")</f>
        <v>Subscribed</v>
      </c>
    </row>
    <row r="625" spans="1:26" x14ac:dyDescent="0.25">
      <c r="A625">
        <v>624</v>
      </c>
      <c r="B625">
        <v>19</v>
      </c>
      <c r="C625" t="s">
        <v>22</v>
      </c>
      <c r="D625">
        <v>624</v>
      </c>
      <c r="E625" t="s">
        <v>74</v>
      </c>
      <c r="F625" t="s">
        <v>45</v>
      </c>
      <c r="G625">
        <v>624</v>
      </c>
      <c r="H625">
        <v>947</v>
      </c>
      <c r="I625">
        <v>70</v>
      </c>
      <c r="J625" t="s">
        <v>110</v>
      </c>
      <c r="K625" t="s">
        <v>47</v>
      </c>
      <c r="L625" t="s">
        <v>55</v>
      </c>
      <c r="M625" t="s">
        <v>60</v>
      </c>
      <c r="N625">
        <v>4.7</v>
      </c>
      <c r="O625">
        <v>1</v>
      </c>
      <c r="P625" t="s">
        <v>57</v>
      </c>
      <c r="Q625" t="s">
        <v>30</v>
      </c>
      <c r="R625" t="s">
        <v>30</v>
      </c>
      <c r="S625">
        <v>48</v>
      </c>
      <c r="T625" t="s">
        <v>49</v>
      </c>
      <c r="U625" t="s">
        <v>79</v>
      </c>
      <c r="V625" s="1">
        <v>45560</v>
      </c>
      <c r="W625">
        <f>Table1[[#This Row],[customer_purchase count]]+1</f>
        <v>49</v>
      </c>
      <c r="X625">
        <f>Table1[[#This Row],[customer_purchase count]]*Rules!$B$3</f>
        <v>2868.689230769231</v>
      </c>
      <c r="Y625" t="str">
        <f>IF(Table1[[#This Row],[customer_subscription]]=1,"Subscribed","Not Subscribed")</f>
        <v>Subscribed</v>
      </c>
    </row>
    <row r="626" spans="1:26" x14ac:dyDescent="0.25">
      <c r="A626">
        <v>625</v>
      </c>
      <c r="B626">
        <v>55</v>
      </c>
      <c r="C626" t="s">
        <v>22</v>
      </c>
      <c r="D626">
        <v>625</v>
      </c>
      <c r="E626" t="s">
        <v>98</v>
      </c>
      <c r="F626" t="s">
        <v>24</v>
      </c>
      <c r="G626">
        <v>625</v>
      </c>
      <c r="H626">
        <v>949</v>
      </c>
      <c r="I626">
        <v>87</v>
      </c>
      <c r="J626" t="s">
        <v>134</v>
      </c>
      <c r="K626" t="s">
        <v>95</v>
      </c>
      <c r="L626" t="s">
        <v>72</v>
      </c>
      <c r="M626" t="s">
        <v>60</v>
      </c>
      <c r="N626">
        <v>3.4</v>
      </c>
      <c r="O626">
        <v>1</v>
      </c>
      <c r="P626" t="s">
        <v>29</v>
      </c>
      <c r="Q626" t="s">
        <v>30</v>
      </c>
      <c r="R626" t="s">
        <v>30</v>
      </c>
      <c r="S626">
        <v>21</v>
      </c>
      <c r="T626" t="s">
        <v>49</v>
      </c>
      <c r="U626" t="s">
        <v>52</v>
      </c>
      <c r="V626" s="1">
        <v>45622</v>
      </c>
      <c r="W626">
        <f>Table1[[#This Row],[customer_purchase count]]+1</f>
        <v>22</v>
      </c>
      <c r="X626">
        <f>Table1[[#This Row],[customer_purchase count]]*Rules!$B$3</f>
        <v>1255.0515384615385</v>
      </c>
      <c r="Y626" t="str">
        <f>IF(Table1[[#This Row],[customer_subscription]]=1,"Subscribed","Not Subscribed")</f>
        <v>Subscribed</v>
      </c>
    </row>
    <row r="627" spans="1:26" x14ac:dyDescent="0.25">
      <c r="A627">
        <v>626</v>
      </c>
      <c r="B627">
        <v>49</v>
      </c>
      <c r="C627" t="s">
        <v>22</v>
      </c>
      <c r="D627">
        <v>626</v>
      </c>
      <c r="E627" t="s">
        <v>109</v>
      </c>
      <c r="F627" t="s">
        <v>70</v>
      </c>
      <c r="G627">
        <v>626</v>
      </c>
      <c r="H627">
        <v>950</v>
      </c>
      <c r="I627">
        <v>79</v>
      </c>
      <c r="J627" t="s">
        <v>82</v>
      </c>
      <c r="K627" t="s">
        <v>47</v>
      </c>
      <c r="L627" t="s">
        <v>111</v>
      </c>
      <c r="M627" t="s">
        <v>60</v>
      </c>
      <c r="N627">
        <v>4</v>
      </c>
      <c r="O627">
        <v>1</v>
      </c>
      <c r="P627" t="s">
        <v>48</v>
      </c>
      <c r="Q627" t="s">
        <v>30</v>
      </c>
      <c r="R627" t="s">
        <v>30</v>
      </c>
      <c r="S627">
        <v>1</v>
      </c>
      <c r="T627" t="s">
        <v>31</v>
      </c>
      <c r="U627" t="s">
        <v>43</v>
      </c>
      <c r="V627" s="1">
        <v>45614</v>
      </c>
      <c r="W627">
        <f>Table1[[#This Row],[customer_purchase count]]+1</f>
        <v>2</v>
      </c>
      <c r="X627">
        <f>Table1[[#This Row],[customer_purchase count]]*Rules!$B$3</f>
        <v>59.764358974358977</v>
      </c>
      <c r="Y627" t="str">
        <f>IF(Table1[[#This Row],[customer_subscription]]=1,"Subscribed","Not Subscribed")</f>
        <v>Subscribed</v>
      </c>
    </row>
    <row r="628" spans="1:26" x14ac:dyDescent="0.25">
      <c r="A628">
        <v>627</v>
      </c>
      <c r="B628">
        <v>31</v>
      </c>
      <c r="C628" t="s">
        <v>22</v>
      </c>
      <c r="D628">
        <v>627</v>
      </c>
      <c r="E628" t="s">
        <v>92</v>
      </c>
      <c r="F628" t="s">
        <v>70</v>
      </c>
      <c r="G628">
        <v>627</v>
      </c>
      <c r="H628">
        <v>951</v>
      </c>
      <c r="I628">
        <v>79</v>
      </c>
      <c r="J628" t="s">
        <v>85</v>
      </c>
      <c r="K628" t="s">
        <v>47</v>
      </c>
      <c r="L628" t="s">
        <v>129</v>
      </c>
      <c r="M628" t="s">
        <v>40</v>
      </c>
      <c r="N628">
        <v>3.9</v>
      </c>
      <c r="O628">
        <v>1</v>
      </c>
      <c r="P628" t="s">
        <v>57</v>
      </c>
      <c r="Q628" t="s">
        <v>30</v>
      </c>
      <c r="R628" t="s">
        <v>30</v>
      </c>
      <c r="S628">
        <v>10</v>
      </c>
      <c r="T628" t="s">
        <v>31</v>
      </c>
      <c r="U628" t="s">
        <v>52</v>
      </c>
      <c r="V628" s="1">
        <v>45365</v>
      </c>
      <c r="W628">
        <f>Table1[[#This Row],[customer_purchase count]]+1</f>
        <v>11</v>
      </c>
      <c r="X628">
        <f>Table1[[#This Row],[customer_purchase count]]*Rules!$B$3</f>
        <v>597.64358974358981</v>
      </c>
      <c r="Y628" t="str">
        <f>IF(Table1[[#This Row],[customer_subscription]]=1,"Subscribed","Not Subscribed")</f>
        <v>Subscribed</v>
      </c>
    </row>
    <row r="629" spans="1:26" x14ac:dyDescent="0.25">
      <c r="A629">
        <v>628</v>
      </c>
      <c r="B629">
        <v>42</v>
      </c>
      <c r="C629" t="s">
        <v>22</v>
      </c>
      <c r="D629">
        <v>628</v>
      </c>
      <c r="E629" t="s">
        <v>44</v>
      </c>
      <c r="F629" t="s">
        <v>45</v>
      </c>
      <c r="G629">
        <v>628</v>
      </c>
      <c r="H629">
        <v>952</v>
      </c>
      <c r="I629">
        <v>44</v>
      </c>
      <c r="J629" t="s">
        <v>50</v>
      </c>
      <c r="K629" t="s">
        <v>26</v>
      </c>
      <c r="L629" t="s">
        <v>97</v>
      </c>
      <c r="M629" t="s">
        <v>28</v>
      </c>
      <c r="N629">
        <v>4.0999999999999996</v>
      </c>
      <c r="O629">
        <v>1</v>
      </c>
      <c r="P629" t="s">
        <v>29</v>
      </c>
      <c r="Q629" t="s">
        <v>30</v>
      </c>
      <c r="R629" t="s">
        <v>30</v>
      </c>
      <c r="S629">
        <v>24</v>
      </c>
      <c r="T629" t="s">
        <v>49</v>
      </c>
      <c r="U629" t="s">
        <v>91</v>
      </c>
      <c r="V629" s="1">
        <v>45331</v>
      </c>
      <c r="W629">
        <f>Table1[[#This Row],[customer_purchase count]]+1</f>
        <v>25</v>
      </c>
      <c r="X629">
        <f>Table1[[#This Row],[customer_purchase count]]*Rules!$B$3</f>
        <v>1434.3446153846155</v>
      </c>
      <c r="Y629" t="str">
        <f>IF(Table1[[#This Row],[customer_subscription]]=1,"Subscribed","Not Subscribed")</f>
        <v>Subscribed</v>
      </c>
    </row>
    <row r="630" spans="1:26" x14ac:dyDescent="0.25">
      <c r="A630">
        <v>629</v>
      </c>
      <c r="B630">
        <v>69</v>
      </c>
      <c r="C630" t="s">
        <v>22</v>
      </c>
      <c r="D630">
        <v>629</v>
      </c>
      <c r="E630" t="s">
        <v>33</v>
      </c>
      <c r="F630" t="s">
        <v>24</v>
      </c>
      <c r="G630">
        <v>629</v>
      </c>
      <c r="H630">
        <v>953</v>
      </c>
      <c r="I630">
        <v>85</v>
      </c>
      <c r="J630" t="s">
        <v>38</v>
      </c>
      <c r="K630" t="s">
        <v>47</v>
      </c>
      <c r="L630" t="s">
        <v>55</v>
      </c>
      <c r="M630" t="s">
        <v>60</v>
      </c>
      <c r="N630">
        <v>3.7</v>
      </c>
      <c r="O630">
        <v>1</v>
      </c>
      <c r="P630" t="s">
        <v>73</v>
      </c>
      <c r="Q630" t="s">
        <v>30</v>
      </c>
      <c r="R630" t="s">
        <v>30</v>
      </c>
      <c r="S630">
        <v>29</v>
      </c>
      <c r="T630" t="s">
        <v>42</v>
      </c>
      <c r="U630" t="s">
        <v>91</v>
      </c>
      <c r="V630" s="1">
        <v>45611</v>
      </c>
      <c r="W630">
        <f>Table1[[#This Row],[customer_purchase count]]+1</f>
        <v>30</v>
      </c>
      <c r="X630">
        <f>Table1[[#This Row],[customer_purchase count]]*Rules!$B$3</f>
        <v>1733.1664102564102</v>
      </c>
      <c r="Y630" t="str">
        <f>IF(Table1[[#This Row],[customer_subscription]]=1,"Subscribed","Not Subscribed")</f>
        <v>Subscribed</v>
      </c>
    </row>
    <row r="631" spans="1:26" x14ac:dyDescent="0.25">
      <c r="A631">
        <v>630</v>
      </c>
      <c r="B631">
        <v>26</v>
      </c>
      <c r="C631" t="s">
        <v>22</v>
      </c>
      <c r="D631">
        <v>630</v>
      </c>
      <c r="E631" t="s">
        <v>74</v>
      </c>
      <c r="F631" t="s">
        <v>45</v>
      </c>
      <c r="G631">
        <v>630</v>
      </c>
      <c r="H631">
        <v>955</v>
      </c>
      <c r="I631">
        <v>90</v>
      </c>
      <c r="J631" t="s">
        <v>132</v>
      </c>
      <c r="K631" t="s">
        <v>26</v>
      </c>
      <c r="L631" t="s">
        <v>121</v>
      </c>
      <c r="M631" t="s">
        <v>40</v>
      </c>
      <c r="N631">
        <v>4.7</v>
      </c>
      <c r="O631">
        <v>1</v>
      </c>
      <c r="P631" t="s">
        <v>57</v>
      </c>
      <c r="Q631" t="s">
        <v>30</v>
      </c>
      <c r="R631" t="s">
        <v>30</v>
      </c>
      <c r="S631">
        <v>11</v>
      </c>
      <c r="T631" t="s">
        <v>89</v>
      </c>
      <c r="U631" t="s">
        <v>52</v>
      </c>
      <c r="V631" s="1">
        <v>45399</v>
      </c>
      <c r="W631">
        <f>Table1[[#This Row],[customer_purchase count]]+1</f>
        <v>12</v>
      </c>
      <c r="X631">
        <f>Table1[[#This Row],[customer_purchase count]]*Rules!$B$3</f>
        <v>657.40794871794878</v>
      </c>
      <c r="Y631" t="str">
        <f>IF(Table1[[#This Row],[customer_subscription]]=1,"Subscribed","Not Subscribed")</f>
        <v>Subscribed</v>
      </c>
      <c r="Z631" t="s">
        <v>187</v>
      </c>
    </row>
    <row r="632" spans="1:26" x14ac:dyDescent="0.25">
      <c r="A632">
        <v>631</v>
      </c>
      <c r="B632">
        <v>41</v>
      </c>
      <c r="C632" t="s">
        <v>22</v>
      </c>
      <c r="D632">
        <v>631</v>
      </c>
      <c r="E632" t="s">
        <v>109</v>
      </c>
      <c r="F632" t="s">
        <v>70</v>
      </c>
      <c r="G632">
        <v>631</v>
      </c>
      <c r="H632">
        <v>956</v>
      </c>
      <c r="I632">
        <v>94</v>
      </c>
      <c r="J632" t="s">
        <v>94</v>
      </c>
      <c r="K632" t="s">
        <v>39</v>
      </c>
      <c r="L632" t="s">
        <v>68</v>
      </c>
      <c r="M632" t="s">
        <v>60</v>
      </c>
      <c r="N632">
        <v>4.3</v>
      </c>
      <c r="O632">
        <v>1</v>
      </c>
      <c r="P632" t="s">
        <v>73</v>
      </c>
      <c r="Q632" t="s">
        <v>30</v>
      </c>
      <c r="R632" t="s">
        <v>30</v>
      </c>
      <c r="S632">
        <v>33</v>
      </c>
      <c r="T632" t="s">
        <v>89</v>
      </c>
      <c r="U632" t="s">
        <v>52</v>
      </c>
      <c r="V632" s="1">
        <v>45571</v>
      </c>
      <c r="W632">
        <f>Table1[[#This Row],[customer_purchase count]]+1</f>
        <v>34</v>
      </c>
      <c r="X632">
        <f>Table1[[#This Row],[customer_purchase count]]*Rules!$B$3</f>
        <v>1972.2238461538464</v>
      </c>
      <c r="Y632" t="str">
        <f>IF(Table1[[#This Row],[customer_subscription]]=1,"Subscribed","Not Subscribed")</f>
        <v>Subscribed</v>
      </c>
      <c r="Z632" t="s">
        <v>193</v>
      </c>
    </row>
    <row r="633" spans="1:26" x14ac:dyDescent="0.25">
      <c r="A633">
        <v>632</v>
      </c>
      <c r="B633">
        <v>55</v>
      </c>
      <c r="C633" t="s">
        <v>22</v>
      </c>
      <c r="D633">
        <v>632</v>
      </c>
      <c r="E633" t="s">
        <v>140</v>
      </c>
      <c r="F633" t="s">
        <v>45</v>
      </c>
      <c r="G633">
        <v>632</v>
      </c>
      <c r="H633">
        <v>957</v>
      </c>
      <c r="I633">
        <v>68</v>
      </c>
      <c r="J633" t="s">
        <v>152</v>
      </c>
      <c r="K633" t="s">
        <v>39</v>
      </c>
      <c r="L633" t="s">
        <v>86</v>
      </c>
      <c r="M633" t="s">
        <v>56</v>
      </c>
      <c r="N633">
        <v>4.0999999999999996</v>
      </c>
      <c r="O633">
        <v>1</v>
      </c>
      <c r="P633" t="s">
        <v>77</v>
      </c>
      <c r="Q633" t="s">
        <v>30</v>
      </c>
      <c r="R633" t="s">
        <v>30</v>
      </c>
      <c r="S633">
        <v>27</v>
      </c>
      <c r="T633" t="s">
        <v>36</v>
      </c>
      <c r="U633" t="s">
        <v>32</v>
      </c>
      <c r="V633" s="1">
        <v>45461</v>
      </c>
      <c r="W633">
        <f>Table1[[#This Row],[customer_purchase count]]+1</f>
        <v>28</v>
      </c>
      <c r="X633">
        <f>Table1[[#This Row],[customer_purchase count]]*Rules!$B$3</f>
        <v>1613.6376923076923</v>
      </c>
      <c r="Y633" t="str">
        <f>IF(Table1[[#This Row],[customer_subscription]]=1,"Subscribed","Not Subscribed")</f>
        <v>Subscribed</v>
      </c>
    </row>
    <row r="634" spans="1:26" x14ac:dyDescent="0.25">
      <c r="A634">
        <v>633</v>
      </c>
      <c r="B634">
        <v>35</v>
      </c>
      <c r="C634" t="s">
        <v>22</v>
      </c>
      <c r="D634">
        <v>633</v>
      </c>
      <c r="E634" t="s">
        <v>135</v>
      </c>
      <c r="F634" t="s">
        <v>70</v>
      </c>
      <c r="G634">
        <v>633</v>
      </c>
      <c r="H634">
        <v>958</v>
      </c>
      <c r="I634">
        <v>51</v>
      </c>
      <c r="J634" t="s">
        <v>54</v>
      </c>
      <c r="K634" t="s">
        <v>47</v>
      </c>
      <c r="L634" t="s">
        <v>111</v>
      </c>
      <c r="M634" t="s">
        <v>28</v>
      </c>
      <c r="N634">
        <v>3.9</v>
      </c>
      <c r="O634">
        <v>1</v>
      </c>
      <c r="P634" t="s">
        <v>48</v>
      </c>
      <c r="Q634" t="s">
        <v>30</v>
      </c>
      <c r="R634" t="s">
        <v>30</v>
      </c>
      <c r="S634">
        <v>19</v>
      </c>
      <c r="T634" t="s">
        <v>31</v>
      </c>
      <c r="U634" t="s">
        <v>32</v>
      </c>
      <c r="V634" s="1">
        <v>45336</v>
      </c>
      <c r="W634">
        <f>Table1[[#This Row],[customer_purchase count]]+1</f>
        <v>20</v>
      </c>
      <c r="X634">
        <f>Table1[[#This Row],[customer_purchase count]]*Rules!$B$3</f>
        <v>1135.5228205128205</v>
      </c>
      <c r="Y634" t="str">
        <f>IF(Table1[[#This Row],[customer_subscription]]=1,"Subscribed","Not Subscribed")</f>
        <v>Subscribed</v>
      </c>
    </row>
    <row r="635" spans="1:26" x14ac:dyDescent="0.25">
      <c r="A635">
        <v>634</v>
      </c>
      <c r="B635">
        <v>66</v>
      </c>
      <c r="C635" t="s">
        <v>22</v>
      </c>
      <c r="D635">
        <v>634</v>
      </c>
      <c r="E635" t="s">
        <v>44</v>
      </c>
      <c r="F635" t="s">
        <v>45</v>
      </c>
      <c r="G635">
        <v>634</v>
      </c>
      <c r="H635">
        <v>959</v>
      </c>
      <c r="I635">
        <v>33</v>
      </c>
      <c r="J635" t="s">
        <v>151</v>
      </c>
      <c r="K635" t="s">
        <v>47</v>
      </c>
      <c r="L635" t="s">
        <v>124</v>
      </c>
      <c r="M635" t="s">
        <v>40</v>
      </c>
      <c r="N635">
        <v>2.9</v>
      </c>
      <c r="O635">
        <v>1</v>
      </c>
      <c r="P635" t="s">
        <v>29</v>
      </c>
      <c r="Q635" t="s">
        <v>30</v>
      </c>
      <c r="R635" t="s">
        <v>30</v>
      </c>
      <c r="S635">
        <v>50</v>
      </c>
      <c r="T635" t="s">
        <v>89</v>
      </c>
      <c r="U635" t="s">
        <v>61</v>
      </c>
      <c r="V635" s="1">
        <v>45437</v>
      </c>
      <c r="W635">
        <f>Table1[[#This Row],[customer_purchase count]]+1</f>
        <v>51</v>
      </c>
      <c r="X635">
        <f>Table1[[#This Row],[customer_purchase count]]*Rules!$B$3</f>
        <v>2988.2179487179487</v>
      </c>
      <c r="Y635" t="str">
        <f>IF(Table1[[#This Row],[customer_subscription]]=1,"Subscribed","Not Subscribed")</f>
        <v>Subscribed</v>
      </c>
    </row>
    <row r="636" spans="1:26" x14ac:dyDescent="0.25">
      <c r="A636">
        <v>635</v>
      </c>
      <c r="B636">
        <v>36</v>
      </c>
      <c r="C636" t="s">
        <v>22</v>
      </c>
      <c r="D636">
        <v>635</v>
      </c>
      <c r="E636" t="s">
        <v>53</v>
      </c>
      <c r="F636" t="s">
        <v>45</v>
      </c>
      <c r="G636">
        <v>635</v>
      </c>
      <c r="H636">
        <v>961</v>
      </c>
      <c r="I636">
        <v>60</v>
      </c>
      <c r="J636" t="s">
        <v>126</v>
      </c>
      <c r="K636" t="s">
        <v>47</v>
      </c>
      <c r="L636" t="s">
        <v>88</v>
      </c>
      <c r="M636" t="s">
        <v>56</v>
      </c>
      <c r="N636">
        <v>3.9</v>
      </c>
      <c r="O636">
        <v>1</v>
      </c>
      <c r="P636" t="s">
        <v>57</v>
      </c>
      <c r="Q636" t="s">
        <v>30</v>
      </c>
      <c r="R636" t="s">
        <v>30</v>
      </c>
      <c r="S636">
        <v>46</v>
      </c>
      <c r="T636" t="s">
        <v>49</v>
      </c>
      <c r="U636" t="s">
        <v>43</v>
      </c>
      <c r="V636" s="1">
        <v>45445</v>
      </c>
      <c r="W636">
        <f>Table1[[#This Row],[customer_purchase count]]+1</f>
        <v>47</v>
      </c>
      <c r="X636">
        <f>Table1[[#This Row],[customer_purchase count]]*Rules!$B$3</f>
        <v>2749.1605128205128</v>
      </c>
      <c r="Y636" t="str">
        <f>IF(Table1[[#This Row],[customer_subscription]]=1,"Subscribed","Not Subscribed")</f>
        <v>Subscribed</v>
      </c>
      <c r="Z636" t="s">
        <v>193</v>
      </c>
    </row>
    <row r="637" spans="1:26" x14ac:dyDescent="0.25">
      <c r="A637">
        <v>636</v>
      </c>
      <c r="B637">
        <v>27</v>
      </c>
      <c r="C637" t="s">
        <v>22</v>
      </c>
      <c r="D637">
        <v>636</v>
      </c>
      <c r="E637" t="s">
        <v>107</v>
      </c>
      <c r="F637" t="s">
        <v>24</v>
      </c>
      <c r="G637">
        <v>636</v>
      </c>
      <c r="H637">
        <v>962</v>
      </c>
      <c r="I637">
        <v>59</v>
      </c>
      <c r="J637" t="s">
        <v>134</v>
      </c>
      <c r="K637" t="s">
        <v>47</v>
      </c>
      <c r="L637" t="s">
        <v>113</v>
      </c>
      <c r="M637" t="s">
        <v>60</v>
      </c>
      <c r="N637">
        <v>4.3</v>
      </c>
      <c r="O637">
        <v>1</v>
      </c>
      <c r="P637" t="s">
        <v>73</v>
      </c>
      <c r="Q637" t="s">
        <v>30</v>
      </c>
      <c r="R637" t="s">
        <v>30</v>
      </c>
      <c r="S637">
        <v>28</v>
      </c>
      <c r="T637" t="s">
        <v>36</v>
      </c>
      <c r="U637" t="s">
        <v>61</v>
      </c>
      <c r="V637" s="1">
        <v>45545</v>
      </c>
      <c r="W637">
        <f>Table1[[#This Row],[customer_purchase count]]+1</f>
        <v>29</v>
      </c>
      <c r="X637">
        <f>Table1[[#This Row],[customer_purchase count]]*Rules!$B$3</f>
        <v>1673.4020512820514</v>
      </c>
      <c r="Y637" t="str">
        <f>IF(Table1[[#This Row],[customer_subscription]]=1,"Subscribed","Not Subscribed")</f>
        <v>Subscribed</v>
      </c>
    </row>
    <row r="638" spans="1:26" x14ac:dyDescent="0.25">
      <c r="A638">
        <v>637</v>
      </c>
      <c r="B638">
        <v>41</v>
      </c>
      <c r="C638" t="s">
        <v>22</v>
      </c>
      <c r="D638">
        <v>637</v>
      </c>
      <c r="E638" t="s">
        <v>69</v>
      </c>
      <c r="F638" t="s">
        <v>70</v>
      </c>
      <c r="G638">
        <v>637</v>
      </c>
      <c r="H638">
        <v>963</v>
      </c>
      <c r="I638">
        <v>30</v>
      </c>
      <c r="J638" t="s">
        <v>153</v>
      </c>
      <c r="K638" t="s">
        <v>47</v>
      </c>
      <c r="L638" t="s">
        <v>129</v>
      </c>
      <c r="M638" t="s">
        <v>56</v>
      </c>
      <c r="N638">
        <v>2.8</v>
      </c>
      <c r="O638">
        <v>1</v>
      </c>
      <c r="P638" t="s">
        <v>77</v>
      </c>
      <c r="Q638" t="s">
        <v>30</v>
      </c>
      <c r="R638" t="s">
        <v>30</v>
      </c>
      <c r="S638">
        <v>14</v>
      </c>
      <c r="T638" t="s">
        <v>78</v>
      </c>
      <c r="U638" t="s">
        <v>100</v>
      </c>
      <c r="V638" s="1">
        <v>45498</v>
      </c>
      <c r="W638">
        <f>Table1[[#This Row],[customer_purchase count]]+1</f>
        <v>15</v>
      </c>
      <c r="X638">
        <f>Table1[[#This Row],[customer_purchase count]]*Rules!$B$3</f>
        <v>836.70102564102569</v>
      </c>
      <c r="Y638" t="str">
        <f>IF(Table1[[#This Row],[customer_subscription]]=1,"Subscribed","Not Subscribed")</f>
        <v>Subscribed</v>
      </c>
    </row>
    <row r="639" spans="1:26" x14ac:dyDescent="0.25">
      <c r="A639">
        <v>638</v>
      </c>
      <c r="B639">
        <v>21</v>
      </c>
      <c r="C639" t="s">
        <v>22</v>
      </c>
      <c r="D639">
        <v>638</v>
      </c>
      <c r="E639" t="s">
        <v>33</v>
      </c>
      <c r="F639" t="s">
        <v>24</v>
      </c>
      <c r="G639">
        <v>638</v>
      </c>
      <c r="H639">
        <v>964</v>
      </c>
      <c r="I639">
        <v>20</v>
      </c>
      <c r="J639" t="s">
        <v>125</v>
      </c>
      <c r="K639" t="s">
        <v>47</v>
      </c>
      <c r="L639" t="s">
        <v>112</v>
      </c>
      <c r="M639" t="s">
        <v>28</v>
      </c>
      <c r="N639">
        <v>3.4</v>
      </c>
      <c r="O639">
        <v>1</v>
      </c>
      <c r="P639" t="s">
        <v>73</v>
      </c>
      <c r="Q639" t="s">
        <v>30</v>
      </c>
      <c r="R639" t="s">
        <v>30</v>
      </c>
      <c r="S639">
        <v>46</v>
      </c>
      <c r="T639" t="s">
        <v>36</v>
      </c>
      <c r="U639" t="s">
        <v>32</v>
      </c>
      <c r="V639" s="1">
        <v>45335</v>
      </c>
      <c r="W639">
        <f>Table1[[#This Row],[customer_purchase count]]+1</f>
        <v>47</v>
      </c>
      <c r="X639">
        <f>Table1[[#This Row],[customer_purchase count]]*Rules!$B$3</f>
        <v>2749.1605128205128</v>
      </c>
      <c r="Y639" t="str">
        <f>IF(Table1[[#This Row],[customer_subscription]]=1,"Subscribed","Not Subscribed")</f>
        <v>Subscribed</v>
      </c>
    </row>
    <row r="640" spans="1:26" x14ac:dyDescent="0.25">
      <c r="A640">
        <v>639</v>
      </c>
      <c r="B640">
        <v>53</v>
      </c>
      <c r="C640" t="s">
        <v>22</v>
      </c>
      <c r="D640">
        <v>639</v>
      </c>
      <c r="E640" t="s">
        <v>44</v>
      </c>
      <c r="F640" t="s">
        <v>45</v>
      </c>
      <c r="G640">
        <v>639</v>
      </c>
      <c r="H640">
        <v>965</v>
      </c>
      <c r="I640">
        <v>20</v>
      </c>
      <c r="J640" t="s">
        <v>131</v>
      </c>
      <c r="K640" t="s">
        <v>39</v>
      </c>
      <c r="L640" t="s">
        <v>147</v>
      </c>
      <c r="M640" t="s">
        <v>56</v>
      </c>
      <c r="N640">
        <v>2.7</v>
      </c>
      <c r="O640">
        <v>1</v>
      </c>
      <c r="P640" t="s">
        <v>29</v>
      </c>
      <c r="Q640" t="s">
        <v>30</v>
      </c>
      <c r="R640" t="s">
        <v>30</v>
      </c>
      <c r="S640">
        <v>41</v>
      </c>
      <c r="T640" t="s">
        <v>49</v>
      </c>
      <c r="U640" t="s">
        <v>91</v>
      </c>
      <c r="V640" s="1">
        <v>45510</v>
      </c>
      <c r="W640">
        <f>Table1[[#This Row],[customer_purchase count]]+1</f>
        <v>42</v>
      </c>
      <c r="X640">
        <f>Table1[[#This Row],[customer_purchase count]]*Rules!$B$3</f>
        <v>2450.3387179487181</v>
      </c>
      <c r="Y640" t="str">
        <f>IF(Table1[[#This Row],[customer_subscription]]=1,"Subscribed","Not Subscribed")</f>
        <v>Subscribed</v>
      </c>
      <c r="Z640" t="s">
        <v>193</v>
      </c>
    </row>
    <row r="641" spans="1:26" x14ac:dyDescent="0.25">
      <c r="A641">
        <v>640</v>
      </c>
      <c r="B641">
        <v>54</v>
      </c>
      <c r="C641" t="s">
        <v>22</v>
      </c>
      <c r="D641">
        <v>640</v>
      </c>
      <c r="E641" t="s">
        <v>84</v>
      </c>
      <c r="F641" t="s">
        <v>24</v>
      </c>
      <c r="G641">
        <v>640</v>
      </c>
      <c r="H641">
        <v>967</v>
      </c>
      <c r="I641">
        <v>24</v>
      </c>
      <c r="J641" t="s">
        <v>94</v>
      </c>
      <c r="K641" t="s">
        <v>26</v>
      </c>
      <c r="L641" t="s">
        <v>81</v>
      </c>
      <c r="M641" t="s">
        <v>40</v>
      </c>
      <c r="N641">
        <v>4</v>
      </c>
      <c r="O641">
        <v>1</v>
      </c>
      <c r="P641" t="s">
        <v>73</v>
      </c>
      <c r="Q641" t="s">
        <v>30</v>
      </c>
      <c r="R641" t="s">
        <v>30</v>
      </c>
      <c r="S641">
        <v>50</v>
      </c>
      <c r="T641" t="s">
        <v>42</v>
      </c>
      <c r="U641" t="s">
        <v>52</v>
      </c>
      <c r="V641" s="1">
        <v>45437</v>
      </c>
      <c r="W641">
        <f>Table1[[#This Row],[customer_purchase count]]+1</f>
        <v>51</v>
      </c>
      <c r="X641">
        <f>Table1[[#This Row],[customer_purchase count]]*Rules!$B$3</f>
        <v>2988.2179487179487</v>
      </c>
      <c r="Y641" t="str">
        <f>IF(Table1[[#This Row],[customer_subscription]]=1,"Subscribed","Not Subscribed")</f>
        <v>Subscribed</v>
      </c>
      <c r="Z641" t="s">
        <v>193</v>
      </c>
    </row>
    <row r="642" spans="1:26" x14ac:dyDescent="0.25">
      <c r="A642">
        <v>641</v>
      </c>
      <c r="B642">
        <v>53</v>
      </c>
      <c r="C642" t="s">
        <v>22</v>
      </c>
      <c r="D642">
        <v>641</v>
      </c>
      <c r="E642" t="s">
        <v>90</v>
      </c>
      <c r="F642" t="s">
        <v>24</v>
      </c>
      <c r="G642">
        <v>641</v>
      </c>
      <c r="H642">
        <v>968</v>
      </c>
      <c r="I642">
        <v>88</v>
      </c>
      <c r="J642" t="s">
        <v>151</v>
      </c>
      <c r="K642" t="s">
        <v>47</v>
      </c>
      <c r="L642" t="s">
        <v>27</v>
      </c>
      <c r="M642" t="s">
        <v>56</v>
      </c>
      <c r="N642">
        <v>4.4000000000000004</v>
      </c>
      <c r="O642">
        <v>1</v>
      </c>
      <c r="P642" t="s">
        <v>77</v>
      </c>
      <c r="Q642" t="s">
        <v>30</v>
      </c>
      <c r="R642" t="s">
        <v>30</v>
      </c>
      <c r="S642">
        <v>28</v>
      </c>
      <c r="T642" t="s">
        <v>89</v>
      </c>
      <c r="U642" t="s">
        <v>32</v>
      </c>
      <c r="V642" s="1">
        <v>45476</v>
      </c>
      <c r="W642">
        <f>Table1[[#This Row],[customer_purchase count]]+1</f>
        <v>29</v>
      </c>
      <c r="X642">
        <f>Table1[[#This Row],[customer_purchase count]]*Rules!$B$3</f>
        <v>1673.4020512820514</v>
      </c>
      <c r="Y642" t="str">
        <f>IF(Table1[[#This Row],[customer_subscription]]=1,"Subscribed","Not Subscribed")</f>
        <v>Subscribed</v>
      </c>
    </row>
    <row r="643" spans="1:26" x14ac:dyDescent="0.25">
      <c r="A643">
        <v>642</v>
      </c>
      <c r="B643">
        <v>47</v>
      </c>
      <c r="C643" t="s">
        <v>22</v>
      </c>
      <c r="D643">
        <v>642</v>
      </c>
      <c r="E643" t="s">
        <v>23</v>
      </c>
      <c r="F643" t="s">
        <v>24</v>
      </c>
      <c r="G643">
        <v>642</v>
      </c>
      <c r="H643">
        <v>969</v>
      </c>
      <c r="I643">
        <v>78</v>
      </c>
      <c r="J643" t="s">
        <v>123</v>
      </c>
      <c r="K643" t="s">
        <v>47</v>
      </c>
      <c r="L643" t="s">
        <v>111</v>
      </c>
      <c r="M643" t="s">
        <v>28</v>
      </c>
      <c r="N643">
        <v>3.9</v>
      </c>
      <c r="O643">
        <v>1</v>
      </c>
      <c r="P643" t="s">
        <v>73</v>
      </c>
      <c r="Q643" t="s">
        <v>30</v>
      </c>
      <c r="R643" t="s">
        <v>30</v>
      </c>
      <c r="S643">
        <v>23</v>
      </c>
      <c r="T643" t="s">
        <v>42</v>
      </c>
      <c r="U643" t="s">
        <v>100</v>
      </c>
      <c r="V643" s="1">
        <v>45314</v>
      </c>
      <c r="W643">
        <f>Table1[[#This Row],[customer_purchase count]]+1</f>
        <v>24</v>
      </c>
      <c r="X643">
        <f>Table1[[#This Row],[customer_purchase count]]*Rules!$B$3</f>
        <v>1374.5802564102564</v>
      </c>
      <c r="Y643" t="str">
        <f>IF(Table1[[#This Row],[customer_subscription]]=1,"Subscribed","Not Subscribed")</f>
        <v>Subscribed</v>
      </c>
    </row>
    <row r="644" spans="1:26" x14ac:dyDescent="0.25">
      <c r="A644">
        <v>643</v>
      </c>
      <c r="B644">
        <v>64</v>
      </c>
      <c r="C644" t="s">
        <v>22</v>
      </c>
      <c r="D644">
        <v>643</v>
      </c>
      <c r="E644" t="s">
        <v>90</v>
      </c>
      <c r="F644" t="s">
        <v>24</v>
      </c>
      <c r="G644">
        <v>643</v>
      </c>
      <c r="H644">
        <v>970</v>
      </c>
      <c r="I644">
        <v>25</v>
      </c>
      <c r="J644" t="s">
        <v>75</v>
      </c>
      <c r="K644" t="s">
        <v>26</v>
      </c>
      <c r="L644" t="s">
        <v>111</v>
      </c>
      <c r="M644" t="s">
        <v>40</v>
      </c>
      <c r="N644">
        <v>2.8</v>
      </c>
      <c r="O644">
        <v>1</v>
      </c>
      <c r="P644" t="s">
        <v>73</v>
      </c>
      <c r="Q644" t="s">
        <v>30</v>
      </c>
      <c r="R644" t="s">
        <v>30</v>
      </c>
      <c r="S644">
        <v>14</v>
      </c>
      <c r="T644" t="s">
        <v>89</v>
      </c>
      <c r="U644" t="s">
        <v>79</v>
      </c>
      <c r="V644" s="1">
        <v>45437</v>
      </c>
      <c r="W644">
        <f>Table1[[#This Row],[customer_purchase count]]+1</f>
        <v>15</v>
      </c>
      <c r="X644">
        <f>Table1[[#This Row],[customer_purchase count]]*Rules!$B$3</f>
        <v>836.70102564102569</v>
      </c>
      <c r="Y644" t="str">
        <f>IF(Table1[[#This Row],[customer_subscription]]=1,"Subscribed","Not Subscribed")</f>
        <v>Subscribed</v>
      </c>
    </row>
    <row r="645" spans="1:26" x14ac:dyDescent="0.25">
      <c r="A645">
        <v>644</v>
      </c>
      <c r="B645">
        <v>18</v>
      </c>
      <c r="C645" t="s">
        <v>22</v>
      </c>
      <c r="D645">
        <v>644</v>
      </c>
      <c r="E645" t="s">
        <v>33</v>
      </c>
      <c r="F645" t="s">
        <v>24</v>
      </c>
      <c r="G645">
        <v>644</v>
      </c>
      <c r="H645">
        <v>971</v>
      </c>
      <c r="I645">
        <v>57</v>
      </c>
      <c r="J645" t="s">
        <v>50</v>
      </c>
      <c r="K645" t="s">
        <v>95</v>
      </c>
      <c r="L645" t="s">
        <v>99</v>
      </c>
      <c r="M645" t="s">
        <v>28</v>
      </c>
      <c r="N645">
        <v>3.2</v>
      </c>
      <c r="O645">
        <v>1</v>
      </c>
      <c r="P645" t="s">
        <v>48</v>
      </c>
      <c r="Q645" t="s">
        <v>30</v>
      </c>
      <c r="R645" t="s">
        <v>30</v>
      </c>
      <c r="S645">
        <v>10</v>
      </c>
      <c r="T645" t="s">
        <v>78</v>
      </c>
      <c r="U645" t="s">
        <v>100</v>
      </c>
      <c r="V645" s="1">
        <v>45333</v>
      </c>
      <c r="W645">
        <f>Table1[[#This Row],[customer_purchase count]]+1</f>
        <v>11</v>
      </c>
      <c r="X645">
        <f>Table1[[#This Row],[customer_purchase count]]*Rules!$B$3</f>
        <v>597.64358974358981</v>
      </c>
      <c r="Y645" t="str">
        <f>IF(Table1[[#This Row],[customer_subscription]]=1,"Subscribed","Not Subscribed")</f>
        <v>Subscribed</v>
      </c>
      <c r="Z645" t="s">
        <v>187</v>
      </c>
    </row>
    <row r="646" spans="1:26" x14ac:dyDescent="0.25">
      <c r="A646">
        <v>645</v>
      </c>
      <c r="B646">
        <v>68</v>
      </c>
      <c r="C646" t="s">
        <v>22</v>
      </c>
      <c r="D646">
        <v>645</v>
      </c>
      <c r="E646" t="s">
        <v>135</v>
      </c>
      <c r="F646" t="s">
        <v>70</v>
      </c>
      <c r="G646">
        <v>645</v>
      </c>
      <c r="H646">
        <v>973</v>
      </c>
      <c r="I646">
        <v>93</v>
      </c>
      <c r="J646" t="s">
        <v>63</v>
      </c>
      <c r="K646" t="s">
        <v>39</v>
      </c>
      <c r="L646" t="s">
        <v>147</v>
      </c>
      <c r="M646" t="s">
        <v>56</v>
      </c>
      <c r="N646">
        <v>4.3</v>
      </c>
      <c r="O646">
        <v>1</v>
      </c>
      <c r="P646" t="s">
        <v>48</v>
      </c>
      <c r="Q646" t="s">
        <v>30</v>
      </c>
      <c r="R646" t="s">
        <v>30</v>
      </c>
      <c r="S646">
        <v>37</v>
      </c>
      <c r="T646" t="s">
        <v>36</v>
      </c>
      <c r="U646" t="s">
        <v>43</v>
      </c>
      <c r="V646" s="1">
        <v>45478</v>
      </c>
      <c r="W646">
        <f>Table1[[#This Row],[customer_purchase count]]+1</f>
        <v>38</v>
      </c>
      <c r="X646">
        <f>Table1[[#This Row],[customer_purchase count]]*Rules!$B$3</f>
        <v>2211.2812820512822</v>
      </c>
      <c r="Y646" t="str">
        <f>IF(Table1[[#This Row],[customer_subscription]]=1,"Subscribed","Not Subscribed")</f>
        <v>Subscribed</v>
      </c>
    </row>
    <row r="647" spans="1:26" x14ac:dyDescent="0.25">
      <c r="A647">
        <v>646</v>
      </c>
      <c r="B647">
        <v>62</v>
      </c>
      <c r="C647" t="s">
        <v>22</v>
      </c>
      <c r="D647">
        <v>646</v>
      </c>
      <c r="E647" t="s">
        <v>107</v>
      </c>
      <c r="F647" t="s">
        <v>24</v>
      </c>
      <c r="G647">
        <v>646</v>
      </c>
      <c r="H647">
        <v>974</v>
      </c>
      <c r="I647">
        <v>42</v>
      </c>
      <c r="J647" t="s">
        <v>104</v>
      </c>
      <c r="K647" t="s">
        <v>39</v>
      </c>
      <c r="L647" t="s">
        <v>76</v>
      </c>
      <c r="M647" t="s">
        <v>56</v>
      </c>
      <c r="N647">
        <v>4.2</v>
      </c>
      <c r="O647">
        <v>1</v>
      </c>
      <c r="P647" t="s">
        <v>29</v>
      </c>
      <c r="Q647" t="s">
        <v>30</v>
      </c>
      <c r="R647" t="s">
        <v>30</v>
      </c>
      <c r="S647">
        <v>15</v>
      </c>
      <c r="T647" t="s">
        <v>31</v>
      </c>
      <c r="U647" t="s">
        <v>79</v>
      </c>
      <c r="V647" s="1">
        <v>45474</v>
      </c>
      <c r="W647">
        <f>Table1[[#This Row],[customer_purchase count]]+1</f>
        <v>16</v>
      </c>
      <c r="X647">
        <f>Table1[[#This Row],[customer_purchase count]]*Rules!$B$3</f>
        <v>896.46538461538466</v>
      </c>
      <c r="Y647" t="str">
        <f>IF(Table1[[#This Row],[customer_subscription]]=1,"Subscribed","Not Subscribed")</f>
        <v>Subscribed</v>
      </c>
    </row>
    <row r="648" spans="1:26" x14ac:dyDescent="0.25">
      <c r="A648">
        <v>647</v>
      </c>
      <c r="B648">
        <v>51</v>
      </c>
      <c r="C648" t="s">
        <v>22</v>
      </c>
      <c r="D648">
        <v>647</v>
      </c>
      <c r="E648" t="s">
        <v>140</v>
      </c>
      <c r="F648" t="s">
        <v>45</v>
      </c>
      <c r="G648">
        <v>647</v>
      </c>
      <c r="H648">
        <v>975</v>
      </c>
      <c r="I648">
        <v>54</v>
      </c>
      <c r="J648" t="s">
        <v>119</v>
      </c>
      <c r="K648" t="s">
        <v>95</v>
      </c>
      <c r="L648" t="s">
        <v>72</v>
      </c>
      <c r="M648" t="s">
        <v>40</v>
      </c>
      <c r="N648">
        <v>4.9000000000000004</v>
      </c>
      <c r="O648">
        <v>1</v>
      </c>
      <c r="P648" t="s">
        <v>57</v>
      </c>
      <c r="Q648" t="s">
        <v>30</v>
      </c>
      <c r="R648" t="s">
        <v>30</v>
      </c>
      <c r="S648">
        <v>19</v>
      </c>
      <c r="T648" t="s">
        <v>31</v>
      </c>
      <c r="U648" t="s">
        <v>79</v>
      </c>
      <c r="V648" s="1">
        <v>45427</v>
      </c>
      <c r="W648">
        <f>Table1[[#This Row],[customer_purchase count]]+1</f>
        <v>20</v>
      </c>
      <c r="X648">
        <f>Table1[[#This Row],[customer_purchase count]]*Rules!$B$3</f>
        <v>1135.5228205128205</v>
      </c>
      <c r="Y648" t="str">
        <f>IF(Table1[[#This Row],[customer_subscription]]=1,"Subscribed","Not Subscribed")</f>
        <v>Subscribed</v>
      </c>
    </row>
    <row r="649" spans="1:26" x14ac:dyDescent="0.25">
      <c r="A649">
        <v>648</v>
      </c>
      <c r="B649">
        <v>54</v>
      </c>
      <c r="C649" t="s">
        <v>22</v>
      </c>
      <c r="D649">
        <v>648</v>
      </c>
      <c r="E649" t="s">
        <v>23</v>
      </c>
      <c r="F649" t="s">
        <v>24</v>
      </c>
      <c r="G649">
        <v>648</v>
      </c>
      <c r="H649">
        <v>976</v>
      </c>
      <c r="I649">
        <v>70</v>
      </c>
      <c r="J649" t="s">
        <v>94</v>
      </c>
      <c r="K649" t="s">
        <v>95</v>
      </c>
      <c r="L649" t="s">
        <v>64</v>
      </c>
      <c r="M649" t="s">
        <v>56</v>
      </c>
      <c r="N649">
        <v>3.7</v>
      </c>
      <c r="O649">
        <v>1</v>
      </c>
      <c r="P649" t="s">
        <v>29</v>
      </c>
      <c r="Q649" t="s">
        <v>30</v>
      </c>
      <c r="R649" t="s">
        <v>30</v>
      </c>
      <c r="S649">
        <v>23</v>
      </c>
      <c r="T649" t="s">
        <v>42</v>
      </c>
      <c r="U649" t="s">
        <v>32</v>
      </c>
      <c r="V649" s="1">
        <v>45462</v>
      </c>
      <c r="W649">
        <f>Table1[[#This Row],[customer_purchase count]]+1</f>
        <v>24</v>
      </c>
      <c r="X649">
        <f>Table1[[#This Row],[customer_purchase count]]*Rules!$B$3</f>
        <v>1374.5802564102564</v>
      </c>
      <c r="Y649" t="str">
        <f>IF(Table1[[#This Row],[customer_subscription]]=1,"Subscribed","Not Subscribed")</f>
        <v>Subscribed</v>
      </c>
    </row>
    <row r="650" spans="1:26" x14ac:dyDescent="0.25">
      <c r="A650">
        <v>649</v>
      </c>
      <c r="B650">
        <v>22</v>
      </c>
      <c r="C650" t="s">
        <v>22</v>
      </c>
      <c r="D650">
        <v>649</v>
      </c>
      <c r="E650" t="s">
        <v>107</v>
      </c>
      <c r="F650" t="s">
        <v>24</v>
      </c>
      <c r="G650">
        <v>649</v>
      </c>
      <c r="H650">
        <v>977</v>
      </c>
      <c r="I650">
        <v>31</v>
      </c>
      <c r="J650" t="s">
        <v>154</v>
      </c>
      <c r="K650" t="s">
        <v>47</v>
      </c>
      <c r="L650" t="s">
        <v>113</v>
      </c>
      <c r="M650" t="s">
        <v>28</v>
      </c>
      <c r="N650">
        <v>4.0999999999999996</v>
      </c>
      <c r="O650">
        <v>1</v>
      </c>
      <c r="P650" t="s">
        <v>77</v>
      </c>
      <c r="Q650" t="s">
        <v>30</v>
      </c>
      <c r="R650" t="s">
        <v>30</v>
      </c>
      <c r="S650">
        <v>35</v>
      </c>
      <c r="T650" t="s">
        <v>42</v>
      </c>
      <c r="U650" t="s">
        <v>43</v>
      </c>
      <c r="V650" s="1">
        <v>45313</v>
      </c>
      <c r="W650">
        <f>Table1[[#This Row],[customer_purchase count]]+1</f>
        <v>36</v>
      </c>
      <c r="X650">
        <f>Table1[[#This Row],[customer_purchase count]]*Rules!$B$3</f>
        <v>2091.7525641025641</v>
      </c>
      <c r="Y650" t="str">
        <f>IF(Table1[[#This Row],[customer_subscription]]=1,"Subscribed","Not Subscribed")</f>
        <v>Subscribed</v>
      </c>
    </row>
    <row r="651" spans="1:26" x14ac:dyDescent="0.25">
      <c r="A651">
        <v>650</v>
      </c>
      <c r="B651">
        <v>53</v>
      </c>
      <c r="C651" t="s">
        <v>22</v>
      </c>
      <c r="D651">
        <v>650</v>
      </c>
      <c r="E651" t="s">
        <v>98</v>
      </c>
      <c r="F651" t="s">
        <v>24</v>
      </c>
      <c r="G651">
        <v>650</v>
      </c>
      <c r="H651">
        <v>979</v>
      </c>
      <c r="I651">
        <v>93</v>
      </c>
      <c r="J651" t="s">
        <v>82</v>
      </c>
      <c r="K651" t="s">
        <v>26</v>
      </c>
      <c r="L651" t="s">
        <v>124</v>
      </c>
      <c r="M651" t="s">
        <v>40</v>
      </c>
      <c r="N651">
        <v>4.2</v>
      </c>
      <c r="O651">
        <v>1</v>
      </c>
      <c r="P651" t="s">
        <v>77</v>
      </c>
      <c r="Q651" t="s">
        <v>30</v>
      </c>
      <c r="R651" t="s">
        <v>30</v>
      </c>
      <c r="S651">
        <v>33</v>
      </c>
      <c r="T651" t="s">
        <v>49</v>
      </c>
      <c r="U651" t="s">
        <v>100</v>
      </c>
      <c r="V651" s="1">
        <v>45439</v>
      </c>
      <c r="W651">
        <f>Table1[[#This Row],[customer_purchase count]]+1</f>
        <v>34</v>
      </c>
      <c r="X651">
        <f>Table1[[#This Row],[customer_purchase count]]*Rules!$B$3</f>
        <v>1972.2238461538464</v>
      </c>
      <c r="Y651" t="str">
        <f>IF(Table1[[#This Row],[customer_subscription]]=1,"Subscribed","Not Subscribed")</f>
        <v>Subscribed</v>
      </c>
      <c r="Z651" t="s">
        <v>193</v>
      </c>
    </row>
    <row r="652" spans="1:26" x14ac:dyDescent="0.25">
      <c r="A652">
        <v>651</v>
      </c>
      <c r="B652">
        <v>34</v>
      </c>
      <c r="C652" t="s">
        <v>22</v>
      </c>
      <c r="D652">
        <v>651</v>
      </c>
      <c r="E652" t="s">
        <v>146</v>
      </c>
      <c r="F652" t="s">
        <v>70</v>
      </c>
      <c r="G652">
        <v>651</v>
      </c>
      <c r="H652">
        <v>980</v>
      </c>
      <c r="I652">
        <v>40</v>
      </c>
      <c r="J652" t="s">
        <v>106</v>
      </c>
      <c r="K652" t="s">
        <v>47</v>
      </c>
      <c r="L652" t="s">
        <v>139</v>
      </c>
      <c r="M652" t="s">
        <v>40</v>
      </c>
      <c r="N652">
        <v>3.9</v>
      </c>
      <c r="O652">
        <v>1</v>
      </c>
      <c r="P652" t="s">
        <v>48</v>
      </c>
      <c r="Q652" t="s">
        <v>30</v>
      </c>
      <c r="R652" t="s">
        <v>30</v>
      </c>
      <c r="S652">
        <v>12</v>
      </c>
      <c r="T652" t="s">
        <v>78</v>
      </c>
      <c r="U652" t="s">
        <v>52</v>
      </c>
      <c r="V652" s="1">
        <v>45407</v>
      </c>
      <c r="W652">
        <f>Table1[[#This Row],[customer_purchase count]]+1</f>
        <v>13</v>
      </c>
      <c r="X652">
        <f>Table1[[#This Row],[customer_purchase count]]*Rules!$B$3</f>
        <v>717.17230769230775</v>
      </c>
      <c r="Y652" t="str">
        <f>IF(Table1[[#This Row],[customer_subscription]]=1,"Subscribed","Not Subscribed")</f>
        <v>Subscribed</v>
      </c>
    </row>
    <row r="653" spans="1:26" x14ac:dyDescent="0.25">
      <c r="A653">
        <v>652</v>
      </c>
      <c r="B653">
        <v>32</v>
      </c>
      <c r="C653" t="s">
        <v>22</v>
      </c>
      <c r="D653">
        <v>652</v>
      </c>
      <c r="E653" t="s">
        <v>127</v>
      </c>
      <c r="F653" t="s">
        <v>70</v>
      </c>
      <c r="G653">
        <v>652</v>
      </c>
      <c r="H653">
        <v>981</v>
      </c>
      <c r="I653">
        <v>32</v>
      </c>
      <c r="J653" t="s">
        <v>75</v>
      </c>
      <c r="K653" t="s">
        <v>26</v>
      </c>
      <c r="L653" t="s">
        <v>137</v>
      </c>
      <c r="M653" t="s">
        <v>56</v>
      </c>
      <c r="N653">
        <v>2.9</v>
      </c>
      <c r="O653">
        <v>1</v>
      </c>
      <c r="P653" t="s">
        <v>48</v>
      </c>
      <c r="Q653" t="s">
        <v>30</v>
      </c>
      <c r="R653" t="s">
        <v>30</v>
      </c>
      <c r="S653">
        <v>41</v>
      </c>
      <c r="T653" t="s">
        <v>31</v>
      </c>
      <c r="U653" t="s">
        <v>32</v>
      </c>
      <c r="V653" s="1">
        <v>45497</v>
      </c>
      <c r="W653">
        <f>Table1[[#This Row],[customer_purchase count]]+1</f>
        <v>42</v>
      </c>
      <c r="X653">
        <f>Table1[[#This Row],[customer_purchase count]]*Rules!$B$3</f>
        <v>2450.3387179487181</v>
      </c>
      <c r="Y653" t="str">
        <f>IF(Table1[[#This Row],[customer_subscription]]=1,"Subscribed","Not Subscribed")</f>
        <v>Subscribed</v>
      </c>
      <c r="Z653" t="s">
        <v>193</v>
      </c>
    </row>
    <row r="654" spans="1:26" x14ac:dyDescent="0.25">
      <c r="A654">
        <v>653</v>
      </c>
      <c r="B654">
        <v>64</v>
      </c>
      <c r="C654" t="s">
        <v>22</v>
      </c>
      <c r="D654">
        <v>653</v>
      </c>
      <c r="E654" t="s">
        <v>92</v>
      </c>
      <c r="F654" t="s">
        <v>70</v>
      </c>
      <c r="G654">
        <v>653</v>
      </c>
      <c r="H654">
        <v>982</v>
      </c>
      <c r="I654">
        <v>27</v>
      </c>
      <c r="J654" t="s">
        <v>151</v>
      </c>
      <c r="K654" t="s">
        <v>47</v>
      </c>
      <c r="L654" t="s">
        <v>121</v>
      </c>
      <c r="M654" t="s">
        <v>28</v>
      </c>
      <c r="N654">
        <v>3.1</v>
      </c>
      <c r="O654">
        <v>1</v>
      </c>
      <c r="P654" t="s">
        <v>41</v>
      </c>
      <c r="Q654" t="s">
        <v>30</v>
      </c>
      <c r="R654" t="s">
        <v>30</v>
      </c>
      <c r="S654">
        <v>27</v>
      </c>
      <c r="T654" t="s">
        <v>31</v>
      </c>
      <c r="U654" t="s">
        <v>43</v>
      </c>
      <c r="V654" s="1">
        <v>45304</v>
      </c>
      <c r="W654">
        <f>Table1[[#This Row],[customer_purchase count]]+1</f>
        <v>28</v>
      </c>
      <c r="X654">
        <f>Table1[[#This Row],[customer_purchase count]]*Rules!$B$3</f>
        <v>1613.6376923076923</v>
      </c>
      <c r="Y654" t="str">
        <f>IF(Table1[[#This Row],[customer_subscription]]=1,"Subscribed","Not Subscribed")</f>
        <v>Subscribed</v>
      </c>
    </row>
    <row r="655" spans="1:26" x14ac:dyDescent="0.25">
      <c r="A655">
        <v>654</v>
      </c>
      <c r="B655">
        <v>20</v>
      </c>
      <c r="C655" t="s">
        <v>22</v>
      </c>
      <c r="D655">
        <v>654</v>
      </c>
      <c r="E655" t="s">
        <v>122</v>
      </c>
      <c r="F655" t="s">
        <v>70</v>
      </c>
      <c r="G655">
        <v>654</v>
      </c>
      <c r="H655">
        <v>983</v>
      </c>
      <c r="I655">
        <v>68</v>
      </c>
      <c r="J655" t="s">
        <v>117</v>
      </c>
      <c r="K655" t="s">
        <v>47</v>
      </c>
      <c r="L655" t="s">
        <v>81</v>
      </c>
      <c r="M655" t="s">
        <v>28</v>
      </c>
      <c r="N655">
        <v>3.6</v>
      </c>
      <c r="O655">
        <v>1</v>
      </c>
      <c r="P655" t="s">
        <v>73</v>
      </c>
      <c r="Q655" t="s">
        <v>30</v>
      </c>
      <c r="R655" t="s">
        <v>30</v>
      </c>
      <c r="S655">
        <v>45</v>
      </c>
      <c r="T655" t="s">
        <v>36</v>
      </c>
      <c r="U655" t="s">
        <v>32</v>
      </c>
      <c r="V655" s="1">
        <v>45326</v>
      </c>
      <c r="W655">
        <f>Table1[[#This Row],[customer_purchase count]]+1</f>
        <v>46</v>
      </c>
      <c r="X655">
        <f>Table1[[#This Row],[customer_purchase count]]*Rules!$B$3</f>
        <v>2689.396153846154</v>
      </c>
      <c r="Y655" t="str">
        <f>IF(Table1[[#This Row],[customer_subscription]]=1,"Subscribed","Not Subscribed")</f>
        <v>Subscribed</v>
      </c>
    </row>
    <row r="656" spans="1:26" x14ac:dyDescent="0.25">
      <c r="A656">
        <v>655</v>
      </c>
      <c r="B656">
        <v>24</v>
      </c>
      <c r="C656" t="s">
        <v>22</v>
      </c>
      <c r="D656">
        <v>655</v>
      </c>
      <c r="E656" t="s">
        <v>69</v>
      </c>
      <c r="F656" t="s">
        <v>70</v>
      </c>
      <c r="G656">
        <v>655</v>
      </c>
      <c r="H656">
        <v>985</v>
      </c>
      <c r="I656">
        <v>59</v>
      </c>
      <c r="J656" t="s">
        <v>102</v>
      </c>
      <c r="K656" t="s">
        <v>26</v>
      </c>
      <c r="L656" t="s">
        <v>27</v>
      </c>
      <c r="M656" t="s">
        <v>56</v>
      </c>
      <c r="N656">
        <v>4.4000000000000004</v>
      </c>
      <c r="O656">
        <v>1</v>
      </c>
      <c r="P656" t="s">
        <v>73</v>
      </c>
      <c r="Q656" t="s">
        <v>30</v>
      </c>
      <c r="R656" t="s">
        <v>30</v>
      </c>
      <c r="S656">
        <v>23</v>
      </c>
      <c r="T656" t="s">
        <v>31</v>
      </c>
      <c r="U656" t="s">
        <v>52</v>
      </c>
      <c r="V656" s="1">
        <v>45532</v>
      </c>
      <c r="W656">
        <f>Table1[[#This Row],[customer_purchase count]]+1</f>
        <v>24</v>
      </c>
      <c r="X656">
        <f>Table1[[#This Row],[customer_purchase count]]*Rules!$B$3</f>
        <v>1374.5802564102564</v>
      </c>
      <c r="Y656" t="str">
        <f>IF(Table1[[#This Row],[customer_subscription]]=1,"Subscribed","Not Subscribed")</f>
        <v>Subscribed</v>
      </c>
    </row>
    <row r="657" spans="1:26" x14ac:dyDescent="0.25">
      <c r="A657">
        <v>656</v>
      </c>
      <c r="B657">
        <v>20</v>
      </c>
      <c r="C657" t="s">
        <v>22</v>
      </c>
      <c r="D657">
        <v>656</v>
      </c>
      <c r="E657" t="s">
        <v>69</v>
      </c>
      <c r="F657" t="s">
        <v>70</v>
      </c>
      <c r="G657">
        <v>656</v>
      </c>
      <c r="H657">
        <v>986</v>
      </c>
      <c r="I657">
        <v>36</v>
      </c>
      <c r="J657" t="s">
        <v>94</v>
      </c>
      <c r="K657" t="s">
        <v>39</v>
      </c>
      <c r="L657" t="s">
        <v>76</v>
      </c>
      <c r="M657" t="s">
        <v>60</v>
      </c>
      <c r="N657">
        <v>3.1</v>
      </c>
      <c r="O657">
        <v>1</v>
      </c>
      <c r="P657" t="s">
        <v>41</v>
      </c>
      <c r="Q657" t="s">
        <v>30</v>
      </c>
      <c r="R657" t="s">
        <v>30</v>
      </c>
      <c r="S657">
        <v>19</v>
      </c>
      <c r="T657" t="s">
        <v>31</v>
      </c>
      <c r="U657" t="s">
        <v>91</v>
      </c>
      <c r="V657" s="1">
        <v>45610</v>
      </c>
      <c r="W657">
        <f>Table1[[#This Row],[customer_purchase count]]+1</f>
        <v>20</v>
      </c>
      <c r="X657">
        <f>Table1[[#This Row],[customer_purchase count]]*Rules!$B$3</f>
        <v>1135.5228205128205</v>
      </c>
      <c r="Y657" t="str">
        <f>IF(Table1[[#This Row],[customer_subscription]]=1,"Subscribed","Not Subscribed")</f>
        <v>Subscribed</v>
      </c>
    </row>
    <row r="658" spans="1:26" x14ac:dyDescent="0.25">
      <c r="A658">
        <v>657</v>
      </c>
      <c r="B658">
        <v>42</v>
      </c>
      <c r="C658" t="s">
        <v>22</v>
      </c>
      <c r="D658">
        <v>657</v>
      </c>
      <c r="E658" t="s">
        <v>37</v>
      </c>
      <c r="F658" t="s">
        <v>24</v>
      </c>
      <c r="G658">
        <v>657</v>
      </c>
      <c r="H658">
        <v>987</v>
      </c>
      <c r="I658">
        <v>23</v>
      </c>
      <c r="J658" t="s">
        <v>141</v>
      </c>
      <c r="K658" t="s">
        <v>47</v>
      </c>
      <c r="L658" t="s">
        <v>121</v>
      </c>
      <c r="M658" t="s">
        <v>56</v>
      </c>
      <c r="N658">
        <v>3.9</v>
      </c>
      <c r="O658">
        <v>1</v>
      </c>
      <c r="P658" t="s">
        <v>57</v>
      </c>
      <c r="Q658" t="s">
        <v>30</v>
      </c>
      <c r="R658" t="s">
        <v>30</v>
      </c>
      <c r="S658">
        <v>6</v>
      </c>
      <c r="T658" t="s">
        <v>49</v>
      </c>
      <c r="U658" t="s">
        <v>61</v>
      </c>
      <c r="V658" s="1">
        <v>45492</v>
      </c>
      <c r="W658">
        <f>Table1[[#This Row],[customer_purchase count]]+1</f>
        <v>7</v>
      </c>
      <c r="X658">
        <f>Table1[[#This Row],[customer_purchase count]]*Rules!$B$3</f>
        <v>358.58615384615388</v>
      </c>
      <c r="Y658" t="str">
        <f>IF(Table1[[#This Row],[customer_subscription]]=1,"Subscribed","Not Subscribed")</f>
        <v>Subscribed</v>
      </c>
    </row>
    <row r="659" spans="1:26" x14ac:dyDescent="0.25">
      <c r="A659">
        <v>658</v>
      </c>
      <c r="B659">
        <v>48</v>
      </c>
      <c r="C659" t="s">
        <v>22</v>
      </c>
      <c r="D659">
        <v>658</v>
      </c>
      <c r="E659" t="s">
        <v>105</v>
      </c>
      <c r="F659" t="s">
        <v>66</v>
      </c>
      <c r="G659">
        <v>658</v>
      </c>
      <c r="H659">
        <v>988</v>
      </c>
      <c r="I659">
        <v>80</v>
      </c>
      <c r="J659" t="s">
        <v>120</v>
      </c>
      <c r="K659" t="s">
        <v>47</v>
      </c>
      <c r="L659" t="s">
        <v>55</v>
      </c>
      <c r="M659" t="s">
        <v>28</v>
      </c>
      <c r="N659">
        <v>4.3</v>
      </c>
      <c r="O659">
        <v>1</v>
      </c>
      <c r="P659" t="s">
        <v>41</v>
      </c>
      <c r="Q659" t="s">
        <v>30</v>
      </c>
      <c r="R659" t="s">
        <v>30</v>
      </c>
      <c r="S659">
        <v>6</v>
      </c>
      <c r="T659" t="s">
        <v>49</v>
      </c>
      <c r="U659" t="s">
        <v>61</v>
      </c>
      <c r="V659" s="1">
        <v>45319</v>
      </c>
      <c r="W659">
        <f>Table1[[#This Row],[customer_purchase count]]+1</f>
        <v>7</v>
      </c>
      <c r="X659">
        <f>Table1[[#This Row],[customer_purchase count]]*Rules!$B$3</f>
        <v>358.58615384615388</v>
      </c>
      <c r="Y659" t="str">
        <f>IF(Table1[[#This Row],[customer_subscription]]=1,"Subscribed","Not Subscribed")</f>
        <v>Subscribed</v>
      </c>
    </row>
    <row r="660" spans="1:26" x14ac:dyDescent="0.25">
      <c r="A660">
        <v>659</v>
      </c>
      <c r="B660">
        <v>62</v>
      </c>
      <c r="C660" t="s">
        <v>22</v>
      </c>
      <c r="D660">
        <v>659</v>
      </c>
      <c r="E660" t="s">
        <v>135</v>
      </c>
      <c r="F660" t="s">
        <v>70</v>
      </c>
      <c r="G660">
        <v>659</v>
      </c>
      <c r="H660">
        <v>989</v>
      </c>
      <c r="I660">
        <v>37</v>
      </c>
      <c r="J660" t="s">
        <v>63</v>
      </c>
      <c r="K660" t="s">
        <v>39</v>
      </c>
      <c r="L660" t="s">
        <v>55</v>
      </c>
      <c r="M660" t="s">
        <v>60</v>
      </c>
      <c r="N660">
        <v>4.9000000000000004</v>
      </c>
      <c r="O660">
        <v>1</v>
      </c>
      <c r="P660" t="s">
        <v>77</v>
      </c>
      <c r="Q660" t="s">
        <v>30</v>
      </c>
      <c r="R660" t="s">
        <v>30</v>
      </c>
      <c r="S660">
        <v>20</v>
      </c>
      <c r="T660" t="s">
        <v>31</v>
      </c>
      <c r="U660" t="s">
        <v>43</v>
      </c>
      <c r="V660" s="1">
        <v>45582</v>
      </c>
      <c r="W660">
        <f>Table1[[#This Row],[customer_purchase count]]+1</f>
        <v>21</v>
      </c>
      <c r="X660">
        <f>Table1[[#This Row],[customer_purchase count]]*Rules!$B$3</f>
        <v>1195.2871794871796</v>
      </c>
      <c r="Y660" t="str">
        <f>IF(Table1[[#This Row],[customer_subscription]]=1,"Subscribed","Not Subscribed")</f>
        <v>Subscribed</v>
      </c>
    </row>
    <row r="661" spans="1:26" x14ac:dyDescent="0.25">
      <c r="A661">
        <v>660</v>
      </c>
      <c r="B661">
        <v>62</v>
      </c>
      <c r="C661" t="s">
        <v>22</v>
      </c>
      <c r="D661">
        <v>660</v>
      </c>
      <c r="E661" t="s">
        <v>62</v>
      </c>
      <c r="F661" t="s">
        <v>24</v>
      </c>
      <c r="G661">
        <v>660</v>
      </c>
      <c r="H661">
        <v>991</v>
      </c>
      <c r="I661">
        <v>52</v>
      </c>
      <c r="J661" t="s">
        <v>144</v>
      </c>
      <c r="K661" t="s">
        <v>39</v>
      </c>
      <c r="L661" t="s">
        <v>83</v>
      </c>
      <c r="M661" t="s">
        <v>40</v>
      </c>
      <c r="N661">
        <v>3.6</v>
      </c>
      <c r="O661">
        <v>1</v>
      </c>
      <c r="P661" t="s">
        <v>73</v>
      </c>
      <c r="Q661" t="s">
        <v>30</v>
      </c>
      <c r="R661" t="s">
        <v>30</v>
      </c>
      <c r="S661">
        <v>8</v>
      </c>
      <c r="T661" t="s">
        <v>36</v>
      </c>
      <c r="U661" t="s">
        <v>43</v>
      </c>
      <c r="V661" s="1">
        <v>45367</v>
      </c>
      <c r="W661">
        <f>Table1[[#This Row],[customer_purchase count]]+1</f>
        <v>9</v>
      </c>
      <c r="X661">
        <f>Table1[[#This Row],[customer_purchase count]]*Rules!$B$3</f>
        <v>478.11487179487182</v>
      </c>
      <c r="Y661" t="str">
        <f>IF(Table1[[#This Row],[customer_subscription]]=1,"Subscribed","Not Subscribed")</f>
        <v>Subscribed</v>
      </c>
    </row>
    <row r="662" spans="1:26" x14ac:dyDescent="0.25">
      <c r="A662">
        <v>661</v>
      </c>
      <c r="B662">
        <v>50</v>
      </c>
      <c r="C662" t="s">
        <v>22</v>
      </c>
      <c r="D662">
        <v>661</v>
      </c>
      <c r="E662" t="s">
        <v>65</v>
      </c>
      <c r="F662" t="s">
        <v>66</v>
      </c>
      <c r="G662">
        <v>661</v>
      </c>
      <c r="H662">
        <v>992</v>
      </c>
      <c r="I662">
        <v>79</v>
      </c>
      <c r="J662" t="s">
        <v>59</v>
      </c>
      <c r="K662" t="s">
        <v>47</v>
      </c>
      <c r="L662" t="s">
        <v>81</v>
      </c>
      <c r="M662" t="s">
        <v>60</v>
      </c>
      <c r="N662">
        <v>5</v>
      </c>
      <c r="O662">
        <v>1</v>
      </c>
      <c r="P662" t="s">
        <v>73</v>
      </c>
      <c r="Q662" t="s">
        <v>30</v>
      </c>
      <c r="R662" t="s">
        <v>30</v>
      </c>
      <c r="S662">
        <v>39</v>
      </c>
      <c r="T662" t="s">
        <v>42</v>
      </c>
      <c r="U662" t="s">
        <v>61</v>
      </c>
      <c r="V662" s="1">
        <v>45603</v>
      </c>
      <c r="W662">
        <f>Table1[[#This Row],[customer_purchase count]]+1</f>
        <v>40</v>
      </c>
      <c r="X662">
        <f>Table1[[#This Row],[customer_purchase count]]*Rules!$B$3</f>
        <v>2330.81</v>
      </c>
      <c r="Y662" t="str">
        <f>IF(Table1[[#This Row],[customer_subscription]]=1,"Subscribed","Not Subscribed")</f>
        <v>Subscribed</v>
      </c>
      <c r="Z662" t="s">
        <v>193</v>
      </c>
    </row>
    <row r="663" spans="1:26" x14ac:dyDescent="0.25">
      <c r="A663">
        <v>662</v>
      </c>
      <c r="B663">
        <v>57</v>
      </c>
      <c r="C663" t="s">
        <v>22</v>
      </c>
      <c r="D663">
        <v>662</v>
      </c>
      <c r="E663" t="s">
        <v>58</v>
      </c>
      <c r="F663" t="s">
        <v>24</v>
      </c>
      <c r="G663">
        <v>662</v>
      </c>
      <c r="H663">
        <v>993</v>
      </c>
      <c r="I663">
        <v>68</v>
      </c>
      <c r="J663" t="s">
        <v>149</v>
      </c>
      <c r="K663" t="s">
        <v>95</v>
      </c>
      <c r="L663" t="s">
        <v>99</v>
      </c>
      <c r="M663" t="s">
        <v>60</v>
      </c>
      <c r="N663">
        <v>4.0999999999999996</v>
      </c>
      <c r="O663">
        <v>1</v>
      </c>
      <c r="P663" t="s">
        <v>77</v>
      </c>
      <c r="Q663" t="s">
        <v>30</v>
      </c>
      <c r="R663" t="s">
        <v>30</v>
      </c>
      <c r="S663">
        <v>39</v>
      </c>
      <c r="T663" t="s">
        <v>42</v>
      </c>
      <c r="U663" t="s">
        <v>61</v>
      </c>
      <c r="V663" s="1">
        <v>45578</v>
      </c>
      <c r="W663">
        <f>Table1[[#This Row],[customer_purchase count]]+1</f>
        <v>40</v>
      </c>
      <c r="X663">
        <f>Table1[[#This Row],[customer_purchase count]]*Rules!$B$3</f>
        <v>2330.81</v>
      </c>
      <c r="Y663" t="str">
        <f>IF(Table1[[#This Row],[customer_subscription]]=1,"Subscribed","Not Subscribed")</f>
        <v>Subscribed</v>
      </c>
      <c r="Z663" t="s">
        <v>193</v>
      </c>
    </row>
    <row r="664" spans="1:26" x14ac:dyDescent="0.25">
      <c r="A664">
        <v>663</v>
      </c>
      <c r="B664">
        <v>24</v>
      </c>
      <c r="C664" t="s">
        <v>22</v>
      </c>
      <c r="D664">
        <v>663</v>
      </c>
      <c r="E664" t="s">
        <v>146</v>
      </c>
      <c r="F664" t="s">
        <v>70</v>
      </c>
      <c r="G664">
        <v>663</v>
      </c>
      <c r="H664">
        <v>994</v>
      </c>
      <c r="I664">
        <v>98</v>
      </c>
      <c r="J664" t="s">
        <v>118</v>
      </c>
      <c r="K664" t="s">
        <v>26</v>
      </c>
      <c r="L664" t="s">
        <v>139</v>
      </c>
      <c r="M664" t="s">
        <v>60</v>
      </c>
      <c r="N664">
        <v>2.8</v>
      </c>
      <c r="O664">
        <v>1</v>
      </c>
      <c r="P664" t="s">
        <v>29</v>
      </c>
      <c r="Q664" t="s">
        <v>30</v>
      </c>
      <c r="R664" t="s">
        <v>30</v>
      </c>
      <c r="S664">
        <v>39</v>
      </c>
      <c r="T664" t="s">
        <v>31</v>
      </c>
      <c r="U664" t="s">
        <v>79</v>
      </c>
      <c r="V664" s="1">
        <v>45588</v>
      </c>
      <c r="W664">
        <f>Table1[[#This Row],[customer_purchase count]]+1</f>
        <v>40</v>
      </c>
      <c r="X664">
        <f>Table1[[#This Row],[customer_purchase count]]*Rules!$B$3</f>
        <v>2330.81</v>
      </c>
      <c r="Y664" t="str">
        <f>IF(Table1[[#This Row],[customer_subscription]]=1,"Subscribed","Not Subscribed")</f>
        <v>Subscribed</v>
      </c>
    </row>
    <row r="665" spans="1:26" x14ac:dyDescent="0.25">
      <c r="A665">
        <v>664</v>
      </c>
      <c r="B665">
        <v>59</v>
      </c>
      <c r="C665" t="s">
        <v>22</v>
      </c>
      <c r="D665">
        <v>664</v>
      </c>
      <c r="E665" t="s">
        <v>84</v>
      </c>
      <c r="F665" t="s">
        <v>24</v>
      </c>
      <c r="G665">
        <v>664</v>
      </c>
      <c r="H665">
        <v>995</v>
      </c>
      <c r="I665">
        <v>83</v>
      </c>
      <c r="J665" t="s">
        <v>123</v>
      </c>
      <c r="K665" t="s">
        <v>47</v>
      </c>
      <c r="L665" t="s">
        <v>64</v>
      </c>
      <c r="M665" t="s">
        <v>60</v>
      </c>
      <c r="N665">
        <v>4.7</v>
      </c>
      <c r="O665">
        <v>1</v>
      </c>
      <c r="P665" t="s">
        <v>29</v>
      </c>
      <c r="Q665" t="s">
        <v>30</v>
      </c>
      <c r="R665" t="s">
        <v>30</v>
      </c>
      <c r="S665">
        <v>23</v>
      </c>
      <c r="T665" t="s">
        <v>42</v>
      </c>
      <c r="U665" t="s">
        <v>91</v>
      </c>
      <c r="V665" s="1">
        <v>45599</v>
      </c>
      <c r="W665">
        <f>Table1[[#This Row],[customer_purchase count]]+1</f>
        <v>24</v>
      </c>
      <c r="X665">
        <f>Table1[[#This Row],[customer_purchase count]]*Rules!$B$3</f>
        <v>1374.5802564102564</v>
      </c>
      <c r="Y665" t="str">
        <f>IF(Table1[[#This Row],[customer_subscription]]=1,"Subscribed","Not Subscribed")</f>
        <v>Subscribed</v>
      </c>
    </row>
    <row r="666" spans="1:26" x14ac:dyDescent="0.25">
      <c r="A666">
        <v>665</v>
      </c>
      <c r="B666">
        <v>63</v>
      </c>
      <c r="C666" t="s">
        <v>22</v>
      </c>
      <c r="D666">
        <v>665</v>
      </c>
      <c r="E666" t="s">
        <v>98</v>
      </c>
      <c r="F666" t="s">
        <v>24</v>
      </c>
      <c r="G666">
        <v>665</v>
      </c>
      <c r="H666">
        <v>997</v>
      </c>
      <c r="I666">
        <v>83</v>
      </c>
      <c r="J666" t="s">
        <v>115</v>
      </c>
      <c r="K666" t="s">
        <v>47</v>
      </c>
      <c r="L666" t="s">
        <v>129</v>
      </c>
      <c r="M666" t="s">
        <v>28</v>
      </c>
      <c r="N666">
        <v>4.4000000000000004</v>
      </c>
      <c r="O666">
        <v>1</v>
      </c>
      <c r="P666" t="s">
        <v>29</v>
      </c>
      <c r="Q666" t="s">
        <v>30</v>
      </c>
      <c r="R666" t="s">
        <v>30</v>
      </c>
      <c r="S666">
        <v>41</v>
      </c>
      <c r="T666" t="s">
        <v>49</v>
      </c>
      <c r="U666" t="s">
        <v>79</v>
      </c>
      <c r="V666" s="1">
        <v>45343</v>
      </c>
      <c r="W666">
        <f>Table1[[#This Row],[customer_purchase count]]+1</f>
        <v>42</v>
      </c>
      <c r="X666">
        <f>Table1[[#This Row],[customer_purchase count]]*Rules!$B$3</f>
        <v>2450.3387179487181</v>
      </c>
      <c r="Y666" t="str">
        <f>IF(Table1[[#This Row],[customer_subscription]]=1,"Subscribed","Not Subscribed")</f>
        <v>Subscribed</v>
      </c>
    </row>
    <row r="667" spans="1:26" x14ac:dyDescent="0.25">
      <c r="A667">
        <v>666</v>
      </c>
      <c r="B667">
        <v>41</v>
      </c>
      <c r="C667" t="s">
        <v>22</v>
      </c>
      <c r="D667">
        <v>666</v>
      </c>
      <c r="E667" t="s">
        <v>98</v>
      </c>
      <c r="F667" t="s">
        <v>24</v>
      </c>
      <c r="G667">
        <v>666</v>
      </c>
      <c r="H667">
        <v>998</v>
      </c>
      <c r="I667">
        <v>55</v>
      </c>
      <c r="J667" t="s">
        <v>133</v>
      </c>
      <c r="K667" t="s">
        <v>47</v>
      </c>
      <c r="L667" t="s">
        <v>103</v>
      </c>
      <c r="M667" t="s">
        <v>40</v>
      </c>
      <c r="N667">
        <v>4.9000000000000004</v>
      </c>
      <c r="O667">
        <v>1</v>
      </c>
      <c r="P667" t="s">
        <v>73</v>
      </c>
      <c r="Q667" t="s">
        <v>30</v>
      </c>
      <c r="R667" t="s">
        <v>30</v>
      </c>
      <c r="S667">
        <v>50</v>
      </c>
      <c r="T667" t="s">
        <v>42</v>
      </c>
      <c r="U667" t="s">
        <v>52</v>
      </c>
      <c r="V667" s="1">
        <v>45352</v>
      </c>
      <c r="W667">
        <f>Table1[[#This Row],[customer_purchase count]]+1</f>
        <v>51</v>
      </c>
      <c r="X667">
        <f>Table1[[#This Row],[customer_purchase count]]*Rules!$B$3</f>
        <v>2988.2179487179487</v>
      </c>
      <c r="Y667" t="str">
        <f>IF(Table1[[#This Row],[customer_subscription]]=1,"Subscribed","Not Subscribed")</f>
        <v>Subscribed</v>
      </c>
      <c r="Z667" t="s">
        <v>193</v>
      </c>
    </row>
    <row r="668" spans="1:26" x14ac:dyDescent="0.25">
      <c r="A668">
        <v>667</v>
      </c>
      <c r="B668">
        <v>35</v>
      </c>
      <c r="C668" t="s">
        <v>22</v>
      </c>
      <c r="D668">
        <v>667</v>
      </c>
      <c r="E668" t="s">
        <v>107</v>
      </c>
      <c r="F668" t="s">
        <v>24</v>
      </c>
      <c r="G668">
        <v>667</v>
      </c>
      <c r="H668">
        <v>999</v>
      </c>
      <c r="I668">
        <v>26</v>
      </c>
      <c r="J668" t="s">
        <v>115</v>
      </c>
      <c r="K668" t="s">
        <v>26</v>
      </c>
      <c r="L668" t="s">
        <v>51</v>
      </c>
      <c r="M668" t="s">
        <v>28</v>
      </c>
      <c r="N668">
        <v>3.1</v>
      </c>
      <c r="O668">
        <v>1</v>
      </c>
      <c r="P668" t="s">
        <v>41</v>
      </c>
      <c r="Q668" t="s">
        <v>30</v>
      </c>
      <c r="R668" t="s">
        <v>30</v>
      </c>
      <c r="S668">
        <v>30</v>
      </c>
      <c r="T668" t="s">
        <v>89</v>
      </c>
      <c r="U668" t="s">
        <v>61</v>
      </c>
      <c r="V668" s="1">
        <v>45647</v>
      </c>
      <c r="W668">
        <f>Table1[[#This Row],[customer_purchase count]]+1</f>
        <v>31</v>
      </c>
      <c r="X668">
        <f>Table1[[#This Row],[customer_purchase count]]*Rules!$B$3</f>
        <v>1792.9307692307693</v>
      </c>
      <c r="Y668" t="str">
        <f>IF(Table1[[#This Row],[customer_subscription]]=1,"Subscribed","Not Subscribed")</f>
        <v>Subscribed</v>
      </c>
    </row>
    <row r="669" spans="1:26" x14ac:dyDescent="0.25">
      <c r="A669">
        <v>668</v>
      </c>
      <c r="B669">
        <v>34</v>
      </c>
      <c r="C669" t="s">
        <v>22</v>
      </c>
      <c r="D669">
        <v>668</v>
      </c>
      <c r="E669" t="s">
        <v>92</v>
      </c>
      <c r="F669" t="s">
        <v>70</v>
      </c>
      <c r="G669">
        <v>668</v>
      </c>
      <c r="H669">
        <v>1000</v>
      </c>
      <c r="I669">
        <v>76</v>
      </c>
      <c r="J669" t="s">
        <v>120</v>
      </c>
      <c r="K669" t="s">
        <v>39</v>
      </c>
      <c r="L669" t="s">
        <v>147</v>
      </c>
      <c r="M669" t="s">
        <v>28</v>
      </c>
      <c r="N669">
        <v>2.6</v>
      </c>
      <c r="O669">
        <v>1</v>
      </c>
      <c r="P669" t="s">
        <v>57</v>
      </c>
      <c r="Q669" t="s">
        <v>30</v>
      </c>
      <c r="R669" t="s">
        <v>30</v>
      </c>
      <c r="S669">
        <v>32</v>
      </c>
      <c r="T669" t="s">
        <v>78</v>
      </c>
      <c r="U669" t="s">
        <v>61</v>
      </c>
      <c r="V669" s="1">
        <v>45638</v>
      </c>
      <c r="W669">
        <f>Table1[[#This Row],[customer_purchase count]]+1</f>
        <v>33</v>
      </c>
      <c r="X669">
        <f>Table1[[#This Row],[customer_purchase count]]*Rules!$B$3</f>
        <v>1912.4594871794873</v>
      </c>
      <c r="Y669" t="str">
        <f>IF(Table1[[#This Row],[customer_subscription]]=1,"Subscribed","Not Subscribed")</f>
        <v>Subscribed</v>
      </c>
    </row>
    <row r="670" spans="1:26" x14ac:dyDescent="0.25">
      <c r="A670">
        <v>669</v>
      </c>
      <c r="B670">
        <v>49</v>
      </c>
      <c r="C670" t="s">
        <v>22</v>
      </c>
      <c r="D670">
        <v>669</v>
      </c>
      <c r="E670" t="s">
        <v>116</v>
      </c>
      <c r="F670" t="s">
        <v>24</v>
      </c>
      <c r="G670">
        <v>669</v>
      </c>
      <c r="H670">
        <v>1001</v>
      </c>
      <c r="I670">
        <v>85</v>
      </c>
      <c r="J670" t="s">
        <v>80</v>
      </c>
      <c r="K670" t="s">
        <v>39</v>
      </c>
      <c r="L670" t="s">
        <v>51</v>
      </c>
      <c r="M670" t="s">
        <v>60</v>
      </c>
      <c r="N670">
        <v>2.9</v>
      </c>
      <c r="O670">
        <v>1</v>
      </c>
      <c r="P670" t="s">
        <v>29</v>
      </c>
      <c r="Q670" t="s">
        <v>30</v>
      </c>
      <c r="R670" t="s">
        <v>30</v>
      </c>
      <c r="S670">
        <v>35</v>
      </c>
      <c r="T670" t="s">
        <v>78</v>
      </c>
      <c r="U670" t="s">
        <v>91</v>
      </c>
      <c r="V670" s="1">
        <v>45617</v>
      </c>
      <c r="W670">
        <f>Table1[[#This Row],[customer_purchase count]]+1</f>
        <v>36</v>
      </c>
      <c r="X670">
        <f>Table1[[#This Row],[customer_purchase count]]*Rules!$B$3</f>
        <v>2091.7525641025641</v>
      </c>
      <c r="Y670" t="str">
        <f>IF(Table1[[#This Row],[customer_subscription]]=1,"Subscribed","Not Subscribed")</f>
        <v>Subscribed</v>
      </c>
      <c r="Z670" t="s">
        <v>193</v>
      </c>
    </row>
    <row r="671" spans="1:26" x14ac:dyDescent="0.25">
      <c r="A671">
        <v>670</v>
      </c>
      <c r="B671">
        <v>43</v>
      </c>
      <c r="C671" t="s">
        <v>22</v>
      </c>
      <c r="D671">
        <v>670</v>
      </c>
      <c r="E671" t="s">
        <v>105</v>
      </c>
      <c r="F671" t="s">
        <v>66</v>
      </c>
      <c r="G671">
        <v>670</v>
      </c>
      <c r="H671">
        <v>1003</v>
      </c>
      <c r="I671">
        <v>89</v>
      </c>
      <c r="J671" t="s">
        <v>118</v>
      </c>
      <c r="K671" t="s">
        <v>47</v>
      </c>
      <c r="L671" t="s">
        <v>27</v>
      </c>
      <c r="M671" t="s">
        <v>40</v>
      </c>
      <c r="N671">
        <v>3.3</v>
      </c>
      <c r="O671">
        <v>1</v>
      </c>
      <c r="P671" t="s">
        <v>41</v>
      </c>
      <c r="Q671" t="s">
        <v>30</v>
      </c>
      <c r="R671" t="s">
        <v>30</v>
      </c>
      <c r="S671">
        <v>45</v>
      </c>
      <c r="T671" t="s">
        <v>31</v>
      </c>
      <c r="U671" t="s">
        <v>79</v>
      </c>
      <c r="V671" s="1">
        <v>45433</v>
      </c>
      <c r="W671">
        <f>Table1[[#This Row],[customer_purchase count]]+1</f>
        <v>46</v>
      </c>
      <c r="X671">
        <f>Table1[[#This Row],[customer_purchase count]]*Rules!$B$3</f>
        <v>2689.396153846154</v>
      </c>
      <c r="Y671" t="str">
        <f>IF(Table1[[#This Row],[customer_subscription]]=1,"Subscribed","Not Subscribed")</f>
        <v>Subscribed</v>
      </c>
      <c r="Z671" t="s">
        <v>193</v>
      </c>
    </row>
    <row r="672" spans="1:26" x14ac:dyDescent="0.25">
      <c r="A672">
        <v>671</v>
      </c>
      <c r="B672">
        <v>63</v>
      </c>
      <c r="C672" t="s">
        <v>22</v>
      </c>
      <c r="D672">
        <v>671</v>
      </c>
      <c r="E672" t="s">
        <v>33</v>
      </c>
      <c r="F672" t="s">
        <v>24</v>
      </c>
      <c r="G672">
        <v>671</v>
      </c>
      <c r="H672">
        <v>1004</v>
      </c>
      <c r="I672">
        <v>41</v>
      </c>
      <c r="J672" t="s">
        <v>63</v>
      </c>
      <c r="K672" t="s">
        <v>95</v>
      </c>
      <c r="L672" t="s">
        <v>76</v>
      </c>
      <c r="M672" t="s">
        <v>40</v>
      </c>
      <c r="N672">
        <v>4.8</v>
      </c>
      <c r="O672">
        <v>1</v>
      </c>
      <c r="P672" t="s">
        <v>48</v>
      </c>
      <c r="Q672" t="s">
        <v>30</v>
      </c>
      <c r="R672" t="s">
        <v>30</v>
      </c>
      <c r="S672">
        <v>37</v>
      </c>
      <c r="T672" t="s">
        <v>36</v>
      </c>
      <c r="U672" t="s">
        <v>79</v>
      </c>
      <c r="V672" s="1">
        <v>45419</v>
      </c>
      <c r="W672">
        <f>Table1[[#This Row],[customer_purchase count]]+1</f>
        <v>38</v>
      </c>
      <c r="X672">
        <f>Table1[[#This Row],[customer_purchase count]]*Rules!$B$3</f>
        <v>2211.2812820512822</v>
      </c>
      <c r="Y672" t="str">
        <f>IF(Table1[[#This Row],[customer_subscription]]=1,"Subscribed","Not Subscribed")</f>
        <v>Subscribed</v>
      </c>
    </row>
    <row r="673" spans="1:26" x14ac:dyDescent="0.25">
      <c r="A673">
        <v>672</v>
      </c>
      <c r="B673">
        <v>38</v>
      </c>
      <c r="C673" t="s">
        <v>22</v>
      </c>
      <c r="D673">
        <v>672</v>
      </c>
      <c r="E673" t="s">
        <v>105</v>
      </c>
      <c r="F673" t="s">
        <v>66</v>
      </c>
      <c r="G673">
        <v>672</v>
      </c>
      <c r="H673">
        <v>1005</v>
      </c>
      <c r="I673">
        <v>30</v>
      </c>
      <c r="J673" t="s">
        <v>149</v>
      </c>
      <c r="K673" t="s">
        <v>26</v>
      </c>
      <c r="L673" t="s">
        <v>97</v>
      </c>
      <c r="M673" t="s">
        <v>28</v>
      </c>
      <c r="N673">
        <v>4.7</v>
      </c>
      <c r="O673">
        <v>1</v>
      </c>
      <c r="P673" t="s">
        <v>29</v>
      </c>
      <c r="Q673" t="s">
        <v>30</v>
      </c>
      <c r="R673" t="s">
        <v>30</v>
      </c>
      <c r="S673">
        <v>45</v>
      </c>
      <c r="T673" t="s">
        <v>36</v>
      </c>
      <c r="U673" t="s">
        <v>43</v>
      </c>
      <c r="V673" s="1">
        <v>45636</v>
      </c>
      <c r="W673">
        <f>Table1[[#This Row],[customer_purchase count]]+1</f>
        <v>46</v>
      </c>
      <c r="X673">
        <f>Table1[[#This Row],[customer_purchase count]]*Rules!$B$3</f>
        <v>2689.396153846154</v>
      </c>
      <c r="Y673" t="str">
        <f>IF(Table1[[#This Row],[customer_subscription]]=1,"Subscribed","Not Subscribed")</f>
        <v>Subscribed</v>
      </c>
      <c r="Z673" t="s">
        <v>193</v>
      </c>
    </row>
    <row r="674" spans="1:26" x14ac:dyDescent="0.25">
      <c r="A674">
        <v>673</v>
      </c>
      <c r="B674">
        <v>59</v>
      </c>
      <c r="C674" t="s">
        <v>22</v>
      </c>
      <c r="D674">
        <v>673</v>
      </c>
      <c r="E674" t="s">
        <v>128</v>
      </c>
      <c r="F674" t="s">
        <v>24</v>
      </c>
      <c r="G674">
        <v>673</v>
      </c>
      <c r="H674">
        <v>1006</v>
      </c>
      <c r="I674">
        <v>53</v>
      </c>
      <c r="J674" t="s">
        <v>152</v>
      </c>
      <c r="K674" t="s">
        <v>47</v>
      </c>
      <c r="L674" t="s">
        <v>103</v>
      </c>
      <c r="M674" t="s">
        <v>28</v>
      </c>
      <c r="N674">
        <v>3.3</v>
      </c>
      <c r="O674">
        <v>1</v>
      </c>
      <c r="P674" t="s">
        <v>73</v>
      </c>
      <c r="Q674" t="s">
        <v>30</v>
      </c>
      <c r="R674" t="s">
        <v>30</v>
      </c>
      <c r="S674">
        <v>29</v>
      </c>
      <c r="T674" t="s">
        <v>36</v>
      </c>
      <c r="U674" t="s">
        <v>61</v>
      </c>
      <c r="V674" s="1">
        <v>45629</v>
      </c>
      <c r="W674">
        <f>Table1[[#This Row],[customer_purchase count]]+1</f>
        <v>30</v>
      </c>
      <c r="X674">
        <f>Table1[[#This Row],[customer_purchase count]]*Rules!$B$3</f>
        <v>1733.1664102564102</v>
      </c>
      <c r="Y674" t="str">
        <f>IF(Table1[[#This Row],[customer_subscription]]=1,"Subscribed","Not Subscribed")</f>
        <v>Subscribed</v>
      </c>
    </row>
    <row r="675" spans="1:26" x14ac:dyDescent="0.25">
      <c r="A675">
        <v>674</v>
      </c>
      <c r="B675">
        <v>35</v>
      </c>
      <c r="C675" t="s">
        <v>22</v>
      </c>
      <c r="D675">
        <v>674</v>
      </c>
      <c r="E675" t="s">
        <v>58</v>
      </c>
      <c r="F675" t="s">
        <v>24</v>
      </c>
      <c r="G675">
        <v>674</v>
      </c>
      <c r="H675">
        <v>1007</v>
      </c>
      <c r="I675">
        <v>66</v>
      </c>
      <c r="J675" t="s">
        <v>104</v>
      </c>
      <c r="K675" t="s">
        <v>47</v>
      </c>
      <c r="L675" t="s">
        <v>129</v>
      </c>
      <c r="M675" t="s">
        <v>40</v>
      </c>
      <c r="N675">
        <v>4.2</v>
      </c>
      <c r="O675">
        <v>1</v>
      </c>
      <c r="P675" t="s">
        <v>41</v>
      </c>
      <c r="Q675" t="s">
        <v>30</v>
      </c>
      <c r="R675" t="s">
        <v>30</v>
      </c>
      <c r="S675">
        <v>27</v>
      </c>
      <c r="T675" t="s">
        <v>31</v>
      </c>
      <c r="U675" t="s">
        <v>79</v>
      </c>
      <c r="V675" s="1">
        <v>45439</v>
      </c>
      <c r="W675">
        <f>Table1[[#This Row],[customer_purchase count]]+1</f>
        <v>28</v>
      </c>
      <c r="X675">
        <f>Table1[[#This Row],[customer_purchase count]]*Rules!$B$3</f>
        <v>1613.6376923076923</v>
      </c>
      <c r="Y675" t="str">
        <f>IF(Table1[[#This Row],[customer_subscription]]=1,"Subscribed","Not Subscribed")</f>
        <v>Subscribed</v>
      </c>
    </row>
    <row r="676" spans="1:26" x14ac:dyDescent="0.25">
      <c r="A676">
        <v>675</v>
      </c>
      <c r="B676">
        <v>48</v>
      </c>
      <c r="C676" t="s">
        <v>22</v>
      </c>
      <c r="D676">
        <v>675</v>
      </c>
      <c r="E676" t="s">
        <v>109</v>
      </c>
      <c r="F676" t="s">
        <v>70</v>
      </c>
      <c r="G676">
        <v>675</v>
      </c>
      <c r="H676">
        <v>1009</v>
      </c>
      <c r="I676">
        <v>33</v>
      </c>
      <c r="J676" t="s">
        <v>152</v>
      </c>
      <c r="K676" t="s">
        <v>95</v>
      </c>
      <c r="L676" t="s">
        <v>121</v>
      </c>
      <c r="M676" t="s">
        <v>28</v>
      </c>
      <c r="N676">
        <v>4.7</v>
      </c>
      <c r="O676">
        <v>1</v>
      </c>
      <c r="P676" t="s">
        <v>77</v>
      </c>
      <c r="Q676" t="s">
        <v>30</v>
      </c>
      <c r="R676" t="s">
        <v>30</v>
      </c>
      <c r="S676">
        <v>36</v>
      </c>
      <c r="T676" t="s">
        <v>78</v>
      </c>
      <c r="U676" t="s">
        <v>52</v>
      </c>
      <c r="V676" s="1">
        <v>45339</v>
      </c>
      <c r="W676">
        <f>Table1[[#This Row],[customer_purchase count]]+1</f>
        <v>37</v>
      </c>
      <c r="X676">
        <f>Table1[[#This Row],[customer_purchase count]]*Rules!$B$3</f>
        <v>2151.5169230769234</v>
      </c>
      <c r="Y676" t="str">
        <f>IF(Table1[[#This Row],[customer_subscription]]=1,"Subscribed","Not Subscribed")</f>
        <v>Subscribed</v>
      </c>
      <c r="Z676" t="s">
        <v>193</v>
      </c>
    </row>
    <row r="677" spans="1:26" x14ac:dyDescent="0.25">
      <c r="A677">
        <v>676</v>
      </c>
      <c r="B677">
        <v>64</v>
      </c>
      <c r="C677" t="s">
        <v>22</v>
      </c>
      <c r="D677">
        <v>676</v>
      </c>
      <c r="E677" t="s">
        <v>92</v>
      </c>
      <c r="F677" t="s">
        <v>70</v>
      </c>
      <c r="G677">
        <v>676</v>
      </c>
      <c r="H677">
        <v>1010</v>
      </c>
      <c r="I677">
        <v>86</v>
      </c>
      <c r="J677" t="s">
        <v>75</v>
      </c>
      <c r="K677" t="s">
        <v>47</v>
      </c>
      <c r="L677" t="s">
        <v>137</v>
      </c>
      <c r="M677" t="s">
        <v>40</v>
      </c>
      <c r="N677">
        <v>2.6</v>
      </c>
      <c r="O677">
        <v>1</v>
      </c>
      <c r="P677" t="s">
        <v>73</v>
      </c>
      <c r="Q677" t="s">
        <v>30</v>
      </c>
      <c r="R677" t="s">
        <v>30</v>
      </c>
      <c r="S677">
        <v>9</v>
      </c>
      <c r="T677" t="s">
        <v>36</v>
      </c>
      <c r="U677" t="s">
        <v>52</v>
      </c>
      <c r="V677" s="1">
        <v>45421</v>
      </c>
      <c r="W677">
        <f>Table1[[#This Row],[customer_purchase count]]+1</f>
        <v>10</v>
      </c>
      <c r="X677">
        <f>Table1[[#This Row],[customer_purchase count]]*Rules!$B$3</f>
        <v>537.87923076923084</v>
      </c>
      <c r="Y677" t="str">
        <f>IF(Table1[[#This Row],[customer_subscription]]=1,"Subscribed","Not Subscribed")</f>
        <v>Subscribed</v>
      </c>
    </row>
    <row r="678" spans="1:26" x14ac:dyDescent="0.25">
      <c r="A678">
        <v>677</v>
      </c>
      <c r="B678">
        <v>28</v>
      </c>
      <c r="C678" t="s">
        <v>22</v>
      </c>
      <c r="D678">
        <v>677</v>
      </c>
      <c r="E678" t="s">
        <v>98</v>
      </c>
      <c r="F678" t="s">
        <v>24</v>
      </c>
      <c r="G678">
        <v>677</v>
      </c>
      <c r="H678">
        <v>1011</v>
      </c>
      <c r="I678">
        <v>60</v>
      </c>
      <c r="J678" t="s">
        <v>142</v>
      </c>
      <c r="K678" t="s">
        <v>47</v>
      </c>
      <c r="L678" t="s">
        <v>103</v>
      </c>
      <c r="M678" t="s">
        <v>28</v>
      </c>
      <c r="N678">
        <v>2.9</v>
      </c>
      <c r="O678">
        <v>1</v>
      </c>
      <c r="P678" t="s">
        <v>73</v>
      </c>
      <c r="Q678" t="s">
        <v>30</v>
      </c>
      <c r="R678" t="s">
        <v>30</v>
      </c>
      <c r="S678">
        <v>38</v>
      </c>
      <c r="T678" t="s">
        <v>31</v>
      </c>
      <c r="U678" t="s">
        <v>79</v>
      </c>
      <c r="V678" s="1">
        <v>45640</v>
      </c>
      <c r="W678">
        <f>Table1[[#This Row],[customer_purchase count]]+1</f>
        <v>39</v>
      </c>
      <c r="X678">
        <f>Table1[[#This Row],[customer_purchase count]]*Rules!$B$3</f>
        <v>2271.0456410256411</v>
      </c>
      <c r="Y678" t="str">
        <f>IF(Table1[[#This Row],[customer_subscription]]=1,"Subscribed","Not Subscribed")</f>
        <v>Subscribed</v>
      </c>
    </row>
    <row r="679" spans="1:26" x14ac:dyDescent="0.25">
      <c r="A679">
        <v>678</v>
      </c>
      <c r="B679">
        <v>60</v>
      </c>
      <c r="C679" t="s">
        <v>22</v>
      </c>
      <c r="D679">
        <v>678</v>
      </c>
      <c r="E679" t="s">
        <v>128</v>
      </c>
      <c r="F679" t="s">
        <v>24</v>
      </c>
      <c r="G679">
        <v>678</v>
      </c>
      <c r="H679">
        <v>1012</v>
      </c>
      <c r="I679">
        <v>62</v>
      </c>
      <c r="J679" t="s">
        <v>152</v>
      </c>
      <c r="K679" t="s">
        <v>39</v>
      </c>
      <c r="L679" t="s">
        <v>51</v>
      </c>
      <c r="M679" t="s">
        <v>56</v>
      </c>
      <c r="N679">
        <v>2.7</v>
      </c>
      <c r="O679">
        <v>1</v>
      </c>
      <c r="P679" t="s">
        <v>29</v>
      </c>
      <c r="Q679" t="s">
        <v>30</v>
      </c>
      <c r="R679" t="s">
        <v>30</v>
      </c>
      <c r="S679">
        <v>41</v>
      </c>
      <c r="T679" t="s">
        <v>49</v>
      </c>
      <c r="U679" t="s">
        <v>52</v>
      </c>
      <c r="V679" s="1">
        <v>45489</v>
      </c>
      <c r="W679">
        <f>Table1[[#This Row],[customer_purchase count]]+1</f>
        <v>42</v>
      </c>
      <c r="X679">
        <f>Table1[[#This Row],[customer_purchase count]]*Rules!$B$3</f>
        <v>2450.3387179487181</v>
      </c>
      <c r="Y679" t="str">
        <f>IF(Table1[[#This Row],[customer_subscription]]=1,"Subscribed","Not Subscribed")</f>
        <v>Subscribed</v>
      </c>
      <c r="Z679" t="s">
        <v>193</v>
      </c>
    </row>
    <row r="680" spans="1:26" x14ac:dyDescent="0.25">
      <c r="A680">
        <v>679</v>
      </c>
      <c r="B680">
        <v>27</v>
      </c>
      <c r="C680" t="s">
        <v>22</v>
      </c>
      <c r="D680">
        <v>679</v>
      </c>
      <c r="E680" t="s">
        <v>23</v>
      </c>
      <c r="F680" t="s">
        <v>24</v>
      </c>
      <c r="G680">
        <v>679</v>
      </c>
      <c r="H680">
        <v>1013</v>
      </c>
      <c r="I680">
        <v>74</v>
      </c>
      <c r="J680" t="s">
        <v>34</v>
      </c>
      <c r="K680" t="s">
        <v>47</v>
      </c>
      <c r="L680" t="s">
        <v>88</v>
      </c>
      <c r="M680" t="s">
        <v>60</v>
      </c>
      <c r="N680">
        <v>3.3</v>
      </c>
      <c r="O680">
        <v>1</v>
      </c>
      <c r="P680" t="s">
        <v>77</v>
      </c>
      <c r="Q680" t="s">
        <v>30</v>
      </c>
      <c r="R680" t="s">
        <v>30</v>
      </c>
      <c r="S680">
        <v>25</v>
      </c>
      <c r="T680" t="s">
        <v>89</v>
      </c>
      <c r="U680" t="s">
        <v>100</v>
      </c>
      <c r="V680" s="1">
        <v>45598</v>
      </c>
      <c r="W680">
        <f>Table1[[#This Row],[customer_purchase count]]+1</f>
        <v>26</v>
      </c>
      <c r="X680">
        <f>Table1[[#This Row],[customer_purchase count]]*Rules!$B$3</f>
        <v>1494.1089743589744</v>
      </c>
      <c r="Y680" t="str">
        <f>IF(Table1[[#This Row],[customer_subscription]]=1,"Subscribed","Not Subscribed")</f>
        <v>Subscribed</v>
      </c>
    </row>
    <row r="681" spans="1:26" x14ac:dyDescent="0.25">
      <c r="A681">
        <v>680</v>
      </c>
      <c r="B681">
        <v>56</v>
      </c>
      <c r="C681" t="s">
        <v>22</v>
      </c>
      <c r="D681">
        <v>680</v>
      </c>
      <c r="E681" t="s">
        <v>44</v>
      </c>
      <c r="F681" t="s">
        <v>45</v>
      </c>
      <c r="G681">
        <v>680</v>
      </c>
      <c r="H681">
        <v>1015</v>
      </c>
      <c r="I681">
        <v>95</v>
      </c>
      <c r="J681" t="s">
        <v>154</v>
      </c>
      <c r="K681" t="s">
        <v>47</v>
      </c>
      <c r="L681" t="s">
        <v>51</v>
      </c>
      <c r="M681" t="s">
        <v>60</v>
      </c>
      <c r="N681">
        <v>3.4</v>
      </c>
      <c r="O681">
        <v>1</v>
      </c>
      <c r="P681" t="s">
        <v>29</v>
      </c>
      <c r="Q681" t="s">
        <v>30</v>
      </c>
      <c r="R681" t="s">
        <v>30</v>
      </c>
      <c r="S681">
        <v>37</v>
      </c>
      <c r="T681" t="s">
        <v>31</v>
      </c>
      <c r="U681" t="s">
        <v>32</v>
      </c>
      <c r="V681" s="1">
        <v>45603</v>
      </c>
      <c r="W681">
        <f>Table1[[#This Row],[customer_purchase count]]+1</f>
        <v>38</v>
      </c>
      <c r="X681">
        <f>Table1[[#This Row],[customer_purchase count]]*Rules!$B$3</f>
        <v>2211.2812820512822</v>
      </c>
      <c r="Y681" t="str">
        <f>IF(Table1[[#This Row],[customer_subscription]]=1,"Subscribed","Not Subscribed")</f>
        <v>Subscribed</v>
      </c>
      <c r="Z681" t="s">
        <v>193</v>
      </c>
    </row>
    <row r="682" spans="1:26" x14ac:dyDescent="0.25">
      <c r="A682">
        <v>681</v>
      </c>
      <c r="B682">
        <v>58</v>
      </c>
      <c r="C682" t="s">
        <v>22</v>
      </c>
      <c r="D682">
        <v>681</v>
      </c>
      <c r="E682" t="s">
        <v>53</v>
      </c>
      <c r="F682" t="s">
        <v>45</v>
      </c>
      <c r="G682">
        <v>681</v>
      </c>
      <c r="H682">
        <v>1016</v>
      </c>
      <c r="I682">
        <v>25</v>
      </c>
      <c r="J682" t="s">
        <v>125</v>
      </c>
      <c r="K682" t="s">
        <v>47</v>
      </c>
      <c r="L682" t="s">
        <v>139</v>
      </c>
      <c r="M682" t="s">
        <v>40</v>
      </c>
      <c r="N682">
        <v>4.2</v>
      </c>
      <c r="O682">
        <v>1</v>
      </c>
      <c r="P682" t="s">
        <v>29</v>
      </c>
      <c r="Q682" t="s">
        <v>30</v>
      </c>
      <c r="R682" t="s">
        <v>30</v>
      </c>
      <c r="S682">
        <v>3</v>
      </c>
      <c r="T682" t="s">
        <v>49</v>
      </c>
      <c r="U682" t="s">
        <v>52</v>
      </c>
      <c r="V682" s="1">
        <v>45420</v>
      </c>
      <c r="W682">
        <f>Table1[[#This Row],[customer_purchase count]]+1</f>
        <v>4</v>
      </c>
      <c r="X682">
        <f>Table1[[#This Row],[customer_purchase count]]*Rules!$B$3</f>
        <v>179.29307692307694</v>
      </c>
      <c r="Y682" t="str">
        <f>IF(Table1[[#This Row],[customer_subscription]]=1,"Subscribed","Not Subscribed")</f>
        <v>Subscribed</v>
      </c>
    </row>
    <row r="683" spans="1:26" x14ac:dyDescent="0.25">
      <c r="A683">
        <v>682</v>
      </c>
      <c r="B683">
        <v>30</v>
      </c>
      <c r="C683" t="s">
        <v>22</v>
      </c>
      <c r="D683">
        <v>682</v>
      </c>
      <c r="E683" t="s">
        <v>58</v>
      </c>
      <c r="F683" t="s">
        <v>24</v>
      </c>
      <c r="G683">
        <v>682</v>
      </c>
      <c r="H683">
        <v>1017</v>
      </c>
      <c r="I683">
        <v>59</v>
      </c>
      <c r="J683" t="s">
        <v>63</v>
      </c>
      <c r="K683" t="s">
        <v>95</v>
      </c>
      <c r="L683" t="s">
        <v>76</v>
      </c>
      <c r="M683" t="s">
        <v>28</v>
      </c>
      <c r="N683">
        <v>3.8</v>
      </c>
      <c r="O683">
        <v>1</v>
      </c>
      <c r="P683" t="s">
        <v>73</v>
      </c>
      <c r="Q683" t="s">
        <v>30</v>
      </c>
      <c r="R683" t="s">
        <v>30</v>
      </c>
      <c r="S683">
        <v>24</v>
      </c>
      <c r="T683" t="s">
        <v>42</v>
      </c>
      <c r="U683" t="s">
        <v>100</v>
      </c>
      <c r="V683" s="1">
        <v>45344</v>
      </c>
      <c r="W683">
        <f>Table1[[#This Row],[customer_purchase count]]+1</f>
        <v>25</v>
      </c>
      <c r="X683">
        <f>Table1[[#This Row],[customer_purchase count]]*Rules!$B$3</f>
        <v>1434.3446153846155</v>
      </c>
      <c r="Y683" t="str">
        <f>IF(Table1[[#This Row],[customer_subscription]]=1,"Subscribed","Not Subscribed")</f>
        <v>Subscribed</v>
      </c>
    </row>
    <row r="684" spans="1:26" x14ac:dyDescent="0.25">
      <c r="A684">
        <v>683</v>
      </c>
      <c r="B684">
        <v>23</v>
      </c>
      <c r="C684" t="s">
        <v>22</v>
      </c>
      <c r="D684">
        <v>683</v>
      </c>
      <c r="E684" t="s">
        <v>105</v>
      </c>
      <c r="F684" t="s">
        <v>66</v>
      </c>
      <c r="G684">
        <v>683</v>
      </c>
      <c r="H684">
        <v>1018</v>
      </c>
      <c r="I684">
        <v>29</v>
      </c>
      <c r="J684" t="s">
        <v>71</v>
      </c>
      <c r="K684" t="s">
        <v>47</v>
      </c>
      <c r="L684" t="s">
        <v>113</v>
      </c>
      <c r="M684" t="s">
        <v>56</v>
      </c>
      <c r="N684">
        <v>4</v>
      </c>
      <c r="O684">
        <v>1</v>
      </c>
      <c r="P684" t="s">
        <v>57</v>
      </c>
      <c r="Q684" t="s">
        <v>30</v>
      </c>
      <c r="R684" t="s">
        <v>30</v>
      </c>
      <c r="S684">
        <v>49</v>
      </c>
      <c r="T684" t="s">
        <v>42</v>
      </c>
      <c r="U684" t="s">
        <v>79</v>
      </c>
      <c r="V684" s="1">
        <v>45453</v>
      </c>
      <c r="W684">
        <f>Table1[[#This Row],[customer_purchase count]]+1</f>
        <v>50</v>
      </c>
      <c r="X684">
        <f>Table1[[#This Row],[customer_purchase count]]*Rules!$B$3</f>
        <v>2928.4535897435899</v>
      </c>
      <c r="Y684" t="str">
        <f>IF(Table1[[#This Row],[customer_subscription]]=1,"Subscribed","Not Subscribed")</f>
        <v>Subscribed</v>
      </c>
    </row>
    <row r="685" spans="1:26" x14ac:dyDescent="0.25">
      <c r="A685">
        <v>684</v>
      </c>
      <c r="B685">
        <v>33</v>
      </c>
      <c r="C685" t="s">
        <v>22</v>
      </c>
      <c r="D685">
        <v>684</v>
      </c>
      <c r="E685" t="s">
        <v>44</v>
      </c>
      <c r="F685" t="s">
        <v>45</v>
      </c>
      <c r="G685">
        <v>684</v>
      </c>
      <c r="H685">
        <v>1019</v>
      </c>
      <c r="I685">
        <v>36</v>
      </c>
      <c r="J685" t="s">
        <v>154</v>
      </c>
      <c r="K685" t="s">
        <v>39</v>
      </c>
      <c r="L685" t="s">
        <v>86</v>
      </c>
      <c r="M685" t="s">
        <v>28</v>
      </c>
      <c r="N685">
        <v>2.7</v>
      </c>
      <c r="O685">
        <v>1</v>
      </c>
      <c r="P685" t="s">
        <v>41</v>
      </c>
      <c r="Q685" t="s">
        <v>30</v>
      </c>
      <c r="R685" t="s">
        <v>30</v>
      </c>
      <c r="S685">
        <v>3</v>
      </c>
      <c r="T685" t="s">
        <v>78</v>
      </c>
      <c r="U685" t="s">
        <v>91</v>
      </c>
      <c r="V685" s="1">
        <v>45295</v>
      </c>
      <c r="W685">
        <f>Table1[[#This Row],[customer_purchase count]]+1</f>
        <v>4</v>
      </c>
      <c r="X685">
        <f>Table1[[#This Row],[customer_purchase count]]*Rules!$B$3</f>
        <v>179.29307692307694</v>
      </c>
      <c r="Y685" t="str">
        <f>IF(Table1[[#This Row],[customer_subscription]]=1,"Subscribed","Not Subscribed")</f>
        <v>Subscribed</v>
      </c>
    </row>
    <row r="686" spans="1:26" x14ac:dyDescent="0.25">
      <c r="A686">
        <v>685</v>
      </c>
      <c r="B686">
        <v>63</v>
      </c>
      <c r="C686" t="s">
        <v>22</v>
      </c>
      <c r="D686">
        <v>685</v>
      </c>
      <c r="E686" t="s">
        <v>127</v>
      </c>
      <c r="F686" t="s">
        <v>70</v>
      </c>
      <c r="G686">
        <v>685</v>
      </c>
      <c r="H686">
        <v>1021</v>
      </c>
      <c r="I686">
        <v>82</v>
      </c>
      <c r="J686" t="s">
        <v>93</v>
      </c>
      <c r="K686" t="s">
        <v>47</v>
      </c>
      <c r="L686" t="s">
        <v>137</v>
      </c>
      <c r="M686" t="s">
        <v>56</v>
      </c>
      <c r="N686">
        <v>4.7</v>
      </c>
      <c r="O686">
        <v>1</v>
      </c>
      <c r="P686" t="s">
        <v>29</v>
      </c>
      <c r="Q686" t="s">
        <v>30</v>
      </c>
      <c r="R686" t="s">
        <v>30</v>
      </c>
      <c r="S686">
        <v>42</v>
      </c>
      <c r="T686" t="s">
        <v>89</v>
      </c>
      <c r="U686" t="s">
        <v>91</v>
      </c>
      <c r="V686" s="1">
        <v>45517</v>
      </c>
      <c r="W686">
        <f>Table1[[#This Row],[customer_purchase count]]+1</f>
        <v>43</v>
      </c>
      <c r="X686">
        <f>Table1[[#This Row],[customer_purchase count]]*Rules!$B$3</f>
        <v>2510.103076923077</v>
      </c>
      <c r="Y686" t="str">
        <f>IF(Table1[[#This Row],[customer_subscription]]=1,"Subscribed","Not Subscribed")</f>
        <v>Subscribed</v>
      </c>
    </row>
    <row r="687" spans="1:26" x14ac:dyDescent="0.25">
      <c r="A687">
        <v>686</v>
      </c>
      <c r="B687">
        <v>70</v>
      </c>
      <c r="C687" t="s">
        <v>22</v>
      </c>
      <c r="D687">
        <v>686</v>
      </c>
      <c r="E687" t="s">
        <v>23</v>
      </c>
      <c r="F687" t="s">
        <v>24</v>
      </c>
      <c r="G687">
        <v>686</v>
      </c>
      <c r="H687">
        <v>1022</v>
      </c>
      <c r="I687">
        <v>71</v>
      </c>
      <c r="J687" t="s">
        <v>38</v>
      </c>
      <c r="K687" t="s">
        <v>95</v>
      </c>
      <c r="L687" t="s">
        <v>139</v>
      </c>
      <c r="M687" t="s">
        <v>28</v>
      </c>
      <c r="N687">
        <v>3.5</v>
      </c>
      <c r="O687">
        <v>1</v>
      </c>
      <c r="P687" t="s">
        <v>57</v>
      </c>
      <c r="Q687" t="s">
        <v>30</v>
      </c>
      <c r="R687" t="s">
        <v>30</v>
      </c>
      <c r="S687">
        <v>32</v>
      </c>
      <c r="T687" t="s">
        <v>36</v>
      </c>
      <c r="U687" t="s">
        <v>32</v>
      </c>
      <c r="V687" s="1">
        <v>45642</v>
      </c>
      <c r="W687">
        <f>Table1[[#This Row],[customer_purchase count]]+1</f>
        <v>33</v>
      </c>
      <c r="X687">
        <f>Table1[[#This Row],[customer_purchase count]]*Rules!$B$3</f>
        <v>1912.4594871794873</v>
      </c>
      <c r="Y687" t="str">
        <f>IF(Table1[[#This Row],[customer_subscription]]=1,"Subscribed","Not Subscribed")</f>
        <v>Subscribed</v>
      </c>
    </row>
    <row r="688" spans="1:26" x14ac:dyDescent="0.25">
      <c r="A688">
        <v>687</v>
      </c>
      <c r="B688">
        <v>70</v>
      </c>
      <c r="C688" t="s">
        <v>22</v>
      </c>
      <c r="D688">
        <v>687</v>
      </c>
      <c r="E688" t="s">
        <v>33</v>
      </c>
      <c r="F688" t="s">
        <v>24</v>
      </c>
      <c r="G688">
        <v>687</v>
      </c>
      <c r="H688">
        <v>1023</v>
      </c>
      <c r="I688">
        <v>35</v>
      </c>
      <c r="J688" t="s">
        <v>119</v>
      </c>
      <c r="K688" t="s">
        <v>26</v>
      </c>
      <c r="L688" t="s">
        <v>121</v>
      </c>
      <c r="M688" t="s">
        <v>60</v>
      </c>
      <c r="N688">
        <v>3</v>
      </c>
      <c r="O688">
        <v>1</v>
      </c>
      <c r="P688" t="s">
        <v>73</v>
      </c>
      <c r="Q688" t="s">
        <v>30</v>
      </c>
      <c r="R688" t="s">
        <v>30</v>
      </c>
      <c r="S688">
        <v>33</v>
      </c>
      <c r="T688" t="s">
        <v>31</v>
      </c>
      <c r="U688" t="s">
        <v>32</v>
      </c>
      <c r="V688" s="1">
        <v>45557</v>
      </c>
      <c r="W688">
        <f>Table1[[#This Row],[customer_purchase count]]+1</f>
        <v>34</v>
      </c>
      <c r="X688">
        <f>Table1[[#This Row],[customer_purchase count]]*Rules!$B$3</f>
        <v>1972.2238461538464</v>
      </c>
      <c r="Y688" t="str">
        <f>IF(Table1[[#This Row],[customer_subscription]]=1,"Subscribed","Not Subscribed")</f>
        <v>Subscribed</v>
      </c>
    </row>
    <row r="689" spans="1:26" x14ac:dyDescent="0.25">
      <c r="A689">
        <v>688</v>
      </c>
      <c r="B689">
        <v>19</v>
      </c>
      <c r="C689" t="s">
        <v>22</v>
      </c>
      <c r="D689">
        <v>688</v>
      </c>
      <c r="E689" t="s">
        <v>146</v>
      </c>
      <c r="F689" t="s">
        <v>70</v>
      </c>
      <c r="G689">
        <v>688</v>
      </c>
      <c r="H689">
        <v>1024</v>
      </c>
      <c r="I689">
        <v>38</v>
      </c>
      <c r="J689" t="s">
        <v>67</v>
      </c>
      <c r="K689" t="s">
        <v>95</v>
      </c>
      <c r="L689" t="s">
        <v>51</v>
      </c>
      <c r="M689" t="s">
        <v>28</v>
      </c>
      <c r="N689">
        <v>3.3</v>
      </c>
      <c r="O689">
        <v>1</v>
      </c>
      <c r="P689" t="s">
        <v>41</v>
      </c>
      <c r="Q689" t="s">
        <v>30</v>
      </c>
      <c r="R689" t="s">
        <v>30</v>
      </c>
      <c r="S689">
        <v>46</v>
      </c>
      <c r="T689" t="s">
        <v>78</v>
      </c>
      <c r="U689" t="s">
        <v>61</v>
      </c>
      <c r="V689" s="1">
        <v>45634</v>
      </c>
      <c r="W689">
        <f>Table1[[#This Row],[customer_purchase count]]+1</f>
        <v>47</v>
      </c>
      <c r="X689">
        <f>Table1[[#This Row],[customer_purchase count]]*Rules!$B$3</f>
        <v>2749.1605128205128</v>
      </c>
      <c r="Y689" t="str">
        <f>IF(Table1[[#This Row],[customer_subscription]]=1,"Subscribed","Not Subscribed")</f>
        <v>Subscribed</v>
      </c>
    </row>
    <row r="690" spans="1:26" x14ac:dyDescent="0.25">
      <c r="A690">
        <v>689</v>
      </c>
      <c r="B690">
        <v>25</v>
      </c>
      <c r="C690" t="s">
        <v>22</v>
      </c>
      <c r="D690">
        <v>689</v>
      </c>
      <c r="E690" t="s">
        <v>122</v>
      </c>
      <c r="F690" t="s">
        <v>70</v>
      </c>
      <c r="G690">
        <v>689</v>
      </c>
      <c r="H690">
        <v>1025</v>
      </c>
      <c r="I690">
        <v>59</v>
      </c>
      <c r="J690" t="s">
        <v>154</v>
      </c>
      <c r="K690" t="s">
        <v>39</v>
      </c>
      <c r="L690" t="s">
        <v>103</v>
      </c>
      <c r="M690" t="s">
        <v>56</v>
      </c>
      <c r="N690">
        <v>4.7</v>
      </c>
      <c r="O690">
        <v>1</v>
      </c>
      <c r="P690" t="s">
        <v>77</v>
      </c>
      <c r="Q690" t="s">
        <v>30</v>
      </c>
      <c r="R690" t="s">
        <v>30</v>
      </c>
      <c r="S690">
        <v>44</v>
      </c>
      <c r="T690" t="s">
        <v>31</v>
      </c>
      <c r="U690" t="s">
        <v>91</v>
      </c>
      <c r="V690" s="1">
        <v>45466</v>
      </c>
      <c r="W690">
        <f>Table1[[#This Row],[customer_purchase count]]+1</f>
        <v>45</v>
      </c>
      <c r="X690">
        <f>Table1[[#This Row],[customer_purchase count]]*Rules!$B$3</f>
        <v>2629.6317948717951</v>
      </c>
      <c r="Y690" t="str">
        <f>IF(Table1[[#This Row],[customer_subscription]]=1,"Subscribed","Not Subscribed")</f>
        <v>Subscribed</v>
      </c>
    </row>
    <row r="691" spans="1:26" x14ac:dyDescent="0.25">
      <c r="A691">
        <v>690</v>
      </c>
      <c r="B691">
        <v>19</v>
      </c>
      <c r="C691" t="s">
        <v>22</v>
      </c>
      <c r="D691">
        <v>690</v>
      </c>
      <c r="E691" t="s">
        <v>107</v>
      </c>
      <c r="F691" t="s">
        <v>24</v>
      </c>
      <c r="G691">
        <v>690</v>
      </c>
      <c r="H691">
        <v>1027</v>
      </c>
      <c r="I691">
        <v>91</v>
      </c>
      <c r="J691" t="s">
        <v>141</v>
      </c>
      <c r="K691" t="s">
        <v>47</v>
      </c>
      <c r="L691" t="s">
        <v>124</v>
      </c>
      <c r="M691" t="s">
        <v>56</v>
      </c>
      <c r="N691">
        <v>4.7</v>
      </c>
      <c r="O691">
        <v>1</v>
      </c>
      <c r="P691" t="s">
        <v>29</v>
      </c>
      <c r="Q691" t="s">
        <v>30</v>
      </c>
      <c r="R691" t="s">
        <v>30</v>
      </c>
      <c r="S691">
        <v>35</v>
      </c>
      <c r="T691" t="s">
        <v>42</v>
      </c>
      <c r="U691" t="s">
        <v>100</v>
      </c>
      <c r="V691" s="1">
        <v>45501</v>
      </c>
      <c r="W691">
        <f>Table1[[#This Row],[customer_purchase count]]+1</f>
        <v>36</v>
      </c>
      <c r="X691">
        <f>Table1[[#This Row],[customer_purchase count]]*Rules!$B$3</f>
        <v>2091.7525641025641</v>
      </c>
      <c r="Y691" t="str">
        <f>IF(Table1[[#This Row],[customer_subscription]]=1,"Subscribed","Not Subscribed")</f>
        <v>Subscribed</v>
      </c>
    </row>
    <row r="692" spans="1:26" x14ac:dyDescent="0.25">
      <c r="A692">
        <v>691</v>
      </c>
      <c r="B692">
        <v>25</v>
      </c>
      <c r="C692" t="s">
        <v>22</v>
      </c>
      <c r="D692">
        <v>691</v>
      </c>
      <c r="E692" t="s">
        <v>62</v>
      </c>
      <c r="F692" t="s">
        <v>24</v>
      </c>
      <c r="G692">
        <v>691</v>
      </c>
      <c r="H692">
        <v>1028</v>
      </c>
      <c r="I692">
        <v>68</v>
      </c>
      <c r="J692" t="s">
        <v>123</v>
      </c>
      <c r="K692" t="s">
        <v>95</v>
      </c>
      <c r="L692" t="s">
        <v>111</v>
      </c>
      <c r="M692" t="s">
        <v>40</v>
      </c>
      <c r="N692">
        <v>4.8</v>
      </c>
      <c r="O692">
        <v>1</v>
      </c>
      <c r="P692" t="s">
        <v>57</v>
      </c>
      <c r="Q692" t="s">
        <v>30</v>
      </c>
      <c r="R692" t="s">
        <v>30</v>
      </c>
      <c r="S692">
        <v>45</v>
      </c>
      <c r="T692" t="s">
        <v>78</v>
      </c>
      <c r="U692" t="s">
        <v>43</v>
      </c>
      <c r="V692" s="1">
        <v>45435</v>
      </c>
      <c r="W692">
        <f>Table1[[#This Row],[customer_purchase count]]+1</f>
        <v>46</v>
      </c>
      <c r="X692">
        <f>Table1[[#This Row],[customer_purchase count]]*Rules!$B$3</f>
        <v>2689.396153846154</v>
      </c>
      <c r="Y692" t="str">
        <f>IF(Table1[[#This Row],[customer_subscription]]=1,"Subscribed","Not Subscribed")</f>
        <v>Subscribed</v>
      </c>
    </row>
    <row r="693" spans="1:26" x14ac:dyDescent="0.25">
      <c r="A693">
        <v>692</v>
      </c>
      <c r="B693">
        <v>60</v>
      </c>
      <c r="C693" t="s">
        <v>22</v>
      </c>
      <c r="D693">
        <v>692</v>
      </c>
      <c r="E693" t="s">
        <v>135</v>
      </c>
      <c r="F693" t="s">
        <v>70</v>
      </c>
      <c r="G693">
        <v>692</v>
      </c>
      <c r="H693">
        <v>1029</v>
      </c>
      <c r="I693">
        <v>21</v>
      </c>
      <c r="J693" t="s">
        <v>38</v>
      </c>
      <c r="K693" t="s">
        <v>26</v>
      </c>
      <c r="L693" t="s">
        <v>68</v>
      </c>
      <c r="M693" t="s">
        <v>56</v>
      </c>
      <c r="N693">
        <v>2.9</v>
      </c>
      <c r="O693">
        <v>1</v>
      </c>
      <c r="P693" t="s">
        <v>57</v>
      </c>
      <c r="Q693" t="s">
        <v>30</v>
      </c>
      <c r="R693" t="s">
        <v>30</v>
      </c>
      <c r="S693">
        <v>37</v>
      </c>
      <c r="T693" t="s">
        <v>49</v>
      </c>
      <c r="U693" t="s">
        <v>79</v>
      </c>
      <c r="V693" s="1">
        <v>45506</v>
      </c>
      <c r="W693">
        <f>Table1[[#This Row],[customer_purchase count]]+1</f>
        <v>38</v>
      </c>
      <c r="X693">
        <f>Table1[[#This Row],[customer_purchase count]]*Rules!$B$3</f>
        <v>2211.2812820512822</v>
      </c>
      <c r="Y693" t="str">
        <f>IF(Table1[[#This Row],[customer_subscription]]=1,"Subscribed","Not Subscribed")</f>
        <v>Subscribed</v>
      </c>
      <c r="Z693" t="s">
        <v>193</v>
      </c>
    </row>
    <row r="694" spans="1:26" x14ac:dyDescent="0.25">
      <c r="A694">
        <v>693</v>
      </c>
      <c r="B694">
        <v>35</v>
      </c>
      <c r="C694" t="s">
        <v>22</v>
      </c>
      <c r="D694">
        <v>693</v>
      </c>
      <c r="E694" t="s">
        <v>92</v>
      </c>
      <c r="F694" t="s">
        <v>70</v>
      </c>
      <c r="G694">
        <v>693</v>
      </c>
      <c r="H694">
        <v>1030</v>
      </c>
      <c r="I694">
        <v>95</v>
      </c>
      <c r="J694" t="s">
        <v>117</v>
      </c>
      <c r="K694" t="s">
        <v>47</v>
      </c>
      <c r="L694" t="s">
        <v>112</v>
      </c>
      <c r="M694" t="s">
        <v>40</v>
      </c>
      <c r="N694">
        <v>4</v>
      </c>
      <c r="O694">
        <v>1</v>
      </c>
      <c r="P694" t="s">
        <v>73</v>
      </c>
      <c r="Q694" t="s">
        <v>30</v>
      </c>
      <c r="R694" t="s">
        <v>30</v>
      </c>
      <c r="S694">
        <v>40</v>
      </c>
      <c r="T694" t="s">
        <v>89</v>
      </c>
      <c r="U694" t="s">
        <v>100</v>
      </c>
      <c r="V694" s="1">
        <v>45403</v>
      </c>
      <c r="W694">
        <f>Table1[[#This Row],[customer_purchase count]]+1</f>
        <v>41</v>
      </c>
      <c r="X694">
        <f>Table1[[#This Row],[customer_purchase count]]*Rules!$B$3</f>
        <v>2390.5743589743593</v>
      </c>
      <c r="Y694" t="str">
        <f>IF(Table1[[#This Row],[customer_subscription]]=1,"Subscribed","Not Subscribed")</f>
        <v>Subscribed</v>
      </c>
      <c r="Z694" t="s">
        <v>193</v>
      </c>
    </row>
    <row r="695" spans="1:26" x14ac:dyDescent="0.25">
      <c r="A695">
        <v>694</v>
      </c>
      <c r="B695">
        <v>46</v>
      </c>
      <c r="C695" t="s">
        <v>22</v>
      </c>
      <c r="D695">
        <v>694</v>
      </c>
      <c r="E695" t="s">
        <v>62</v>
      </c>
      <c r="F695" t="s">
        <v>24</v>
      </c>
      <c r="G695">
        <v>694</v>
      </c>
      <c r="H695">
        <v>1031</v>
      </c>
      <c r="I695">
        <v>52</v>
      </c>
      <c r="J695" t="s">
        <v>132</v>
      </c>
      <c r="K695" t="s">
        <v>26</v>
      </c>
      <c r="L695" t="s">
        <v>51</v>
      </c>
      <c r="M695" t="s">
        <v>40</v>
      </c>
      <c r="N695">
        <v>3.1</v>
      </c>
      <c r="O695">
        <v>1</v>
      </c>
      <c r="P695" t="s">
        <v>41</v>
      </c>
      <c r="Q695" t="s">
        <v>30</v>
      </c>
      <c r="R695" t="s">
        <v>30</v>
      </c>
      <c r="S695">
        <v>30</v>
      </c>
      <c r="T695" t="s">
        <v>36</v>
      </c>
      <c r="U695" t="s">
        <v>100</v>
      </c>
      <c r="V695" s="1">
        <v>45363</v>
      </c>
      <c r="W695">
        <f>Table1[[#This Row],[customer_purchase count]]+1</f>
        <v>31</v>
      </c>
      <c r="X695">
        <f>Table1[[#This Row],[customer_purchase count]]*Rules!$B$3</f>
        <v>1792.9307692307693</v>
      </c>
      <c r="Y695" t="str">
        <f>IF(Table1[[#This Row],[customer_subscription]]=1,"Subscribed","Not Subscribed")</f>
        <v>Subscribed</v>
      </c>
    </row>
    <row r="696" spans="1:26" x14ac:dyDescent="0.25">
      <c r="A696">
        <v>695</v>
      </c>
      <c r="B696">
        <v>41</v>
      </c>
      <c r="C696" t="s">
        <v>22</v>
      </c>
      <c r="D696">
        <v>695</v>
      </c>
      <c r="E696" t="s">
        <v>84</v>
      </c>
      <c r="F696" t="s">
        <v>24</v>
      </c>
      <c r="G696">
        <v>695</v>
      </c>
      <c r="H696">
        <v>1033</v>
      </c>
      <c r="I696">
        <v>21</v>
      </c>
      <c r="J696" t="s">
        <v>25</v>
      </c>
      <c r="K696" t="s">
        <v>39</v>
      </c>
      <c r="L696" t="s">
        <v>64</v>
      </c>
      <c r="M696" t="s">
        <v>60</v>
      </c>
      <c r="N696">
        <v>3.5</v>
      </c>
      <c r="O696">
        <v>1</v>
      </c>
      <c r="P696" t="s">
        <v>73</v>
      </c>
      <c r="Q696" t="s">
        <v>30</v>
      </c>
      <c r="R696" t="s">
        <v>30</v>
      </c>
      <c r="S696">
        <v>38</v>
      </c>
      <c r="T696" t="s">
        <v>31</v>
      </c>
      <c r="U696" t="s">
        <v>100</v>
      </c>
      <c r="V696" s="1">
        <v>45558</v>
      </c>
      <c r="W696">
        <f>Table1[[#This Row],[customer_purchase count]]+1</f>
        <v>39</v>
      </c>
      <c r="X696">
        <f>Table1[[#This Row],[customer_purchase count]]*Rules!$B$3</f>
        <v>2271.0456410256411</v>
      </c>
      <c r="Y696" t="str">
        <f>IF(Table1[[#This Row],[customer_subscription]]=1,"Subscribed","Not Subscribed")</f>
        <v>Subscribed</v>
      </c>
      <c r="Z696" t="s">
        <v>193</v>
      </c>
    </row>
    <row r="697" spans="1:26" x14ac:dyDescent="0.25">
      <c r="A697">
        <v>696</v>
      </c>
      <c r="B697">
        <v>30</v>
      </c>
      <c r="C697" t="s">
        <v>22</v>
      </c>
      <c r="D697">
        <v>696</v>
      </c>
      <c r="E697" t="s">
        <v>62</v>
      </c>
      <c r="F697" t="s">
        <v>24</v>
      </c>
      <c r="G697">
        <v>696</v>
      </c>
      <c r="H697">
        <v>1034</v>
      </c>
      <c r="I697">
        <v>67</v>
      </c>
      <c r="J697" t="s">
        <v>110</v>
      </c>
      <c r="K697" t="s">
        <v>95</v>
      </c>
      <c r="L697" t="s">
        <v>103</v>
      </c>
      <c r="M697" t="s">
        <v>56</v>
      </c>
      <c r="N697">
        <v>3.7</v>
      </c>
      <c r="O697">
        <v>1</v>
      </c>
      <c r="P697" t="s">
        <v>48</v>
      </c>
      <c r="Q697" t="s">
        <v>30</v>
      </c>
      <c r="R697" t="s">
        <v>30</v>
      </c>
      <c r="S697">
        <v>15</v>
      </c>
      <c r="T697" t="s">
        <v>89</v>
      </c>
      <c r="U697" t="s">
        <v>100</v>
      </c>
      <c r="V697" s="1">
        <v>45453</v>
      </c>
      <c r="W697">
        <f>Table1[[#This Row],[customer_purchase count]]+1</f>
        <v>16</v>
      </c>
      <c r="X697">
        <f>Table1[[#This Row],[customer_purchase count]]*Rules!$B$3</f>
        <v>896.46538461538466</v>
      </c>
      <c r="Y697" t="str">
        <f>IF(Table1[[#This Row],[customer_subscription]]=1,"Subscribed","Not Subscribed")</f>
        <v>Subscribed</v>
      </c>
    </row>
    <row r="698" spans="1:26" x14ac:dyDescent="0.25">
      <c r="A698">
        <v>697</v>
      </c>
      <c r="B698">
        <v>44</v>
      </c>
      <c r="C698" t="s">
        <v>22</v>
      </c>
      <c r="D698">
        <v>697</v>
      </c>
      <c r="E698" t="s">
        <v>136</v>
      </c>
      <c r="F698" t="s">
        <v>70</v>
      </c>
      <c r="G698">
        <v>697</v>
      </c>
      <c r="H698">
        <v>1035</v>
      </c>
      <c r="I698">
        <v>42</v>
      </c>
      <c r="J698" t="s">
        <v>143</v>
      </c>
      <c r="K698" t="s">
        <v>26</v>
      </c>
      <c r="L698" t="s">
        <v>99</v>
      </c>
      <c r="M698" t="s">
        <v>60</v>
      </c>
      <c r="N698">
        <v>2.8</v>
      </c>
      <c r="O698">
        <v>1</v>
      </c>
      <c r="P698" t="s">
        <v>57</v>
      </c>
      <c r="Q698" t="s">
        <v>30</v>
      </c>
      <c r="R698" t="s">
        <v>30</v>
      </c>
      <c r="S698">
        <v>49</v>
      </c>
      <c r="T698" t="s">
        <v>36</v>
      </c>
      <c r="U698" t="s">
        <v>91</v>
      </c>
      <c r="V698" s="1">
        <v>45620</v>
      </c>
      <c r="W698">
        <f>Table1[[#This Row],[customer_purchase count]]+1</f>
        <v>50</v>
      </c>
      <c r="X698">
        <f>Table1[[#This Row],[customer_purchase count]]*Rules!$B$3</f>
        <v>2928.4535897435899</v>
      </c>
      <c r="Y698" t="str">
        <f>IF(Table1[[#This Row],[customer_subscription]]=1,"Subscribed","Not Subscribed")</f>
        <v>Subscribed</v>
      </c>
      <c r="Z698" t="s">
        <v>193</v>
      </c>
    </row>
    <row r="699" spans="1:26" x14ac:dyDescent="0.25">
      <c r="A699">
        <v>698</v>
      </c>
      <c r="B699">
        <v>61</v>
      </c>
      <c r="C699" t="s">
        <v>22</v>
      </c>
      <c r="D699">
        <v>698</v>
      </c>
      <c r="E699" t="s">
        <v>122</v>
      </c>
      <c r="F699" t="s">
        <v>70</v>
      </c>
      <c r="G699">
        <v>698</v>
      </c>
      <c r="H699">
        <v>1036</v>
      </c>
      <c r="I699">
        <v>63</v>
      </c>
      <c r="J699" t="s">
        <v>117</v>
      </c>
      <c r="K699" t="s">
        <v>95</v>
      </c>
      <c r="L699" t="s">
        <v>113</v>
      </c>
      <c r="M699" t="s">
        <v>56</v>
      </c>
      <c r="N699">
        <v>4.5999999999999996</v>
      </c>
      <c r="O699">
        <v>1</v>
      </c>
      <c r="P699" t="s">
        <v>41</v>
      </c>
      <c r="Q699" t="s">
        <v>30</v>
      </c>
      <c r="R699" t="s">
        <v>30</v>
      </c>
      <c r="S699">
        <v>40</v>
      </c>
      <c r="T699" t="s">
        <v>89</v>
      </c>
      <c r="U699" t="s">
        <v>61</v>
      </c>
      <c r="V699" s="1">
        <v>45522</v>
      </c>
      <c r="W699">
        <f>Table1[[#This Row],[customer_purchase count]]+1</f>
        <v>41</v>
      </c>
      <c r="X699">
        <f>Table1[[#This Row],[customer_purchase count]]*Rules!$B$3</f>
        <v>2390.5743589743593</v>
      </c>
      <c r="Y699" t="str">
        <f>IF(Table1[[#This Row],[customer_subscription]]=1,"Subscribed","Not Subscribed")</f>
        <v>Subscribed</v>
      </c>
    </row>
    <row r="700" spans="1:26" x14ac:dyDescent="0.25">
      <c r="A700">
        <v>699</v>
      </c>
      <c r="B700">
        <v>55</v>
      </c>
      <c r="C700" t="s">
        <v>22</v>
      </c>
      <c r="D700">
        <v>699</v>
      </c>
      <c r="E700" t="s">
        <v>140</v>
      </c>
      <c r="F700" t="s">
        <v>45</v>
      </c>
      <c r="G700">
        <v>699</v>
      </c>
      <c r="H700">
        <v>1037</v>
      </c>
      <c r="I700">
        <v>41</v>
      </c>
      <c r="J700" t="s">
        <v>149</v>
      </c>
      <c r="K700" t="s">
        <v>47</v>
      </c>
      <c r="L700" t="s">
        <v>137</v>
      </c>
      <c r="M700" t="s">
        <v>28</v>
      </c>
      <c r="N700">
        <v>3.8</v>
      </c>
      <c r="O700">
        <v>1</v>
      </c>
      <c r="P700" t="s">
        <v>57</v>
      </c>
      <c r="Q700" t="s">
        <v>30</v>
      </c>
      <c r="R700" t="s">
        <v>30</v>
      </c>
      <c r="S700">
        <v>40</v>
      </c>
      <c r="T700" t="s">
        <v>89</v>
      </c>
      <c r="U700" t="s">
        <v>43</v>
      </c>
      <c r="V700" s="1">
        <v>45300</v>
      </c>
      <c r="W700">
        <f>Table1[[#This Row],[customer_purchase count]]+1</f>
        <v>41</v>
      </c>
      <c r="X700">
        <f>Table1[[#This Row],[customer_purchase count]]*Rules!$B$3</f>
        <v>2390.5743589743593</v>
      </c>
      <c r="Y700" t="str">
        <f>IF(Table1[[#This Row],[customer_subscription]]=1,"Subscribed","Not Subscribed")</f>
        <v>Subscribed</v>
      </c>
      <c r="Z700" t="s">
        <v>193</v>
      </c>
    </row>
    <row r="701" spans="1:26" x14ac:dyDescent="0.25">
      <c r="A701">
        <v>700</v>
      </c>
      <c r="B701">
        <v>50</v>
      </c>
      <c r="C701" t="s">
        <v>22</v>
      </c>
      <c r="D701">
        <v>700</v>
      </c>
      <c r="E701" t="s">
        <v>69</v>
      </c>
      <c r="F701" t="s">
        <v>70</v>
      </c>
      <c r="G701">
        <v>700</v>
      </c>
      <c r="H701">
        <v>1039</v>
      </c>
      <c r="I701">
        <v>46</v>
      </c>
      <c r="J701" t="s">
        <v>142</v>
      </c>
      <c r="K701" t="s">
        <v>47</v>
      </c>
      <c r="L701" t="s">
        <v>64</v>
      </c>
      <c r="M701" t="s">
        <v>60</v>
      </c>
      <c r="N701">
        <v>2.6</v>
      </c>
      <c r="O701">
        <v>1</v>
      </c>
      <c r="P701" t="s">
        <v>73</v>
      </c>
      <c r="Q701" t="s">
        <v>30</v>
      </c>
      <c r="R701" t="s">
        <v>30</v>
      </c>
      <c r="S701">
        <v>5</v>
      </c>
      <c r="T701" t="s">
        <v>49</v>
      </c>
      <c r="U701" t="s">
        <v>43</v>
      </c>
      <c r="V701" s="1">
        <v>45586</v>
      </c>
      <c r="W701">
        <f>Table1[[#This Row],[customer_purchase count]]+1</f>
        <v>6</v>
      </c>
      <c r="X701">
        <f>Table1[[#This Row],[customer_purchase count]]*Rules!$B$3</f>
        <v>298.82179487179491</v>
      </c>
      <c r="Y701" t="str">
        <f>IF(Table1[[#This Row],[customer_subscription]]=1,"Subscribed","Not Subscribed")</f>
        <v>Subscribed</v>
      </c>
    </row>
    <row r="702" spans="1:26" x14ac:dyDescent="0.25">
      <c r="A702">
        <v>701</v>
      </c>
      <c r="B702">
        <v>57</v>
      </c>
      <c r="C702" t="s">
        <v>22</v>
      </c>
      <c r="D702">
        <v>701</v>
      </c>
      <c r="E702" t="s">
        <v>98</v>
      </c>
      <c r="F702" t="s">
        <v>24</v>
      </c>
      <c r="G702">
        <v>701</v>
      </c>
      <c r="H702">
        <v>1040</v>
      </c>
      <c r="I702">
        <v>79</v>
      </c>
      <c r="J702" t="s">
        <v>153</v>
      </c>
      <c r="K702" t="s">
        <v>26</v>
      </c>
      <c r="L702" t="s">
        <v>81</v>
      </c>
      <c r="M702" t="s">
        <v>28</v>
      </c>
      <c r="N702">
        <v>4.0999999999999996</v>
      </c>
      <c r="O702">
        <v>1</v>
      </c>
      <c r="P702" t="s">
        <v>57</v>
      </c>
      <c r="Q702" t="s">
        <v>30</v>
      </c>
      <c r="R702" t="s">
        <v>30</v>
      </c>
      <c r="S702">
        <v>5</v>
      </c>
      <c r="T702" t="s">
        <v>49</v>
      </c>
      <c r="U702" t="s">
        <v>91</v>
      </c>
      <c r="V702" s="1">
        <v>45344</v>
      </c>
      <c r="W702">
        <f>Table1[[#This Row],[customer_purchase count]]+1</f>
        <v>6</v>
      </c>
      <c r="X702">
        <f>Table1[[#This Row],[customer_purchase count]]*Rules!$B$3</f>
        <v>298.82179487179491</v>
      </c>
      <c r="Y702" t="str">
        <f>IF(Table1[[#This Row],[customer_subscription]]=1,"Subscribed","Not Subscribed")</f>
        <v>Subscribed</v>
      </c>
    </row>
    <row r="703" spans="1:26" x14ac:dyDescent="0.25">
      <c r="A703">
        <v>702</v>
      </c>
      <c r="B703">
        <v>51</v>
      </c>
      <c r="C703" t="s">
        <v>22</v>
      </c>
      <c r="D703">
        <v>702</v>
      </c>
      <c r="E703" t="s">
        <v>140</v>
      </c>
      <c r="F703" t="s">
        <v>45</v>
      </c>
      <c r="G703">
        <v>702</v>
      </c>
      <c r="H703">
        <v>1041</v>
      </c>
      <c r="I703">
        <v>90</v>
      </c>
      <c r="J703" t="s">
        <v>138</v>
      </c>
      <c r="K703" t="s">
        <v>26</v>
      </c>
      <c r="L703" t="s">
        <v>111</v>
      </c>
      <c r="M703" t="s">
        <v>60</v>
      </c>
      <c r="N703">
        <v>3.3</v>
      </c>
      <c r="O703">
        <v>1</v>
      </c>
      <c r="P703" t="s">
        <v>48</v>
      </c>
      <c r="Q703" t="s">
        <v>30</v>
      </c>
      <c r="R703" t="s">
        <v>30</v>
      </c>
      <c r="S703">
        <v>5</v>
      </c>
      <c r="T703" t="s">
        <v>89</v>
      </c>
      <c r="U703" t="s">
        <v>100</v>
      </c>
      <c r="V703" s="1">
        <v>45551</v>
      </c>
      <c r="W703">
        <f>Table1[[#This Row],[customer_purchase count]]+1</f>
        <v>6</v>
      </c>
      <c r="X703">
        <f>Table1[[#This Row],[customer_purchase count]]*Rules!$B$3</f>
        <v>298.82179487179491</v>
      </c>
      <c r="Y703" t="str">
        <f>IF(Table1[[#This Row],[customer_subscription]]=1,"Subscribed","Not Subscribed")</f>
        <v>Subscribed</v>
      </c>
    </row>
    <row r="704" spans="1:26" x14ac:dyDescent="0.25">
      <c r="A704">
        <v>703</v>
      </c>
      <c r="B704">
        <v>18</v>
      </c>
      <c r="C704" t="s">
        <v>22</v>
      </c>
      <c r="D704">
        <v>703</v>
      </c>
      <c r="E704" t="s">
        <v>58</v>
      </c>
      <c r="F704" t="s">
        <v>24</v>
      </c>
      <c r="G704">
        <v>703</v>
      </c>
      <c r="H704">
        <v>1042</v>
      </c>
      <c r="I704">
        <v>71</v>
      </c>
      <c r="J704" t="s">
        <v>59</v>
      </c>
      <c r="K704" t="s">
        <v>47</v>
      </c>
      <c r="L704" t="s">
        <v>55</v>
      </c>
      <c r="M704" t="s">
        <v>28</v>
      </c>
      <c r="N704">
        <v>3.4</v>
      </c>
      <c r="O704">
        <v>1</v>
      </c>
      <c r="P704" t="s">
        <v>77</v>
      </c>
      <c r="Q704" t="s">
        <v>30</v>
      </c>
      <c r="R704" t="s">
        <v>30</v>
      </c>
      <c r="S704">
        <v>1</v>
      </c>
      <c r="T704" t="s">
        <v>36</v>
      </c>
      <c r="U704" t="s">
        <v>43</v>
      </c>
      <c r="V704" s="1">
        <v>45295</v>
      </c>
      <c r="W704">
        <f>Table1[[#This Row],[customer_purchase count]]+1</f>
        <v>2</v>
      </c>
      <c r="X704">
        <f>Table1[[#This Row],[customer_purchase count]]*Rules!$B$3</f>
        <v>59.764358974358977</v>
      </c>
      <c r="Y704" t="str">
        <f>IF(Table1[[#This Row],[customer_subscription]]=1,"Subscribed","Not Subscribed")</f>
        <v>Subscribed</v>
      </c>
    </row>
    <row r="705" spans="1:26" x14ac:dyDescent="0.25">
      <c r="A705">
        <v>704</v>
      </c>
      <c r="B705">
        <v>63</v>
      </c>
      <c r="C705" t="s">
        <v>22</v>
      </c>
      <c r="D705">
        <v>704</v>
      </c>
      <c r="E705" t="s">
        <v>84</v>
      </c>
      <c r="F705" t="s">
        <v>24</v>
      </c>
      <c r="G705">
        <v>704</v>
      </c>
      <c r="H705">
        <v>1043</v>
      </c>
      <c r="I705">
        <v>87</v>
      </c>
      <c r="J705" t="s">
        <v>142</v>
      </c>
      <c r="K705" t="s">
        <v>26</v>
      </c>
      <c r="L705" t="s">
        <v>72</v>
      </c>
      <c r="M705" t="s">
        <v>56</v>
      </c>
      <c r="N705">
        <v>3</v>
      </c>
      <c r="O705">
        <v>1</v>
      </c>
      <c r="P705" t="s">
        <v>57</v>
      </c>
      <c r="Q705" t="s">
        <v>30</v>
      </c>
      <c r="R705" t="s">
        <v>30</v>
      </c>
      <c r="S705">
        <v>21</v>
      </c>
      <c r="T705" t="s">
        <v>31</v>
      </c>
      <c r="U705" t="s">
        <v>43</v>
      </c>
      <c r="V705" s="1">
        <v>45498</v>
      </c>
      <c r="W705">
        <f>Table1[[#This Row],[customer_purchase count]]+1</f>
        <v>22</v>
      </c>
      <c r="X705">
        <f>Table1[[#This Row],[customer_purchase count]]*Rules!$B$3</f>
        <v>1255.0515384615385</v>
      </c>
      <c r="Y705" t="str">
        <f>IF(Table1[[#This Row],[customer_subscription]]=1,"Subscribed","Not Subscribed")</f>
        <v>Subscribed</v>
      </c>
    </row>
    <row r="706" spans="1:26" x14ac:dyDescent="0.25">
      <c r="A706">
        <v>705</v>
      </c>
      <c r="B706">
        <v>34</v>
      </c>
      <c r="C706" t="s">
        <v>22</v>
      </c>
      <c r="D706">
        <v>705</v>
      </c>
      <c r="E706" t="s">
        <v>107</v>
      </c>
      <c r="F706" t="s">
        <v>24</v>
      </c>
      <c r="G706">
        <v>705</v>
      </c>
      <c r="H706">
        <v>1045</v>
      </c>
      <c r="I706">
        <v>66</v>
      </c>
      <c r="J706" t="s">
        <v>138</v>
      </c>
      <c r="K706" t="s">
        <v>39</v>
      </c>
      <c r="L706" t="s">
        <v>97</v>
      </c>
      <c r="M706" t="s">
        <v>40</v>
      </c>
      <c r="N706">
        <v>3.2</v>
      </c>
      <c r="O706">
        <v>1</v>
      </c>
      <c r="P706" t="s">
        <v>29</v>
      </c>
      <c r="Q706" t="s">
        <v>30</v>
      </c>
      <c r="R706" t="s">
        <v>30</v>
      </c>
      <c r="S706">
        <v>18</v>
      </c>
      <c r="T706" t="s">
        <v>49</v>
      </c>
      <c r="U706" t="s">
        <v>52</v>
      </c>
      <c r="V706" s="1">
        <v>45439</v>
      </c>
      <c r="W706">
        <f>Table1[[#This Row],[customer_purchase count]]+1</f>
        <v>19</v>
      </c>
      <c r="X706">
        <f>Table1[[#This Row],[customer_purchase count]]*Rules!$B$3</f>
        <v>1075.7584615384617</v>
      </c>
      <c r="Y706" t="str">
        <f>IF(Table1[[#This Row],[customer_subscription]]=1,"Subscribed","Not Subscribed")</f>
        <v>Subscribed</v>
      </c>
    </row>
    <row r="707" spans="1:26" x14ac:dyDescent="0.25">
      <c r="A707">
        <v>706</v>
      </c>
      <c r="B707">
        <v>25</v>
      </c>
      <c r="C707" t="s">
        <v>22</v>
      </c>
      <c r="D707">
        <v>706</v>
      </c>
      <c r="E707" t="s">
        <v>98</v>
      </c>
      <c r="F707" t="s">
        <v>24</v>
      </c>
      <c r="G707">
        <v>706</v>
      </c>
      <c r="H707">
        <v>1046</v>
      </c>
      <c r="I707">
        <v>90</v>
      </c>
      <c r="J707" t="s">
        <v>75</v>
      </c>
      <c r="K707" t="s">
        <v>95</v>
      </c>
      <c r="L707" t="s">
        <v>129</v>
      </c>
      <c r="M707" t="s">
        <v>56</v>
      </c>
      <c r="N707">
        <v>4.5</v>
      </c>
      <c r="O707">
        <v>1</v>
      </c>
      <c r="P707" t="s">
        <v>41</v>
      </c>
      <c r="Q707" t="s">
        <v>30</v>
      </c>
      <c r="R707" t="s">
        <v>30</v>
      </c>
      <c r="S707">
        <v>49</v>
      </c>
      <c r="T707" t="s">
        <v>36</v>
      </c>
      <c r="U707" t="s">
        <v>61</v>
      </c>
      <c r="V707" s="1">
        <v>45505</v>
      </c>
      <c r="W707">
        <f>Table1[[#This Row],[customer_purchase count]]+1</f>
        <v>50</v>
      </c>
      <c r="X707">
        <f>Table1[[#This Row],[customer_purchase count]]*Rules!$B$3</f>
        <v>2928.4535897435899</v>
      </c>
      <c r="Y707" t="str">
        <f>IF(Table1[[#This Row],[customer_subscription]]=1,"Subscribed","Not Subscribed")</f>
        <v>Subscribed</v>
      </c>
    </row>
    <row r="708" spans="1:26" x14ac:dyDescent="0.25">
      <c r="A708">
        <v>707</v>
      </c>
      <c r="B708">
        <v>46</v>
      </c>
      <c r="C708" t="s">
        <v>22</v>
      </c>
      <c r="D708">
        <v>707</v>
      </c>
      <c r="E708" t="s">
        <v>37</v>
      </c>
      <c r="F708" t="s">
        <v>24</v>
      </c>
      <c r="G708">
        <v>707</v>
      </c>
      <c r="H708">
        <v>1047</v>
      </c>
      <c r="I708">
        <v>47</v>
      </c>
      <c r="J708" t="s">
        <v>149</v>
      </c>
      <c r="K708" t="s">
        <v>26</v>
      </c>
      <c r="L708" t="s">
        <v>51</v>
      </c>
      <c r="M708" t="s">
        <v>56</v>
      </c>
      <c r="N708">
        <v>4.8</v>
      </c>
      <c r="O708">
        <v>1</v>
      </c>
      <c r="P708" t="s">
        <v>29</v>
      </c>
      <c r="Q708" t="s">
        <v>30</v>
      </c>
      <c r="R708" t="s">
        <v>30</v>
      </c>
      <c r="S708">
        <v>27</v>
      </c>
      <c r="T708" t="s">
        <v>89</v>
      </c>
      <c r="U708" t="s">
        <v>43</v>
      </c>
      <c r="V708" s="1">
        <v>45451</v>
      </c>
      <c r="W708">
        <f>Table1[[#This Row],[customer_purchase count]]+1</f>
        <v>28</v>
      </c>
      <c r="X708">
        <f>Table1[[#This Row],[customer_purchase count]]*Rules!$B$3</f>
        <v>1613.6376923076923</v>
      </c>
      <c r="Y708" t="str">
        <f>IF(Table1[[#This Row],[customer_subscription]]=1,"Subscribed","Not Subscribed")</f>
        <v>Subscribed</v>
      </c>
    </row>
    <row r="709" spans="1:26" x14ac:dyDescent="0.25">
      <c r="A709">
        <v>708</v>
      </c>
      <c r="B709">
        <v>59</v>
      </c>
      <c r="C709" t="s">
        <v>22</v>
      </c>
      <c r="D709">
        <v>708</v>
      </c>
      <c r="E709" t="s">
        <v>58</v>
      </c>
      <c r="F709" t="s">
        <v>24</v>
      </c>
      <c r="G709">
        <v>708</v>
      </c>
      <c r="H709">
        <v>1048</v>
      </c>
      <c r="I709">
        <v>38</v>
      </c>
      <c r="J709" t="s">
        <v>63</v>
      </c>
      <c r="K709" t="s">
        <v>26</v>
      </c>
      <c r="L709" t="s">
        <v>76</v>
      </c>
      <c r="M709" t="s">
        <v>40</v>
      </c>
      <c r="N709">
        <v>3.7</v>
      </c>
      <c r="O709">
        <v>1</v>
      </c>
      <c r="P709" t="s">
        <v>48</v>
      </c>
      <c r="Q709" t="s">
        <v>30</v>
      </c>
      <c r="R709" t="s">
        <v>30</v>
      </c>
      <c r="S709">
        <v>21</v>
      </c>
      <c r="T709" t="s">
        <v>31</v>
      </c>
      <c r="U709" t="s">
        <v>52</v>
      </c>
      <c r="V709" s="1">
        <v>45379</v>
      </c>
      <c r="W709">
        <f>Table1[[#This Row],[customer_purchase count]]+1</f>
        <v>22</v>
      </c>
      <c r="X709">
        <f>Table1[[#This Row],[customer_purchase count]]*Rules!$B$3</f>
        <v>1255.0515384615385</v>
      </c>
      <c r="Y709" t="str">
        <f>IF(Table1[[#This Row],[customer_subscription]]=1,"Subscribed","Not Subscribed")</f>
        <v>Subscribed</v>
      </c>
    </row>
    <row r="710" spans="1:26" x14ac:dyDescent="0.25">
      <c r="A710">
        <v>709</v>
      </c>
      <c r="B710">
        <v>37</v>
      </c>
      <c r="C710" t="s">
        <v>22</v>
      </c>
      <c r="D710">
        <v>709</v>
      </c>
      <c r="E710" t="s">
        <v>135</v>
      </c>
      <c r="F710" t="s">
        <v>70</v>
      </c>
      <c r="G710">
        <v>709</v>
      </c>
      <c r="H710">
        <v>1049</v>
      </c>
      <c r="I710">
        <v>50</v>
      </c>
      <c r="J710" t="s">
        <v>25</v>
      </c>
      <c r="K710" t="s">
        <v>26</v>
      </c>
      <c r="L710" t="s">
        <v>121</v>
      </c>
      <c r="M710" t="s">
        <v>56</v>
      </c>
      <c r="N710">
        <v>3.4</v>
      </c>
      <c r="O710">
        <v>1</v>
      </c>
      <c r="P710" t="s">
        <v>77</v>
      </c>
      <c r="Q710" t="s">
        <v>30</v>
      </c>
      <c r="R710" t="s">
        <v>30</v>
      </c>
      <c r="S710">
        <v>19</v>
      </c>
      <c r="T710" t="s">
        <v>36</v>
      </c>
      <c r="U710" t="s">
        <v>32</v>
      </c>
      <c r="V710" s="1">
        <v>45471</v>
      </c>
      <c r="W710">
        <f>Table1[[#This Row],[customer_purchase count]]+1</f>
        <v>20</v>
      </c>
      <c r="X710">
        <f>Table1[[#This Row],[customer_purchase count]]*Rules!$B$3</f>
        <v>1135.5228205128205</v>
      </c>
      <c r="Y710" t="str">
        <f>IF(Table1[[#This Row],[customer_subscription]]=1,"Subscribed","Not Subscribed")</f>
        <v>Subscribed</v>
      </c>
    </row>
    <row r="711" spans="1:26" x14ac:dyDescent="0.25">
      <c r="A711">
        <v>710</v>
      </c>
      <c r="B711">
        <v>49</v>
      </c>
      <c r="C711" t="s">
        <v>22</v>
      </c>
      <c r="D711">
        <v>710</v>
      </c>
      <c r="E711" t="s">
        <v>105</v>
      </c>
      <c r="F711" t="s">
        <v>66</v>
      </c>
      <c r="G711">
        <v>710</v>
      </c>
      <c r="H711">
        <v>1051</v>
      </c>
      <c r="I711">
        <v>79</v>
      </c>
      <c r="J711" t="s">
        <v>38</v>
      </c>
      <c r="K711" t="s">
        <v>26</v>
      </c>
      <c r="L711" t="s">
        <v>64</v>
      </c>
      <c r="M711" t="s">
        <v>56</v>
      </c>
      <c r="N711">
        <v>4.5999999999999996</v>
      </c>
      <c r="O711">
        <v>1</v>
      </c>
      <c r="P711" t="s">
        <v>57</v>
      </c>
      <c r="Q711" t="s">
        <v>30</v>
      </c>
      <c r="R711" t="s">
        <v>30</v>
      </c>
      <c r="S711">
        <v>23</v>
      </c>
      <c r="T711" t="s">
        <v>89</v>
      </c>
      <c r="U711" t="s">
        <v>91</v>
      </c>
      <c r="V711" s="1">
        <v>45488</v>
      </c>
      <c r="W711">
        <f>Table1[[#This Row],[customer_purchase count]]+1</f>
        <v>24</v>
      </c>
      <c r="X711">
        <f>Table1[[#This Row],[customer_purchase count]]*Rules!$B$3</f>
        <v>1374.5802564102564</v>
      </c>
      <c r="Y711" t="str">
        <f>IF(Table1[[#This Row],[customer_subscription]]=1,"Subscribed","Not Subscribed")</f>
        <v>Subscribed</v>
      </c>
    </row>
    <row r="712" spans="1:26" x14ac:dyDescent="0.25">
      <c r="A712">
        <v>711</v>
      </c>
      <c r="B712">
        <v>22</v>
      </c>
      <c r="C712" t="s">
        <v>22</v>
      </c>
      <c r="D712">
        <v>711</v>
      </c>
      <c r="E712" t="s">
        <v>122</v>
      </c>
      <c r="F712" t="s">
        <v>70</v>
      </c>
      <c r="G712">
        <v>711</v>
      </c>
      <c r="H712">
        <v>1052</v>
      </c>
      <c r="I712">
        <v>91</v>
      </c>
      <c r="J712" t="s">
        <v>144</v>
      </c>
      <c r="K712" t="s">
        <v>26</v>
      </c>
      <c r="L712" t="s">
        <v>51</v>
      </c>
      <c r="M712" t="s">
        <v>40</v>
      </c>
      <c r="N712">
        <v>4.0999999999999996</v>
      </c>
      <c r="O712">
        <v>1</v>
      </c>
      <c r="P712" t="s">
        <v>57</v>
      </c>
      <c r="Q712" t="s">
        <v>30</v>
      </c>
      <c r="R712" t="s">
        <v>30</v>
      </c>
      <c r="S712">
        <v>26</v>
      </c>
      <c r="T712" t="s">
        <v>49</v>
      </c>
      <c r="U712" t="s">
        <v>32</v>
      </c>
      <c r="V712" s="1">
        <v>45423</v>
      </c>
      <c r="W712">
        <f>Table1[[#This Row],[customer_purchase count]]+1</f>
        <v>27</v>
      </c>
      <c r="X712">
        <f>Table1[[#This Row],[customer_purchase count]]*Rules!$B$3</f>
        <v>1553.8733333333334</v>
      </c>
      <c r="Y712" t="str">
        <f>IF(Table1[[#This Row],[customer_subscription]]=1,"Subscribed","Not Subscribed")</f>
        <v>Subscribed</v>
      </c>
    </row>
    <row r="713" spans="1:26" x14ac:dyDescent="0.25">
      <c r="A713">
        <v>712</v>
      </c>
      <c r="B713">
        <v>64</v>
      </c>
      <c r="C713" t="s">
        <v>22</v>
      </c>
      <c r="D713">
        <v>712</v>
      </c>
      <c r="E713" t="s">
        <v>140</v>
      </c>
      <c r="F713" t="s">
        <v>45</v>
      </c>
      <c r="G713">
        <v>712</v>
      </c>
      <c r="H713">
        <v>1053</v>
      </c>
      <c r="I713">
        <v>60</v>
      </c>
      <c r="J713" t="s">
        <v>85</v>
      </c>
      <c r="K713" t="s">
        <v>47</v>
      </c>
      <c r="L713" t="s">
        <v>35</v>
      </c>
      <c r="M713" t="s">
        <v>40</v>
      </c>
      <c r="N713">
        <v>3.5</v>
      </c>
      <c r="O713">
        <v>1</v>
      </c>
      <c r="P713" t="s">
        <v>73</v>
      </c>
      <c r="Q713" t="s">
        <v>30</v>
      </c>
      <c r="R713" t="s">
        <v>30</v>
      </c>
      <c r="S713">
        <v>13</v>
      </c>
      <c r="T713" t="s">
        <v>78</v>
      </c>
      <c r="U713" t="s">
        <v>79</v>
      </c>
      <c r="V713" s="1">
        <v>45371</v>
      </c>
      <c r="W713">
        <f>Table1[[#This Row],[customer_purchase count]]+1</f>
        <v>14</v>
      </c>
      <c r="X713">
        <f>Table1[[#This Row],[customer_purchase count]]*Rules!$B$3</f>
        <v>776.93666666666672</v>
      </c>
      <c r="Y713" t="str">
        <f>IF(Table1[[#This Row],[customer_subscription]]=1,"Subscribed","Not Subscribed")</f>
        <v>Subscribed</v>
      </c>
    </row>
    <row r="714" spans="1:26" x14ac:dyDescent="0.25">
      <c r="A714">
        <v>713</v>
      </c>
      <c r="B714">
        <v>42</v>
      </c>
      <c r="C714" t="s">
        <v>22</v>
      </c>
      <c r="D714">
        <v>713</v>
      </c>
      <c r="E714" t="s">
        <v>23</v>
      </c>
      <c r="F714" t="s">
        <v>24</v>
      </c>
      <c r="G714">
        <v>713</v>
      </c>
      <c r="H714">
        <v>1054</v>
      </c>
      <c r="I714">
        <v>81</v>
      </c>
      <c r="J714" t="s">
        <v>85</v>
      </c>
      <c r="K714" t="s">
        <v>95</v>
      </c>
      <c r="L714" t="s">
        <v>97</v>
      </c>
      <c r="M714" t="s">
        <v>56</v>
      </c>
      <c r="N714">
        <v>3.8</v>
      </c>
      <c r="O714">
        <v>1</v>
      </c>
      <c r="P714" t="s">
        <v>48</v>
      </c>
      <c r="Q714" t="s">
        <v>30</v>
      </c>
      <c r="R714" t="s">
        <v>30</v>
      </c>
      <c r="S714">
        <v>36</v>
      </c>
      <c r="T714" t="s">
        <v>78</v>
      </c>
      <c r="U714" t="s">
        <v>61</v>
      </c>
      <c r="V714" s="1">
        <v>45462</v>
      </c>
      <c r="W714">
        <f>Table1[[#This Row],[customer_purchase count]]+1</f>
        <v>37</v>
      </c>
      <c r="X714">
        <f>Table1[[#This Row],[customer_purchase count]]*Rules!$B$3</f>
        <v>2151.5169230769234</v>
      </c>
      <c r="Y714" t="str">
        <f>IF(Table1[[#This Row],[customer_subscription]]=1,"Subscribed","Not Subscribed")</f>
        <v>Subscribed</v>
      </c>
      <c r="Z714" t="s">
        <v>193</v>
      </c>
    </row>
    <row r="715" spans="1:26" x14ac:dyDescent="0.25">
      <c r="A715">
        <v>714</v>
      </c>
      <c r="B715">
        <v>37</v>
      </c>
      <c r="C715" t="s">
        <v>22</v>
      </c>
      <c r="D715">
        <v>714</v>
      </c>
      <c r="E715" t="s">
        <v>107</v>
      </c>
      <c r="F715" t="s">
        <v>24</v>
      </c>
      <c r="G715">
        <v>714</v>
      </c>
      <c r="H715">
        <v>1055</v>
      </c>
      <c r="I715">
        <v>90</v>
      </c>
      <c r="J715" t="s">
        <v>50</v>
      </c>
      <c r="K715" t="s">
        <v>47</v>
      </c>
      <c r="L715" t="s">
        <v>96</v>
      </c>
      <c r="M715" t="s">
        <v>56</v>
      </c>
      <c r="N715">
        <v>2.6</v>
      </c>
      <c r="O715">
        <v>1</v>
      </c>
      <c r="P715" t="s">
        <v>29</v>
      </c>
      <c r="Q715" t="s">
        <v>30</v>
      </c>
      <c r="R715" t="s">
        <v>30</v>
      </c>
      <c r="S715">
        <v>39</v>
      </c>
      <c r="T715" t="s">
        <v>78</v>
      </c>
      <c r="U715" t="s">
        <v>79</v>
      </c>
      <c r="V715" s="1">
        <v>45523</v>
      </c>
      <c r="W715">
        <f>Table1[[#This Row],[customer_purchase count]]+1</f>
        <v>40</v>
      </c>
      <c r="X715">
        <f>Table1[[#This Row],[customer_purchase count]]*Rules!$B$3</f>
        <v>2330.81</v>
      </c>
      <c r="Y715" t="str">
        <f>IF(Table1[[#This Row],[customer_subscription]]=1,"Subscribed","Not Subscribed")</f>
        <v>Subscribed</v>
      </c>
      <c r="Z715" t="s">
        <v>193</v>
      </c>
    </row>
    <row r="716" spans="1:26" x14ac:dyDescent="0.25">
      <c r="A716">
        <v>715</v>
      </c>
      <c r="B716">
        <v>26</v>
      </c>
      <c r="C716" t="s">
        <v>22</v>
      </c>
      <c r="D716">
        <v>715</v>
      </c>
      <c r="E716" t="s">
        <v>105</v>
      </c>
      <c r="F716" t="s">
        <v>66</v>
      </c>
      <c r="G716">
        <v>715</v>
      </c>
      <c r="H716">
        <v>1057</v>
      </c>
      <c r="I716">
        <v>70</v>
      </c>
      <c r="J716" t="s">
        <v>150</v>
      </c>
      <c r="K716" t="s">
        <v>47</v>
      </c>
      <c r="L716" t="s">
        <v>139</v>
      </c>
      <c r="M716" t="s">
        <v>60</v>
      </c>
      <c r="N716">
        <v>4.4000000000000004</v>
      </c>
      <c r="O716">
        <v>1</v>
      </c>
      <c r="P716" t="s">
        <v>77</v>
      </c>
      <c r="Q716" t="s">
        <v>30</v>
      </c>
      <c r="R716" t="s">
        <v>30</v>
      </c>
      <c r="S716">
        <v>40</v>
      </c>
      <c r="T716" t="s">
        <v>89</v>
      </c>
      <c r="U716" t="s">
        <v>32</v>
      </c>
      <c r="V716" s="1">
        <v>45562</v>
      </c>
      <c r="W716">
        <f>Table1[[#This Row],[customer_purchase count]]+1</f>
        <v>41</v>
      </c>
      <c r="X716">
        <f>Table1[[#This Row],[customer_purchase count]]*Rules!$B$3</f>
        <v>2390.5743589743593</v>
      </c>
      <c r="Y716" t="str">
        <f>IF(Table1[[#This Row],[customer_subscription]]=1,"Subscribed","Not Subscribed")</f>
        <v>Subscribed</v>
      </c>
    </row>
    <row r="717" spans="1:26" x14ac:dyDescent="0.25">
      <c r="A717">
        <v>716</v>
      </c>
      <c r="B717">
        <v>33</v>
      </c>
      <c r="C717" t="s">
        <v>22</v>
      </c>
      <c r="D717">
        <v>716</v>
      </c>
      <c r="E717" t="s">
        <v>37</v>
      </c>
      <c r="F717" t="s">
        <v>24</v>
      </c>
      <c r="G717">
        <v>716</v>
      </c>
      <c r="H717">
        <v>1058</v>
      </c>
      <c r="I717">
        <v>63</v>
      </c>
      <c r="J717" t="s">
        <v>82</v>
      </c>
      <c r="K717" t="s">
        <v>26</v>
      </c>
      <c r="L717" t="s">
        <v>99</v>
      </c>
      <c r="M717" t="s">
        <v>40</v>
      </c>
      <c r="N717">
        <v>2.6</v>
      </c>
      <c r="O717">
        <v>1</v>
      </c>
      <c r="P717" t="s">
        <v>29</v>
      </c>
      <c r="Q717" t="s">
        <v>30</v>
      </c>
      <c r="R717" t="s">
        <v>30</v>
      </c>
      <c r="S717">
        <v>37</v>
      </c>
      <c r="T717" t="s">
        <v>89</v>
      </c>
      <c r="U717" t="s">
        <v>61</v>
      </c>
      <c r="V717" s="1">
        <v>45416</v>
      </c>
      <c r="W717">
        <f>Table1[[#This Row],[customer_purchase count]]+1</f>
        <v>38</v>
      </c>
      <c r="X717">
        <f>Table1[[#This Row],[customer_purchase count]]*Rules!$B$3</f>
        <v>2211.2812820512822</v>
      </c>
      <c r="Y717" t="str">
        <f>IF(Table1[[#This Row],[customer_subscription]]=1,"Subscribed","Not Subscribed")</f>
        <v>Subscribed</v>
      </c>
      <c r="Z717" t="s">
        <v>193</v>
      </c>
    </row>
    <row r="718" spans="1:26" x14ac:dyDescent="0.25">
      <c r="A718">
        <v>717</v>
      </c>
      <c r="B718">
        <v>30</v>
      </c>
      <c r="C718" t="s">
        <v>22</v>
      </c>
      <c r="D718">
        <v>717</v>
      </c>
      <c r="E718" t="s">
        <v>109</v>
      </c>
      <c r="F718" t="s">
        <v>70</v>
      </c>
      <c r="G718">
        <v>717</v>
      </c>
      <c r="H718">
        <v>1059</v>
      </c>
      <c r="I718">
        <v>29</v>
      </c>
      <c r="J718" t="s">
        <v>71</v>
      </c>
      <c r="K718" t="s">
        <v>47</v>
      </c>
      <c r="L718" t="s">
        <v>81</v>
      </c>
      <c r="M718" t="s">
        <v>40</v>
      </c>
      <c r="N718">
        <v>3.6</v>
      </c>
      <c r="O718">
        <v>1</v>
      </c>
      <c r="P718" t="s">
        <v>29</v>
      </c>
      <c r="Q718" t="s">
        <v>30</v>
      </c>
      <c r="R718" t="s">
        <v>30</v>
      </c>
      <c r="S718">
        <v>9</v>
      </c>
      <c r="T718" t="s">
        <v>31</v>
      </c>
      <c r="U718" t="s">
        <v>79</v>
      </c>
      <c r="V718" s="1">
        <v>45383</v>
      </c>
      <c r="W718">
        <f>Table1[[#This Row],[customer_purchase count]]+1</f>
        <v>10</v>
      </c>
      <c r="X718">
        <f>Table1[[#This Row],[customer_purchase count]]*Rules!$B$3</f>
        <v>537.87923076923084</v>
      </c>
      <c r="Y718" t="str">
        <f>IF(Table1[[#This Row],[customer_subscription]]=1,"Subscribed","Not Subscribed")</f>
        <v>Subscribed</v>
      </c>
    </row>
    <row r="719" spans="1:26" x14ac:dyDescent="0.25">
      <c r="A719">
        <v>718</v>
      </c>
      <c r="B719">
        <v>21</v>
      </c>
      <c r="C719" t="s">
        <v>22</v>
      </c>
      <c r="D719">
        <v>718</v>
      </c>
      <c r="E719" t="s">
        <v>128</v>
      </c>
      <c r="F719" t="s">
        <v>24</v>
      </c>
      <c r="G719">
        <v>718</v>
      </c>
      <c r="H719">
        <v>1060</v>
      </c>
      <c r="I719">
        <v>90</v>
      </c>
      <c r="J719" t="s">
        <v>123</v>
      </c>
      <c r="K719" t="s">
        <v>26</v>
      </c>
      <c r="L719" t="s">
        <v>99</v>
      </c>
      <c r="M719" t="s">
        <v>40</v>
      </c>
      <c r="N719">
        <v>4.2</v>
      </c>
      <c r="O719">
        <v>1</v>
      </c>
      <c r="P719" t="s">
        <v>29</v>
      </c>
      <c r="Q719" t="s">
        <v>30</v>
      </c>
      <c r="R719" t="s">
        <v>30</v>
      </c>
      <c r="S719">
        <v>7</v>
      </c>
      <c r="T719" t="s">
        <v>31</v>
      </c>
      <c r="U719" t="s">
        <v>100</v>
      </c>
      <c r="V719" s="1">
        <v>45406</v>
      </c>
      <c r="W719">
        <f>Table1[[#This Row],[customer_purchase count]]+1</f>
        <v>8</v>
      </c>
      <c r="X719">
        <f>Table1[[#This Row],[customer_purchase count]]*Rules!$B$3</f>
        <v>418.35051282051285</v>
      </c>
      <c r="Y719" t="str">
        <f>IF(Table1[[#This Row],[customer_subscription]]=1,"Subscribed","Not Subscribed")</f>
        <v>Subscribed</v>
      </c>
    </row>
    <row r="720" spans="1:26" x14ac:dyDescent="0.25">
      <c r="A720">
        <v>719</v>
      </c>
      <c r="B720">
        <v>22</v>
      </c>
      <c r="C720" t="s">
        <v>22</v>
      </c>
      <c r="D720">
        <v>719</v>
      </c>
      <c r="E720" t="s">
        <v>58</v>
      </c>
      <c r="F720" t="s">
        <v>24</v>
      </c>
      <c r="G720">
        <v>719</v>
      </c>
      <c r="H720">
        <v>1061</v>
      </c>
      <c r="I720">
        <v>22</v>
      </c>
      <c r="J720" t="s">
        <v>106</v>
      </c>
      <c r="K720" t="s">
        <v>47</v>
      </c>
      <c r="L720" t="s">
        <v>103</v>
      </c>
      <c r="M720" t="s">
        <v>56</v>
      </c>
      <c r="N720">
        <v>4.5999999999999996</v>
      </c>
      <c r="O720">
        <v>1</v>
      </c>
      <c r="P720" t="s">
        <v>57</v>
      </c>
      <c r="Q720" t="s">
        <v>30</v>
      </c>
      <c r="R720" t="s">
        <v>30</v>
      </c>
      <c r="S720">
        <v>25</v>
      </c>
      <c r="T720" t="s">
        <v>78</v>
      </c>
      <c r="U720" t="s">
        <v>52</v>
      </c>
      <c r="V720" s="1">
        <v>45494</v>
      </c>
      <c r="W720">
        <f>Table1[[#This Row],[customer_purchase count]]+1</f>
        <v>26</v>
      </c>
      <c r="X720">
        <f>Table1[[#This Row],[customer_purchase count]]*Rules!$B$3</f>
        <v>1494.1089743589744</v>
      </c>
      <c r="Y720" t="str">
        <f>IF(Table1[[#This Row],[customer_subscription]]=1,"Subscribed","Not Subscribed")</f>
        <v>Subscribed</v>
      </c>
    </row>
    <row r="721" spans="1:26" x14ac:dyDescent="0.25">
      <c r="A721">
        <v>720</v>
      </c>
      <c r="B721">
        <v>63</v>
      </c>
      <c r="C721" t="s">
        <v>22</v>
      </c>
      <c r="D721">
        <v>720</v>
      </c>
      <c r="E721" t="s">
        <v>62</v>
      </c>
      <c r="F721" t="s">
        <v>24</v>
      </c>
      <c r="G721">
        <v>720</v>
      </c>
      <c r="H721">
        <v>1063</v>
      </c>
      <c r="I721">
        <v>22</v>
      </c>
      <c r="J721" t="s">
        <v>94</v>
      </c>
      <c r="K721" t="s">
        <v>26</v>
      </c>
      <c r="L721" t="s">
        <v>51</v>
      </c>
      <c r="M721" t="s">
        <v>56</v>
      </c>
      <c r="N721">
        <v>3.3</v>
      </c>
      <c r="O721">
        <v>1</v>
      </c>
      <c r="P721" t="s">
        <v>48</v>
      </c>
      <c r="Q721" t="s">
        <v>30</v>
      </c>
      <c r="R721" t="s">
        <v>30</v>
      </c>
      <c r="S721">
        <v>42</v>
      </c>
      <c r="T721" t="s">
        <v>31</v>
      </c>
      <c r="U721" t="s">
        <v>79</v>
      </c>
      <c r="V721" s="1">
        <v>45450</v>
      </c>
      <c r="W721">
        <f>Table1[[#This Row],[customer_purchase count]]+1</f>
        <v>43</v>
      </c>
      <c r="X721">
        <f>Table1[[#This Row],[customer_purchase count]]*Rules!$B$3</f>
        <v>2510.103076923077</v>
      </c>
      <c r="Y721" t="str">
        <f>IF(Table1[[#This Row],[customer_subscription]]=1,"Subscribed","Not Subscribed")</f>
        <v>Subscribed</v>
      </c>
    </row>
    <row r="722" spans="1:26" x14ac:dyDescent="0.25">
      <c r="A722">
        <v>721</v>
      </c>
      <c r="B722">
        <v>33</v>
      </c>
      <c r="C722" t="s">
        <v>22</v>
      </c>
      <c r="D722">
        <v>721</v>
      </c>
      <c r="E722" t="s">
        <v>109</v>
      </c>
      <c r="F722" t="s">
        <v>70</v>
      </c>
      <c r="G722">
        <v>721</v>
      </c>
      <c r="H722">
        <v>1064</v>
      </c>
      <c r="I722">
        <v>62</v>
      </c>
      <c r="J722" t="s">
        <v>133</v>
      </c>
      <c r="K722" t="s">
        <v>26</v>
      </c>
      <c r="L722" t="s">
        <v>124</v>
      </c>
      <c r="M722" t="s">
        <v>60</v>
      </c>
      <c r="N722">
        <v>3.4</v>
      </c>
      <c r="O722">
        <v>1</v>
      </c>
      <c r="P722" t="s">
        <v>41</v>
      </c>
      <c r="Q722" t="s">
        <v>30</v>
      </c>
      <c r="R722" t="s">
        <v>30</v>
      </c>
      <c r="S722">
        <v>19</v>
      </c>
      <c r="T722" t="s">
        <v>89</v>
      </c>
      <c r="U722" t="s">
        <v>43</v>
      </c>
      <c r="V722" s="1">
        <v>45575</v>
      </c>
      <c r="W722">
        <f>Table1[[#This Row],[customer_purchase count]]+1</f>
        <v>20</v>
      </c>
      <c r="X722">
        <f>Table1[[#This Row],[customer_purchase count]]*Rules!$B$3</f>
        <v>1135.5228205128205</v>
      </c>
      <c r="Y722" t="str">
        <f>IF(Table1[[#This Row],[customer_subscription]]=1,"Subscribed","Not Subscribed")</f>
        <v>Subscribed</v>
      </c>
    </row>
    <row r="723" spans="1:26" x14ac:dyDescent="0.25">
      <c r="A723">
        <v>722</v>
      </c>
      <c r="B723">
        <v>43</v>
      </c>
      <c r="C723" t="s">
        <v>22</v>
      </c>
      <c r="D723">
        <v>722</v>
      </c>
      <c r="E723" t="s">
        <v>23</v>
      </c>
      <c r="F723" t="s">
        <v>24</v>
      </c>
      <c r="G723">
        <v>722</v>
      </c>
      <c r="H723">
        <v>1065</v>
      </c>
      <c r="I723">
        <v>57</v>
      </c>
      <c r="J723" t="s">
        <v>102</v>
      </c>
      <c r="K723" t="s">
        <v>26</v>
      </c>
      <c r="L723" t="s">
        <v>68</v>
      </c>
      <c r="M723" t="s">
        <v>56</v>
      </c>
      <c r="N723">
        <v>4.4000000000000004</v>
      </c>
      <c r="O723">
        <v>1</v>
      </c>
      <c r="P723" t="s">
        <v>48</v>
      </c>
      <c r="Q723" t="s">
        <v>30</v>
      </c>
      <c r="R723" t="s">
        <v>30</v>
      </c>
      <c r="S723">
        <v>41</v>
      </c>
      <c r="T723" t="s">
        <v>89</v>
      </c>
      <c r="U723" t="s">
        <v>100</v>
      </c>
      <c r="V723" s="1">
        <v>45476</v>
      </c>
      <c r="W723">
        <f>Table1[[#This Row],[customer_purchase count]]+1</f>
        <v>42</v>
      </c>
      <c r="X723">
        <f>Table1[[#This Row],[customer_purchase count]]*Rules!$B$3</f>
        <v>2450.3387179487181</v>
      </c>
      <c r="Y723" t="str">
        <f>IF(Table1[[#This Row],[customer_subscription]]=1,"Subscribed","Not Subscribed")</f>
        <v>Subscribed</v>
      </c>
      <c r="Z723" t="s">
        <v>193</v>
      </c>
    </row>
    <row r="724" spans="1:26" x14ac:dyDescent="0.25">
      <c r="A724">
        <v>723</v>
      </c>
      <c r="B724">
        <v>27</v>
      </c>
      <c r="C724" t="s">
        <v>22</v>
      </c>
      <c r="D724">
        <v>723</v>
      </c>
      <c r="E724" t="s">
        <v>33</v>
      </c>
      <c r="F724" t="s">
        <v>24</v>
      </c>
      <c r="G724">
        <v>723</v>
      </c>
      <c r="H724">
        <v>1066</v>
      </c>
      <c r="I724">
        <v>32</v>
      </c>
      <c r="J724" t="s">
        <v>54</v>
      </c>
      <c r="K724" t="s">
        <v>39</v>
      </c>
      <c r="L724" t="s">
        <v>147</v>
      </c>
      <c r="M724" t="s">
        <v>56</v>
      </c>
      <c r="N724">
        <v>4.3</v>
      </c>
      <c r="O724">
        <v>1</v>
      </c>
      <c r="P724" t="s">
        <v>77</v>
      </c>
      <c r="Q724" t="s">
        <v>30</v>
      </c>
      <c r="R724" t="s">
        <v>30</v>
      </c>
      <c r="S724">
        <v>50</v>
      </c>
      <c r="T724" t="s">
        <v>36</v>
      </c>
      <c r="U724" t="s">
        <v>79</v>
      </c>
      <c r="V724" s="1">
        <v>45514</v>
      </c>
      <c r="W724">
        <f>Table1[[#This Row],[customer_purchase count]]+1</f>
        <v>51</v>
      </c>
      <c r="X724">
        <f>Table1[[#This Row],[customer_purchase count]]*Rules!$B$3</f>
        <v>2988.2179487179487</v>
      </c>
      <c r="Y724" t="str">
        <f>IF(Table1[[#This Row],[customer_subscription]]=1,"Subscribed","Not Subscribed")</f>
        <v>Subscribed</v>
      </c>
    </row>
    <row r="725" spans="1:26" x14ac:dyDescent="0.25">
      <c r="A725">
        <v>724</v>
      </c>
      <c r="B725">
        <v>35</v>
      </c>
      <c r="C725" t="s">
        <v>22</v>
      </c>
      <c r="D725">
        <v>724</v>
      </c>
      <c r="E725" t="s">
        <v>109</v>
      </c>
      <c r="F725" t="s">
        <v>70</v>
      </c>
      <c r="G725">
        <v>724</v>
      </c>
      <c r="H725">
        <v>1067</v>
      </c>
      <c r="I725">
        <v>53</v>
      </c>
      <c r="J725" t="s">
        <v>71</v>
      </c>
      <c r="K725" t="s">
        <v>26</v>
      </c>
      <c r="L725" t="s">
        <v>112</v>
      </c>
      <c r="M725" t="s">
        <v>60</v>
      </c>
      <c r="N725">
        <v>3.5</v>
      </c>
      <c r="O725">
        <v>1</v>
      </c>
      <c r="P725" t="s">
        <v>29</v>
      </c>
      <c r="Q725" t="s">
        <v>30</v>
      </c>
      <c r="R725" t="s">
        <v>30</v>
      </c>
      <c r="S725">
        <v>43</v>
      </c>
      <c r="T725" t="s">
        <v>49</v>
      </c>
      <c r="U725" t="s">
        <v>91</v>
      </c>
      <c r="V725" s="1">
        <v>45584</v>
      </c>
      <c r="W725">
        <f>Table1[[#This Row],[customer_purchase count]]+1</f>
        <v>44</v>
      </c>
      <c r="X725">
        <f>Table1[[#This Row],[customer_purchase count]]*Rules!$B$3</f>
        <v>2569.8674358974358</v>
      </c>
      <c r="Y725" t="str">
        <f>IF(Table1[[#This Row],[customer_subscription]]=1,"Subscribed","Not Subscribed")</f>
        <v>Subscribed</v>
      </c>
      <c r="Z725" t="s">
        <v>193</v>
      </c>
    </row>
    <row r="726" spans="1:26" x14ac:dyDescent="0.25">
      <c r="A726">
        <v>725</v>
      </c>
      <c r="B726">
        <v>37</v>
      </c>
      <c r="C726" t="s">
        <v>22</v>
      </c>
      <c r="D726">
        <v>725</v>
      </c>
      <c r="E726" t="s">
        <v>116</v>
      </c>
      <c r="F726" t="s">
        <v>24</v>
      </c>
      <c r="G726">
        <v>725</v>
      </c>
      <c r="H726">
        <v>1069</v>
      </c>
      <c r="I726">
        <v>79</v>
      </c>
      <c r="J726" t="s">
        <v>85</v>
      </c>
      <c r="K726" t="s">
        <v>95</v>
      </c>
      <c r="L726" t="s">
        <v>99</v>
      </c>
      <c r="M726" t="s">
        <v>60</v>
      </c>
      <c r="N726">
        <v>4.7</v>
      </c>
      <c r="O726">
        <v>1</v>
      </c>
      <c r="P726" t="s">
        <v>77</v>
      </c>
      <c r="Q726" t="s">
        <v>30</v>
      </c>
      <c r="R726" t="s">
        <v>30</v>
      </c>
      <c r="S726">
        <v>36</v>
      </c>
      <c r="T726" t="s">
        <v>31</v>
      </c>
      <c r="U726" t="s">
        <v>100</v>
      </c>
      <c r="V726" s="1">
        <v>45620</v>
      </c>
      <c r="W726">
        <f>Table1[[#This Row],[customer_purchase count]]+1</f>
        <v>37</v>
      </c>
      <c r="X726">
        <f>Table1[[#This Row],[customer_purchase count]]*Rules!$B$3</f>
        <v>2151.5169230769234</v>
      </c>
      <c r="Y726" t="str">
        <f>IF(Table1[[#This Row],[customer_subscription]]=1,"Subscribed","Not Subscribed")</f>
        <v>Subscribed</v>
      </c>
      <c r="Z726" t="s">
        <v>193</v>
      </c>
    </row>
    <row r="727" spans="1:26" x14ac:dyDescent="0.25">
      <c r="A727">
        <v>726</v>
      </c>
      <c r="B727">
        <v>61</v>
      </c>
      <c r="C727" t="s">
        <v>22</v>
      </c>
      <c r="D727">
        <v>726</v>
      </c>
      <c r="E727" t="s">
        <v>127</v>
      </c>
      <c r="F727" t="s">
        <v>70</v>
      </c>
      <c r="G727">
        <v>726</v>
      </c>
      <c r="H727">
        <v>1070</v>
      </c>
      <c r="I727">
        <v>61</v>
      </c>
      <c r="J727" t="s">
        <v>108</v>
      </c>
      <c r="K727" t="s">
        <v>26</v>
      </c>
      <c r="L727" t="s">
        <v>68</v>
      </c>
      <c r="M727" t="s">
        <v>28</v>
      </c>
      <c r="N727">
        <v>3.1</v>
      </c>
      <c r="O727">
        <v>1</v>
      </c>
      <c r="P727" t="s">
        <v>57</v>
      </c>
      <c r="Q727" t="s">
        <v>30</v>
      </c>
      <c r="R727" t="s">
        <v>30</v>
      </c>
      <c r="S727">
        <v>33</v>
      </c>
      <c r="T727" t="s">
        <v>89</v>
      </c>
      <c r="U727" t="s">
        <v>32</v>
      </c>
      <c r="V727" s="1">
        <v>45654</v>
      </c>
      <c r="W727">
        <f>Table1[[#This Row],[customer_purchase count]]+1</f>
        <v>34</v>
      </c>
      <c r="X727">
        <f>Table1[[#This Row],[customer_purchase count]]*Rules!$B$3</f>
        <v>1972.2238461538464</v>
      </c>
      <c r="Y727" t="str">
        <f>IF(Table1[[#This Row],[customer_subscription]]=1,"Subscribed","Not Subscribed")</f>
        <v>Subscribed</v>
      </c>
    </row>
    <row r="728" spans="1:26" x14ac:dyDescent="0.25">
      <c r="A728">
        <v>727</v>
      </c>
      <c r="B728">
        <v>32</v>
      </c>
      <c r="C728" t="s">
        <v>22</v>
      </c>
      <c r="D728">
        <v>727</v>
      </c>
      <c r="E728" t="s">
        <v>62</v>
      </c>
      <c r="F728" t="s">
        <v>24</v>
      </c>
      <c r="G728">
        <v>727</v>
      </c>
      <c r="H728">
        <v>1071</v>
      </c>
      <c r="I728">
        <v>78</v>
      </c>
      <c r="J728" t="s">
        <v>117</v>
      </c>
      <c r="K728" t="s">
        <v>26</v>
      </c>
      <c r="L728" t="s">
        <v>137</v>
      </c>
      <c r="M728" t="s">
        <v>56</v>
      </c>
      <c r="N728">
        <v>3.6</v>
      </c>
      <c r="O728">
        <v>1</v>
      </c>
      <c r="P728" t="s">
        <v>48</v>
      </c>
      <c r="Q728" t="s">
        <v>30</v>
      </c>
      <c r="R728" t="s">
        <v>30</v>
      </c>
      <c r="S728">
        <v>20</v>
      </c>
      <c r="T728" t="s">
        <v>78</v>
      </c>
      <c r="U728" t="s">
        <v>100</v>
      </c>
      <c r="V728" s="1">
        <v>45492</v>
      </c>
      <c r="W728">
        <f>Table1[[#This Row],[customer_purchase count]]+1</f>
        <v>21</v>
      </c>
      <c r="X728">
        <f>Table1[[#This Row],[customer_purchase count]]*Rules!$B$3</f>
        <v>1195.2871794871796</v>
      </c>
      <c r="Y728" t="str">
        <f>IF(Table1[[#This Row],[customer_subscription]]=1,"Subscribed","Not Subscribed")</f>
        <v>Subscribed</v>
      </c>
    </row>
    <row r="729" spans="1:26" x14ac:dyDescent="0.25">
      <c r="A729">
        <v>728</v>
      </c>
      <c r="B729">
        <v>62</v>
      </c>
      <c r="C729" t="s">
        <v>22</v>
      </c>
      <c r="D729">
        <v>728</v>
      </c>
      <c r="E729" t="s">
        <v>33</v>
      </c>
      <c r="F729" t="s">
        <v>24</v>
      </c>
      <c r="G729">
        <v>728</v>
      </c>
      <c r="H729">
        <v>1072</v>
      </c>
      <c r="I729">
        <v>97</v>
      </c>
      <c r="J729" t="s">
        <v>75</v>
      </c>
      <c r="K729" t="s">
        <v>39</v>
      </c>
      <c r="L729" t="s">
        <v>27</v>
      </c>
      <c r="M729" t="s">
        <v>28</v>
      </c>
      <c r="N729">
        <v>4.8</v>
      </c>
      <c r="O729">
        <v>1</v>
      </c>
      <c r="P729" t="s">
        <v>48</v>
      </c>
      <c r="Q729" t="s">
        <v>30</v>
      </c>
      <c r="R729" t="s">
        <v>30</v>
      </c>
      <c r="S729">
        <v>37</v>
      </c>
      <c r="T729" t="s">
        <v>31</v>
      </c>
      <c r="U729" t="s">
        <v>100</v>
      </c>
      <c r="V729" s="1">
        <v>45324</v>
      </c>
      <c r="W729">
        <f>Table1[[#This Row],[customer_purchase count]]+1</f>
        <v>38</v>
      </c>
      <c r="X729">
        <f>Table1[[#This Row],[customer_purchase count]]*Rules!$B$3</f>
        <v>2211.2812820512822</v>
      </c>
      <c r="Y729" t="str">
        <f>IF(Table1[[#This Row],[customer_subscription]]=1,"Subscribed","Not Subscribed")</f>
        <v>Subscribed</v>
      </c>
    </row>
    <row r="730" spans="1:26" x14ac:dyDescent="0.25">
      <c r="A730">
        <v>729</v>
      </c>
      <c r="B730">
        <v>29</v>
      </c>
      <c r="C730" t="s">
        <v>22</v>
      </c>
      <c r="D730">
        <v>729</v>
      </c>
      <c r="E730" t="s">
        <v>37</v>
      </c>
      <c r="F730" t="s">
        <v>24</v>
      </c>
      <c r="G730">
        <v>729</v>
      </c>
      <c r="H730">
        <v>1073</v>
      </c>
      <c r="I730">
        <v>78</v>
      </c>
      <c r="J730" t="s">
        <v>148</v>
      </c>
      <c r="K730" t="s">
        <v>47</v>
      </c>
      <c r="L730" t="s">
        <v>72</v>
      </c>
      <c r="M730" t="s">
        <v>28</v>
      </c>
      <c r="N730">
        <v>3.7</v>
      </c>
      <c r="O730">
        <v>1</v>
      </c>
      <c r="P730" t="s">
        <v>48</v>
      </c>
      <c r="Q730" t="s">
        <v>30</v>
      </c>
      <c r="R730" t="s">
        <v>30</v>
      </c>
      <c r="S730">
        <v>12</v>
      </c>
      <c r="T730" t="s">
        <v>49</v>
      </c>
      <c r="U730" t="s">
        <v>100</v>
      </c>
      <c r="V730" s="1">
        <v>45349</v>
      </c>
      <c r="W730">
        <f>Table1[[#This Row],[customer_purchase count]]+1</f>
        <v>13</v>
      </c>
      <c r="X730">
        <f>Table1[[#This Row],[customer_purchase count]]*Rules!$B$3</f>
        <v>717.17230769230775</v>
      </c>
      <c r="Y730" t="str">
        <f>IF(Table1[[#This Row],[customer_subscription]]=1,"Subscribed","Not Subscribed")</f>
        <v>Subscribed</v>
      </c>
      <c r="Z730" t="s">
        <v>187</v>
      </c>
    </row>
    <row r="731" spans="1:26" x14ac:dyDescent="0.25">
      <c r="A731">
        <v>730</v>
      </c>
      <c r="B731">
        <v>41</v>
      </c>
      <c r="C731" t="s">
        <v>22</v>
      </c>
      <c r="D731">
        <v>730</v>
      </c>
      <c r="E731" t="s">
        <v>92</v>
      </c>
      <c r="F731" t="s">
        <v>70</v>
      </c>
      <c r="G731">
        <v>730</v>
      </c>
      <c r="H731">
        <v>1075</v>
      </c>
      <c r="I731">
        <v>56</v>
      </c>
      <c r="J731" t="s">
        <v>151</v>
      </c>
      <c r="K731" t="s">
        <v>26</v>
      </c>
      <c r="L731" t="s">
        <v>121</v>
      </c>
      <c r="M731" t="s">
        <v>56</v>
      </c>
      <c r="N731">
        <v>3.2</v>
      </c>
      <c r="O731">
        <v>1</v>
      </c>
      <c r="P731" t="s">
        <v>29</v>
      </c>
      <c r="Q731" t="s">
        <v>30</v>
      </c>
      <c r="R731" t="s">
        <v>30</v>
      </c>
      <c r="S731">
        <v>46</v>
      </c>
      <c r="T731" t="s">
        <v>49</v>
      </c>
      <c r="U731" t="s">
        <v>100</v>
      </c>
      <c r="V731" s="1">
        <v>45513</v>
      </c>
      <c r="W731">
        <f>Table1[[#This Row],[customer_purchase count]]+1</f>
        <v>47</v>
      </c>
      <c r="X731">
        <f>Table1[[#This Row],[customer_purchase count]]*Rules!$B$3</f>
        <v>2749.1605128205128</v>
      </c>
      <c r="Y731" t="str">
        <f>IF(Table1[[#This Row],[customer_subscription]]=1,"Subscribed","Not Subscribed")</f>
        <v>Subscribed</v>
      </c>
      <c r="Z731" t="s">
        <v>193</v>
      </c>
    </row>
    <row r="732" spans="1:26" x14ac:dyDescent="0.25">
      <c r="A732">
        <v>731</v>
      </c>
      <c r="B732">
        <v>48</v>
      </c>
      <c r="C732" t="s">
        <v>22</v>
      </c>
      <c r="D732">
        <v>731</v>
      </c>
      <c r="E732" t="s">
        <v>140</v>
      </c>
      <c r="F732" t="s">
        <v>45</v>
      </c>
      <c r="G732">
        <v>731</v>
      </c>
      <c r="H732">
        <v>1076</v>
      </c>
      <c r="I732">
        <v>25</v>
      </c>
      <c r="J732" t="s">
        <v>38</v>
      </c>
      <c r="K732" t="s">
        <v>47</v>
      </c>
      <c r="L732" t="s">
        <v>129</v>
      </c>
      <c r="M732" t="s">
        <v>56</v>
      </c>
      <c r="N732">
        <v>3.9</v>
      </c>
      <c r="O732">
        <v>1</v>
      </c>
      <c r="P732" t="s">
        <v>57</v>
      </c>
      <c r="Q732" t="s">
        <v>30</v>
      </c>
      <c r="R732" t="s">
        <v>30</v>
      </c>
      <c r="S732">
        <v>28</v>
      </c>
      <c r="T732" t="s">
        <v>31</v>
      </c>
      <c r="U732" t="s">
        <v>32</v>
      </c>
      <c r="V732" s="1">
        <v>45452</v>
      </c>
      <c r="W732">
        <f>Table1[[#This Row],[customer_purchase count]]+1</f>
        <v>29</v>
      </c>
      <c r="X732">
        <f>Table1[[#This Row],[customer_purchase count]]*Rules!$B$3</f>
        <v>1673.4020512820514</v>
      </c>
      <c r="Y732" t="str">
        <f>IF(Table1[[#This Row],[customer_subscription]]=1,"Subscribed","Not Subscribed")</f>
        <v>Subscribed</v>
      </c>
    </row>
    <row r="733" spans="1:26" x14ac:dyDescent="0.25">
      <c r="A733">
        <v>732</v>
      </c>
      <c r="B733">
        <v>43</v>
      </c>
      <c r="C733" t="s">
        <v>22</v>
      </c>
      <c r="D733">
        <v>732</v>
      </c>
      <c r="E733" t="s">
        <v>65</v>
      </c>
      <c r="F733" t="s">
        <v>66</v>
      </c>
      <c r="G733">
        <v>732</v>
      </c>
      <c r="H733">
        <v>1077</v>
      </c>
      <c r="I733">
        <v>28</v>
      </c>
      <c r="J733" t="s">
        <v>75</v>
      </c>
      <c r="K733" t="s">
        <v>47</v>
      </c>
      <c r="L733" t="s">
        <v>111</v>
      </c>
      <c r="M733" t="s">
        <v>40</v>
      </c>
      <c r="N733">
        <v>3.5</v>
      </c>
      <c r="O733">
        <v>1</v>
      </c>
      <c r="P733" t="s">
        <v>41</v>
      </c>
      <c r="Q733" t="s">
        <v>30</v>
      </c>
      <c r="R733" t="s">
        <v>30</v>
      </c>
      <c r="S733">
        <v>30</v>
      </c>
      <c r="T733" t="s">
        <v>49</v>
      </c>
      <c r="U733" t="s">
        <v>32</v>
      </c>
      <c r="V733" s="1">
        <v>45360</v>
      </c>
      <c r="W733">
        <f>Table1[[#This Row],[customer_purchase count]]+1</f>
        <v>31</v>
      </c>
      <c r="X733">
        <f>Table1[[#This Row],[customer_purchase count]]*Rules!$B$3</f>
        <v>1792.9307692307693</v>
      </c>
      <c r="Y733" t="str">
        <f>IF(Table1[[#This Row],[customer_subscription]]=1,"Subscribed","Not Subscribed")</f>
        <v>Subscribed</v>
      </c>
    </row>
    <row r="734" spans="1:26" x14ac:dyDescent="0.25">
      <c r="A734">
        <v>733</v>
      </c>
      <c r="B734">
        <v>34</v>
      </c>
      <c r="C734" t="s">
        <v>22</v>
      </c>
      <c r="D734">
        <v>733</v>
      </c>
      <c r="E734" t="s">
        <v>58</v>
      </c>
      <c r="F734" t="s">
        <v>24</v>
      </c>
      <c r="G734">
        <v>733</v>
      </c>
      <c r="H734">
        <v>1078</v>
      </c>
      <c r="I734">
        <v>57</v>
      </c>
      <c r="J734" t="s">
        <v>85</v>
      </c>
      <c r="K734" t="s">
        <v>26</v>
      </c>
      <c r="L734" t="s">
        <v>147</v>
      </c>
      <c r="M734" t="s">
        <v>40</v>
      </c>
      <c r="N734">
        <v>2.8</v>
      </c>
      <c r="O734">
        <v>1</v>
      </c>
      <c r="P734" t="s">
        <v>29</v>
      </c>
      <c r="Q734" t="s">
        <v>30</v>
      </c>
      <c r="R734" t="s">
        <v>30</v>
      </c>
      <c r="S734">
        <v>28</v>
      </c>
      <c r="T734" t="s">
        <v>36</v>
      </c>
      <c r="U734" t="s">
        <v>79</v>
      </c>
      <c r="V734" s="1">
        <v>45398</v>
      </c>
      <c r="W734">
        <f>Table1[[#This Row],[customer_purchase count]]+1</f>
        <v>29</v>
      </c>
      <c r="X734">
        <f>Table1[[#This Row],[customer_purchase count]]*Rules!$B$3</f>
        <v>1673.4020512820514</v>
      </c>
      <c r="Y734" t="str">
        <f>IF(Table1[[#This Row],[customer_subscription]]=1,"Subscribed","Not Subscribed")</f>
        <v>Subscribed</v>
      </c>
    </row>
    <row r="735" spans="1:26" x14ac:dyDescent="0.25">
      <c r="A735">
        <v>734</v>
      </c>
      <c r="B735">
        <v>45</v>
      </c>
      <c r="C735" t="s">
        <v>22</v>
      </c>
      <c r="D735">
        <v>734</v>
      </c>
      <c r="E735" t="s">
        <v>84</v>
      </c>
      <c r="F735" t="s">
        <v>24</v>
      </c>
      <c r="G735">
        <v>734</v>
      </c>
      <c r="H735">
        <v>1079</v>
      </c>
      <c r="I735">
        <v>36</v>
      </c>
      <c r="J735" t="s">
        <v>46</v>
      </c>
      <c r="K735" t="s">
        <v>26</v>
      </c>
      <c r="L735" t="s">
        <v>112</v>
      </c>
      <c r="M735" t="s">
        <v>60</v>
      </c>
      <c r="N735">
        <v>2.7</v>
      </c>
      <c r="O735">
        <v>1</v>
      </c>
      <c r="P735" t="s">
        <v>73</v>
      </c>
      <c r="Q735" t="s">
        <v>30</v>
      </c>
      <c r="R735" t="s">
        <v>30</v>
      </c>
      <c r="S735">
        <v>20</v>
      </c>
      <c r="T735" t="s">
        <v>89</v>
      </c>
      <c r="U735" t="s">
        <v>79</v>
      </c>
      <c r="V735" s="1">
        <v>45622</v>
      </c>
      <c r="W735">
        <f>Table1[[#This Row],[customer_purchase count]]+1</f>
        <v>21</v>
      </c>
      <c r="X735">
        <f>Table1[[#This Row],[customer_purchase count]]*Rules!$B$3</f>
        <v>1195.2871794871796</v>
      </c>
      <c r="Y735" t="str">
        <f>IF(Table1[[#This Row],[customer_subscription]]=1,"Subscribed","Not Subscribed")</f>
        <v>Subscribed</v>
      </c>
    </row>
    <row r="736" spans="1:26" x14ac:dyDescent="0.25">
      <c r="A736">
        <v>735</v>
      </c>
      <c r="B736">
        <v>65</v>
      </c>
      <c r="C736" t="s">
        <v>22</v>
      </c>
      <c r="D736">
        <v>735</v>
      </c>
      <c r="E736" t="s">
        <v>58</v>
      </c>
      <c r="F736" t="s">
        <v>24</v>
      </c>
      <c r="G736">
        <v>735</v>
      </c>
      <c r="H736">
        <v>1081</v>
      </c>
      <c r="I736">
        <v>69</v>
      </c>
      <c r="J736" t="s">
        <v>130</v>
      </c>
      <c r="K736" t="s">
        <v>39</v>
      </c>
      <c r="L736" t="s">
        <v>86</v>
      </c>
      <c r="M736" t="s">
        <v>28</v>
      </c>
      <c r="N736">
        <v>3.1</v>
      </c>
      <c r="O736">
        <v>1</v>
      </c>
      <c r="P736" t="s">
        <v>29</v>
      </c>
      <c r="Q736" t="s">
        <v>30</v>
      </c>
      <c r="R736" t="s">
        <v>30</v>
      </c>
      <c r="S736">
        <v>39</v>
      </c>
      <c r="T736" t="s">
        <v>78</v>
      </c>
      <c r="U736" t="s">
        <v>100</v>
      </c>
      <c r="V736" s="1">
        <v>45312</v>
      </c>
      <c r="W736">
        <f>Table1[[#This Row],[customer_purchase count]]+1</f>
        <v>40</v>
      </c>
      <c r="X736">
        <f>Table1[[#This Row],[customer_purchase count]]*Rules!$B$3</f>
        <v>2330.81</v>
      </c>
      <c r="Y736" t="str">
        <f>IF(Table1[[#This Row],[customer_subscription]]=1,"Subscribed","Not Subscribed")</f>
        <v>Subscribed</v>
      </c>
    </row>
    <row r="737" spans="1:26" x14ac:dyDescent="0.25">
      <c r="A737">
        <v>736</v>
      </c>
      <c r="B737">
        <v>61</v>
      </c>
      <c r="C737" t="s">
        <v>22</v>
      </c>
      <c r="D737">
        <v>736</v>
      </c>
      <c r="E737" t="s">
        <v>92</v>
      </c>
      <c r="F737" t="s">
        <v>70</v>
      </c>
      <c r="G737">
        <v>736</v>
      </c>
      <c r="H737">
        <v>1082</v>
      </c>
      <c r="I737">
        <v>48</v>
      </c>
      <c r="J737" t="s">
        <v>59</v>
      </c>
      <c r="K737" t="s">
        <v>47</v>
      </c>
      <c r="L737" t="s">
        <v>124</v>
      </c>
      <c r="M737" t="s">
        <v>60</v>
      </c>
      <c r="N737">
        <v>3.6</v>
      </c>
      <c r="O737">
        <v>1</v>
      </c>
      <c r="P737" t="s">
        <v>73</v>
      </c>
      <c r="Q737" t="s">
        <v>30</v>
      </c>
      <c r="R737" t="s">
        <v>30</v>
      </c>
      <c r="S737">
        <v>48</v>
      </c>
      <c r="T737" t="s">
        <v>36</v>
      </c>
      <c r="U737" t="s">
        <v>79</v>
      </c>
      <c r="V737" s="1">
        <v>45586</v>
      </c>
      <c r="W737">
        <f>Table1[[#This Row],[customer_purchase count]]+1</f>
        <v>49</v>
      </c>
      <c r="X737">
        <f>Table1[[#This Row],[customer_purchase count]]*Rules!$B$3</f>
        <v>2868.689230769231</v>
      </c>
      <c r="Y737" t="str">
        <f>IF(Table1[[#This Row],[customer_subscription]]=1,"Subscribed","Not Subscribed")</f>
        <v>Subscribed</v>
      </c>
    </row>
    <row r="738" spans="1:26" x14ac:dyDescent="0.25">
      <c r="A738">
        <v>737</v>
      </c>
      <c r="B738">
        <v>18</v>
      </c>
      <c r="C738" t="s">
        <v>22</v>
      </c>
      <c r="D738">
        <v>737</v>
      </c>
      <c r="E738" t="s">
        <v>84</v>
      </c>
      <c r="F738" t="s">
        <v>24</v>
      </c>
      <c r="G738">
        <v>737</v>
      </c>
      <c r="H738">
        <v>1083</v>
      </c>
      <c r="I738">
        <v>58</v>
      </c>
      <c r="J738" t="s">
        <v>115</v>
      </c>
      <c r="K738" t="s">
        <v>26</v>
      </c>
      <c r="L738" t="s">
        <v>35</v>
      </c>
      <c r="M738" t="s">
        <v>40</v>
      </c>
      <c r="N738">
        <v>2.9</v>
      </c>
      <c r="O738">
        <v>1</v>
      </c>
      <c r="P738" t="s">
        <v>73</v>
      </c>
      <c r="Q738" t="s">
        <v>30</v>
      </c>
      <c r="R738" t="s">
        <v>30</v>
      </c>
      <c r="S738">
        <v>32</v>
      </c>
      <c r="T738" t="s">
        <v>42</v>
      </c>
      <c r="U738" t="s">
        <v>100</v>
      </c>
      <c r="V738" s="1">
        <v>45354</v>
      </c>
      <c r="W738">
        <f>Table1[[#This Row],[customer_purchase count]]+1</f>
        <v>33</v>
      </c>
      <c r="X738">
        <f>Table1[[#This Row],[customer_purchase count]]*Rules!$B$3</f>
        <v>1912.4594871794873</v>
      </c>
      <c r="Y738" t="str">
        <f>IF(Table1[[#This Row],[customer_subscription]]=1,"Subscribed","Not Subscribed")</f>
        <v>Subscribed</v>
      </c>
    </row>
    <row r="739" spans="1:26" x14ac:dyDescent="0.25">
      <c r="A739">
        <v>738</v>
      </c>
      <c r="B739">
        <v>47</v>
      </c>
      <c r="C739" t="s">
        <v>22</v>
      </c>
      <c r="D739">
        <v>738</v>
      </c>
      <c r="E739" t="s">
        <v>92</v>
      </c>
      <c r="F739" t="s">
        <v>70</v>
      </c>
      <c r="G739">
        <v>738</v>
      </c>
      <c r="H739">
        <v>1084</v>
      </c>
      <c r="I739">
        <v>24</v>
      </c>
      <c r="J739" t="s">
        <v>148</v>
      </c>
      <c r="K739" t="s">
        <v>47</v>
      </c>
      <c r="L739" t="s">
        <v>88</v>
      </c>
      <c r="M739" t="s">
        <v>40</v>
      </c>
      <c r="N739">
        <v>3.6</v>
      </c>
      <c r="O739">
        <v>1</v>
      </c>
      <c r="P739" t="s">
        <v>77</v>
      </c>
      <c r="Q739" t="s">
        <v>30</v>
      </c>
      <c r="R739" t="s">
        <v>30</v>
      </c>
      <c r="S739">
        <v>28</v>
      </c>
      <c r="T739" t="s">
        <v>49</v>
      </c>
      <c r="U739" t="s">
        <v>52</v>
      </c>
      <c r="V739" s="1">
        <v>45362</v>
      </c>
      <c r="W739">
        <f>Table1[[#This Row],[customer_purchase count]]+1</f>
        <v>29</v>
      </c>
      <c r="X739">
        <f>Table1[[#This Row],[customer_purchase count]]*Rules!$B$3</f>
        <v>1673.4020512820514</v>
      </c>
      <c r="Y739" t="str">
        <f>IF(Table1[[#This Row],[customer_subscription]]=1,"Subscribed","Not Subscribed")</f>
        <v>Subscribed</v>
      </c>
    </row>
    <row r="740" spans="1:26" x14ac:dyDescent="0.25">
      <c r="A740">
        <v>739</v>
      </c>
      <c r="B740">
        <v>56</v>
      </c>
      <c r="C740" t="s">
        <v>22</v>
      </c>
      <c r="D740">
        <v>739</v>
      </c>
      <c r="E740" t="s">
        <v>92</v>
      </c>
      <c r="F740" t="s">
        <v>70</v>
      </c>
      <c r="G740">
        <v>739</v>
      </c>
      <c r="H740">
        <v>1085</v>
      </c>
      <c r="I740">
        <v>31</v>
      </c>
      <c r="J740" t="s">
        <v>151</v>
      </c>
      <c r="K740" t="s">
        <v>26</v>
      </c>
      <c r="L740" t="s">
        <v>124</v>
      </c>
      <c r="M740" t="s">
        <v>28</v>
      </c>
      <c r="N740">
        <v>3.5</v>
      </c>
      <c r="O740">
        <v>1</v>
      </c>
      <c r="P740" t="s">
        <v>73</v>
      </c>
      <c r="Q740" t="s">
        <v>30</v>
      </c>
      <c r="R740" t="s">
        <v>30</v>
      </c>
      <c r="S740">
        <v>27</v>
      </c>
      <c r="T740" t="s">
        <v>31</v>
      </c>
      <c r="U740" t="s">
        <v>61</v>
      </c>
      <c r="V740" s="1">
        <v>45317</v>
      </c>
      <c r="W740">
        <f>Table1[[#This Row],[customer_purchase count]]+1</f>
        <v>28</v>
      </c>
      <c r="X740">
        <f>Table1[[#This Row],[customer_purchase count]]*Rules!$B$3</f>
        <v>1613.6376923076923</v>
      </c>
      <c r="Y740" t="str">
        <f>IF(Table1[[#This Row],[customer_subscription]]=1,"Subscribed","Not Subscribed")</f>
        <v>Subscribed</v>
      </c>
    </row>
    <row r="741" spans="1:26" x14ac:dyDescent="0.25">
      <c r="A741">
        <v>740</v>
      </c>
      <c r="B741">
        <v>64</v>
      </c>
      <c r="C741" t="s">
        <v>22</v>
      </c>
      <c r="D741">
        <v>740</v>
      </c>
      <c r="E741" t="s">
        <v>62</v>
      </c>
      <c r="F741" t="s">
        <v>24</v>
      </c>
      <c r="G741">
        <v>740</v>
      </c>
      <c r="H741">
        <v>1087</v>
      </c>
      <c r="I741">
        <v>29</v>
      </c>
      <c r="J741" t="s">
        <v>151</v>
      </c>
      <c r="K741" t="s">
        <v>39</v>
      </c>
      <c r="L741" t="s">
        <v>76</v>
      </c>
      <c r="M741" t="s">
        <v>56</v>
      </c>
      <c r="N741">
        <v>3.5</v>
      </c>
      <c r="O741">
        <v>1</v>
      </c>
      <c r="P741" t="s">
        <v>41</v>
      </c>
      <c r="Q741" t="s">
        <v>30</v>
      </c>
      <c r="R741" t="s">
        <v>30</v>
      </c>
      <c r="S741">
        <v>26</v>
      </c>
      <c r="T741" t="s">
        <v>31</v>
      </c>
      <c r="U741" t="s">
        <v>79</v>
      </c>
      <c r="V741" s="1">
        <v>45445</v>
      </c>
      <c r="W741">
        <f>Table1[[#This Row],[customer_purchase count]]+1</f>
        <v>27</v>
      </c>
      <c r="X741">
        <f>Table1[[#This Row],[customer_purchase count]]*Rules!$B$3</f>
        <v>1553.8733333333334</v>
      </c>
      <c r="Y741" t="str">
        <f>IF(Table1[[#This Row],[customer_subscription]]=1,"Subscribed","Not Subscribed")</f>
        <v>Subscribed</v>
      </c>
    </row>
    <row r="742" spans="1:26" x14ac:dyDescent="0.25">
      <c r="A742">
        <v>741</v>
      </c>
      <c r="B742">
        <v>26</v>
      </c>
      <c r="C742" t="s">
        <v>22</v>
      </c>
      <c r="D742">
        <v>741</v>
      </c>
      <c r="E742" t="s">
        <v>37</v>
      </c>
      <c r="F742" t="s">
        <v>24</v>
      </c>
      <c r="G742">
        <v>741</v>
      </c>
      <c r="H742">
        <v>1088</v>
      </c>
      <c r="I742">
        <v>69</v>
      </c>
      <c r="J742" t="s">
        <v>150</v>
      </c>
      <c r="K742" t="s">
        <v>47</v>
      </c>
      <c r="L742" t="s">
        <v>124</v>
      </c>
      <c r="M742" t="s">
        <v>56</v>
      </c>
      <c r="N742">
        <v>2.8</v>
      </c>
      <c r="O742">
        <v>1</v>
      </c>
      <c r="P742" t="s">
        <v>48</v>
      </c>
      <c r="Q742" t="s">
        <v>30</v>
      </c>
      <c r="R742" t="s">
        <v>30</v>
      </c>
      <c r="S742">
        <v>22</v>
      </c>
      <c r="T742" t="s">
        <v>42</v>
      </c>
      <c r="U742" t="s">
        <v>32</v>
      </c>
      <c r="V742" s="1">
        <v>45486</v>
      </c>
      <c r="W742">
        <f>Table1[[#This Row],[customer_purchase count]]+1</f>
        <v>23</v>
      </c>
      <c r="X742">
        <f>Table1[[#This Row],[customer_purchase count]]*Rules!$B$3</f>
        <v>1314.8158974358976</v>
      </c>
      <c r="Y742" t="str">
        <f>IF(Table1[[#This Row],[customer_subscription]]=1,"Subscribed","Not Subscribed")</f>
        <v>Subscribed</v>
      </c>
    </row>
    <row r="743" spans="1:26" x14ac:dyDescent="0.25">
      <c r="A743">
        <v>742</v>
      </c>
      <c r="B743">
        <v>22</v>
      </c>
      <c r="C743" t="s">
        <v>22</v>
      </c>
      <c r="D743">
        <v>742</v>
      </c>
      <c r="E743" t="s">
        <v>116</v>
      </c>
      <c r="F743" t="s">
        <v>24</v>
      </c>
      <c r="G743">
        <v>742</v>
      </c>
      <c r="H743">
        <v>1089</v>
      </c>
      <c r="I743">
        <v>79</v>
      </c>
      <c r="J743" t="s">
        <v>67</v>
      </c>
      <c r="K743" t="s">
        <v>95</v>
      </c>
      <c r="L743" t="s">
        <v>137</v>
      </c>
      <c r="M743" t="s">
        <v>56</v>
      </c>
      <c r="N743">
        <v>4.7</v>
      </c>
      <c r="O743">
        <v>1</v>
      </c>
      <c r="P743" t="s">
        <v>41</v>
      </c>
      <c r="Q743" t="s">
        <v>30</v>
      </c>
      <c r="R743" t="s">
        <v>30</v>
      </c>
      <c r="S743">
        <v>23</v>
      </c>
      <c r="T743" t="s">
        <v>78</v>
      </c>
      <c r="U743" t="s">
        <v>100</v>
      </c>
      <c r="V743" s="1">
        <v>45495</v>
      </c>
      <c r="W743">
        <f>Table1[[#This Row],[customer_purchase count]]+1</f>
        <v>24</v>
      </c>
      <c r="X743">
        <f>Table1[[#This Row],[customer_purchase count]]*Rules!$B$3</f>
        <v>1374.5802564102564</v>
      </c>
      <c r="Y743" t="str">
        <f>IF(Table1[[#This Row],[customer_subscription]]=1,"Subscribed","Not Subscribed")</f>
        <v>Subscribed</v>
      </c>
    </row>
    <row r="744" spans="1:26" x14ac:dyDescent="0.25">
      <c r="A744">
        <v>743</v>
      </c>
      <c r="B744">
        <v>64</v>
      </c>
      <c r="C744" t="s">
        <v>22</v>
      </c>
      <c r="D744">
        <v>743</v>
      </c>
      <c r="E744" t="s">
        <v>98</v>
      </c>
      <c r="F744" t="s">
        <v>24</v>
      </c>
      <c r="G744">
        <v>743</v>
      </c>
      <c r="H744">
        <v>1090</v>
      </c>
      <c r="I744">
        <v>39</v>
      </c>
      <c r="J744" t="s">
        <v>110</v>
      </c>
      <c r="K744" t="s">
        <v>47</v>
      </c>
      <c r="L744" t="s">
        <v>64</v>
      </c>
      <c r="M744" t="s">
        <v>56</v>
      </c>
      <c r="N744">
        <v>3.1</v>
      </c>
      <c r="O744">
        <v>1</v>
      </c>
      <c r="P744" t="s">
        <v>29</v>
      </c>
      <c r="Q744" t="s">
        <v>30</v>
      </c>
      <c r="R744" t="s">
        <v>30</v>
      </c>
      <c r="S744">
        <v>21</v>
      </c>
      <c r="T744" t="s">
        <v>89</v>
      </c>
      <c r="U744" t="s">
        <v>61</v>
      </c>
      <c r="V744" s="1">
        <v>45446</v>
      </c>
      <c r="W744">
        <f>Table1[[#This Row],[customer_purchase count]]+1</f>
        <v>22</v>
      </c>
      <c r="X744">
        <f>Table1[[#This Row],[customer_purchase count]]*Rules!$B$3</f>
        <v>1255.0515384615385</v>
      </c>
      <c r="Y744" t="str">
        <f>IF(Table1[[#This Row],[customer_subscription]]=1,"Subscribed","Not Subscribed")</f>
        <v>Subscribed</v>
      </c>
    </row>
    <row r="745" spans="1:26" x14ac:dyDescent="0.25">
      <c r="A745">
        <v>744</v>
      </c>
      <c r="B745">
        <v>21</v>
      </c>
      <c r="C745" t="s">
        <v>22</v>
      </c>
      <c r="D745">
        <v>744</v>
      </c>
      <c r="E745" t="s">
        <v>92</v>
      </c>
      <c r="F745" t="s">
        <v>70</v>
      </c>
      <c r="G745">
        <v>744</v>
      </c>
      <c r="H745">
        <v>1091</v>
      </c>
      <c r="I745">
        <v>84</v>
      </c>
      <c r="J745" t="s">
        <v>101</v>
      </c>
      <c r="K745" t="s">
        <v>26</v>
      </c>
      <c r="L745" t="s">
        <v>27</v>
      </c>
      <c r="M745" t="s">
        <v>60</v>
      </c>
      <c r="N745">
        <v>4.9000000000000004</v>
      </c>
      <c r="O745">
        <v>1</v>
      </c>
      <c r="P745" t="s">
        <v>41</v>
      </c>
      <c r="Q745" t="s">
        <v>30</v>
      </c>
      <c r="R745" t="s">
        <v>30</v>
      </c>
      <c r="S745">
        <v>36</v>
      </c>
      <c r="T745" t="s">
        <v>36</v>
      </c>
      <c r="U745" t="s">
        <v>43</v>
      </c>
      <c r="V745" s="1">
        <v>45550</v>
      </c>
      <c r="W745">
        <f>Table1[[#This Row],[customer_purchase count]]+1</f>
        <v>37</v>
      </c>
      <c r="X745">
        <f>Table1[[#This Row],[customer_purchase count]]*Rules!$B$3</f>
        <v>2151.5169230769234</v>
      </c>
      <c r="Y745" t="str">
        <f>IF(Table1[[#This Row],[customer_subscription]]=1,"Subscribed","Not Subscribed")</f>
        <v>Subscribed</v>
      </c>
    </row>
    <row r="746" spans="1:26" x14ac:dyDescent="0.25">
      <c r="A746">
        <v>745</v>
      </c>
      <c r="B746">
        <v>67</v>
      </c>
      <c r="C746" t="s">
        <v>22</v>
      </c>
      <c r="D746">
        <v>745</v>
      </c>
      <c r="E746" t="s">
        <v>140</v>
      </c>
      <c r="F746" t="s">
        <v>45</v>
      </c>
      <c r="G746">
        <v>745</v>
      </c>
      <c r="H746">
        <v>1093</v>
      </c>
      <c r="I746">
        <v>66</v>
      </c>
      <c r="J746" t="s">
        <v>118</v>
      </c>
      <c r="K746" t="s">
        <v>39</v>
      </c>
      <c r="L746" t="s">
        <v>64</v>
      </c>
      <c r="M746" t="s">
        <v>40</v>
      </c>
      <c r="N746">
        <v>4.0999999999999996</v>
      </c>
      <c r="O746">
        <v>1</v>
      </c>
      <c r="P746" t="s">
        <v>48</v>
      </c>
      <c r="Q746" t="s">
        <v>30</v>
      </c>
      <c r="R746" t="s">
        <v>30</v>
      </c>
      <c r="S746">
        <v>42</v>
      </c>
      <c r="T746" t="s">
        <v>89</v>
      </c>
      <c r="U746" t="s">
        <v>79</v>
      </c>
      <c r="V746" s="1">
        <v>45364</v>
      </c>
      <c r="W746">
        <f>Table1[[#This Row],[customer_purchase count]]+1</f>
        <v>43</v>
      </c>
      <c r="X746">
        <f>Table1[[#This Row],[customer_purchase count]]*Rules!$B$3</f>
        <v>2510.103076923077</v>
      </c>
      <c r="Y746" t="str">
        <f>IF(Table1[[#This Row],[customer_subscription]]=1,"Subscribed","Not Subscribed")</f>
        <v>Subscribed</v>
      </c>
    </row>
    <row r="747" spans="1:26" x14ac:dyDescent="0.25">
      <c r="A747">
        <v>746</v>
      </c>
      <c r="B747">
        <v>46</v>
      </c>
      <c r="C747" t="s">
        <v>22</v>
      </c>
      <c r="D747">
        <v>746</v>
      </c>
      <c r="E747" t="s">
        <v>116</v>
      </c>
      <c r="F747" t="s">
        <v>24</v>
      </c>
      <c r="G747">
        <v>746</v>
      </c>
      <c r="H747">
        <v>1094</v>
      </c>
      <c r="I747">
        <v>92</v>
      </c>
      <c r="J747" t="s">
        <v>154</v>
      </c>
      <c r="K747" t="s">
        <v>26</v>
      </c>
      <c r="L747" t="s">
        <v>124</v>
      </c>
      <c r="M747" t="s">
        <v>60</v>
      </c>
      <c r="N747">
        <v>4.7</v>
      </c>
      <c r="O747">
        <v>1</v>
      </c>
      <c r="P747" t="s">
        <v>57</v>
      </c>
      <c r="Q747" t="s">
        <v>30</v>
      </c>
      <c r="R747" t="s">
        <v>30</v>
      </c>
      <c r="S747">
        <v>4</v>
      </c>
      <c r="T747" t="s">
        <v>31</v>
      </c>
      <c r="U747" t="s">
        <v>91</v>
      </c>
      <c r="V747" s="1">
        <v>45618</v>
      </c>
      <c r="W747">
        <f>Table1[[#This Row],[customer_purchase count]]+1</f>
        <v>5</v>
      </c>
      <c r="X747">
        <f>Table1[[#This Row],[customer_purchase count]]*Rules!$B$3</f>
        <v>239.05743589743591</v>
      </c>
      <c r="Y747" t="str">
        <f>IF(Table1[[#This Row],[customer_subscription]]=1,"Subscribed","Not Subscribed")</f>
        <v>Subscribed</v>
      </c>
    </row>
    <row r="748" spans="1:26" x14ac:dyDescent="0.25">
      <c r="A748">
        <v>747</v>
      </c>
      <c r="B748">
        <v>40</v>
      </c>
      <c r="C748" t="s">
        <v>22</v>
      </c>
      <c r="D748">
        <v>747</v>
      </c>
      <c r="E748" t="s">
        <v>44</v>
      </c>
      <c r="F748" t="s">
        <v>45</v>
      </c>
      <c r="G748">
        <v>747</v>
      </c>
      <c r="H748">
        <v>1095</v>
      </c>
      <c r="I748">
        <v>45</v>
      </c>
      <c r="J748" t="s">
        <v>154</v>
      </c>
      <c r="K748" t="s">
        <v>47</v>
      </c>
      <c r="L748" t="s">
        <v>111</v>
      </c>
      <c r="M748" t="s">
        <v>28</v>
      </c>
      <c r="N748">
        <v>2.5</v>
      </c>
      <c r="O748">
        <v>1</v>
      </c>
      <c r="P748" t="s">
        <v>41</v>
      </c>
      <c r="Q748" t="s">
        <v>30</v>
      </c>
      <c r="R748" t="s">
        <v>30</v>
      </c>
      <c r="S748">
        <v>47</v>
      </c>
      <c r="T748" t="s">
        <v>42</v>
      </c>
      <c r="U748" t="s">
        <v>52</v>
      </c>
      <c r="V748" s="1">
        <v>45323</v>
      </c>
      <c r="W748">
        <f>Table1[[#This Row],[customer_purchase count]]+1</f>
        <v>48</v>
      </c>
      <c r="X748">
        <f>Table1[[#This Row],[customer_purchase count]]*Rules!$B$3</f>
        <v>2808.9248717948717</v>
      </c>
      <c r="Y748" t="str">
        <f>IF(Table1[[#This Row],[customer_subscription]]=1,"Subscribed","Not Subscribed")</f>
        <v>Subscribed</v>
      </c>
      <c r="Z748" t="s">
        <v>193</v>
      </c>
    </row>
    <row r="749" spans="1:26" x14ac:dyDescent="0.25">
      <c r="A749">
        <v>748</v>
      </c>
      <c r="B749">
        <v>51</v>
      </c>
      <c r="C749" t="s">
        <v>22</v>
      </c>
      <c r="D749">
        <v>748</v>
      </c>
      <c r="E749" t="s">
        <v>62</v>
      </c>
      <c r="F749" t="s">
        <v>24</v>
      </c>
      <c r="G749">
        <v>748</v>
      </c>
      <c r="H749">
        <v>1096</v>
      </c>
      <c r="I749">
        <v>74</v>
      </c>
      <c r="J749" t="s">
        <v>104</v>
      </c>
      <c r="K749" t="s">
        <v>26</v>
      </c>
      <c r="L749" t="s">
        <v>83</v>
      </c>
      <c r="M749" t="s">
        <v>40</v>
      </c>
      <c r="N749">
        <v>4.4000000000000004</v>
      </c>
      <c r="O749">
        <v>1</v>
      </c>
      <c r="P749" t="s">
        <v>48</v>
      </c>
      <c r="Q749" t="s">
        <v>30</v>
      </c>
      <c r="R749" t="s">
        <v>30</v>
      </c>
      <c r="S749">
        <v>13</v>
      </c>
      <c r="T749" t="s">
        <v>78</v>
      </c>
      <c r="U749" t="s">
        <v>43</v>
      </c>
      <c r="V749" s="1">
        <v>45420</v>
      </c>
      <c r="W749">
        <f>Table1[[#This Row],[customer_purchase count]]+1</f>
        <v>14</v>
      </c>
      <c r="X749">
        <f>Table1[[#This Row],[customer_purchase count]]*Rules!$B$3</f>
        <v>776.93666666666672</v>
      </c>
      <c r="Y749" t="str">
        <f>IF(Table1[[#This Row],[customer_subscription]]=1,"Subscribed","Not Subscribed")</f>
        <v>Subscribed</v>
      </c>
    </row>
    <row r="750" spans="1:26" x14ac:dyDescent="0.25">
      <c r="A750">
        <v>749</v>
      </c>
      <c r="B750">
        <v>35</v>
      </c>
      <c r="C750" t="s">
        <v>22</v>
      </c>
      <c r="D750">
        <v>749</v>
      </c>
      <c r="E750" t="s">
        <v>127</v>
      </c>
      <c r="F750" t="s">
        <v>70</v>
      </c>
      <c r="G750">
        <v>749</v>
      </c>
      <c r="H750">
        <v>1097</v>
      </c>
      <c r="I750">
        <v>39</v>
      </c>
      <c r="J750" t="s">
        <v>150</v>
      </c>
      <c r="K750" t="s">
        <v>26</v>
      </c>
      <c r="L750" t="s">
        <v>113</v>
      </c>
      <c r="M750" t="s">
        <v>60</v>
      </c>
      <c r="N750">
        <v>3.9</v>
      </c>
      <c r="O750">
        <v>1</v>
      </c>
      <c r="P750" t="s">
        <v>41</v>
      </c>
      <c r="Q750" t="s">
        <v>30</v>
      </c>
      <c r="R750" t="s">
        <v>30</v>
      </c>
      <c r="S750">
        <v>8</v>
      </c>
      <c r="T750" t="s">
        <v>78</v>
      </c>
      <c r="U750" t="s">
        <v>61</v>
      </c>
      <c r="V750" s="1">
        <v>45611</v>
      </c>
      <c r="W750">
        <f>Table1[[#This Row],[customer_purchase count]]+1</f>
        <v>9</v>
      </c>
      <c r="X750">
        <f>Table1[[#This Row],[customer_purchase count]]*Rules!$B$3</f>
        <v>478.11487179487182</v>
      </c>
      <c r="Y750" t="str">
        <f>IF(Table1[[#This Row],[customer_subscription]]=1,"Subscribed","Not Subscribed")</f>
        <v>Subscribed</v>
      </c>
    </row>
    <row r="751" spans="1:26" x14ac:dyDescent="0.25">
      <c r="A751">
        <v>750</v>
      </c>
      <c r="B751">
        <v>56</v>
      </c>
      <c r="C751" t="s">
        <v>22</v>
      </c>
      <c r="D751">
        <v>750</v>
      </c>
      <c r="E751" t="s">
        <v>122</v>
      </c>
      <c r="F751" t="s">
        <v>70</v>
      </c>
      <c r="G751">
        <v>750</v>
      </c>
      <c r="H751">
        <v>1099</v>
      </c>
      <c r="I751">
        <v>71</v>
      </c>
      <c r="J751" t="s">
        <v>104</v>
      </c>
      <c r="K751" t="s">
        <v>47</v>
      </c>
      <c r="L751" t="s">
        <v>81</v>
      </c>
      <c r="M751" t="s">
        <v>28</v>
      </c>
      <c r="N751">
        <v>3.7</v>
      </c>
      <c r="O751">
        <v>1</v>
      </c>
      <c r="P751" t="s">
        <v>57</v>
      </c>
      <c r="Q751" t="s">
        <v>30</v>
      </c>
      <c r="R751" t="s">
        <v>30</v>
      </c>
      <c r="S751">
        <v>11</v>
      </c>
      <c r="T751" t="s">
        <v>89</v>
      </c>
      <c r="U751" t="s">
        <v>61</v>
      </c>
      <c r="V751" s="1">
        <v>45305</v>
      </c>
      <c r="W751">
        <f>Table1[[#This Row],[customer_purchase count]]+1</f>
        <v>12</v>
      </c>
      <c r="X751">
        <f>Table1[[#This Row],[customer_purchase count]]*Rules!$B$3</f>
        <v>657.40794871794878</v>
      </c>
      <c r="Y751" t="str">
        <f>IF(Table1[[#This Row],[customer_subscription]]=1,"Subscribed","Not Subscribed")</f>
        <v>Subscribed</v>
      </c>
    </row>
    <row r="752" spans="1:26" x14ac:dyDescent="0.25">
      <c r="A752">
        <v>751</v>
      </c>
      <c r="B752">
        <v>25</v>
      </c>
      <c r="C752" t="s">
        <v>22</v>
      </c>
      <c r="D752">
        <v>751</v>
      </c>
      <c r="E752" t="s">
        <v>116</v>
      </c>
      <c r="F752" t="s">
        <v>24</v>
      </c>
      <c r="G752">
        <v>751</v>
      </c>
      <c r="H752">
        <v>1100</v>
      </c>
      <c r="I752">
        <v>95</v>
      </c>
      <c r="J752" t="s">
        <v>131</v>
      </c>
      <c r="K752" t="s">
        <v>26</v>
      </c>
      <c r="L752" t="s">
        <v>86</v>
      </c>
      <c r="M752" t="s">
        <v>60</v>
      </c>
      <c r="N752">
        <v>3.4</v>
      </c>
      <c r="O752">
        <v>1</v>
      </c>
      <c r="P752" t="s">
        <v>41</v>
      </c>
      <c r="Q752" t="s">
        <v>30</v>
      </c>
      <c r="R752" t="s">
        <v>30</v>
      </c>
      <c r="S752">
        <v>5</v>
      </c>
      <c r="T752" t="s">
        <v>31</v>
      </c>
      <c r="U752" t="s">
        <v>52</v>
      </c>
      <c r="V752" s="1">
        <v>45591</v>
      </c>
      <c r="W752">
        <f>Table1[[#This Row],[customer_purchase count]]+1</f>
        <v>6</v>
      </c>
      <c r="X752">
        <f>Table1[[#This Row],[customer_purchase count]]*Rules!$B$3</f>
        <v>298.82179487179491</v>
      </c>
      <c r="Y752" t="str">
        <f>IF(Table1[[#This Row],[customer_subscription]]=1,"Subscribed","Not Subscribed")</f>
        <v>Subscribed</v>
      </c>
    </row>
    <row r="753" spans="1:26" x14ac:dyDescent="0.25">
      <c r="A753">
        <v>752</v>
      </c>
      <c r="B753">
        <v>65</v>
      </c>
      <c r="C753" t="s">
        <v>22</v>
      </c>
      <c r="D753">
        <v>752</v>
      </c>
      <c r="E753" t="s">
        <v>146</v>
      </c>
      <c r="F753" t="s">
        <v>70</v>
      </c>
      <c r="G753">
        <v>752</v>
      </c>
      <c r="H753">
        <v>1101</v>
      </c>
      <c r="I753">
        <v>72</v>
      </c>
      <c r="J753" t="s">
        <v>126</v>
      </c>
      <c r="K753" t="s">
        <v>26</v>
      </c>
      <c r="L753" t="s">
        <v>129</v>
      </c>
      <c r="M753" t="s">
        <v>60</v>
      </c>
      <c r="N753">
        <v>4.8</v>
      </c>
      <c r="O753">
        <v>1</v>
      </c>
      <c r="P753" t="s">
        <v>41</v>
      </c>
      <c r="Q753" t="s">
        <v>30</v>
      </c>
      <c r="R753" t="s">
        <v>30</v>
      </c>
      <c r="S753">
        <v>1</v>
      </c>
      <c r="T753" t="s">
        <v>42</v>
      </c>
      <c r="U753" t="s">
        <v>91</v>
      </c>
      <c r="V753" s="1">
        <v>45540</v>
      </c>
      <c r="W753">
        <f>Table1[[#This Row],[customer_purchase count]]+1</f>
        <v>2</v>
      </c>
      <c r="X753">
        <f>Table1[[#This Row],[customer_purchase count]]*Rules!$B$3</f>
        <v>59.764358974358977</v>
      </c>
      <c r="Y753" t="str">
        <f>IF(Table1[[#This Row],[customer_subscription]]=1,"Subscribed","Not Subscribed")</f>
        <v>Subscribed</v>
      </c>
    </row>
    <row r="754" spans="1:26" x14ac:dyDescent="0.25">
      <c r="A754">
        <v>753</v>
      </c>
      <c r="B754">
        <v>39</v>
      </c>
      <c r="C754" t="s">
        <v>22</v>
      </c>
      <c r="D754">
        <v>753</v>
      </c>
      <c r="E754" t="s">
        <v>122</v>
      </c>
      <c r="F754" t="s">
        <v>70</v>
      </c>
      <c r="G754">
        <v>753</v>
      </c>
      <c r="H754">
        <v>1102</v>
      </c>
      <c r="I754">
        <v>85</v>
      </c>
      <c r="J754" t="s">
        <v>126</v>
      </c>
      <c r="K754" t="s">
        <v>26</v>
      </c>
      <c r="L754" t="s">
        <v>137</v>
      </c>
      <c r="M754" t="s">
        <v>60</v>
      </c>
      <c r="N754">
        <v>4.2</v>
      </c>
      <c r="O754">
        <v>1</v>
      </c>
      <c r="P754" t="s">
        <v>73</v>
      </c>
      <c r="Q754" t="s">
        <v>30</v>
      </c>
      <c r="R754" t="s">
        <v>30</v>
      </c>
      <c r="S754">
        <v>17</v>
      </c>
      <c r="T754" t="s">
        <v>49</v>
      </c>
      <c r="U754" t="s">
        <v>100</v>
      </c>
      <c r="V754" s="1">
        <v>45585</v>
      </c>
      <c r="W754">
        <f>Table1[[#This Row],[customer_purchase count]]+1</f>
        <v>18</v>
      </c>
      <c r="X754">
        <f>Table1[[#This Row],[customer_purchase count]]*Rules!$B$3</f>
        <v>1015.9941025641026</v>
      </c>
      <c r="Y754" t="str">
        <f>IF(Table1[[#This Row],[customer_subscription]]=1,"Subscribed","Not Subscribed")</f>
        <v>Subscribed</v>
      </c>
    </row>
    <row r="755" spans="1:26" x14ac:dyDescent="0.25">
      <c r="A755">
        <v>754</v>
      </c>
      <c r="B755">
        <v>47</v>
      </c>
      <c r="C755" t="s">
        <v>22</v>
      </c>
      <c r="D755">
        <v>754</v>
      </c>
      <c r="E755" t="s">
        <v>140</v>
      </c>
      <c r="F755" t="s">
        <v>45</v>
      </c>
      <c r="G755">
        <v>754</v>
      </c>
      <c r="H755">
        <v>1103</v>
      </c>
      <c r="I755">
        <v>54</v>
      </c>
      <c r="J755" t="s">
        <v>38</v>
      </c>
      <c r="K755" t="s">
        <v>47</v>
      </c>
      <c r="L755" t="s">
        <v>88</v>
      </c>
      <c r="M755" t="s">
        <v>60</v>
      </c>
      <c r="N755">
        <v>3.4</v>
      </c>
      <c r="O755">
        <v>1</v>
      </c>
      <c r="P755" t="s">
        <v>77</v>
      </c>
      <c r="Q755" t="s">
        <v>30</v>
      </c>
      <c r="R755" t="s">
        <v>30</v>
      </c>
      <c r="S755">
        <v>27</v>
      </c>
      <c r="T755" t="s">
        <v>31</v>
      </c>
      <c r="U755" t="s">
        <v>61</v>
      </c>
      <c r="V755" s="1">
        <v>45547</v>
      </c>
      <c r="W755">
        <f>Table1[[#This Row],[customer_purchase count]]+1</f>
        <v>28</v>
      </c>
      <c r="X755">
        <f>Table1[[#This Row],[customer_purchase count]]*Rules!$B$3</f>
        <v>1613.6376923076923</v>
      </c>
      <c r="Y755" t="str">
        <f>IF(Table1[[#This Row],[customer_subscription]]=1,"Subscribed","Not Subscribed")</f>
        <v>Subscribed</v>
      </c>
    </row>
    <row r="756" spans="1:26" x14ac:dyDescent="0.25">
      <c r="A756">
        <v>755</v>
      </c>
      <c r="B756">
        <v>36</v>
      </c>
      <c r="C756" t="s">
        <v>22</v>
      </c>
      <c r="D756">
        <v>755</v>
      </c>
      <c r="E756" t="s">
        <v>146</v>
      </c>
      <c r="F756" t="s">
        <v>70</v>
      </c>
      <c r="G756">
        <v>755</v>
      </c>
      <c r="H756">
        <v>1105</v>
      </c>
      <c r="I756">
        <v>41</v>
      </c>
      <c r="J756" t="s">
        <v>101</v>
      </c>
      <c r="K756" t="s">
        <v>26</v>
      </c>
      <c r="L756" t="s">
        <v>72</v>
      </c>
      <c r="M756" t="s">
        <v>40</v>
      </c>
      <c r="N756">
        <v>2.9</v>
      </c>
      <c r="O756">
        <v>1</v>
      </c>
      <c r="P756" t="s">
        <v>77</v>
      </c>
      <c r="Q756" t="s">
        <v>30</v>
      </c>
      <c r="R756" t="s">
        <v>30</v>
      </c>
      <c r="S756">
        <v>3</v>
      </c>
      <c r="T756" t="s">
        <v>89</v>
      </c>
      <c r="U756" t="s">
        <v>61</v>
      </c>
      <c r="V756" s="1">
        <v>45356</v>
      </c>
      <c r="W756">
        <f>Table1[[#This Row],[customer_purchase count]]+1</f>
        <v>4</v>
      </c>
      <c r="X756">
        <f>Table1[[#This Row],[customer_purchase count]]*Rules!$B$3</f>
        <v>179.29307692307694</v>
      </c>
      <c r="Y756" t="str">
        <f>IF(Table1[[#This Row],[customer_subscription]]=1,"Subscribed","Not Subscribed")</f>
        <v>Subscribed</v>
      </c>
    </row>
    <row r="757" spans="1:26" x14ac:dyDescent="0.25">
      <c r="A757">
        <v>756</v>
      </c>
      <c r="B757">
        <v>66</v>
      </c>
      <c r="C757" t="s">
        <v>22</v>
      </c>
      <c r="D757">
        <v>756</v>
      </c>
      <c r="E757" t="s">
        <v>65</v>
      </c>
      <c r="F757" t="s">
        <v>66</v>
      </c>
      <c r="G757">
        <v>756</v>
      </c>
      <c r="H757">
        <v>1106</v>
      </c>
      <c r="I757">
        <v>24</v>
      </c>
      <c r="J757" t="s">
        <v>106</v>
      </c>
      <c r="K757" t="s">
        <v>47</v>
      </c>
      <c r="L757" t="s">
        <v>86</v>
      </c>
      <c r="M757" t="s">
        <v>40</v>
      </c>
      <c r="N757">
        <v>3.3</v>
      </c>
      <c r="O757">
        <v>1</v>
      </c>
      <c r="P757" t="s">
        <v>41</v>
      </c>
      <c r="Q757" t="s">
        <v>30</v>
      </c>
      <c r="R757" t="s">
        <v>30</v>
      </c>
      <c r="S757">
        <v>22</v>
      </c>
      <c r="T757" t="s">
        <v>49</v>
      </c>
      <c r="U757" t="s">
        <v>43</v>
      </c>
      <c r="V757" s="1">
        <v>45408</v>
      </c>
      <c r="W757">
        <f>Table1[[#This Row],[customer_purchase count]]+1</f>
        <v>23</v>
      </c>
      <c r="X757">
        <f>Table1[[#This Row],[customer_purchase count]]*Rules!$B$3</f>
        <v>1314.8158974358976</v>
      </c>
      <c r="Y757" t="str">
        <f>IF(Table1[[#This Row],[customer_subscription]]=1,"Subscribed","Not Subscribed")</f>
        <v>Subscribed</v>
      </c>
    </row>
    <row r="758" spans="1:26" x14ac:dyDescent="0.25">
      <c r="A758">
        <v>757</v>
      </c>
      <c r="B758">
        <v>62</v>
      </c>
      <c r="C758" t="s">
        <v>22</v>
      </c>
      <c r="D758">
        <v>757</v>
      </c>
      <c r="E758" t="s">
        <v>136</v>
      </c>
      <c r="F758" t="s">
        <v>70</v>
      </c>
      <c r="G758">
        <v>757</v>
      </c>
      <c r="H758">
        <v>1107</v>
      </c>
      <c r="I758">
        <v>99</v>
      </c>
      <c r="J758" t="s">
        <v>59</v>
      </c>
      <c r="K758" t="s">
        <v>39</v>
      </c>
      <c r="L758" t="s">
        <v>124</v>
      </c>
      <c r="M758" t="s">
        <v>56</v>
      </c>
      <c r="N758">
        <v>4.8</v>
      </c>
      <c r="O758">
        <v>1</v>
      </c>
      <c r="P758" t="s">
        <v>57</v>
      </c>
      <c r="Q758" t="s">
        <v>30</v>
      </c>
      <c r="R758" t="s">
        <v>30</v>
      </c>
      <c r="S758">
        <v>24</v>
      </c>
      <c r="T758" t="s">
        <v>36</v>
      </c>
      <c r="U758" t="s">
        <v>32</v>
      </c>
      <c r="V758" s="1">
        <v>45450</v>
      </c>
      <c r="W758">
        <f>Table1[[#This Row],[customer_purchase count]]+1</f>
        <v>25</v>
      </c>
      <c r="X758">
        <f>Table1[[#This Row],[customer_purchase count]]*Rules!$B$3</f>
        <v>1434.3446153846155</v>
      </c>
      <c r="Y758" t="str">
        <f>IF(Table1[[#This Row],[customer_subscription]]=1,"Subscribed","Not Subscribed")</f>
        <v>Subscribed</v>
      </c>
    </row>
    <row r="759" spans="1:26" x14ac:dyDescent="0.25">
      <c r="A759">
        <v>758</v>
      </c>
      <c r="B759">
        <v>41</v>
      </c>
      <c r="C759" t="s">
        <v>22</v>
      </c>
      <c r="D759">
        <v>758</v>
      </c>
      <c r="E759" t="s">
        <v>107</v>
      </c>
      <c r="F759" t="s">
        <v>24</v>
      </c>
      <c r="G759">
        <v>758</v>
      </c>
      <c r="H759">
        <v>1108</v>
      </c>
      <c r="I759">
        <v>32</v>
      </c>
      <c r="J759" t="s">
        <v>151</v>
      </c>
      <c r="K759" t="s">
        <v>47</v>
      </c>
      <c r="L759" t="s">
        <v>111</v>
      </c>
      <c r="M759" t="s">
        <v>60</v>
      </c>
      <c r="N759">
        <v>3.8</v>
      </c>
      <c r="O759">
        <v>1</v>
      </c>
      <c r="P759" t="s">
        <v>77</v>
      </c>
      <c r="Q759" t="s">
        <v>30</v>
      </c>
      <c r="R759" t="s">
        <v>30</v>
      </c>
      <c r="S759">
        <v>18</v>
      </c>
      <c r="T759" t="s">
        <v>89</v>
      </c>
      <c r="U759" t="s">
        <v>61</v>
      </c>
      <c r="V759" s="1">
        <v>45593</v>
      </c>
      <c r="W759">
        <f>Table1[[#This Row],[customer_purchase count]]+1</f>
        <v>19</v>
      </c>
      <c r="X759">
        <f>Table1[[#This Row],[customer_purchase count]]*Rules!$B$3</f>
        <v>1075.7584615384617</v>
      </c>
      <c r="Y759" t="str">
        <f>IF(Table1[[#This Row],[customer_subscription]]=1,"Subscribed","Not Subscribed")</f>
        <v>Subscribed</v>
      </c>
    </row>
    <row r="760" spans="1:26" x14ac:dyDescent="0.25">
      <c r="A760">
        <v>759</v>
      </c>
      <c r="B760">
        <v>66</v>
      </c>
      <c r="C760" t="s">
        <v>22</v>
      </c>
      <c r="D760">
        <v>759</v>
      </c>
      <c r="E760" t="s">
        <v>74</v>
      </c>
      <c r="F760" t="s">
        <v>45</v>
      </c>
      <c r="G760">
        <v>759</v>
      </c>
      <c r="H760">
        <v>1109</v>
      </c>
      <c r="I760">
        <v>71</v>
      </c>
      <c r="J760" t="s">
        <v>38</v>
      </c>
      <c r="K760" t="s">
        <v>26</v>
      </c>
      <c r="L760" t="s">
        <v>103</v>
      </c>
      <c r="M760" t="s">
        <v>56</v>
      </c>
      <c r="N760">
        <v>4.5999999999999996</v>
      </c>
      <c r="O760">
        <v>1</v>
      </c>
      <c r="P760" t="s">
        <v>73</v>
      </c>
      <c r="Q760" t="s">
        <v>30</v>
      </c>
      <c r="R760" t="s">
        <v>30</v>
      </c>
      <c r="S760">
        <v>39</v>
      </c>
      <c r="T760" t="s">
        <v>78</v>
      </c>
      <c r="U760" t="s">
        <v>100</v>
      </c>
      <c r="V760" s="1">
        <v>45454</v>
      </c>
      <c r="W760">
        <f>Table1[[#This Row],[customer_purchase count]]+1</f>
        <v>40</v>
      </c>
      <c r="X760">
        <f>Table1[[#This Row],[customer_purchase count]]*Rules!$B$3</f>
        <v>2330.81</v>
      </c>
      <c r="Y760" t="str">
        <f>IF(Table1[[#This Row],[customer_subscription]]=1,"Subscribed","Not Subscribed")</f>
        <v>Subscribed</v>
      </c>
    </row>
    <row r="761" spans="1:26" x14ac:dyDescent="0.25">
      <c r="A761">
        <v>760</v>
      </c>
      <c r="B761">
        <v>51</v>
      </c>
      <c r="C761" t="s">
        <v>22</v>
      </c>
      <c r="D761">
        <v>760</v>
      </c>
      <c r="E761" t="s">
        <v>84</v>
      </c>
      <c r="F761" t="s">
        <v>24</v>
      </c>
      <c r="G761">
        <v>760</v>
      </c>
      <c r="H761">
        <v>1111</v>
      </c>
      <c r="I761">
        <v>49</v>
      </c>
      <c r="J761" t="s">
        <v>46</v>
      </c>
      <c r="K761" t="s">
        <v>95</v>
      </c>
      <c r="L761" t="s">
        <v>99</v>
      </c>
      <c r="M761" t="s">
        <v>28</v>
      </c>
      <c r="N761">
        <v>2.6</v>
      </c>
      <c r="O761">
        <v>1</v>
      </c>
      <c r="P761" t="s">
        <v>48</v>
      </c>
      <c r="Q761" t="s">
        <v>30</v>
      </c>
      <c r="R761" t="s">
        <v>30</v>
      </c>
      <c r="S761">
        <v>25</v>
      </c>
      <c r="T761" t="s">
        <v>42</v>
      </c>
      <c r="U761" t="s">
        <v>32</v>
      </c>
      <c r="V761" s="1">
        <v>45323</v>
      </c>
      <c r="W761">
        <f>Table1[[#This Row],[customer_purchase count]]+1</f>
        <v>26</v>
      </c>
      <c r="X761">
        <f>Table1[[#This Row],[customer_purchase count]]*Rules!$B$3</f>
        <v>1494.1089743589744</v>
      </c>
      <c r="Y761" t="str">
        <f>IF(Table1[[#This Row],[customer_subscription]]=1,"Subscribed","Not Subscribed")</f>
        <v>Subscribed</v>
      </c>
    </row>
    <row r="762" spans="1:26" x14ac:dyDescent="0.25">
      <c r="A762">
        <v>761</v>
      </c>
      <c r="B762">
        <v>33</v>
      </c>
      <c r="C762" t="s">
        <v>22</v>
      </c>
      <c r="D762">
        <v>761</v>
      </c>
      <c r="E762" t="s">
        <v>146</v>
      </c>
      <c r="F762" t="s">
        <v>70</v>
      </c>
      <c r="G762">
        <v>761</v>
      </c>
      <c r="H762">
        <v>1112</v>
      </c>
      <c r="I762">
        <v>50</v>
      </c>
      <c r="J762" t="s">
        <v>151</v>
      </c>
      <c r="K762" t="s">
        <v>95</v>
      </c>
      <c r="L762" t="s">
        <v>86</v>
      </c>
      <c r="M762" t="s">
        <v>60</v>
      </c>
      <c r="N762">
        <v>3.4</v>
      </c>
      <c r="O762">
        <v>1</v>
      </c>
      <c r="P762" t="s">
        <v>41</v>
      </c>
      <c r="Q762" t="s">
        <v>30</v>
      </c>
      <c r="R762" t="s">
        <v>30</v>
      </c>
      <c r="S762">
        <v>6</v>
      </c>
      <c r="T762" t="s">
        <v>36</v>
      </c>
      <c r="U762" t="s">
        <v>52</v>
      </c>
      <c r="V762" s="1">
        <v>45584</v>
      </c>
      <c r="W762">
        <f>Table1[[#This Row],[customer_purchase count]]+1</f>
        <v>7</v>
      </c>
      <c r="X762">
        <f>Table1[[#This Row],[customer_purchase count]]*Rules!$B$3</f>
        <v>358.58615384615388</v>
      </c>
      <c r="Y762" t="str">
        <f>IF(Table1[[#This Row],[customer_subscription]]=1,"Subscribed","Not Subscribed")</f>
        <v>Subscribed</v>
      </c>
    </row>
    <row r="763" spans="1:26" x14ac:dyDescent="0.25">
      <c r="A763">
        <v>762</v>
      </c>
      <c r="B763">
        <v>57</v>
      </c>
      <c r="C763" t="s">
        <v>22</v>
      </c>
      <c r="D763">
        <v>762</v>
      </c>
      <c r="E763" t="s">
        <v>109</v>
      </c>
      <c r="F763" t="s">
        <v>70</v>
      </c>
      <c r="G763">
        <v>762</v>
      </c>
      <c r="H763">
        <v>1113</v>
      </c>
      <c r="I763">
        <v>91</v>
      </c>
      <c r="J763" t="s">
        <v>110</v>
      </c>
      <c r="K763" t="s">
        <v>26</v>
      </c>
      <c r="L763" t="s">
        <v>137</v>
      </c>
      <c r="M763" t="s">
        <v>60</v>
      </c>
      <c r="N763">
        <v>4.2</v>
      </c>
      <c r="O763">
        <v>1</v>
      </c>
      <c r="P763" t="s">
        <v>29</v>
      </c>
      <c r="Q763" t="s">
        <v>30</v>
      </c>
      <c r="R763" t="s">
        <v>30</v>
      </c>
      <c r="S763">
        <v>26</v>
      </c>
      <c r="T763" t="s">
        <v>78</v>
      </c>
      <c r="U763" t="s">
        <v>43</v>
      </c>
      <c r="V763" s="1">
        <v>45557</v>
      </c>
      <c r="W763">
        <f>Table1[[#This Row],[customer_purchase count]]+1</f>
        <v>27</v>
      </c>
      <c r="X763">
        <f>Table1[[#This Row],[customer_purchase count]]*Rules!$B$3</f>
        <v>1553.8733333333334</v>
      </c>
      <c r="Y763" t="str">
        <f>IF(Table1[[#This Row],[customer_subscription]]=1,"Subscribed","Not Subscribed")</f>
        <v>Subscribed</v>
      </c>
    </row>
    <row r="764" spans="1:26" x14ac:dyDescent="0.25">
      <c r="A764">
        <v>763</v>
      </c>
      <c r="B764">
        <v>45</v>
      </c>
      <c r="C764" t="s">
        <v>22</v>
      </c>
      <c r="D764">
        <v>763</v>
      </c>
      <c r="E764" t="s">
        <v>136</v>
      </c>
      <c r="F764" t="s">
        <v>70</v>
      </c>
      <c r="G764">
        <v>763</v>
      </c>
      <c r="H764">
        <v>1114</v>
      </c>
      <c r="I764">
        <v>46</v>
      </c>
      <c r="J764" t="s">
        <v>133</v>
      </c>
      <c r="K764" t="s">
        <v>47</v>
      </c>
      <c r="L764" t="s">
        <v>72</v>
      </c>
      <c r="M764" t="s">
        <v>60</v>
      </c>
      <c r="N764">
        <v>3.9</v>
      </c>
      <c r="O764">
        <v>1</v>
      </c>
      <c r="P764" t="s">
        <v>57</v>
      </c>
      <c r="Q764" t="s">
        <v>30</v>
      </c>
      <c r="R764" t="s">
        <v>30</v>
      </c>
      <c r="S764">
        <v>43</v>
      </c>
      <c r="T764" t="s">
        <v>89</v>
      </c>
      <c r="U764" t="s">
        <v>32</v>
      </c>
      <c r="V764" s="1">
        <v>45550</v>
      </c>
      <c r="W764">
        <f>Table1[[#This Row],[customer_purchase count]]+1</f>
        <v>44</v>
      </c>
      <c r="X764">
        <f>Table1[[#This Row],[customer_purchase count]]*Rules!$B$3</f>
        <v>2569.8674358974358</v>
      </c>
      <c r="Y764" t="str">
        <f>IF(Table1[[#This Row],[customer_subscription]]=1,"Subscribed","Not Subscribed")</f>
        <v>Subscribed</v>
      </c>
      <c r="Z764" t="s">
        <v>193</v>
      </c>
    </row>
    <row r="765" spans="1:26" x14ac:dyDescent="0.25">
      <c r="A765">
        <v>764</v>
      </c>
      <c r="B765">
        <v>61</v>
      </c>
      <c r="C765" t="s">
        <v>22</v>
      </c>
      <c r="D765">
        <v>764</v>
      </c>
      <c r="E765" t="s">
        <v>33</v>
      </c>
      <c r="F765" t="s">
        <v>24</v>
      </c>
      <c r="G765">
        <v>764</v>
      </c>
      <c r="H765">
        <v>1115</v>
      </c>
      <c r="I765">
        <v>50</v>
      </c>
      <c r="J765" t="s">
        <v>101</v>
      </c>
      <c r="K765" t="s">
        <v>47</v>
      </c>
      <c r="L765" t="s">
        <v>113</v>
      </c>
      <c r="M765" t="s">
        <v>40</v>
      </c>
      <c r="N765">
        <v>2.9</v>
      </c>
      <c r="O765">
        <v>1</v>
      </c>
      <c r="P765" t="s">
        <v>73</v>
      </c>
      <c r="Q765" t="s">
        <v>30</v>
      </c>
      <c r="R765" t="s">
        <v>30</v>
      </c>
      <c r="S765">
        <v>6</v>
      </c>
      <c r="T765" t="s">
        <v>42</v>
      </c>
      <c r="U765" t="s">
        <v>91</v>
      </c>
      <c r="V765" s="1">
        <v>45404</v>
      </c>
      <c r="W765">
        <f>Table1[[#This Row],[customer_purchase count]]+1</f>
        <v>7</v>
      </c>
      <c r="X765">
        <f>Table1[[#This Row],[customer_purchase count]]*Rules!$B$3</f>
        <v>358.58615384615388</v>
      </c>
      <c r="Y765" t="str">
        <f>IF(Table1[[#This Row],[customer_subscription]]=1,"Subscribed","Not Subscribed")</f>
        <v>Subscribed</v>
      </c>
    </row>
    <row r="766" spans="1:26" x14ac:dyDescent="0.25">
      <c r="A766">
        <v>765</v>
      </c>
      <c r="B766">
        <v>55</v>
      </c>
      <c r="C766" t="s">
        <v>22</v>
      </c>
      <c r="D766">
        <v>765</v>
      </c>
      <c r="E766" t="s">
        <v>90</v>
      </c>
      <c r="F766" t="s">
        <v>24</v>
      </c>
      <c r="G766">
        <v>765</v>
      </c>
      <c r="H766">
        <v>1117</v>
      </c>
      <c r="I766">
        <v>39</v>
      </c>
      <c r="J766" t="s">
        <v>144</v>
      </c>
      <c r="K766" t="s">
        <v>95</v>
      </c>
      <c r="L766" t="s">
        <v>68</v>
      </c>
      <c r="M766" t="s">
        <v>60</v>
      </c>
      <c r="N766">
        <v>4.2</v>
      </c>
      <c r="O766">
        <v>1</v>
      </c>
      <c r="P766" t="s">
        <v>41</v>
      </c>
      <c r="Q766" t="s">
        <v>30</v>
      </c>
      <c r="R766" t="s">
        <v>30</v>
      </c>
      <c r="S766">
        <v>6</v>
      </c>
      <c r="T766" t="s">
        <v>89</v>
      </c>
      <c r="U766" t="s">
        <v>61</v>
      </c>
      <c r="V766" s="1">
        <v>45612</v>
      </c>
      <c r="W766">
        <f>Table1[[#This Row],[customer_purchase count]]+1</f>
        <v>7</v>
      </c>
      <c r="X766">
        <f>Table1[[#This Row],[customer_purchase count]]*Rules!$B$3</f>
        <v>358.58615384615388</v>
      </c>
      <c r="Y766" t="str">
        <f>IF(Table1[[#This Row],[customer_subscription]]=1,"Subscribed","Not Subscribed")</f>
        <v>Subscribed</v>
      </c>
    </row>
    <row r="767" spans="1:26" x14ac:dyDescent="0.25">
      <c r="A767">
        <v>766</v>
      </c>
      <c r="B767">
        <v>54</v>
      </c>
      <c r="C767" t="s">
        <v>22</v>
      </c>
      <c r="D767">
        <v>766</v>
      </c>
      <c r="E767" t="s">
        <v>53</v>
      </c>
      <c r="F767" t="s">
        <v>45</v>
      </c>
      <c r="G767">
        <v>766</v>
      </c>
      <c r="H767">
        <v>1118</v>
      </c>
      <c r="I767">
        <v>99</v>
      </c>
      <c r="J767" t="s">
        <v>123</v>
      </c>
      <c r="K767" t="s">
        <v>47</v>
      </c>
      <c r="L767" t="s">
        <v>72</v>
      </c>
      <c r="M767" t="s">
        <v>56</v>
      </c>
      <c r="N767">
        <v>3</v>
      </c>
      <c r="O767">
        <v>1</v>
      </c>
      <c r="P767" t="s">
        <v>77</v>
      </c>
      <c r="Q767" t="s">
        <v>30</v>
      </c>
      <c r="R767" t="s">
        <v>30</v>
      </c>
      <c r="S767">
        <v>13</v>
      </c>
      <c r="T767" t="s">
        <v>36</v>
      </c>
      <c r="U767" t="s">
        <v>61</v>
      </c>
      <c r="V767" s="1">
        <v>45489</v>
      </c>
      <c r="W767">
        <f>Table1[[#This Row],[customer_purchase count]]+1</f>
        <v>14</v>
      </c>
      <c r="X767">
        <f>Table1[[#This Row],[customer_purchase count]]*Rules!$B$3</f>
        <v>776.93666666666672</v>
      </c>
      <c r="Y767" t="str">
        <f>IF(Table1[[#This Row],[customer_subscription]]=1,"Subscribed","Not Subscribed")</f>
        <v>Subscribed</v>
      </c>
    </row>
    <row r="768" spans="1:26" x14ac:dyDescent="0.25">
      <c r="A768">
        <v>767</v>
      </c>
      <c r="B768">
        <v>57</v>
      </c>
      <c r="C768" t="s">
        <v>22</v>
      </c>
      <c r="D768">
        <v>767</v>
      </c>
      <c r="E768" t="s">
        <v>146</v>
      </c>
      <c r="F768" t="s">
        <v>70</v>
      </c>
      <c r="G768">
        <v>767</v>
      </c>
      <c r="H768">
        <v>1119</v>
      </c>
      <c r="I768">
        <v>48</v>
      </c>
      <c r="J768" t="s">
        <v>110</v>
      </c>
      <c r="K768" t="s">
        <v>47</v>
      </c>
      <c r="L768" t="s">
        <v>112</v>
      </c>
      <c r="M768" t="s">
        <v>28</v>
      </c>
      <c r="N768">
        <v>3.6</v>
      </c>
      <c r="O768">
        <v>1</v>
      </c>
      <c r="P768" t="s">
        <v>48</v>
      </c>
      <c r="Q768" t="s">
        <v>30</v>
      </c>
      <c r="R768" t="s">
        <v>30</v>
      </c>
      <c r="S768">
        <v>13</v>
      </c>
      <c r="T768" t="s">
        <v>49</v>
      </c>
      <c r="U768" t="s">
        <v>91</v>
      </c>
      <c r="V768" s="1">
        <v>45346</v>
      </c>
      <c r="W768">
        <f>Table1[[#This Row],[customer_purchase count]]+1</f>
        <v>14</v>
      </c>
      <c r="X768">
        <f>Table1[[#This Row],[customer_purchase count]]*Rules!$B$3</f>
        <v>776.93666666666672</v>
      </c>
      <c r="Y768" t="str">
        <f>IF(Table1[[#This Row],[customer_subscription]]=1,"Subscribed","Not Subscribed")</f>
        <v>Subscribed</v>
      </c>
    </row>
    <row r="769" spans="1:26" x14ac:dyDescent="0.25">
      <c r="A769">
        <v>768</v>
      </c>
      <c r="B769">
        <v>27</v>
      </c>
      <c r="C769" t="s">
        <v>22</v>
      </c>
      <c r="D769">
        <v>768</v>
      </c>
      <c r="E769" t="s">
        <v>65</v>
      </c>
      <c r="F769" t="s">
        <v>66</v>
      </c>
      <c r="G769">
        <v>768</v>
      </c>
      <c r="H769">
        <v>1120</v>
      </c>
      <c r="I769">
        <v>77</v>
      </c>
      <c r="J769" t="s">
        <v>141</v>
      </c>
      <c r="K769" t="s">
        <v>47</v>
      </c>
      <c r="L769" t="s">
        <v>113</v>
      </c>
      <c r="M769" t="s">
        <v>60</v>
      </c>
      <c r="N769">
        <v>2.5</v>
      </c>
      <c r="O769">
        <v>1</v>
      </c>
      <c r="P769" t="s">
        <v>48</v>
      </c>
      <c r="Q769" t="s">
        <v>30</v>
      </c>
      <c r="R769" t="s">
        <v>30</v>
      </c>
      <c r="S769">
        <v>11</v>
      </c>
      <c r="T769" t="s">
        <v>36</v>
      </c>
      <c r="U769" t="s">
        <v>52</v>
      </c>
      <c r="V769" s="1">
        <v>45582</v>
      </c>
      <c r="W769">
        <f>Table1[[#This Row],[customer_purchase count]]+1</f>
        <v>12</v>
      </c>
      <c r="X769">
        <f>Table1[[#This Row],[customer_purchase count]]*Rules!$B$3</f>
        <v>657.40794871794878</v>
      </c>
      <c r="Y769" t="str">
        <f>IF(Table1[[#This Row],[customer_subscription]]=1,"Subscribed","Not Subscribed")</f>
        <v>Subscribed</v>
      </c>
      <c r="Z769" t="s">
        <v>187</v>
      </c>
    </row>
    <row r="770" spans="1:26" x14ac:dyDescent="0.25">
      <c r="A770">
        <v>769</v>
      </c>
      <c r="B770">
        <v>64</v>
      </c>
      <c r="C770" t="s">
        <v>22</v>
      </c>
      <c r="D770">
        <v>769</v>
      </c>
      <c r="E770" t="s">
        <v>135</v>
      </c>
      <c r="F770" t="s">
        <v>70</v>
      </c>
      <c r="G770">
        <v>769</v>
      </c>
      <c r="H770">
        <v>1121</v>
      </c>
      <c r="I770">
        <v>95</v>
      </c>
      <c r="J770" t="s">
        <v>118</v>
      </c>
      <c r="K770" t="s">
        <v>95</v>
      </c>
      <c r="L770" t="s">
        <v>111</v>
      </c>
      <c r="M770" t="s">
        <v>40</v>
      </c>
      <c r="N770">
        <v>2.6</v>
      </c>
      <c r="O770">
        <v>1</v>
      </c>
      <c r="P770" t="s">
        <v>29</v>
      </c>
      <c r="Q770" t="s">
        <v>30</v>
      </c>
      <c r="R770" t="s">
        <v>30</v>
      </c>
      <c r="S770">
        <v>45</v>
      </c>
      <c r="T770" t="s">
        <v>31</v>
      </c>
      <c r="U770" t="s">
        <v>43</v>
      </c>
      <c r="V770" s="1">
        <v>45389</v>
      </c>
      <c r="W770">
        <f>Table1[[#This Row],[customer_purchase count]]+1</f>
        <v>46</v>
      </c>
      <c r="X770">
        <f>Table1[[#This Row],[customer_purchase count]]*Rules!$B$3</f>
        <v>2689.396153846154</v>
      </c>
      <c r="Y770" t="str">
        <f>IF(Table1[[#This Row],[customer_subscription]]=1,"Subscribed","Not Subscribed")</f>
        <v>Subscribed</v>
      </c>
    </row>
    <row r="771" spans="1:26" x14ac:dyDescent="0.25">
      <c r="A771">
        <v>770</v>
      </c>
      <c r="B771">
        <v>52</v>
      </c>
      <c r="C771" t="s">
        <v>22</v>
      </c>
      <c r="D771">
        <v>770</v>
      </c>
      <c r="E771" t="s">
        <v>128</v>
      </c>
      <c r="F771" t="s">
        <v>24</v>
      </c>
      <c r="G771">
        <v>770</v>
      </c>
      <c r="H771">
        <v>1123</v>
      </c>
      <c r="I771">
        <v>100</v>
      </c>
      <c r="J771" t="s">
        <v>82</v>
      </c>
      <c r="K771" t="s">
        <v>47</v>
      </c>
      <c r="L771" t="s">
        <v>68</v>
      </c>
      <c r="M771" t="s">
        <v>40</v>
      </c>
      <c r="N771">
        <v>4.3</v>
      </c>
      <c r="O771">
        <v>1</v>
      </c>
      <c r="P771" t="s">
        <v>77</v>
      </c>
      <c r="Q771" t="s">
        <v>30</v>
      </c>
      <c r="R771" t="s">
        <v>30</v>
      </c>
      <c r="S771">
        <v>8</v>
      </c>
      <c r="T771" t="s">
        <v>49</v>
      </c>
      <c r="U771" t="s">
        <v>91</v>
      </c>
      <c r="V771" s="1">
        <v>45359</v>
      </c>
      <c r="W771">
        <f>Table1[[#This Row],[customer_purchase count]]+1</f>
        <v>9</v>
      </c>
      <c r="X771">
        <f>Table1[[#This Row],[customer_purchase count]]*Rules!$B$3</f>
        <v>478.11487179487182</v>
      </c>
      <c r="Y771" t="str">
        <f>IF(Table1[[#This Row],[customer_subscription]]=1,"Subscribed","Not Subscribed")</f>
        <v>Subscribed</v>
      </c>
    </row>
    <row r="772" spans="1:26" x14ac:dyDescent="0.25">
      <c r="A772">
        <v>771</v>
      </c>
      <c r="B772">
        <v>19</v>
      </c>
      <c r="C772" t="s">
        <v>22</v>
      </c>
      <c r="D772">
        <v>771</v>
      </c>
      <c r="E772" t="s">
        <v>53</v>
      </c>
      <c r="F772" t="s">
        <v>45</v>
      </c>
      <c r="G772">
        <v>771</v>
      </c>
      <c r="H772">
        <v>1124</v>
      </c>
      <c r="I772">
        <v>54</v>
      </c>
      <c r="J772" t="s">
        <v>132</v>
      </c>
      <c r="K772" t="s">
        <v>47</v>
      </c>
      <c r="L772" t="s">
        <v>27</v>
      </c>
      <c r="M772" t="s">
        <v>40</v>
      </c>
      <c r="N772">
        <v>3.3</v>
      </c>
      <c r="O772">
        <v>1</v>
      </c>
      <c r="P772" t="s">
        <v>29</v>
      </c>
      <c r="Q772" t="s">
        <v>30</v>
      </c>
      <c r="R772" t="s">
        <v>30</v>
      </c>
      <c r="S772">
        <v>8</v>
      </c>
      <c r="T772" t="s">
        <v>42</v>
      </c>
      <c r="U772" t="s">
        <v>52</v>
      </c>
      <c r="V772" s="1">
        <v>45403</v>
      </c>
      <c r="W772">
        <f>Table1[[#This Row],[customer_purchase count]]+1</f>
        <v>9</v>
      </c>
      <c r="X772">
        <f>Table1[[#This Row],[customer_purchase count]]*Rules!$B$3</f>
        <v>478.11487179487182</v>
      </c>
      <c r="Y772" t="str">
        <f>IF(Table1[[#This Row],[customer_subscription]]=1,"Subscribed","Not Subscribed")</f>
        <v>Subscribed</v>
      </c>
    </row>
    <row r="773" spans="1:26" x14ac:dyDescent="0.25">
      <c r="A773">
        <v>772</v>
      </c>
      <c r="B773">
        <v>22</v>
      </c>
      <c r="C773" t="s">
        <v>22</v>
      </c>
      <c r="D773">
        <v>772</v>
      </c>
      <c r="E773" t="s">
        <v>33</v>
      </c>
      <c r="F773" t="s">
        <v>24</v>
      </c>
      <c r="G773">
        <v>772</v>
      </c>
      <c r="H773">
        <v>1125</v>
      </c>
      <c r="I773">
        <v>68</v>
      </c>
      <c r="J773" t="s">
        <v>80</v>
      </c>
      <c r="K773" t="s">
        <v>26</v>
      </c>
      <c r="L773" t="s">
        <v>112</v>
      </c>
      <c r="M773" t="s">
        <v>60</v>
      </c>
      <c r="N773">
        <v>2.6</v>
      </c>
      <c r="O773">
        <v>1</v>
      </c>
      <c r="P773" t="s">
        <v>48</v>
      </c>
      <c r="Q773" t="s">
        <v>30</v>
      </c>
      <c r="R773" t="s">
        <v>30</v>
      </c>
      <c r="S773">
        <v>34</v>
      </c>
      <c r="T773" t="s">
        <v>78</v>
      </c>
      <c r="U773" t="s">
        <v>32</v>
      </c>
      <c r="V773" s="1">
        <v>45611</v>
      </c>
      <c r="W773">
        <f>Table1[[#This Row],[customer_purchase count]]+1</f>
        <v>35</v>
      </c>
      <c r="X773">
        <f>Table1[[#This Row],[customer_purchase count]]*Rules!$B$3</f>
        <v>2031.9882051282052</v>
      </c>
      <c r="Y773" t="str">
        <f>IF(Table1[[#This Row],[customer_subscription]]=1,"Subscribed","Not Subscribed")</f>
        <v>Subscribed</v>
      </c>
    </row>
    <row r="774" spans="1:26" x14ac:dyDescent="0.25">
      <c r="A774">
        <v>773</v>
      </c>
      <c r="B774">
        <v>18</v>
      </c>
      <c r="C774" t="s">
        <v>22</v>
      </c>
      <c r="D774">
        <v>773</v>
      </c>
      <c r="E774" t="s">
        <v>37</v>
      </c>
      <c r="F774" t="s">
        <v>24</v>
      </c>
      <c r="G774">
        <v>773</v>
      </c>
      <c r="H774">
        <v>1126</v>
      </c>
      <c r="I774">
        <v>22</v>
      </c>
      <c r="J774" t="s">
        <v>118</v>
      </c>
      <c r="K774" t="s">
        <v>26</v>
      </c>
      <c r="L774" t="s">
        <v>88</v>
      </c>
      <c r="M774" t="s">
        <v>60</v>
      </c>
      <c r="N774">
        <v>3.6</v>
      </c>
      <c r="O774">
        <v>1</v>
      </c>
      <c r="P774" t="s">
        <v>41</v>
      </c>
      <c r="Q774" t="s">
        <v>30</v>
      </c>
      <c r="R774" t="s">
        <v>30</v>
      </c>
      <c r="S774">
        <v>40</v>
      </c>
      <c r="T774" t="s">
        <v>89</v>
      </c>
      <c r="U774" t="s">
        <v>79</v>
      </c>
      <c r="V774" s="1">
        <v>45553</v>
      </c>
      <c r="W774">
        <f>Table1[[#This Row],[customer_purchase count]]+1</f>
        <v>41</v>
      </c>
      <c r="X774">
        <f>Table1[[#This Row],[customer_purchase count]]*Rules!$B$3</f>
        <v>2390.5743589743593</v>
      </c>
      <c r="Y774" t="str">
        <f>IF(Table1[[#This Row],[customer_subscription]]=1,"Subscribed","Not Subscribed")</f>
        <v>Subscribed</v>
      </c>
    </row>
    <row r="775" spans="1:26" x14ac:dyDescent="0.25">
      <c r="A775">
        <v>774</v>
      </c>
      <c r="B775">
        <v>29</v>
      </c>
      <c r="C775" t="s">
        <v>22</v>
      </c>
      <c r="D775">
        <v>774</v>
      </c>
      <c r="E775" t="s">
        <v>127</v>
      </c>
      <c r="F775" t="s">
        <v>70</v>
      </c>
      <c r="G775">
        <v>774</v>
      </c>
      <c r="H775">
        <v>1127</v>
      </c>
      <c r="I775">
        <v>84</v>
      </c>
      <c r="J775" t="s">
        <v>102</v>
      </c>
      <c r="K775" t="s">
        <v>26</v>
      </c>
      <c r="L775" t="s">
        <v>129</v>
      </c>
      <c r="M775" t="s">
        <v>28</v>
      </c>
      <c r="N775">
        <v>2.6</v>
      </c>
      <c r="O775">
        <v>1</v>
      </c>
      <c r="P775" t="s">
        <v>29</v>
      </c>
      <c r="Q775" t="s">
        <v>30</v>
      </c>
      <c r="R775" t="s">
        <v>30</v>
      </c>
      <c r="S775">
        <v>14</v>
      </c>
      <c r="T775" t="s">
        <v>89</v>
      </c>
      <c r="U775" t="s">
        <v>79</v>
      </c>
      <c r="V775" s="1">
        <v>45296</v>
      </c>
      <c r="W775">
        <f>Table1[[#This Row],[customer_purchase count]]+1</f>
        <v>15</v>
      </c>
      <c r="X775">
        <f>Table1[[#This Row],[customer_purchase count]]*Rules!$B$3</f>
        <v>836.70102564102569</v>
      </c>
      <c r="Y775" t="str">
        <f>IF(Table1[[#This Row],[customer_subscription]]=1,"Subscribed","Not Subscribed")</f>
        <v>Subscribed</v>
      </c>
      <c r="Z775" t="s">
        <v>187</v>
      </c>
    </row>
    <row r="776" spans="1:26" x14ac:dyDescent="0.25">
      <c r="A776">
        <v>775</v>
      </c>
      <c r="B776">
        <v>42</v>
      </c>
      <c r="C776" t="s">
        <v>22</v>
      </c>
      <c r="D776">
        <v>775</v>
      </c>
      <c r="E776" t="s">
        <v>127</v>
      </c>
      <c r="F776" t="s">
        <v>70</v>
      </c>
      <c r="G776">
        <v>775</v>
      </c>
      <c r="H776">
        <v>1129</v>
      </c>
      <c r="I776">
        <v>46</v>
      </c>
      <c r="J776" t="s">
        <v>110</v>
      </c>
      <c r="K776" t="s">
        <v>47</v>
      </c>
      <c r="L776" t="s">
        <v>137</v>
      </c>
      <c r="M776" t="s">
        <v>56</v>
      </c>
      <c r="N776">
        <v>3.5</v>
      </c>
      <c r="O776">
        <v>1</v>
      </c>
      <c r="P776" t="s">
        <v>57</v>
      </c>
      <c r="Q776" t="s">
        <v>30</v>
      </c>
      <c r="R776" t="s">
        <v>30</v>
      </c>
      <c r="S776">
        <v>11</v>
      </c>
      <c r="T776" t="s">
        <v>42</v>
      </c>
      <c r="U776" t="s">
        <v>61</v>
      </c>
      <c r="V776" s="1">
        <v>45493</v>
      </c>
      <c r="W776">
        <f>Table1[[#This Row],[customer_purchase count]]+1</f>
        <v>12</v>
      </c>
      <c r="X776">
        <f>Table1[[#This Row],[customer_purchase count]]*Rules!$B$3</f>
        <v>657.40794871794878</v>
      </c>
      <c r="Y776" t="str">
        <f>IF(Table1[[#This Row],[customer_subscription]]=1,"Subscribed","Not Subscribed")</f>
        <v>Subscribed</v>
      </c>
    </row>
    <row r="777" spans="1:26" x14ac:dyDescent="0.25">
      <c r="A777">
        <v>776</v>
      </c>
      <c r="B777">
        <v>49</v>
      </c>
      <c r="C777" t="s">
        <v>22</v>
      </c>
      <c r="D777">
        <v>776</v>
      </c>
      <c r="E777" t="s">
        <v>69</v>
      </c>
      <c r="F777" t="s">
        <v>70</v>
      </c>
      <c r="G777">
        <v>776</v>
      </c>
      <c r="H777">
        <v>1130</v>
      </c>
      <c r="I777">
        <v>53</v>
      </c>
      <c r="J777" t="s">
        <v>25</v>
      </c>
      <c r="K777" t="s">
        <v>39</v>
      </c>
      <c r="L777" t="s">
        <v>83</v>
      </c>
      <c r="M777" t="s">
        <v>28</v>
      </c>
      <c r="N777">
        <v>3</v>
      </c>
      <c r="O777">
        <v>1</v>
      </c>
      <c r="P777" t="s">
        <v>77</v>
      </c>
      <c r="Q777" t="s">
        <v>30</v>
      </c>
      <c r="R777" t="s">
        <v>30</v>
      </c>
      <c r="S777">
        <v>8</v>
      </c>
      <c r="T777" t="s">
        <v>49</v>
      </c>
      <c r="U777" t="s">
        <v>91</v>
      </c>
      <c r="V777" s="1">
        <v>45644</v>
      </c>
      <c r="W777">
        <f>Table1[[#This Row],[customer_purchase count]]+1</f>
        <v>9</v>
      </c>
      <c r="X777">
        <f>Table1[[#This Row],[customer_purchase count]]*Rules!$B$3</f>
        <v>478.11487179487182</v>
      </c>
      <c r="Y777" t="str">
        <f>IF(Table1[[#This Row],[customer_subscription]]=1,"Subscribed","Not Subscribed")</f>
        <v>Subscribed</v>
      </c>
    </row>
    <row r="778" spans="1:26" x14ac:dyDescent="0.25">
      <c r="A778">
        <v>777</v>
      </c>
      <c r="B778">
        <v>49</v>
      </c>
      <c r="C778" t="s">
        <v>22</v>
      </c>
      <c r="D778">
        <v>777</v>
      </c>
      <c r="E778" t="s">
        <v>58</v>
      </c>
      <c r="F778" t="s">
        <v>24</v>
      </c>
      <c r="G778">
        <v>777</v>
      </c>
      <c r="H778">
        <v>1131</v>
      </c>
      <c r="I778">
        <v>60</v>
      </c>
      <c r="J778" t="s">
        <v>93</v>
      </c>
      <c r="K778" t="s">
        <v>47</v>
      </c>
      <c r="L778" t="s">
        <v>35</v>
      </c>
      <c r="M778" t="s">
        <v>40</v>
      </c>
      <c r="N778">
        <v>5</v>
      </c>
      <c r="O778">
        <v>1</v>
      </c>
      <c r="P778" t="s">
        <v>57</v>
      </c>
      <c r="Q778" t="s">
        <v>30</v>
      </c>
      <c r="R778" t="s">
        <v>30</v>
      </c>
      <c r="S778">
        <v>8</v>
      </c>
      <c r="T778" t="s">
        <v>31</v>
      </c>
      <c r="U778" t="s">
        <v>100</v>
      </c>
      <c r="V778" s="1">
        <v>45389</v>
      </c>
      <c r="W778">
        <f>Table1[[#This Row],[customer_purchase count]]+1</f>
        <v>9</v>
      </c>
      <c r="X778">
        <f>Table1[[#This Row],[customer_purchase count]]*Rules!$B$3</f>
        <v>478.11487179487182</v>
      </c>
      <c r="Y778" t="str">
        <f>IF(Table1[[#This Row],[customer_subscription]]=1,"Subscribed","Not Subscribed")</f>
        <v>Subscribed</v>
      </c>
    </row>
    <row r="779" spans="1:26" x14ac:dyDescent="0.25">
      <c r="A779">
        <v>778</v>
      </c>
      <c r="B779">
        <v>55</v>
      </c>
      <c r="C779" t="s">
        <v>22</v>
      </c>
      <c r="D779">
        <v>778</v>
      </c>
      <c r="E779" t="s">
        <v>128</v>
      </c>
      <c r="F779" t="s">
        <v>24</v>
      </c>
      <c r="G779">
        <v>778</v>
      </c>
      <c r="H779">
        <v>1132</v>
      </c>
      <c r="I779">
        <v>32</v>
      </c>
      <c r="J779" t="s">
        <v>54</v>
      </c>
      <c r="K779" t="s">
        <v>95</v>
      </c>
      <c r="L779" t="s">
        <v>68</v>
      </c>
      <c r="M779" t="s">
        <v>40</v>
      </c>
      <c r="N779">
        <v>2.5</v>
      </c>
      <c r="O779">
        <v>1</v>
      </c>
      <c r="P779" t="s">
        <v>29</v>
      </c>
      <c r="Q779" t="s">
        <v>30</v>
      </c>
      <c r="R779" t="s">
        <v>30</v>
      </c>
      <c r="S779">
        <v>37</v>
      </c>
      <c r="T779" t="s">
        <v>31</v>
      </c>
      <c r="U779" t="s">
        <v>43</v>
      </c>
      <c r="V779" s="1">
        <v>45367</v>
      </c>
      <c r="W779">
        <f>Table1[[#This Row],[customer_purchase count]]+1</f>
        <v>38</v>
      </c>
      <c r="X779">
        <f>Table1[[#This Row],[customer_purchase count]]*Rules!$B$3</f>
        <v>2211.2812820512822</v>
      </c>
      <c r="Y779" t="str">
        <f>IF(Table1[[#This Row],[customer_subscription]]=1,"Subscribed","Not Subscribed")</f>
        <v>Subscribed</v>
      </c>
      <c r="Z779" t="s">
        <v>193</v>
      </c>
    </row>
    <row r="780" spans="1:26" x14ac:dyDescent="0.25">
      <c r="A780">
        <v>779</v>
      </c>
      <c r="B780">
        <v>29</v>
      </c>
      <c r="C780" t="s">
        <v>22</v>
      </c>
      <c r="D780">
        <v>779</v>
      </c>
      <c r="E780" t="s">
        <v>128</v>
      </c>
      <c r="F780" t="s">
        <v>24</v>
      </c>
      <c r="G780">
        <v>779</v>
      </c>
      <c r="H780">
        <v>1133</v>
      </c>
      <c r="I780">
        <v>50</v>
      </c>
      <c r="J780" t="s">
        <v>38</v>
      </c>
      <c r="K780" t="s">
        <v>47</v>
      </c>
      <c r="L780" t="s">
        <v>137</v>
      </c>
      <c r="M780" t="s">
        <v>56</v>
      </c>
      <c r="N780">
        <v>2.9</v>
      </c>
      <c r="O780">
        <v>1</v>
      </c>
      <c r="P780" t="s">
        <v>77</v>
      </c>
      <c r="Q780" t="s">
        <v>30</v>
      </c>
      <c r="R780" t="s">
        <v>30</v>
      </c>
      <c r="S780">
        <v>23</v>
      </c>
      <c r="T780" t="s">
        <v>89</v>
      </c>
      <c r="U780" t="s">
        <v>52</v>
      </c>
      <c r="V780" s="1">
        <v>45498</v>
      </c>
      <c r="W780">
        <f>Table1[[#This Row],[customer_purchase count]]+1</f>
        <v>24</v>
      </c>
      <c r="X780">
        <f>Table1[[#This Row],[customer_purchase count]]*Rules!$B$3</f>
        <v>1374.5802564102564</v>
      </c>
      <c r="Y780" t="str">
        <f>IF(Table1[[#This Row],[customer_subscription]]=1,"Subscribed","Not Subscribed")</f>
        <v>Subscribed</v>
      </c>
    </row>
    <row r="781" spans="1:26" x14ac:dyDescent="0.25">
      <c r="A781">
        <v>780</v>
      </c>
      <c r="B781">
        <v>60</v>
      </c>
      <c r="C781" t="s">
        <v>22</v>
      </c>
      <c r="D781">
        <v>780</v>
      </c>
      <c r="E781" t="s">
        <v>84</v>
      </c>
      <c r="F781" t="s">
        <v>24</v>
      </c>
      <c r="G781">
        <v>780</v>
      </c>
      <c r="H781">
        <v>1135</v>
      </c>
      <c r="I781">
        <v>94</v>
      </c>
      <c r="J781" t="s">
        <v>143</v>
      </c>
      <c r="K781" t="s">
        <v>47</v>
      </c>
      <c r="L781" t="s">
        <v>147</v>
      </c>
      <c r="M781" t="s">
        <v>40</v>
      </c>
      <c r="N781">
        <v>4.5999999999999996</v>
      </c>
      <c r="O781">
        <v>1</v>
      </c>
      <c r="P781" t="s">
        <v>29</v>
      </c>
      <c r="Q781" t="s">
        <v>30</v>
      </c>
      <c r="R781" t="s">
        <v>30</v>
      </c>
      <c r="S781">
        <v>38</v>
      </c>
      <c r="T781" t="s">
        <v>36</v>
      </c>
      <c r="U781" t="s">
        <v>52</v>
      </c>
      <c r="V781" s="1">
        <v>45392</v>
      </c>
      <c r="W781">
        <f>Table1[[#This Row],[customer_purchase count]]+1</f>
        <v>39</v>
      </c>
      <c r="X781">
        <f>Table1[[#This Row],[customer_purchase count]]*Rules!$B$3</f>
        <v>2271.0456410256411</v>
      </c>
      <c r="Y781" t="str">
        <f>IF(Table1[[#This Row],[customer_subscription]]=1,"Subscribed","Not Subscribed")</f>
        <v>Subscribed</v>
      </c>
      <c r="Z781" t="s">
        <v>193</v>
      </c>
    </row>
    <row r="782" spans="1:26" x14ac:dyDescent="0.25">
      <c r="A782">
        <v>781</v>
      </c>
      <c r="B782">
        <v>34</v>
      </c>
      <c r="C782" t="s">
        <v>22</v>
      </c>
      <c r="D782">
        <v>781</v>
      </c>
      <c r="E782" t="s">
        <v>74</v>
      </c>
      <c r="F782" t="s">
        <v>45</v>
      </c>
      <c r="G782">
        <v>781</v>
      </c>
      <c r="H782">
        <v>1136</v>
      </c>
      <c r="I782">
        <v>26</v>
      </c>
      <c r="J782" t="s">
        <v>87</v>
      </c>
      <c r="K782" t="s">
        <v>47</v>
      </c>
      <c r="L782" t="s">
        <v>51</v>
      </c>
      <c r="M782" t="s">
        <v>40</v>
      </c>
      <c r="N782">
        <v>3.6</v>
      </c>
      <c r="O782">
        <v>1</v>
      </c>
      <c r="P782" t="s">
        <v>41</v>
      </c>
      <c r="Q782" t="s">
        <v>30</v>
      </c>
      <c r="R782" t="s">
        <v>30</v>
      </c>
      <c r="S782">
        <v>38</v>
      </c>
      <c r="T782" t="s">
        <v>36</v>
      </c>
      <c r="U782" t="s">
        <v>61</v>
      </c>
      <c r="V782" s="1">
        <v>45391</v>
      </c>
      <c r="W782">
        <f>Table1[[#This Row],[customer_purchase count]]+1</f>
        <v>39</v>
      </c>
      <c r="X782">
        <f>Table1[[#This Row],[customer_purchase count]]*Rules!$B$3</f>
        <v>2271.0456410256411</v>
      </c>
      <c r="Y782" t="str">
        <f>IF(Table1[[#This Row],[customer_subscription]]=1,"Subscribed","Not Subscribed")</f>
        <v>Subscribed</v>
      </c>
      <c r="Z782" t="s">
        <v>193</v>
      </c>
    </row>
    <row r="783" spans="1:26" x14ac:dyDescent="0.25">
      <c r="A783">
        <v>782</v>
      </c>
      <c r="B783">
        <v>30</v>
      </c>
      <c r="C783" t="s">
        <v>22</v>
      </c>
      <c r="D783">
        <v>782</v>
      </c>
      <c r="E783" t="s">
        <v>122</v>
      </c>
      <c r="F783" t="s">
        <v>70</v>
      </c>
      <c r="G783">
        <v>782</v>
      </c>
      <c r="H783">
        <v>1137</v>
      </c>
      <c r="I783">
        <v>44</v>
      </c>
      <c r="J783" t="s">
        <v>132</v>
      </c>
      <c r="K783" t="s">
        <v>26</v>
      </c>
      <c r="L783" t="s">
        <v>129</v>
      </c>
      <c r="M783" t="s">
        <v>28</v>
      </c>
      <c r="N783">
        <v>3</v>
      </c>
      <c r="O783">
        <v>1</v>
      </c>
      <c r="P783" t="s">
        <v>77</v>
      </c>
      <c r="Q783" t="s">
        <v>30</v>
      </c>
      <c r="R783" t="s">
        <v>30</v>
      </c>
      <c r="S783">
        <v>12</v>
      </c>
      <c r="T783" t="s">
        <v>42</v>
      </c>
      <c r="U783" t="s">
        <v>32</v>
      </c>
      <c r="V783" s="1">
        <v>45328</v>
      </c>
      <c r="W783">
        <f>Table1[[#This Row],[customer_purchase count]]+1</f>
        <v>13</v>
      </c>
      <c r="X783">
        <f>Table1[[#This Row],[customer_purchase count]]*Rules!$B$3</f>
        <v>717.17230769230775</v>
      </c>
      <c r="Y783" t="str">
        <f>IF(Table1[[#This Row],[customer_subscription]]=1,"Subscribed","Not Subscribed")</f>
        <v>Subscribed</v>
      </c>
    </row>
    <row r="784" spans="1:26" x14ac:dyDescent="0.25">
      <c r="A784">
        <v>783</v>
      </c>
      <c r="B784">
        <v>28</v>
      </c>
      <c r="C784" t="s">
        <v>22</v>
      </c>
      <c r="D784">
        <v>783</v>
      </c>
      <c r="E784" t="s">
        <v>107</v>
      </c>
      <c r="F784" t="s">
        <v>24</v>
      </c>
      <c r="G784">
        <v>783</v>
      </c>
      <c r="H784">
        <v>1138</v>
      </c>
      <c r="I784">
        <v>57</v>
      </c>
      <c r="J784" t="s">
        <v>80</v>
      </c>
      <c r="K784" t="s">
        <v>47</v>
      </c>
      <c r="L784" t="s">
        <v>99</v>
      </c>
      <c r="M784" t="s">
        <v>56</v>
      </c>
      <c r="N784">
        <v>4.5</v>
      </c>
      <c r="O784">
        <v>1</v>
      </c>
      <c r="P784" t="s">
        <v>57</v>
      </c>
      <c r="Q784" t="s">
        <v>30</v>
      </c>
      <c r="R784" t="s">
        <v>30</v>
      </c>
      <c r="S784">
        <v>15</v>
      </c>
      <c r="T784" t="s">
        <v>36</v>
      </c>
      <c r="U784" t="s">
        <v>43</v>
      </c>
      <c r="V784" s="1">
        <v>45476</v>
      </c>
      <c r="W784">
        <f>Table1[[#This Row],[customer_purchase count]]+1</f>
        <v>16</v>
      </c>
      <c r="X784">
        <f>Table1[[#This Row],[customer_purchase count]]*Rules!$B$3</f>
        <v>896.46538461538466</v>
      </c>
      <c r="Y784" t="str">
        <f>IF(Table1[[#This Row],[customer_subscription]]=1,"Subscribed","Not Subscribed")</f>
        <v>Subscribed</v>
      </c>
      <c r="Z784" t="s">
        <v>187</v>
      </c>
    </row>
    <row r="785" spans="1:26" x14ac:dyDescent="0.25">
      <c r="A785">
        <v>784</v>
      </c>
      <c r="B785">
        <v>63</v>
      </c>
      <c r="C785" t="s">
        <v>22</v>
      </c>
      <c r="D785">
        <v>784</v>
      </c>
      <c r="E785" t="s">
        <v>116</v>
      </c>
      <c r="F785" t="s">
        <v>24</v>
      </c>
      <c r="G785">
        <v>784</v>
      </c>
      <c r="H785">
        <v>1139</v>
      </c>
      <c r="I785">
        <v>65</v>
      </c>
      <c r="J785" t="s">
        <v>63</v>
      </c>
      <c r="K785" t="s">
        <v>26</v>
      </c>
      <c r="L785" t="s">
        <v>76</v>
      </c>
      <c r="M785" t="s">
        <v>28</v>
      </c>
      <c r="N785">
        <v>4.5</v>
      </c>
      <c r="O785">
        <v>1</v>
      </c>
      <c r="P785" t="s">
        <v>48</v>
      </c>
      <c r="Q785" t="s">
        <v>30</v>
      </c>
      <c r="R785" t="s">
        <v>30</v>
      </c>
      <c r="S785">
        <v>38</v>
      </c>
      <c r="T785" t="s">
        <v>49</v>
      </c>
      <c r="U785" t="s">
        <v>32</v>
      </c>
      <c r="V785" s="1">
        <v>45313</v>
      </c>
      <c r="W785">
        <f>Table1[[#This Row],[customer_purchase count]]+1</f>
        <v>39</v>
      </c>
      <c r="X785">
        <f>Table1[[#This Row],[customer_purchase count]]*Rules!$B$3</f>
        <v>2271.0456410256411</v>
      </c>
      <c r="Y785" t="str">
        <f>IF(Table1[[#This Row],[customer_subscription]]=1,"Subscribed","Not Subscribed")</f>
        <v>Subscribed</v>
      </c>
    </row>
    <row r="786" spans="1:26" x14ac:dyDescent="0.25">
      <c r="A786">
        <v>785</v>
      </c>
      <c r="B786">
        <v>31</v>
      </c>
      <c r="C786" t="s">
        <v>22</v>
      </c>
      <c r="D786">
        <v>785</v>
      </c>
      <c r="E786" t="s">
        <v>37</v>
      </c>
      <c r="F786" t="s">
        <v>24</v>
      </c>
      <c r="G786">
        <v>785</v>
      </c>
      <c r="H786">
        <v>1141</v>
      </c>
      <c r="I786">
        <v>72</v>
      </c>
      <c r="J786" t="s">
        <v>93</v>
      </c>
      <c r="K786" t="s">
        <v>47</v>
      </c>
      <c r="L786" t="s">
        <v>103</v>
      </c>
      <c r="M786" t="s">
        <v>28</v>
      </c>
      <c r="N786">
        <v>3.2</v>
      </c>
      <c r="O786">
        <v>1</v>
      </c>
      <c r="P786" t="s">
        <v>77</v>
      </c>
      <c r="Q786" t="s">
        <v>30</v>
      </c>
      <c r="R786" t="s">
        <v>30</v>
      </c>
      <c r="S786">
        <v>41</v>
      </c>
      <c r="T786" t="s">
        <v>78</v>
      </c>
      <c r="U786" t="s">
        <v>100</v>
      </c>
      <c r="V786" s="1">
        <v>45650</v>
      </c>
      <c r="W786">
        <f>Table1[[#This Row],[customer_purchase count]]+1</f>
        <v>42</v>
      </c>
      <c r="X786">
        <f>Table1[[#This Row],[customer_purchase count]]*Rules!$B$3</f>
        <v>2450.3387179487181</v>
      </c>
      <c r="Y786" t="str">
        <f>IF(Table1[[#This Row],[customer_subscription]]=1,"Subscribed","Not Subscribed")</f>
        <v>Subscribed</v>
      </c>
      <c r="Z786" t="s">
        <v>193</v>
      </c>
    </row>
    <row r="787" spans="1:26" x14ac:dyDescent="0.25">
      <c r="A787">
        <v>786</v>
      </c>
      <c r="B787">
        <v>46</v>
      </c>
      <c r="C787" t="s">
        <v>22</v>
      </c>
      <c r="D787">
        <v>786</v>
      </c>
      <c r="E787" t="s">
        <v>62</v>
      </c>
      <c r="F787" t="s">
        <v>24</v>
      </c>
      <c r="G787">
        <v>786</v>
      </c>
      <c r="H787">
        <v>1142</v>
      </c>
      <c r="I787">
        <v>62</v>
      </c>
      <c r="J787" t="s">
        <v>63</v>
      </c>
      <c r="K787" t="s">
        <v>39</v>
      </c>
      <c r="L787" t="s">
        <v>76</v>
      </c>
      <c r="M787" t="s">
        <v>40</v>
      </c>
      <c r="N787">
        <v>4</v>
      </c>
      <c r="O787">
        <v>1</v>
      </c>
      <c r="P787" t="s">
        <v>48</v>
      </c>
      <c r="Q787" t="s">
        <v>30</v>
      </c>
      <c r="R787" t="s">
        <v>30</v>
      </c>
      <c r="S787">
        <v>37</v>
      </c>
      <c r="T787" t="s">
        <v>49</v>
      </c>
      <c r="U787" t="s">
        <v>32</v>
      </c>
      <c r="V787" s="1">
        <v>45403</v>
      </c>
      <c r="W787">
        <f>Table1[[#This Row],[customer_purchase count]]+1</f>
        <v>38</v>
      </c>
      <c r="X787">
        <f>Table1[[#This Row],[customer_purchase count]]*Rules!$B$3</f>
        <v>2211.2812820512822</v>
      </c>
      <c r="Y787" t="str">
        <f>IF(Table1[[#This Row],[customer_subscription]]=1,"Subscribed","Not Subscribed")</f>
        <v>Subscribed</v>
      </c>
      <c r="Z787" t="s">
        <v>193</v>
      </c>
    </row>
    <row r="788" spans="1:26" x14ac:dyDescent="0.25">
      <c r="A788">
        <v>787</v>
      </c>
      <c r="B788">
        <v>70</v>
      </c>
      <c r="C788" t="s">
        <v>22</v>
      </c>
      <c r="D788">
        <v>787</v>
      </c>
      <c r="E788" t="s">
        <v>127</v>
      </c>
      <c r="F788" t="s">
        <v>70</v>
      </c>
      <c r="G788">
        <v>787</v>
      </c>
      <c r="H788">
        <v>1143</v>
      </c>
      <c r="I788">
        <v>21</v>
      </c>
      <c r="J788" t="s">
        <v>119</v>
      </c>
      <c r="K788" t="s">
        <v>39</v>
      </c>
      <c r="L788" t="s">
        <v>88</v>
      </c>
      <c r="M788" t="s">
        <v>28</v>
      </c>
      <c r="N788">
        <v>4.8</v>
      </c>
      <c r="O788">
        <v>1</v>
      </c>
      <c r="P788" t="s">
        <v>29</v>
      </c>
      <c r="Q788" t="s">
        <v>30</v>
      </c>
      <c r="R788" t="s">
        <v>30</v>
      </c>
      <c r="S788">
        <v>16</v>
      </c>
      <c r="T788" t="s">
        <v>78</v>
      </c>
      <c r="U788" t="s">
        <v>100</v>
      </c>
      <c r="V788" s="1">
        <v>45303</v>
      </c>
      <c r="W788">
        <f>Table1[[#This Row],[customer_purchase count]]+1</f>
        <v>17</v>
      </c>
      <c r="X788">
        <f>Table1[[#This Row],[customer_purchase count]]*Rules!$B$3</f>
        <v>956.22974358974363</v>
      </c>
      <c r="Y788" t="str">
        <f>IF(Table1[[#This Row],[customer_subscription]]=1,"Subscribed","Not Subscribed")</f>
        <v>Subscribed</v>
      </c>
    </row>
    <row r="789" spans="1:26" x14ac:dyDescent="0.25">
      <c r="A789">
        <v>788</v>
      </c>
      <c r="B789">
        <v>53</v>
      </c>
      <c r="C789" t="s">
        <v>22</v>
      </c>
      <c r="D789">
        <v>788</v>
      </c>
      <c r="E789" t="s">
        <v>69</v>
      </c>
      <c r="F789" t="s">
        <v>70</v>
      </c>
      <c r="G789">
        <v>788</v>
      </c>
      <c r="H789">
        <v>1144</v>
      </c>
      <c r="I789">
        <v>85</v>
      </c>
      <c r="J789" t="s">
        <v>154</v>
      </c>
      <c r="K789" t="s">
        <v>39</v>
      </c>
      <c r="L789" t="s">
        <v>99</v>
      </c>
      <c r="M789" t="s">
        <v>40</v>
      </c>
      <c r="N789">
        <v>3.7</v>
      </c>
      <c r="O789">
        <v>1</v>
      </c>
      <c r="P789" t="s">
        <v>41</v>
      </c>
      <c r="Q789" t="s">
        <v>30</v>
      </c>
      <c r="R789" t="s">
        <v>30</v>
      </c>
      <c r="S789">
        <v>25</v>
      </c>
      <c r="T789" t="s">
        <v>31</v>
      </c>
      <c r="U789" t="s">
        <v>43</v>
      </c>
      <c r="V789" s="1">
        <v>45399</v>
      </c>
      <c r="W789">
        <f>Table1[[#This Row],[customer_purchase count]]+1</f>
        <v>26</v>
      </c>
      <c r="X789">
        <f>Table1[[#This Row],[customer_purchase count]]*Rules!$B$3</f>
        <v>1494.1089743589744</v>
      </c>
      <c r="Y789" t="str">
        <f>IF(Table1[[#This Row],[customer_subscription]]=1,"Subscribed","Not Subscribed")</f>
        <v>Subscribed</v>
      </c>
    </row>
    <row r="790" spans="1:26" x14ac:dyDescent="0.25">
      <c r="A790">
        <v>789</v>
      </c>
      <c r="B790">
        <v>50</v>
      </c>
      <c r="C790" t="s">
        <v>22</v>
      </c>
      <c r="D790">
        <v>789</v>
      </c>
      <c r="E790" t="s">
        <v>98</v>
      </c>
      <c r="F790" t="s">
        <v>24</v>
      </c>
      <c r="G790">
        <v>789</v>
      </c>
      <c r="H790">
        <v>1145</v>
      </c>
      <c r="I790">
        <v>51</v>
      </c>
      <c r="J790" t="s">
        <v>46</v>
      </c>
      <c r="K790" t="s">
        <v>95</v>
      </c>
      <c r="L790" t="s">
        <v>137</v>
      </c>
      <c r="M790" t="s">
        <v>56</v>
      </c>
      <c r="N790">
        <v>3.8</v>
      </c>
      <c r="O790">
        <v>1</v>
      </c>
      <c r="P790" t="s">
        <v>77</v>
      </c>
      <c r="Q790" t="s">
        <v>30</v>
      </c>
      <c r="R790" t="s">
        <v>30</v>
      </c>
      <c r="S790">
        <v>18</v>
      </c>
      <c r="T790" t="s">
        <v>78</v>
      </c>
      <c r="U790" t="s">
        <v>61</v>
      </c>
      <c r="V790" s="1">
        <v>45456</v>
      </c>
      <c r="W790">
        <f>Table1[[#This Row],[customer_purchase count]]+1</f>
        <v>19</v>
      </c>
      <c r="X790">
        <f>Table1[[#This Row],[customer_purchase count]]*Rules!$B$3</f>
        <v>1075.7584615384617</v>
      </c>
      <c r="Y790" t="str">
        <f>IF(Table1[[#This Row],[customer_subscription]]=1,"Subscribed","Not Subscribed")</f>
        <v>Subscribed</v>
      </c>
    </row>
    <row r="791" spans="1:26" x14ac:dyDescent="0.25">
      <c r="A791">
        <v>790</v>
      </c>
      <c r="B791">
        <v>33</v>
      </c>
      <c r="C791" t="s">
        <v>22</v>
      </c>
      <c r="D791">
        <v>790</v>
      </c>
      <c r="E791" t="s">
        <v>69</v>
      </c>
      <c r="F791" t="s">
        <v>70</v>
      </c>
      <c r="G791">
        <v>790</v>
      </c>
      <c r="H791">
        <v>1147</v>
      </c>
      <c r="I791">
        <v>84</v>
      </c>
      <c r="J791" t="s">
        <v>138</v>
      </c>
      <c r="K791" t="s">
        <v>39</v>
      </c>
      <c r="L791" t="s">
        <v>76</v>
      </c>
      <c r="M791" t="s">
        <v>60</v>
      </c>
      <c r="N791">
        <v>2.7</v>
      </c>
      <c r="O791">
        <v>1</v>
      </c>
      <c r="P791" t="s">
        <v>57</v>
      </c>
      <c r="Q791" t="s">
        <v>30</v>
      </c>
      <c r="R791" t="s">
        <v>30</v>
      </c>
      <c r="S791">
        <v>4</v>
      </c>
      <c r="T791" t="s">
        <v>42</v>
      </c>
      <c r="U791" t="s">
        <v>79</v>
      </c>
      <c r="V791" s="1">
        <v>45577</v>
      </c>
      <c r="W791">
        <f>Table1[[#This Row],[customer_purchase count]]+1</f>
        <v>5</v>
      </c>
      <c r="X791">
        <f>Table1[[#This Row],[customer_purchase count]]*Rules!$B$3</f>
        <v>239.05743589743591</v>
      </c>
      <c r="Y791" t="str">
        <f>IF(Table1[[#This Row],[customer_subscription]]=1,"Subscribed","Not Subscribed")</f>
        <v>Subscribed</v>
      </c>
    </row>
    <row r="792" spans="1:26" x14ac:dyDescent="0.25">
      <c r="A792">
        <v>791</v>
      </c>
      <c r="B792">
        <v>22</v>
      </c>
      <c r="C792" t="s">
        <v>22</v>
      </c>
      <c r="D792">
        <v>791</v>
      </c>
      <c r="E792" t="s">
        <v>33</v>
      </c>
      <c r="F792" t="s">
        <v>24</v>
      </c>
      <c r="G792">
        <v>791</v>
      </c>
      <c r="H792">
        <v>1148</v>
      </c>
      <c r="I792">
        <v>37</v>
      </c>
      <c r="J792" t="s">
        <v>63</v>
      </c>
      <c r="K792" t="s">
        <v>47</v>
      </c>
      <c r="L792" t="s">
        <v>129</v>
      </c>
      <c r="M792" t="s">
        <v>56</v>
      </c>
      <c r="N792">
        <v>4.9000000000000004</v>
      </c>
      <c r="O792">
        <v>1</v>
      </c>
      <c r="P792" t="s">
        <v>77</v>
      </c>
      <c r="Q792" t="s">
        <v>30</v>
      </c>
      <c r="R792" t="s">
        <v>30</v>
      </c>
      <c r="S792">
        <v>12</v>
      </c>
      <c r="T792" t="s">
        <v>78</v>
      </c>
      <c r="U792" t="s">
        <v>61</v>
      </c>
      <c r="V792" s="1">
        <v>45483</v>
      </c>
      <c r="W792">
        <f>Table1[[#This Row],[customer_purchase count]]+1</f>
        <v>13</v>
      </c>
      <c r="X792">
        <f>Table1[[#This Row],[customer_purchase count]]*Rules!$B$3</f>
        <v>717.17230769230775</v>
      </c>
      <c r="Y792" t="str">
        <f>IF(Table1[[#This Row],[customer_subscription]]=1,"Subscribed","Not Subscribed")</f>
        <v>Subscribed</v>
      </c>
      <c r="Z792" t="s">
        <v>187</v>
      </c>
    </row>
    <row r="793" spans="1:26" x14ac:dyDescent="0.25">
      <c r="A793">
        <v>792</v>
      </c>
      <c r="B793">
        <v>50</v>
      </c>
      <c r="C793" t="s">
        <v>22</v>
      </c>
      <c r="D793">
        <v>792</v>
      </c>
      <c r="E793" t="s">
        <v>122</v>
      </c>
      <c r="F793" t="s">
        <v>70</v>
      </c>
      <c r="G793">
        <v>792</v>
      </c>
      <c r="H793">
        <v>1149</v>
      </c>
      <c r="I793">
        <v>44</v>
      </c>
      <c r="J793" t="s">
        <v>101</v>
      </c>
      <c r="K793" t="s">
        <v>39</v>
      </c>
      <c r="L793" t="s">
        <v>139</v>
      </c>
      <c r="M793" t="s">
        <v>56</v>
      </c>
      <c r="N793">
        <v>3.1</v>
      </c>
      <c r="O793">
        <v>1</v>
      </c>
      <c r="P793" t="s">
        <v>73</v>
      </c>
      <c r="Q793" t="s">
        <v>30</v>
      </c>
      <c r="R793" t="s">
        <v>30</v>
      </c>
      <c r="S793">
        <v>35</v>
      </c>
      <c r="T793" t="s">
        <v>49</v>
      </c>
      <c r="U793" t="s">
        <v>32</v>
      </c>
      <c r="V793" s="1">
        <v>45512</v>
      </c>
      <c r="W793">
        <f>Table1[[#This Row],[customer_purchase count]]+1</f>
        <v>36</v>
      </c>
      <c r="X793">
        <f>Table1[[#This Row],[customer_purchase count]]*Rules!$B$3</f>
        <v>2091.7525641025641</v>
      </c>
      <c r="Y793" t="str">
        <f>IF(Table1[[#This Row],[customer_subscription]]=1,"Subscribed","Not Subscribed")</f>
        <v>Subscribed</v>
      </c>
      <c r="Z793" t="s">
        <v>193</v>
      </c>
    </row>
    <row r="794" spans="1:26" x14ac:dyDescent="0.25">
      <c r="A794">
        <v>793</v>
      </c>
      <c r="B794">
        <v>34</v>
      </c>
      <c r="C794" t="s">
        <v>22</v>
      </c>
      <c r="D794">
        <v>793</v>
      </c>
      <c r="E794" t="s">
        <v>53</v>
      </c>
      <c r="F794" t="s">
        <v>45</v>
      </c>
      <c r="G794">
        <v>793</v>
      </c>
      <c r="H794">
        <v>1150</v>
      </c>
      <c r="I794">
        <v>45</v>
      </c>
      <c r="J794" t="s">
        <v>130</v>
      </c>
      <c r="K794" t="s">
        <v>47</v>
      </c>
      <c r="L794" t="s">
        <v>86</v>
      </c>
      <c r="M794" t="s">
        <v>40</v>
      </c>
      <c r="N794">
        <v>4.2</v>
      </c>
      <c r="O794">
        <v>1</v>
      </c>
      <c r="P794" t="s">
        <v>48</v>
      </c>
      <c r="Q794" t="s">
        <v>30</v>
      </c>
      <c r="R794" t="s">
        <v>30</v>
      </c>
      <c r="S794">
        <v>45</v>
      </c>
      <c r="T794" t="s">
        <v>31</v>
      </c>
      <c r="U794" t="s">
        <v>43</v>
      </c>
      <c r="V794" s="1">
        <v>45394</v>
      </c>
      <c r="W794">
        <f>Table1[[#This Row],[customer_purchase count]]+1</f>
        <v>46</v>
      </c>
      <c r="X794">
        <f>Table1[[#This Row],[customer_purchase count]]*Rules!$B$3</f>
        <v>2689.396153846154</v>
      </c>
      <c r="Y794" t="str">
        <f>IF(Table1[[#This Row],[customer_subscription]]=1,"Subscribed","Not Subscribed")</f>
        <v>Subscribed</v>
      </c>
      <c r="Z794" t="s">
        <v>193</v>
      </c>
    </row>
    <row r="795" spans="1:26" x14ac:dyDescent="0.25">
      <c r="A795">
        <v>794</v>
      </c>
      <c r="B795">
        <v>24</v>
      </c>
      <c r="C795" t="s">
        <v>22</v>
      </c>
      <c r="D795">
        <v>794</v>
      </c>
      <c r="E795" t="s">
        <v>98</v>
      </c>
      <c r="F795" t="s">
        <v>24</v>
      </c>
      <c r="G795">
        <v>794</v>
      </c>
      <c r="H795">
        <v>1151</v>
      </c>
      <c r="I795">
        <v>35</v>
      </c>
      <c r="J795" t="s">
        <v>93</v>
      </c>
      <c r="K795" t="s">
        <v>26</v>
      </c>
      <c r="L795" t="s">
        <v>35</v>
      </c>
      <c r="M795" t="s">
        <v>56</v>
      </c>
      <c r="N795">
        <v>3.8</v>
      </c>
      <c r="O795">
        <v>1</v>
      </c>
      <c r="P795" t="s">
        <v>41</v>
      </c>
      <c r="Q795" t="s">
        <v>30</v>
      </c>
      <c r="R795" t="s">
        <v>30</v>
      </c>
      <c r="S795">
        <v>16</v>
      </c>
      <c r="T795" t="s">
        <v>42</v>
      </c>
      <c r="U795" t="s">
        <v>91</v>
      </c>
      <c r="V795" s="1">
        <v>45486</v>
      </c>
      <c r="W795">
        <f>Table1[[#This Row],[customer_purchase count]]+1</f>
        <v>17</v>
      </c>
      <c r="X795">
        <f>Table1[[#This Row],[customer_purchase count]]*Rules!$B$3</f>
        <v>956.22974358974363</v>
      </c>
      <c r="Y795" t="str">
        <f>IF(Table1[[#This Row],[customer_subscription]]=1,"Subscribed","Not Subscribed")</f>
        <v>Subscribed</v>
      </c>
      <c r="Z795" t="s">
        <v>187</v>
      </c>
    </row>
    <row r="796" spans="1:26" x14ac:dyDescent="0.25">
      <c r="A796">
        <v>795</v>
      </c>
      <c r="B796">
        <v>69</v>
      </c>
      <c r="C796" t="s">
        <v>22</v>
      </c>
      <c r="D796">
        <v>795</v>
      </c>
      <c r="E796" t="s">
        <v>135</v>
      </c>
      <c r="F796" t="s">
        <v>70</v>
      </c>
      <c r="G796">
        <v>795</v>
      </c>
      <c r="H796">
        <v>1153</v>
      </c>
      <c r="I796">
        <v>50</v>
      </c>
      <c r="J796" t="s">
        <v>25</v>
      </c>
      <c r="K796" t="s">
        <v>95</v>
      </c>
      <c r="L796" t="s">
        <v>137</v>
      </c>
      <c r="M796" t="s">
        <v>28</v>
      </c>
      <c r="N796">
        <v>4.2</v>
      </c>
      <c r="O796">
        <v>1</v>
      </c>
      <c r="P796" t="s">
        <v>77</v>
      </c>
      <c r="Q796" t="s">
        <v>30</v>
      </c>
      <c r="R796" t="s">
        <v>30</v>
      </c>
      <c r="S796">
        <v>10</v>
      </c>
      <c r="T796" t="s">
        <v>89</v>
      </c>
      <c r="U796" t="s">
        <v>32</v>
      </c>
      <c r="V796" s="1">
        <v>45634</v>
      </c>
      <c r="W796">
        <f>Table1[[#This Row],[customer_purchase count]]+1</f>
        <v>11</v>
      </c>
      <c r="X796">
        <f>Table1[[#This Row],[customer_purchase count]]*Rules!$B$3</f>
        <v>597.64358974358981</v>
      </c>
      <c r="Y796" t="str">
        <f>IF(Table1[[#This Row],[customer_subscription]]=1,"Subscribed","Not Subscribed")</f>
        <v>Subscribed</v>
      </c>
    </row>
    <row r="797" spans="1:26" x14ac:dyDescent="0.25">
      <c r="A797">
        <v>796</v>
      </c>
      <c r="B797">
        <v>39</v>
      </c>
      <c r="C797" t="s">
        <v>22</v>
      </c>
      <c r="D797">
        <v>796</v>
      </c>
      <c r="E797" t="s">
        <v>44</v>
      </c>
      <c r="F797" t="s">
        <v>45</v>
      </c>
      <c r="G797">
        <v>796</v>
      </c>
      <c r="H797">
        <v>1154</v>
      </c>
      <c r="I797">
        <v>26</v>
      </c>
      <c r="J797" t="s">
        <v>87</v>
      </c>
      <c r="K797" t="s">
        <v>47</v>
      </c>
      <c r="L797" t="s">
        <v>121</v>
      </c>
      <c r="M797" t="s">
        <v>56</v>
      </c>
      <c r="N797">
        <v>4.5999999999999996</v>
      </c>
      <c r="O797">
        <v>1</v>
      </c>
      <c r="P797" t="s">
        <v>77</v>
      </c>
      <c r="Q797" t="s">
        <v>30</v>
      </c>
      <c r="R797" t="s">
        <v>30</v>
      </c>
      <c r="S797">
        <v>34</v>
      </c>
      <c r="T797" t="s">
        <v>31</v>
      </c>
      <c r="U797" t="s">
        <v>52</v>
      </c>
      <c r="V797" s="1">
        <v>45491</v>
      </c>
      <c r="W797">
        <f>Table1[[#This Row],[customer_purchase count]]+1</f>
        <v>35</v>
      </c>
      <c r="X797">
        <f>Table1[[#This Row],[customer_purchase count]]*Rules!$B$3</f>
        <v>2031.9882051282052</v>
      </c>
      <c r="Y797" t="str">
        <f>IF(Table1[[#This Row],[customer_subscription]]=1,"Subscribed","Not Subscribed")</f>
        <v>Subscribed</v>
      </c>
      <c r="Z797" t="s">
        <v>193</v>
      </c>
    </row>
    <row r="798" spans="1:26" x14ac:dyDescent="0.25">
      <c r="A798">
        <v>797</v>
      </c>
      <c r="B798">
        <v>42</v>
      </c>
      <c r="C798" t="s">
        <v>22</v>
      </c>
      <c r="D798">
        <v>797</v>
      </c>
      <c r="E798" t="s">
        <v>128</v>
      </c>
      <c r="F798" t="s">
        <v>24</v>
      </c>
      <c r="G798">
        <v>797</v>
      </c>
      <c r="H798">
        <v>1155</v>
      </c>
      <c r="I798">
        <v>78</v>
      </c>
      <c r="J798" t="s">
        <v>120</v>
      </c>
      <c r="K798" t="s">
        <v>95</v>
      </c>
      <c r="L798" t="s">
        <v>97</v>
      </c>
      <c r="M798" t="s">
        <v>60</v>
      </c>
      <c r="N798">
        <v>4</v>
      </c>
      <c r="O798">
        <v>1</v>
      </c>
      <c r="P798" t="s">
        <v>73</v>
      </c>
      <c r="Q798" t="s">
        <v>30</v>
      </c>
      <c r="R798" t="s">
        <v>30</v>
      </c>
      <c r="S798">
        <v>43</v>
      </c>
      <c r="T798" t="s">
        <v>42</v>
      </c>
      <c r="U798" t="s">
        <v>52</v>
      </c>
      <c r="V798" s="1">
        <v>45563</v>
      </c>
      <c r="W798">
        <f>Table1[[#This Row],[customer_purchase count]]+1</f>
        <v>44</v>
      </c>
      <c r="X798">
        <f>Table1[[#This Row],[customer_purchase count]]*Rules!$B$3</f>
        <v>2569.8674358974358</v>
      </c>
      <c r="Y798" t="str">
        <f>IF(Table1[[#This Row],[customer_subscription]]=1,"Subscribed","Not Subscribed")</f>
        <v>Subscribed</v>
      </c>
      <c r="Z798" t="s">
        <v>193</v>
      </c>
    </row>
    <row r="799" spans="1:26" x14ac:dyDescent="0.25">
      <c r="A799">
        <v>798</v>
      </c>
      <c r="B799">
        <v>42</v>
      </c>
      <c r="C799" t="s">
        <v>22</v>
      </c>
      <c r="D799">
        <v>798</v>
      </c>
      <c r="E799" t="s">
        <v>65</v>
      </c>
      <c r="F799" t="s">
        <v>66</v>
      </c>
      <c r="G799">
        <v>798</v>
      </c>
      <c r="H799">
        <v>1156</v>
      </c>
      <c r="I799">
        <v>82</v>
      </c>
      <c r="J799" t="s">
        <v>131</v>
      </c>
      <c r="K799" t="s">
        <v>47</v>
      </c>
      <c r="L799" t="s">
        <v>86</v>
      </c>
      <c r="M799" t="s">
        <v>60</v>
      </c>
      <c r="N799">
        <v>4</v>
      </c>
      <c r="O799">
        <v>1</v>
      </c>
      <c r="P799" t="s">
        <v>73</v>
      </c>
      <c r="Q799" t="s">
        <v>30</v>
      </c>
      <c r="R799" t="s">
        <v>30</v>
      </c>
      <c r="S799">
        <v>38</v>
      </c>
      <c r="T799" t="s">
        <v>89</v>
      </c>
      <c r="U799" t="s">
        <v>43</v>
      </c>
      <c r="V799" s="1">
        <v>45562</v>
      </c>
      <c r="W799">
        <f>Table1[[#This Row],[customer_purchase count]]+1</f>
        <v>39</v>
      </c>
      <c r="X799">
        <f>Table1[[#This Row],[customer_purchase count]]*Rules!$B$3</f>
        <v>2271.0456410256411</v>
      </c>
      <c r="Y799" t="str">
        <f>IF(Table1[[#This Row],[customer_subscription]]=1,"Subscribed","Not Subscribed")</f>
        <v>Subscribed</v>
      </c>
      <c r="Z799" t="s">
        <v>193</v>
      </c>
    </row>
    <row r="800" spans="1:26" x14ac:dyDescent="0.25">
      <c r="A800">
        <v>799</v>
      </c>
      <c r="B800">
        <v>29</v>
      </c>
      <c r="C800" t="s">
        <v>22</v>
      </c>
      <c r="D800">
        <v>799</v>
      </c>
      <c r="E800" t="s">
        <v>128</v>
      </c>
      <c r="F800" t="s">
        <v>24</v>
      </c>
      <c r="G800">
        <v>799</v>
      </c>
      <c r="H800">
        <v>1157</v>
      </c>
      <c r="I800">
        <v>39</v>
      </c>
      <c r="J800" t="s">
        <v>123</v>
      </c>
      <c r="K800" t="s">
        <v>47</v>
      </c>
      <c r="L800" t="s">
        <v>86</v>
      </c>
      <c r="M800" t="s">
        <v>40</v>
      </c>
      <c r="N800">
        <v>3.8</v>
      </c>
      <c r="O800">
        <v>1</v>
      </c>
      <c r="P800" t="s">
        <v>73</v>
      </c>
      <c r="Q800" t="s">
        <v>30</v>
      </c>
      <c r="R800" t="s">
        <v>30</v>
      </c>
      <c r="S800">
        <v>48</v>
      </c>
      <c r="T800" t="s">
        <v>49</v>
      </c>
      <c r="U800" t="s">
        <v>100</v>
      </c>
      <c r="V800" s="1">
        <v>45369</v>
      </c>
      <c r="W800">
        <f>Table1[[#This Row],[customer_purchase count]]+1</f>
        <v>49</v>
      </c>
      <c r="X800">
        <f>Table1[[#This Row],[customer_purchase count]]*Rules!$B$3</f>
        <v>2868.689230769231</v>
      </c>
      <c r="Y800" t="str">
        <f>IF(Table1[[#This Row],[customer_subscription]]=1,"Subscribed","Not Subscribed")</f>
        <v>Subscribed</v>
      </c>
    </row>
    <row r="801" spans="1:26" x14ac:dyDescent="0.25">
      <c r="A801">
        <v>800</v>
      </c>
      <c r="B801">
        <v>55</v>
      </c>
      <c r="C801" t="s">
        <v>22</v>
      </c>
      <c r="D801">
        <v>800</v>
      </c>
      <c r="E801" t="s">
        <v>136</v>
      </c>
      <c r="F801" t="s">
        <v>70</v>
      </c>
      <c r="G801">
        <v>800</v>
      </c>
      <c r="H801">
        <v>1159</v>
      </c>
      <c r="I801">
        <v>55</v>
      </c>
      <c r="J801" t="s">
        <v>110</v>
      </c>
      <c r="K801" t="s">
        <v>26</v>
      </c>
      <c r="L801" t="s">
        <v>113</v>
      </c>
      <c r="M801" t="s">
        <v>56</v>
      </c>
      <c r="N801">
        <v>3.3</v>
      </c>
      <c r="O801">
        <v>1</v>
      </c>
      <c r="P801" t="s">
        <v>41</v>
      </c>
      <c r="Q801" t="s">
        <v>30</v>
      </c>
      <c r="R801" t="s">
        <v>30</v>
      </c>
      <c r="S801">
        <v>31</v>
      </c>
      <c r="T801" t="s">
        <v>49</v>
      </c>
      <c r="U801" t="s">
        <v>52</v>
      </c>
      <c r="V801" s="1">
        <v>45516</v>
      </c>
      <c r="W801">
        <f>Table1[[#This Row],[customer_purchase count]]+1</f>
        <v>32</v>
      </c>
      <c r="X801">
        <f>Table1[[#This Row],[customer_purchase count]]*Rules!$B$3</f>
        <v>1852.6951282051282</v>
      </c>
      <c r="Y801" t="str">
        <f>IF(Table1[[#This Row],[customer_subscription]]=1,"Subscribed","Not Subscribed")</f>
        <v>Subscribed</v>
      </c>
    </row>
    <row r="802" spans="1:26" x14ac:dyDescent="0.25">
      <c r="A802">
        <v>801</v>
      </c>
      <c r="B802">
        <v>32</v>
      </c>
      <c r="C802" t="s">
        <v>22</v>
      </c>
      <c r="D802">
        <v>801</v>
      </c>
      <c r="E802" t="s">
        <v>128</v>
      </c>
      <c r="F802" t="s">
        <v>24</v>
      </c>
      <c r="G802">
        <v>801</v>
      </c>
      <c r="H802">
        <v>1160</v>
      </c>
      <c r="I802">
        <v>20</v>
      </c>
      <c r="J802" t="s">
        <v>143</v>
      </c>
      <c r="K802" t="s">
        <v>39</v>
      </c>
      <c r="L802" t="s">
        <v>83</v>
      </c>
      <c r="M802" t="s">
        <v>56</v>
      </c>
      <c r="N802">
        <v>2.6</v>
      </c>
      <c r="O802">
        <v>1</v>
      </c>
      <c r="P802" t="s">
        <v>41</v>
      </c>
      <c r="Q802" t="s">
        <v>30</v>
      </c>
      <c r="R802" t="s">
        <v>30</v>
      </c>
      <c r="S802">
        <v>20</v>
      </c>
      <c r="T802" t="s">
        <v>36</v>
      </c>
      <c r="U802" t="s">
        <v>100</v>
      </c>
      <c r="V802" s="1">
        <v>45526</v>
      </c>
      <c r="W802">
        <f>Table1[[#This Row],[customer_purchase count]]+1</f>
        <v>21</v>
      </c>
      <c r="X802">
        <f>Table1[[#This Row],[customer_purchase count]]*Rules!$B$3</f>
        <v>1195.2871794871796</v>
      </c>
      <c r="Y802" t="str">
        <f>IF(Table1[[#This Row],[customer_subscription]]=1,"Subscribed","Not Subscribed")</f>
        <v>Subscribed</v>
      </c>
    </row>
    <row r="803" spans="1:26" x14ac:dyDescent="0.25">
      <c r="A803">
        <v>802</v>
      </c>
      <c r="B803">
        <v>25</v>
      </c>
      <c r="C803" t="s">
        <v>22</v>
      </c>
      <c r="D803">
        <v>802</v>
      </c>
      <c r="E803" t="s">
        <v>136</v>
      </c>
      <c r="F803" t="s">
        <v>70</v>
      </c>
      <c r="G803">
        <v>802</v>
      </c>
      <c r="H803">
        <v>1161</v>
      </c>
      <c r="I803">
        <v>29</v>
      </c>
      <c r="J803" t="s">
        <v>133</v>
      </c>
      <c r="K803" t="s">
        <v>26</v>
      </c>
      <c r="L803" t="s">
        <v>147</v>
      </c>
      <c r="M803" t="s">
        <v>60</v>
      </c>
      <c r="N803">
        <v>4.9000000000000004</v>
      </c>
      <c r="O803">
        <v>1</v>
      </c>
      <c r="P803" t="s">
        <v>29</v>
      </c>
      <c r="Q803" t="s">
        <v>30</v>
      </c>
      <c r="R803" t="s">
        <v>30</v>
      </c>
      <c r="S803">
        <v>12</v>
      </c>
      <c r="T803" t="s">
        <v>42</v>
      </c>
      <c r="U803" t="s">
        <v>32</v>
      </c>
      <c r="V803" s="1">
        <v>45604</v>
      </c>
      <c r="W803">
        <f>Table1[[#This Row],[customer_purchase count]]+1</f>
        <v>13</v>
      </c>
      <c r="X803">
        <f>Table1[[#This Row],[customer_purchase count]]*Rules!$B$3</f>
        <v>717.17230769230775</v>
      </c>
      <c r="Y803" t="str">
        <f>IF(Table1[[#This Row],[customer_subscription]]=1,"Subscribed","Not Subscribed")</f>
        <v>Subscribed</v>
      </c>
      <c r="Z803" t="s">
        <v>187</v>
      </c>
    </row>
    <row r="804" spans="1:26" x14ac:dyDescent="0.25">
      <c r="A804">
        <v>803</v>
      </c>
      <c r="B804">
        <v>38</v>
      </c>
      <c r="C804" t="s">
        <v>22</v>
      </c>
      <c r="D804">
        <v>803</v>
      </c>
      <c r="E804" t="s">
        <v>98</v>
      </c>
      <c r="F804" t="s">
        <v>24</v>
      </c>
      <c r="G804">
        <v>803</v>
      </c>
      <c r="H804">
        <v>1162</v>
      </c>
      <c r="I804">
        <v>41</v>
      </c>
      <c r="J804" t="s">
        <v>82</v>
      </c>
      <c r="K804" t="s">
        <v>47</v>
      </c>
      <c r="L804" t="s">
        <v>88</v>
      </c>
      <c r="M804" t="s">
        <v>28</v>
      </c>
      <c r="N804">
        <v>3.5</v>
      </c>
      <c r="O804">
        <v>1</v>
      </c>
      <c r="P804" t="s">
        <v>48</v>
      </c>
      <c r="Q804" t="s">
        <v>30</v>
      </c>
      <c r="R804" t="s">
        <v>30</v>
      </c>
      <c r="S804">
        <v>2</v>
      </c>
      <c r="T804" t="s">
        <v>78</v>
      </c>
      <c r="U804" t="s">
        <v>43</v>
      </c>
      <c r="V804" s="1">
        <v>45633</v>
      </c>
      <c r="W804">
        <f>Table1[[#This Row],[customer_purchase count]]+1</f>
        <v>3</v>
      </c>
      <c r="X804">
        <f>Table1[[#This Row],[customer_purchase count]]*Rules!$B$3</f>
        <v>119.52871794871795</v>
      </c>
      <c r="Y804" t="str">
        <f>IF(Table1[[#This Row],[customer_subscription]]=1,"Subscribed","Not Subscribed")</f>
        <v>Subscribed</v>
      </c>
    </row>
    <row r="805" spans="1:26" x14ac:dyDescent="0.25">
      <c r="A805">
        <v>804</v>
      </c>
      <c r="B805">
        <v>32</v>
      </c>
      <c r="C805" t="s">
        <v>22</v>
      </c>
      <c r="D805">
        <v>804</v>
      </c>
      <c r="E805" t="s">
        <v>62</v>
      </c>
      <c r="F805" t="s">
        <v>24</v>
      </c>
      <c r="G805">
        <v>804</v>
      </c>
      <c r="H805">
        <v>1163</v>
      </c>
      <c r="I805">
        <v>38</v>
      </c>
      <c r="J805" t="s">
        <v>142</v>
      </c>
      <c r="K805" t="s">
        <v>26</v>
      </c>
      <c r="L805" t="s">
        <v>68</v>
      </c>
      <c r="M805" t="s">
        <v>28</v>
      </c>
      <c r="N805">
        <v>2.8</v>
      </c>
      <c r="O805">
        <v>1</v>
      </c>
      <c r="P805" t="s">
        <v>29</v>
      </c>
      <c r="Q805" t="s">
        <v>30</v>
      </c>
      <c r="R805" t="s">
        <v>30</v>
      </c>
      <c r="S805">
        <v>30</v>
      </c>
      <c r="T805" t="s">
        <v>31</v>
      </c>
      <c r="U805" t="s">
        <v>100</v>
      </c>
      <c r="V805" s="1">
        <v>45340</v>
      </c>
      <c r="W805">
        <f>Table1[[#This Row],[customer_purchase count]]+1</f>
        <v>31</v>
      </c>
      <c r="X805">
        <f>Table1[[#This Row],[customer_purchase count]]*Rules!$B$3</f>
        <v>1792.9307692307693</v>
      </c>
      <c r="Y805" t="str">
        <f>IF(Table1[[#This Row],[customer_subscription]]=1,"Subscribed","Not Subscribed")</f>
        <v>Subscribed</v>
      </c>
    </row>
    <row r="806" spans="1:26" x14ac:dyDescent="0.25">
      <c r="A806">
        <v>805</v>
      </c>
      <c r="B806">
        <v>43</v>
      </c>
      <c r="C806" t="s">
        <v>22</v>
      </c>
      <c r="D806">
        <v>805</v>
      </c>
      <c r="E806" t="s">
        <v>140</v>
      </c>
      <c r="F806" t="s">
        <v>45</v>
      </c>
      <c r="G806">
        <v>805</v>
      </c>
      <c r="H806">
        <v>1165</v>
      </c>
      <c r="I806">
        <v>47</v>
      </c>
      <c r="J806" t="s">
        <v>94</v>
      </c>
      <c r="K806" t="s">
        <v>47</v>
      </c>
      <c r="L806" t="s">
        <v>35</v>
      </c>
      <c r="M806" t="s">
        <v>56</v>
      </c>
      <c r="N806">
        <v>2.6</v>
      </c>
      <c r="O806">
        <v>1</v>
      </c>
      <c r="P806" t="s">
        <v>77</v>
      </c>
      <c r="Q806" t="s">
        <v>30</v>
      </c>
      <c r="R806" t="s">
        <v>30</v>
      </c>
      <c r="S806">
        <v>28</v>
      </c>
      <c r="T806" t="s">
        <v>31</v>
      </c>
      <c r="U806" t="s">
        <v>61</v>
      </c>
      <c r="V806" s="1">
        <v>45454</v>
      </c>
      <c r="W806">
        <f>Table1[[#This Row],[customer_purchase count]]+1</f>
        <v>29</v>
      </c>
      <c r="X806">
        <f>Table1[[#This Row],[customer_purchase count]]*Rules!$B$3</f>
        <v>1673.4020512820514</v>
      </c>
      <c r="Y806" t="str">
        <f>IF(Table1[[#This Row],[customer_subscription]]=1,"Subscribed","Not Subscribed")</f>
        <v>Subscribed</v>
      </c>
    </row>
    <row r="807" spans="1:26" x14ac:dyDescent="0.25">
      <c r="A807">
        <v>806</v>
      </c>
      <c r="B807">
        <v>41</v>
      </c>
      <c r="C807" t="s">
        <v>22</v>
      </c>
      <c r="D807">
        <v>806</v>
      </c>
      <c r="E807" t="s">
        <v>84</v>
      </c>
      <c r="F807" t="s">
        <v>24</v>
      </c>
      <c r="G807">
        <v>806</v>
      </c>
      <c r="H807">
        <v>1166</v>
      </c>
      <c r="I807">
        <v>30</v>
      </c>
      <c r="J807" t="s">
        <v>142</v>
      </c>
      <c r="K807" t="s">
        <v>26</v>
      </c>
      <c r="L807" t="s">
        <v>55</v>
      </c>
      <c r="M807" t="s">
        <v>56</v>
      </c>
      <c r="N807">
        <v>3.7</v>
      </c>
      <c r="O807">
        <v>1</v>
      </c>
      <c r="P807" t="s">
        <v>48</v>
      </c>
      <c r="Q807" t="s">
        <v>30</v>
      </c>
      <c r="R807" t="s">
        <v>30</v>
      </c>
      <c r="S807">
        <v>40</v>
      </c>
      <c r="T807" t="s">
        <v>89</v>
      </c>
      <c r="U807" t="s">
        <v>91</v>
      </c>
      <c r="V807" s="1">
        <v>45512</v>
      </c>
      <c r="W807">
        <f>Table1[[#This Row],[customer_purchase count]]+1</f>
        <v>41</v>
      </c>
      <c r="X807">
        <f>Table1[[#This Row],[customer_purchase count]]*Rules!$B$3</f>
        <v>2390.5743589743593</v>
      </c>
      <c r="Y807" t="str">
        <f>IF(Table1[[#This Row],[customer_subscription]]=1,"Subscribed","Not Subscribed")</f>
        <v>Subscribed</v>
      </c>
      <c r="Z807" t="s">
        <v>193</v>
      </c>
    </row>
    <row r="808" spans="1:26" x14ac:dyDescent="0.25">
      <c r="A808">
        <v>807</v>
      </c>
      <c r="B808">
        <v>56</v>
      </c>
      <c r="C808" t="s">
        <v>22</v>
      </c>
      <c r="D808">
        <v>807</v>
      </c>
      <c r="E808" t="s">
        <v>37</v>
      </c>
      <c r="F808" t="s">
        <v>24</v>
      </c>
      <c r="G808">
        <v>807</v>
      </c>
      <c r="H808">
        <v>1167</v>
      </c>
      <c r="I808">
        <v>56</v>
      </c>
      <c r="J808" t="s">
        <v>106</v>
      </c>
      <c r="K808" t="s">
        <v>26</v>
      </c>
      <c r="L808" t="s">
        <v>64</v>
      </c>
      <c r="M808" t="s">
        <v>56</v>
      </c>
      <c r="N808">
        <v>2.7</v>
      </c>
      <c r="O808">
        <v>1</v>
      </c>
      <c r="P808" t="s">
        <v>57</v>
      </c>
      <c r="Q808" t="s">
        <v>30</v>
      </c>
      <c r="R808" t="s">
        <v>30</v>
      </c>
      <c r="S808">
        <v>46</v>
      </c>
      <c r="T808" t="s">
        <v>49</v>
      </c>
      <c r="U808" t="s">
        <v>61</v>
      </c>
      <c r="V808" s="1">
        <v>45521</v>
      </c>
      <c r="W808">
        <f>Table1[[#This Row],[customer_purchase count]]+1</f>
        <v>47</v>
      </c>
      <c r="X808">
        <f>Table1[[#This Row],[customer_purchase count]]*Rules!$B$3</f>
        <v>2749.1605128205128</v>
      </c>
      <c r="Y808" t="str">
        <f>IF(Table1[[#This Row],[customer_subscription]]=1,"Subscribed","Not Subscribed")</f>
        <v>Subscribed</v>
      </c>
      <c r="Z808" t="s">
        <v>193</v>
      </c>
    </row>
    <row r="809" spans="1:26" x14ac:dyDescent="0.25">
      <c r="A809">
        <v>808</v>
      </c>
      <c r="B809">
        <v>27</v>
      </c>
      <c r="C809" t="s">
        <v>22</v>
      </c>
      <c r="D809">
        <v>808</v>
      </c>
      <c r="E809" t="s">
        <v>116</v>
      </c>
      <c r="F809" t="s">
        <v>24</v>
      </c>
      <c r="G809">
        <v>808</v>
      </c>
      <c r="H809">
        <v>1168</v>
      </c>
      <c r="I809">
        <v>89</v>
      </c>
      <c r="J809" t="s">
        <v>87</v>
      </c>
      <c r="K809" t="s">
        <v>39</v>
      </c>
      <c r="L809" t="s">
        <v>113</v>
      </c>
      <c r="M809" t="s">
        <v>28</v>
      </c>
      <c r="N809">
        <v>3.3</v>
      </c>
      <c r="O809">
        <v>1</v>
      </c>
      <c r="P809" t="s">
        <v>29</v>
      </c>
      <c r="Q809" t="s">
        <v>30</v>
      </c>
      <c r="R809" t="s">
        <v>30</v>
      </c>
      <c r="S809">
        <v>15</v>
      </c>
      <c r="T809" t="s">
        <v>42</v>
      </c>
      <c r="U809" t="s">
        <v>43</v>
      </c>
      <c r="V809" s="1">
        <v>45641</v>
      </c>
      <c r="W809">
        <f>Table1[[#This Row],[customer_purchase count]]+1</f>
        <v>16</v>
      </c>
      <c r="X809">
        <f>Table1[[#This Row],[customer_purchase count]]*Rules!$B$3</f>
        <v>896.46538461538466</v>
      </c>
      <c r="Y809" t="str">
        <f>IF(Table1[[#This Row],[customer_subscription]]=1,"Subscribed","Not Subscribed")</f>
        <v>Subscribed</v>
      </c>
      <c r="Z809" t="s">
        <v>187</v>
      </c>
    </row>
    <row r="810" spans="1:26" x14ac:dyDescent="0.25">
      <c r="A810">
        <v>809</v>
      </c>
      <c r="B810">
        <v>46</v>
      </c>
      <c r="C810" t="s">
        <v>22</v>
      </c>
      <c r="D810">
        <v>809</v>
      </c>
      <c r="E810" t="s">
        <v>74</v>
      </c>
      <c r="F810" t="s">
        <v>45</v>
      </c>
      <c r="G810">
        <v>809</v>
      </c>
      <c r="H810">
        <v>1169</v>
      </c>
      <c r="I810">
        <v>96</v>
      </c>
      <c r="J810" t="s">
        <v>153</v>
      </c>
      <c r="K810" t="s">
        <v>26</v>
      </c>
      <c r="L810" t="s">
        <v>96</v>
      </c>
      <c r="M810" t="s">
        <v>60</v>
      </c>
      <c r="N810">
        <v>4.5999999999999996</v>
      </c>
      <c r="O810">
        <v>1</v>
      </c>
      <c r="P810" t="s">
        <v>48</v>
      </c>
      <c r="Q810" t="s">
        <v>30</v>
      </c>
      <c r="R810" t="s">
        <v>30</v>
      </c>
      <c r="S810">
        <v>38</v>
      </c>
      <c r="T810" t="s">
        <v>36</v>
      </c>
      <c r="U810" t="s">
        <v>100</v>
      </c>
      <c r="V810" s="1">
        <v>45578</v>
      </c>
      <c r="W810">
        <f>Table1[[#This Row],[customer_purchase count]]+1</f>
        <v>39</v>
      </c>
      <c r="X810">
        <f>Table1[[#This Row],[customer_purchase count]]*Rules!$B$3</f>
        <v>2271.0456410256411</v>
      </c>
      <c r="Y810" t="str">
        <f>IF(Table1[[#This Row],[customer_subscription]]=1,"Subscribed","Not Subscribed")</f>
        <v>Subscribed</v>
      </c>
      <c r="Z810" t="s">
        <v>193</v>
      </c>
    </row>
    <row r="811" spans="1:26" x14ac:dyDescent="0.25">
      <c r="A811">
        <v>810</v>
      </c>
      <c r="B811">
        <v>48</v>
      </c>
      <c r="C811" t="s">
        <v>22</v>
      </c>
      <c r="D811">
        <v>810</v>
      </c>
      <c r="E811" t="s">
        <v>140</v>
      </c>
      <c r="F811" t="s">
        <v>45</v>
      </c>
      <c r="G811">
        <v>810</v>
      </c>
      <c r="H811">
        <v>1171</v>
      </c>
      <c r="I811">
        <v>81</v>
      </c>
      <c r="J811" t="s">
        <v>134</v>
      </c>
      <c r="K811" t="s">
        <v>47</v>
      </c>
      <c r="L811" t="s">
        <v>86</v>
      </c>
      <c r="M811" t="s">
        <v>60</v>
      </c>
      <c r="N811">
        <v>4.9000000000000004</v>
      </c>
      <c r="O811">
        <v>1</v>
      </c>
      <c r="P811" t="s">
        <v>48</v>
      </c>
      <c r="Q811" t="s">
        <v>30</v>
      </c>
      <c r="R811" t="s">
        <v>30</v>
      </c>
      <c r="S811">
        <v>30</v>
      </c>
      <c r="T811" t="s">
        <v>49</v>
      </c>
      <c r="U811" t="s">
        <v>79</v>
      </c>
      <c r="V811" s="1">
        <v>45536</v>
      </c>
      <c r="W811">
        <f>Table1[[#This Row],[customer_purchase count]]+1</f>
        <v>31</v>
      </c>
      <c r="X811">
        <f>Table1[[#This Row],[customer_purchase count]]*Rules!$B$3</f>
        <v>1792.9307692307693</v>
      </c>
      <c r="Y811" t="str">
        <f>IF(Table1[[#This Row],[customer_subscription]]=1,"Subscribed","Not Subscribed")</f>
        <v>Subscribed</v>
      </c>
    </row>
    <row r="812" spans="1:26" x14ac:dyDescent="0.25">
      <c r="A812">
        <v>811</v>
      </c>
      <c r="B812">
        <v>52</v>
      </c>
      <c r="C812" t="s">
        <v>22</v>
      </c>
      <c r="D812">
        <v>811</v>
      </c>
      <c r="E812" t="s">
        <v>122</v>
      </c>
      <c r="F812" t="s">
        <v>70</v>
      </c>
      <c r="G812">
        <v>811</v>
      </c>
      <c r="H812">
        <v>1172</v>
      </c>
      <c r="I812">
        <v>83</v>
      </c>
      <c r="J812" t="s">
        <v>150</v>
      </c>
      <c r="K812" t="s">
        <v>39</v>
      </c>
      <c r="L812" t="s">
        <v>96</v>
      </c>
      <c r="M812" t="s">
        <v>60</v>
      </c>
      <c r="N812">
        <v>4.9000000000000004</v>
      </c>
      <c r="O812">
        <v>1</v>
      </c>
      <c r="P812" t="s">
        <v>77</v>
      </c>
      <c r="Q812" t="s">
        <v>30</v>
      </c>
      <c r="R812" t="s">
        <v>30</v>
      </c>
      <c r="S812">
        <v>32</v>
      </c>
      <c r="T812" t="s">
        <v>89</v>
      </c>
      <c r="U812" t="s">
        <v>79</v>
      </c>
      <c r="V812" s="1">
        <v>45541</v>
      </c>
      <c r="W812">
        <f>Table1[[#This Row],[customer_purchase count]]+1</f>
        <v>33</v>
      </c>
      <c r="X812">
        <f>Table1[[#This Row],[customer_purchase count]]*Rules!$B$3</f>
        <v>1912.4594871794873</v>
      </c>
      <c r="Y812" t="str">
        <f>IF(Table1[[#This Row],[customer_subscription]]=1,"Subscribed","Not Subscribed")</f>
        <v>Subscribed</v>
      </c>
    </row>
    <row r="813" spans="1:26" x14ac:dyDescent="0.25">
      <c r="A813">
        <v>812</v>
      </c>
      <c r="B813">
        <v>18</v>
      </c>
      <c r="C813" t="s">
        <v>22</v>
      </c>
      <c r="D813">
        <v>812</v>
      </c>
      <c r="E813" t="s">
        <v>53</v>
      </c>
      <c r="F813" t="s">
        <v>45</v>
      </c>
      <c r="G813">
        <v>812</v>
      </c>
      <c r="H813">
        <v>1173</v>
      </c>
      <c r="I813">
        <v>35</v>
      </c>
      <c r="J813" t="s">
        <v>118</v>
      </c>
      <c r="K813" t="s">
        <v>47</v>
      </c>
      <c r="L813" t="s">
        <v>99</v>
      </c>
      <c r="M813" t="s">
        <v>28</v>
      </c>
      <c r="N813">
        <v>2.7</v>
      </c>
      <c r="O813">
        <v>1</v>
      </c>
      <c r="P813" t="s">
        <v>41</v>
      </c>
      <c r="Q813" t="s">
        <v>30</v>
      </c>
      <c r="R813" t="s">
        <v>30</v>
      </c>
      <c r="S813">
        <v>36</v>
      </c>
      <c r="T813" t="s">
        <v>31</v>
      </c>
      <c r="U813" t="s">
        <v>61</v>
      </c>
      <c r="V813" s="1">
        <v>45350</v>
      </c>
      <c r="W813">
        <f>Table1[[#This Row],[customer_purchase count]]+1</f>
        <v>37</v>
      </c>
      <c r="X813">
        <f>Table1[[#This Row],[customer_purchase count]]*Rules!$B$3</f>
        <v>2151.5169230769234</v>
      </c>
      <c r="Y813" t="str">
        <f>IF(Table1[[#This Row],[customer_subscription]]=1,"Subscribed","Not Subscribed")</f>
        <v>Subscribed</v>
      </c>
    </row>
    <row r="814" spans="1:26" x14ac:dyDescent="0.25">
      <c r="A814">
        <v>813</v>
      </c>
      <c r="B814">
        <v>64</v>
      </c>
      <c r="C814" t="s">
        <v>22</v>
      </c>
      <c r="D814">
        <v>813</v>
      </c>
      <c r="E814" t="s">
        <v>140</v>
      </c>
      <c r="F814" t="s">
        <v>45</v>
      </c>
      <c r="G814">
        <v>813</v>
      </c>
      <c r="H814">
        <v>1174</v>
      </c>
      <c r="I814">
        <v>56</v>
      </c>
      <c r="J814" t="s">
        <v>123</v>
      </c>
      <c r="K814" t="s">
        <v>47</v>
      </c>
      <c r="L814" t="s">
        <v>81</v>
      </c>
      <c r="M814" t="s">
        <v>56</v>
      </c>
      <c r="N814">
        <v>3.2</v>
      </c>
      <c r="O814">
        <v>1</v>
      </c>
      <c r="P814" t="s">
        <v>57</v>
      </c>
      <c r="Q814" t="s">
        <v>30</v>
      </c>
      <c r="R814" t="s">
        <v>30</v>
      </c>
      <c r="S814">
        <v>32</v>
      </c>
      <c r="T814" t="s">
        <v>42</v>
      </c>
      <c r="U814" t="s">
        <v>43</v>
      </c>
      <c r="V814" s="1">
        <v>45461</v>
      </c>
      <c r="W814">
        <f>Table1[[#This Row],[customer_purchase count]]+1</f>
        <v>33</v>
      </c>
      <c r="X814">
        <f>Table1[[#This Row],[customer_purchase count]]*Rules!$B$3</f>
        <v>1912.4594871794873</v>
      </c>
      <c r="Y814" t="str">
        <f>IF(Table1[[#This Row],[customer_subscription]]=1,"Subscribed","Not Subscribed")</f>
        <v>Subscribed</v>
      </c>
    </row>
    <row r="815" spans="1:26" x14ac:dyDescent="0.25">
      <c r="A815">
        <v>814</v>
      </c>
      <c r="B815">
        <v>54</v>
      </c>
      <c r="C815" t="s">
        <v>22</v>
      </c>
      <c r="D815">
        <v>814</v>
      </c>
      <c r="E815" t="s">
        <v>69</v>
      </c>
      <c r="F815" t="s">
        <v>70</v>
      </c>
      <c r="G815">
        <v>814</v>
      </c>
      <c r="H815">
        <v>1175</v>
      </c>
      <c r="I815">
        <v>45</v>
      </c>
      <c r="J815" t="s">
        <v>59</v>
      </c>
      <c r="K815" t="s">
        <v>39</v>
      </c>
      <c r="L815" t="s">
        <v>81</v>
      </c>
      <c r="M815" t="s">
        <v>56</v>
      </c>
      <c r="N815">
        <v>2.9</v>
      </c>
      <c r="O815">
        <v>1</v>
      </c>
      <c r="P815" t="s">
        <v>77</v>
      </c>
      <c r="Q815" t="s">
        <v>30</v>
      </c>
      <c r="R815" t="s">
        <v>30</v>
      </c>
      <c r="S815">
        <v>14</v>
      </c>
      <c r="T815" t="s">
        <v>89</v>
      </c>
      <c r="U815" t="s">
        <v>52</v>
      </c>
      <c r="V815" s="1">
        <v>45489</v>
      </c>
      <c r="W815">
        <f>Table1[[#This Row],[customer_purchase count]]+1</f>
        <v>15</v>
      </c>
      <c r="X815">
        <f>Table1[[#This Row],[customer_purchase count]]*Rules!$B$3</f>
        <v>836.70102564102569</v>
      </c>
      <c r="Y815" t="str">
        <f>IF(Table1[[#This Row],[customer_subscription]]=1,"Subscribed","Not Subscribed")</f>
        <v>Subscribed</v>
      </c>
    </row>
    <row r="816" spans="1:26" x14ac:dyDescent="0.25">
      <c r="A816">
        <v>815</v>
      </c>
      <c r="B816">
        <v>31</v>
      </c>
      <c r="C816" t="s">
        <v>22</v>
      </c>
      <c r="D816">
        <v>815</v>
      </c>
      <c r="E816" t="s">
        <v>58</v>
      </c>
      <c r="F816" t="s">
        <v>24</v>
      </c>
      <c r="G816">
        <v>815</v>
      </c>
      <c r="H816">
        <v>1177</v>
      </c>
      <c r="I816">
        <v>62</v>
      </c>
      <c r="J816" t="s">
        <v>151</v>
      </c>
      <c r="K816" t="s">
        <v>47</v>
      </c>
      <c r="L816" t="s">
        <v>72</v>
      </c>
      <c r="M816" t="s">
        <v>28</v>
      </c>
      <c r="N816">
        <v>3.8</v>
      </c>
      <c r="O816">
        <v>1</v>
      </c>
      <c r="P816" t="s">
        <v>29</v>
      </c>
      <c r="Q816" t="s">
        <v>30</v>
      </c>
      <c r="R816" t="s">
        <v>30</v>
      </c>
      <c r="S816">
        <v>8</v>
      </c>
      <c r="T816" t="s">
        <v>49</v>
      </c>
      <c r="U816" t="s">
        <v>91</v>
      </c>
      <c r="V816" s="1">
        <v>45335</v>
      </c>
      <c r="W816">
        <f>Table1[[#This Row],[customer_purchase count]]+1</f>
        <v>9</v>
      </c>
      <c r="X816">
        <f>Table1[[#This Row],[customer_purchase count]]*Rules!$B$3</f>
        <v>478.11487179487182</v>
      </c>
      <c r="Y816" t="str">
        <f>IF(Table1[[#This Row],[customer_subscription]]=1,"Subscribed","Not Subscribed")</f>
        <v>Subscribed</v>
      </c>
    </row>
    <row r="817" spans="1:26" x14ac:dyDescent="0.25">
      <c r="A817">
        <v>816</v>
      </c>
      <c r="B817">
        <v>30</v>
      </c>
      <c r="C817" t="s">
        <v>22</v>
      </c>
      <c r="D817">
        <v>816</v>
      </c>
      <c r="E817" t="s">
        <v>127</v>
      </c>
      <c r="F817" t="s">
        <v>70</v>
      </c>
      <c r="G817">
        <v>816</v>
      </c>
      <c r="H817">
        <v>1178</v>
      </c>
      <c r="I817">
        <v>84</v>
      </c>
      <c r="J817" t="s">
        <v>67</v>
      </c>
      <c r="K817" t="s">
        <v>26</v>
      </c>
      <c r="L817" t="s">
        <v>88</v>
      </c>
      <c r="M817" t="s">
        <v>40</v>
      </c>
      <c r="N817">
        <v>3</v>
      </c>
      <c r="O817">
        <v>1</v>
      </c>
      <c r="P817" t="s">
        <v>48</v>
      </c>
      <c r="Q817" t="s">
        <v>30</v>
      </c>
      <c r="R817" t="s">
        <v>30</v>
      </c>
      <c r="S817">
        <v>27</v>
      </c>
      <c r="T817" t="s">
        <v>31</v>
      </c>
      <c r="U817" t="s">
        <v>79</v>
      </c>
      <c r="V817" s="1">
        <v>45423</v>
      </c>
      <c r="W817">
        <f>Table1[[#This Row],[customer_purchase count]]+1</f>
        <v>28</v>
      </c>
      <c r="X817">
        <f>Table1[[#This Row],[customer_purchase count]]*Rules!$B$3</f>
        <v>1613.6376923076923</v>
      </c>
      <c r="Y817" t="str">
        <f>IF(Table1[[#This Row],[customer_subscription]]=1,"Subscribed","Not Subscribed")</f>
        <v>Subscribed</v>
      </c>
    </row>
    <row r="818" spans="1:26" x14ac:dyDescent="0.25">
      <c r="A818">
        <v>817</v>
      </c>
      <c r="B818">
        <v>26</v>
      </c>
      <c r="C818" t="s">
        <v>22</v>
      </c>
      <c r="D818">
        <v>817</v>
      </c>
      <c r="E818" t="s">
        <v>33</v>
      </c>
      <c r="F818" t="s">
        <v>24</v>
      </c>
      <c r="G818">
        <v>817</v>
      </c>
      <c r="H818">
        <v>1179</v>
      </c>
      <c r="I818">
        <v>24</v>
      </c>
      <c r="J818" t="s">
        <v>118</v>
      </c>
      <c r="K818" t="s">
        <v>26</v>
      </c>
      <c r="L818" t="s">
        <v>112</v>
      </c>
      <c r="M818" t="s">
        <v>56</v>
      </c>
      <c r="N818">
        <v>3.9</v>
      </c>
      <c r="O818">
        <v>1</v>
      </c>
      <c r="P818" t="s">
        <v>77</v>
      </c>
      <c r="Q818" t="s">
        <v>30</v>
      </c>
      <c r="R818" t="s">
        <v>30</v>
      </c>
      <c r="S818">
        <v>24</v>
      </c>
      <c r="T818" t="s">
        <v>89</v>
      </c>
      <c r="U818" t="s">
        <v>91</v>
      </c>
      <c r="V818" s="1">
        <v>45450</v>
      </c>
      <c r="W818">
        <f>Table1[[#This Row],[customer_purchase count]]+1</f>
        <v>25</v>
      </c>
      <c r="X818">
        <f>Table1[[#This Row],[customer_purchase count]]*Rules!$B$3</f>
        <v>1434.3446153846155</v>
      </c>
      <c r="Y818" t="str">
        <f>IF(Table1[[#This Row],[customer_subscription]]=1,"Subscribed","Not Subscribed")</f>
        <v>Subscribed</v>
      </c>
    </row>
    <row r="819" spans="1:26" x14ac:dyDescent="0.25">
      <c r="A819">
        <v>818</v>
      </c>
      <c r="B819">
        <v>25</v>
      </c>
      <c r="C819" t="s">
        <v>22</v>
      </c>
      <c r="D819">
        <v>818</v>
      </c>
      <c r="E819" t="s">
        <v>69</v>
      </c>
      <c r="F819" t="s">
        <v>70</v>
      </c>
      <c r="G819">
        <v>818</v>
      </c>
      <c r="H819">
        <v>1180</v>
      </c>
      <c r="I819">
        <v>21</v>
      </c>
      <c r="J819" t="s">
        <v>110</v>
      </c>
      <c r="K819" t="s">
        <v>39</v>
      </c>
      <c r="L819" t="s">
        <v>27</v>
      </c>
      <c r="M819" t="s">
        <v>40</v>
      </c>
      <c r="N819">
        <v>4.7</v>
      </c>
      <c r="O819">
        <v>1</v>
      </c>
      <c r="P819" t="s">
        <v>77</v>
      </c>
      <c r="Q819" t="s">
        <v>30</v>
      </c>
      <c r="R819" t="s">
        <v>30</v>
      </c>
      <c r="S819">
        <v>30</v>
      </c>
      <c r="T819" t="s">
        <v>49</v>
      </c>
      <c r="U819" t="s">
        <v>32</v>
      </c>
      <c r="V819" s="1">
        <v>45363</v>
      </c>
      <c r="W819">
        <f>Table1[[#This Row],[customer_purchase count]]+1</f>
        <v>31</v>
      </c>
      <c r="X819">
        <f>Table1[[#This Row],[customer_purchase count]]*Rules!$B$3</f>
        <v>1792.9307692307693</v>
      </c>
      <c r="Y819" t="str">
        <f>IF(Table1[[#This Row],[customer_subscription]]=1,"Subscribed","Not Subscribed")</f>
        <v>Subscribed</v>
      </c>
    </row>
    <row r="820" spans="1:26" x14ac:dyDescent="0.25">
      <c r="A820">
        <v>819</v>
      </c>
      <c r="B820">
        <v>59</v>
      </c>
      <c r="C820" t="s">
        <v>22</v>
      </c>
      <c r="D820">
        <v>819</v>
      </c>
      <c r="E820" t="s">
        <v>58</v>
      </c>
      <c r="F820" t="s">
        <v>24</v>
      </c>
      <c r="G820">
        <v>819</v>
      </c>
      <c r="H820">
        <v>1181</v>
      </c>
      <c r="I820">
        <v>91</v>
      </c>
      <c r="J820" t="s">
        <v>138</v>
      </c>
      <c r="K820" t="s">
        <v>47</v>
      </c>
      <c r="L820" t="s">
        <v>103</v>
      </c>
      <c r="M820" t="s">
        <v>28</v>
      </c>
      <c r="N820">
        <v>4.9000000000000004</v>
      </c>
      <c r="O820">
        <v>1</v>
      </c>
      <c r="P820" t="s">
        <v>77</v>
      </c>
      <c r="Q820" t="s">
        <v>30</v>
      </c>
      <c r="R820" t="s">
        <v>30</v>
      </c>
      <c r="S820">
        <v>34</v>
      </c>
      <c r="T820" t="s">
        <v>89</v>
      </c>
      <c r="U820" t="s">
        <v>91</v>
      </c>
      <c r="V820" s="1">
        <v>45346</v>
      </c>
      <c r="W820">
        <f>Table1[[#This Row],[customer_purchase count]]+1</f>
        <v>35</v>
      </c>
      <c r="X820">
        <f>Table1[[#This Row],[customer_purchase count]]*Rules!$B$3</f>
        <v>2031.9882051282052</v>
      </c>
      <c r="Y820" t="str">
        <f>IF(Table1[[#This Row],[customer_subscription]]=1,"Subscribed","Not Subscribed")</f>
        <v>Subscribed</v>
      </c>
      <c r="Z820" t="s">
        <v>193</v>
      </c>
    </row>
    <row r="821" spans="1:26" x14ac:dyDescent="0.25">
      <c r="A821">
        <v>820</v>
      </c>
      <c r="B821">
        <v>55</v>
      </c>
      <c r="C821" t="s">
        <v>22</v>
      </c>
      <c r="D821">
        <v>820</v>
      </c>
      <c r="E821" t="s">
        <v>92</v>
      </c>
      <c r="F821" t="s">
        <v>70</v>
      </c>
      <c r="G821">
        <v>820</v>
      </c>
      <c r="H821">
        <v>1183</v>
      </c>
      <c r="I821">
        <v>36</v>
      </c>
      <c r="J821" t="s">
        <v>115</v>
      </c>
      <c r="K821" t="s">
        <v>39</v>
      </c>
      <c r="L821" t="s">
        <v>88</v>
      </c>
      <c r="M821" t="s">
        <v>28</v>
      </c>
      <c r="N821">
        <v>4.8</v>
      </c>
      <c r="O821">
        <v>1</v>
      </c>
      <c r="P821" t="s">
        <v>48</v>
      </c>
      <c r="Q821" t="s">
        <v>30</v>
      </c>
      <c r="R821" t="s">
        <v>30</v>
      </c>
      <c r="S821">
        <v>28</v>
      </c>
      <c r="T821" t="s">
        <v>89</v>
      </c>
      <c r="U821" t="s">
        <v>61</v>
      </c>
      <c r="V821" s="1">
        <v>45642</v>
      </c>
      <c r="W821">
        <f>Table1[[#This Row],[customer_purchase count]]+1</f>
        <v>29</v>
      </c>
      <c r="X821">
        <f>Table1[[#This Row],[customer_purchase count]]*Rules!$B$3</f>
        <v>1673.4020512820514</v>
      </c>
      <c r="Y821" t="str">
        <f>IF(Table1[[#This Row],[customer_subscription]]=1,"Subscribed","Not Subscribed")</f>
        <v>Subscribed</v>
      </c>
    </row>
    <row r="822" spans="1:26" x14ac:dyDescent="0.25">
      <c r="A822">
        <v>821</v>
      </c>
      <c r="B822">
        <v>56</v>
      </c>
      <c r="C822" t="s">
        <v>22</v>
      </c>
      <c r="D822">
        <v>821</v>
      </c>
      <c r="E822" t="s">
        <v>53</v>
      </c>
      <c r="F822" t="s">
        <v>45</v>
      </c>
      <c r="G822">
        <v>821</v>
      </c>
      <c r="H822">
        <v>1184</v>
      </c>
      <c r="I822">
        <v>39</v>
      </c>
      <c r="J822" t="s">
        <v>63</v>
      </c>
      <c r="K822" t="s">
        <v>47</v>
      </c>
      <c r="L822" t="s">
        <v>51</v>
      </c>
      <c r="M822" t="s">
        <v>40</v>
      </c>
      <c r="N822">
        <v>2.5</v>
      </c>
      <c r="O822">
        <v>1</v>
      </c>
      <c r="P822" t="s">
        <v>73</v>
      </c>
      <c r="Q822" t="s">
        <v>30</v>
      </c>
      <c r="R822" t="s">
        <v>30</v>
      </c>
      <c r="S822">
        <v>27</v>
      </c>
      <c r="T822" t="s">
        <v>89</v>
      </c>
      <c r="U822" t="s">
        <v>91</v>
      </c>
      <c r="V822" s="1">
        <v>45378</v>
      </c>
      <c r="W822">
        <f>Table1[[#This Row],[customer_purchase count]]+1</f>
        <v>28</v>
      </c>
      <c r="X822">
        <f>Table1[[#This Row],[customer_purchase count]]*Rules!$B$3</f>
        <v>1613.6376923076923</v>
      </c>
      <c r="Y822" t="str">
        <f>IF(Table1[[#This Row],[customer_subscription]]=1,"Subscribed","Not Subscribed")</f>
        <v>Subscribed</v>
      </c>
    </row>
    <row r="823" spans="1:26" x14ac:dyDescent="0.25">
      <c r="A823">
        <v>822</v>
      </c>
      <c r="B823">
        <v>62</v>
      </c>
      <c r="C823" t="s">
        <v>22</v>
      </c>
      <c r="D823">
        <v>822</v>
      </c>
      <c r="E823" t="s">
        <v>107</v>
      </c>
      <c r="F823" t="s">
        <v>24</v>
      </c>
      <c r="G823">
        <v>822</v>
      </c>
      <c r="H823">
        <v>1185</v>
      </c>
      <c r="I823">
        <v>39</v>
      </c>
      <c r="J823" t="s">
        <v>132</v>
      </c>
      <c r="K823" t="s">
        <v>47</v>
      </c>
      <c r="L823" t="s">
        <v>99</v>
      </c>
      <c r="M823" t="s">
        <v>40</v>
      </c>
      <c r="N823">
        <v>3.9</v>
      </c>
      <c r="O823">
        <v>1</v>
      </c>
      <c r="P823" t="s">
        <v>57</v>
      </c>
      <c r="Q823" t="s">
        <v>30</v>
      </c>
      <c r="R823" t="s">
        <v>30</v>
      </c>
      <c r="S823">
        <v>31</v>
      </c>
      <c r="T823" t="s">
        <v>42</v>
      </c>
      <c r="U823" t="s">
        <v>79</v>
      </c>
      <c r="V823" s="1">
        <v>45425</v>
      </c>
      <c r="W823">
        <f>Table1[[#This Row],[customer_purchase count]]+1</f>
        <v>32</v>
      </c>
      <c r="X823">
        <f>Table1[[#This Row],[customer_purchase count]]*Rules!$B$3</f>
        <v>1852.6951282051282</v>
      </c>
      <c r="Y823" t="str">
        <f>IF(Table1[[#This Row],[customer_subscription]]=1,"Subscribed","Not Subscribed")</f>
        <v>Subscribed</v>
      </c>
    </row>
    <row r="824" spans="1:26" x14ac:dyDescent="0.25">
      <c r="A824">
        <v>823</v>
      </c>
      <c r="B824">
        <v>35</v>
      </c>
      <c r="C824" t="s">
        <v>22</v>
      </c>
      <c r="D824">
        <v>823</v>
      </c>
      <c r="E824" t="s">
        <v>58</v>
      </c>
      <c r="F824" t="s">
        <v>24</v>
      </c>
      <c r="G824">
        <v>823</v>
      </c>
      <c r="H824">
        <v>1186</v>
      </c>
      <c r="I824">
        <v>59</v>
      </c>
      <c r="J824" t="s">
        <v>94</v>
      </c>
      <c r="K824" t="s">
        <v>26</v>
      </c>
      <c r="L824" t="s">
        <v>139</v>
      </c>
      <c r="M824" t="s">
        <v>28</v>
      </c>
      <c r="N824">
        <v>3.4</v>
      </c>
      <c r="O824">
        <v>1</v>
      </c>
      <c r="P824" t="s">
        <v>57</v>
      </c>
      <c r="Q824" t="s">
        <v>30</v>
      </c>
      <c r="R824" t="s">
        <v>30</v>
      </c>
      <c r="S824">
        <v>23</v>
      </c>
      <c r="T824" t="s">
        <v>78</v>
      </c>
      <c r="U824" t="s">
        <v>52</v>
      </c>
      <c r="V824" s="1">
        <v>45327</v>
      </c>
      <c r="W824">
        <f>Table1[[#This Row],[customer_purchase count]]+1</f>
        <v>24</v>
      </c>
      <c r="X824">
        <f>Table1[[#This Row],[customer_purchase count]]*Rules!$B$3</f>
        <v>1374.5802564102564</v>
      </c>
      <c r="Y824" t="str">
        <f>IF(Table1[[#This Row],[customer_subscription]]=1,"Subscribed","Not Subscribed")</f>
        <v>Subscribed</v>
      </c>
    </row>
    <row r="825" spans="1:26" x14ac:dyDescent="0.25">
      <c r="A825">
        <v>824</v>
      </c>
      <c r="B825">
        <v>51</v>
      </c>
      <c r="C825" t="s">
        <v>22</v>
      </c>
      <c r="D825">
        <v>824</v>
      </c>
      <c r="E825" t="s">
        <v>92</v>
      </c>
      <c r="F825" t="s">
        <v>70</v>
      </c>
      <c r="G825">
        <v>824</v>
      </c>
      <c r="H825">
        <v>1187</v>
      </c>
      <c r="I825">
        <v>27</v>
      </c>
      <c r="J825" t="s">
        <v>145</v>
      </c>
      <c r="K825" t="s">
        <v>47</v>
      </c>
      <c r="L825" t="s">
        <v>99</v>
      </c>
      <c r="M825" t="s">
        <v>28</v>
      </c>
      <c r="N825">
        <v>2.5</v>
      </c>
      <c r="O825">
        <v>1</v>
      </c>
      <c r="P825" t="s">
        <v>41</v>
      </c>
      <c r="Q825" t="s">
        <v>30</v>
      </c>
      <c r="R825" t="s">
        <v>30</v>
      </c>
      <c r="S825">
        <v>11</v>
      </c>
      <c r="T825" t="s">
        <v>42</v>
      </c>
      <c r="U825" t="s">
        <v>61</v>
      </c>
      <c r="V825" s="1">
        <v>45629</v>
      </c>
      <c r="W825">
        <f>Table1[[#This Row],[customer_purchase count]]+1</f>
        <v>12</v>
      </c>
      <c r="X825">
        <f>Table1[[#This Row],[customer_purchase count]]*Rules!$B$3</f>
        <v>657.40794871794878</v>
      </c>
      <c r="Y825" t="str">
        <f>IF(Table1[[#This Row],[customer_subscription]]=1,"Subscribed","Not Subscribed")</f>
        <v>Subscribed</v>
      </c>
    </row>
    <row r="826" spans="1:26" x14ac:dyDescent="0.25">
      <c r="A826">
        <v>825</v>
      </c>
      <c r="B826">
        <v>61</v>
      </c>
      <c r="C826" t="s">
        <v>22</v>
      </c>
      <c r="D826">
        <v>825</v>
      </c>
      <c r="E826" t="s">
        <v>23</v>
      </c>
      <c r="F826" t="s">
        <v>24</v>
      </c>
      <c r="G826">
        <v>825</v>
      </c>
      <c r="H826">
        <v>1189</v>
      </c>
      <c r="I826">
        <v>94</v>
      </c>
      <c r="J826" t="s">
        <v>145</v>
      </c>
      <c r="K826" t="s">
        <v>47</v>
      </c>
      <c r="L826" t="s">
        <v>55</v>
      </c>
      <c r="M826" t="s">
        <v>40</v>
      </c>
      <c r="N826">
        <v>3</v>
      </c>
      <c r="O826">
        <v>1</v>
      </c>
      <c r="P826" t="s">
        <v>77</v>
      </c>
      <c r="Q826" t="s">
        <v>30</v>
      </c>
      <c r="R826" t="s">
        <v>30</v>
      </c>
      <c r="S826">
        <v>48</v>
      </c>
      <c r="T826" t="s">
        <v>36</v>
      </c>
      <c r="U826" t="s">
        <v>61</v>
      </c>
      <c r="V826" s="1">
        <v>45379</v>
      </c>
      <c r="W826">
        <f>Table1[[#This Row],[customer_purchase count]]+1</f>
        <v>49</v>
      </c>
      <c r="X826">
        <f>Table1[[#This Row],[customer_purchase count]]*Rules!$B$3</f>
        <v>2868.689230769231</v>
      </c>
      <c r="Y826" t="str">
        <f>IF(Table1[[#This Row],[customer_subscription]]=1,"Subscribed","Not Subscribed")</f>
        <v>Subscribed</v>
      </c>
    </row>
    <row r="827" spans="1:26" x14ac:dyDescent="0.25">
      <c r="A827">
        <v>826</v>
      </c>
      <c r="B827">
        <v>27</v>
      </c>
      <c r="C827" t="s">
        <v>22</v>
      </c>
      <c r="D827">
        <v>826</v>
      </c>
      <c r="E827" t="s">
        <v>136</v>
      </c>
      <c r="F827" t="s">
        <v>70</v>
      </c>
      <c r="G827">
        <v>826</v>
      </c>
      <c r="H827">
        <v>1190</v>
      </c>
      <c r="I827">
        <v>94</v>
      </c>
      <c r="J827" t="s">
        <v>148</v>
      </c>
      <c r="K827" t="s">
        <v>95</v>
      </c>
      <c r="L827" t="s">
        <v>113</v>
      </c>
      <c r="M827" t="s">
        <v>60</v>
      </c>
      <c r="N827">
        <v>3.6</v>
      </c>
      <c r="O827">
        <v>1</v>
      </c>
      <c r="P827" t="s">
        <v>48</v>
      </c>
      <c r="Q827" t="s">
        <v>30</v>
      </c>
      <c r="R827" t="s">
        <v>30</v>
      </c>
      <c r="S827">
        <v>17</v>
      </c>
      <c r="T827" t="s">
        <v>36</v>
      </c>
      <c r="U827" t="s">
        <v>91</v>
      </c>
      <c r="V827" s="1">
        <v>45573</v>
      </c>
      <c r="W827">
        <f>Table1[[#This Row],[customer_purchase count]]+1</f>
        <v>18</v>
      </c>
      <c r="X827">
        <f>Table1[[#This Row],[customer_purchase count]]*Rules!$B$3</f>
        <v>1015.9941025641026</v>
      </c>
      <c r="Y827" t="str">
        <f>IF(Table1[[#This Row],[customer_subscription]]=1,"Subscribed","Not Subscribed")</f>
        <v>Subscribed</v>
      </c>
      <c r="Z827" t="s">
        <v>187</v>
      </c>
    </row>
    <row r="828" spans="1:26" x14ac:dyDescent="0.25">
      <c r="A828">
        <v>827</v>
      </c>
      <c r="B828">
        <v>54</v>
      </c>
      <c r="C828" t="s">
        <v>22</v>
      </c>
      <c r="D828">
        <v>827</v>
      </c>
      <c r="E828" t="s">
        <v>84</v>
      </c>
      <c r="F828" t="s">
        <v>24</v>
      </c>
      <c r="G828">
        <v>827</v>
      </c>
      <c r="H828">
        <v>1191</v>
      </c>
      <c r="I828">
        <v>94</v>
      </c>
      <c r="J828" t="s">
        <v>38</v>
      </c>
      <c r="K828" t="s">
        <v>47</v>
      </c>
      <c r="L828" t="s">
        <v>76</v>
      </c>
      <c r="M828" t="s">
        <v>28</v>
      </c>
      <c r="N828">
        <v>3.6</v>
      </c>
      <c r="O828">
        <v>1</v>
      </c>
      <c r="P828" t="s">
        <v>57</v>
      </c>
      <c r="Q828" t="s">
        <v>30</v>
      </c>
      <c r="R828" t="s">
        <v>30</v>
      </c>
      <c r="S828">
        <v>36</v>
      </c>
      <c r="T828" t="s">
        <v>49</v>
      </c>
      <c r="U828" t="s">
        <v>43</v>
      </c>
      <c r="V828" s="1">
        <v>45319</v>
      </c>
      <c r="W828">
        <f>Table1[[#This Row],[customer_purchase count]]+1</f>
        <v>37</v>
      </c>
      <c r="X828">
        <f>Table1[[#This Row],[customer_purchase count]]*Rules!$B$3</f>
        <v>2151.5169230769234</v>
      </c>
      <c r="Y828" t="str">
        <f>IF(Table1[[#This Row],[customer_subscription]]=1,"Subscribed","Not Subscribed")</f>
        <v>Subscribed</v>
      </c>
      <c r="Z828" t="s">
        <v>193</v>
      </c>
    </row>
    <row r="829" spans="1:26" x14ac:dyDescent="0.25">
      <c r="A829">
        <v>828</v>
      </c>
      <c r="B829">
        <v>31</v>
      </c>
      <c r="C829" t="s">
        <v>22</v>
      </c>
      <c r="D829">
        <v>828</v>
      </c>
      <c r="E829" t="s">
        <v>74</v>
      </c>
      <c r="F829" t="s">
        <v>45</v>
      </c>
      <c r="G829">
        <v>828</v>
      </c>
      <c r="H829">
        <v>1192</v>
      </c>
      <c r="I829">
        <v>51</v>
      </c>
      <c r="J829" t="s">
        <v>115</v>
      </c>
      <c r="K829" t="s">
        <v>39</v>
      </c>
      <c r="L829" t="s">
        <v>99</v>
      </c>
      <c r="M829" t="s">
        <v>60</v>
      </c>
      <c r="N829">
        <v>4.0999999999999996</v>
      </c>
      <c r="O829">
        <v>1</v>
      </c>
      <c r="P829" t="s">
        <v>41</v>
      </c>
      <c r="Q829" t="s">
        <v>30</v>
      </c>
      <c r="R829" t="s">
        <v>30</v>
      </c>
      <c r="S829">
        <v>33</v>
      </c>
      <c r="T829" t="s">
        <v>78</v>
      </c>
      <c r="U829" t="s">
        <v>32</v>
      </c>
      <c r="V829" s="1">
        <v>45606</v>
      </c>
      <c r="W829">
        <f>Table1[[#This Row],[customer_purchase count]]+1</f>
        <v>34</v>
      </c>
      <c r="X829">
        <f>Table1[[#This Row],[customer_purchase count]]*Rules!$B$3</f>
        <v>1972.2238461538464</v>
      </c>
      <c r="Y829" t="str">
        <f>IF(Table1[[#This Row],[customer_subscription]]=1,"Subscribed","Not Subscribed")</f>
        <v>Subscribed</v>
      </c>
      <c r="Z829" t="s">
        <v>193</v>
      </c>
    </row>
    <row r="830" spans="1:26" x14ac:dyDescent="0.25">
      <c r="A830">
        <v>829</v>
      </c>
      <c r="B830">
        <v>24</v>
      </c>
      <c r="C830" t="s">
        <v>22</v>
      </c>
      <c r="D830">
        <v>829</v>
      </c>
      <c r="E830" t="s">
        <v>128</v>
      </c>
      <c r="F830" t="s">
        <v>24</v>
      </c>
      <c r="G830">
        <v>829</v>
      </c>
      <c r="H830">
        <v>1193</v>
      </c>
      <c r="I830">
        <v>62</v>
      </c>
      <c r="J830" t="s">
        <v>110</v>
      </c>
      <c r="K830" t="s">
        <v>47</v>
      </c>
      <c r="L830" t="s">
        <v>103</v>
      </c>
      <c r="M830" t="s">
        <v>60</v>
      </c>
      <c r="N830">
        <v>3.7</v>
      </c>
      <c r="O830">
        <v>1</v>
      </c>
      <c r="P830" t="s">
        <v>73</v>
      </c>
      <c r="Q830" t="s">
        <v>30</v>
      </c>
      <c r="R830" t="s">
        <v>30</v>
      </c>
      <c r="S830">
        <v>27</v>
      </c>
      <c r="T830" t="s">
        <v>49</v>
      </c>
      <c r="U830" t="s">
        <v>79</v>
      </c>
      <c r="V830" s="1">
        <v>45537</v>
      </c>
      <c r="W830">
        <f>Table1[[#This Row],[customer_purchase count]]+1</f>
        <v>28</v>
      </c>
      <c r="X830">
        <f>Table1[[#This Row],[customer_purchase count]]*Rules!$B$3</f>
        <v>1613.6376923076923</v>
      </c>
      <c r="Y830" t="str">
        <f>IF(Table1[[#This Row],[customer_subscription]]=1,"Subscribed","Not Subscribed")</f>
        <v>Subscribed</v>
      </c>
    </row>
    <row r="831" spans="1:26" x14ac:dyDescent="0.25">
      <c r="A831">
        <v>830</v>
      </c>
      <c r="B831">
        <v>42</v>
      </c>
      <c r="C831" t="s">
        <v>22</v>
      </c>
      <c r="D831">
        <v>830</v>
      </c>
      <c r="E831" t="s">
        <v>128</v>
      </c>
      <c r="F831" t="s">
        <v>24</v>
      </c>
      <c r="G831">
        <v>830</v>
      </c>
      <c r="H831">
        <v>1195</v>
      </c>
      <c r="I831">
        <v>57</v>
      </c>
      <c r="J831" t="s">
        <v>138</v>
      </c>
      <c r="K831" t="s">
        <v>39</v>
      </c>
      <c r="L831" t="s">
        <v>68</v>
      </c>
      <c r="M831" t="s">
        <v>40</v>
      </c>
      <c r="N831">
        <v>3.1</v>
      </c>
      <c r="O831">
        <v>1</v>
      </c>
      <c r="P831" t="s">
        <v>73</v>
      </c>
      <c r="Q831" t="s">
        <v>30</v>
      </c>
      <c r="R831" t="s">
        <v>30</v>
      </c>
      <c r="S831">
        <v>14</v>
      </c>
      <c r="T831" t="s">
        <v>42</v>
      </c>
      <c r="U831" t="s">
        <v>32</v>
      </c>
      <c r="V831" s="1">
        <v>45373</v>
      </c>
      <c r="W831">
        <f>Table1[[#This Row],[customer_purchase count]]+1</f>
        <v>15</v>
      </c>
      <c r="X831">
        <f>Table1[[#This Row],[customer_purchase count]]*Rules!$B$3</f>
        <v>836.70102564102569</v>
      </c>
      <c r="Y831" t="str">
        <f>IF(Table1[[#This Row],[customer_subscription]]=1,"Subscribed","Not Subscribed")</f>
        <v>Subscribed</v>
      </c>
    </row>
    <row r="832" spans="1:26" x14ac:dyDescent="0.25">
      <c r="A832">
        <v>831</v>
      </c>
      <c r="B832">
        <v>41</v>
      </c>
      <c r="C832" t="s">
        <v>22</v>
      </c>
      <c r="D832">
        <v>831</v>
      </c>
      <c r="E832" t="s">
        <v>62</v>
      </c>
      <c r="F832" t="s">
        <v>24</v>
      </c>
      <c r="G832">
        <v>831</v>
      </c>
      <c r="H832">
        <v>1196</v>
      </c>
      <c r="I832">
        <v>76</v>
      </c>
      <c r="J832" t="s">
        <v>54</v>
      </c>
      <c r="K832" t="s">
        <v>47</v>
      </c>
      <c r="L832" t="s">
        <v>35</v>
      </c>
      <c r="M832" t="s">
        <v>60</v>
      </c>
      <c r="N832">
        <v>4.2</v>
      </c>
      <c r="O832">
        <v>1</v>
      </c>
      <c r="P832" t="s">
        <v>29</v>
      </c>
      <c r="Q832" t="s">
        <v>30</v>
      </c>
      <c r="R832" t="s">
        <v>30</v>
      </c>
      <c r="S832">
        <v>5</v>
      </c>
      <c r="T832" t="s">
        <v>42</v>
      </c>
      <c r="U832" t="s">
        <v>52</v>
      </c>
      <c r="V832" s="1">
        <v>45589</v>
      </c>
      <c r="W832">
        <f>Table1[[#This Row],[customer_purchase count]]+1</f>
        <v>6</v>
      </c>
      <c r="X832">
        <f>Table1[[#This Row],[customer_purchase count]]*Rules!$B$3</f>
        <v>298.82179487179491</v>
      </c>
      <c r="Y832" t="str">
        <f>IF(Table1[[#This Row],[customer_subscription]]=1,"Subscribed","Not Subscribed")</f>
        <v>Subscribed</v>
      </c>
    </row>
    <row r="833" spans="1:26" x14ac:dyDescent="0.25">
      <c r="A833">
        <v>832</v>
      </c>
      <c r="B833">
        <v>66</v>
      </c>
      <c r="C833" t="s">
        <v>22</v>
      </c>
      <c r="D833">
        <v>832</v>
      </c>
      <c r="E833" t="s">
        <v>146</v>
      </c>
      <c r="F833" t="s">
        <v>70</v>
      </c>
      <c r="G833">
        <v>832</v>
      </c>
      <c r="H833">
        <v>1197</v>
      </c>
      <c r="I833">
        <v>63</v>
      </c>
      <c r="J833" t="s">
        <v>152</v>
      </c>
      <c r="K833" t="s">
        <v>47</v>
      </c>
      <c r="L833" t="s">
        <v>111</v>
      </c>
      <c r="M833" t="s">
        <v>56</v>
      </c>
      <c r="N833">
        <v>4.3</v>
      </c>
      <c r="O833">
        <v>1</v>
      </c>
      <c r="P833" t="s">
        <v>29</v>
      </c>
      <c r="Q833" t="s">
        <v>30</v>
      </c>
      <c r="R833" t="s">
        <v>30</v>
      </c>
      <c r="S833">
        <v>47</v>
      </c>
      <c r="T833" t="s">
        <v>36</v>
      </c>
      <c r="U833" t="s">
        <v>100</v>
      </c>
      <c r="V833" s="1">
        <v>45500</v>
      </c>
      <c r="W833">
        <f>Table1[[#This Row],[customer_purchase count]]+1</f>
        <v>48</v>
      </c>
      <c r="X833">
        <f>Table1[[#This Row],[customer_purchase count]]*Rules!$B$3</f>
        <v>2808.9248717948717</v>
      </c>
      <c r="Y833" t="str">
        <f>IF(Table1[[#This Row],[customer_subscription]]=1,"Subscribed","Not Subscribed")</f>
        <v>Subscribed</v>
      </c>
    </row>
    <row r="834" spans="1:26" x14ac:dyDescent="0.25">
      <c r="A834">
        <v>833</v>
      </c>
      <c r="B834">
        <v>58</v>
      </c>
      <c r="C834" t="s">
        <v>22</v>
      </c>
      <c r="D834">
        <v>833</v>
      </c>
      <c r="E834" t="s">
        <v>105</v>
      </c>
      <c r="F834" t="s">
        <v>66</v>
      </c>
      <c r="G834">
        <v>833</v>
      </c>
      <c r="H834">
        <v>1198</v>
      </c>
      <c r="I834">
        <v>80</v>
      </c>
      <c r="J834" t="s">
        <v>102</v>
      </c>
      <c r="K834" t="s">
        <v>26</v>
      </c>
      <c r="L834" t="s">
        <v>147</v>
      </c>
      <c r="M834" t="s">
        <v>60</v>
      </c>
      <c r="N834">
        <v>2.5</v>
      </c>
      <c r="O834">
        <v>1</v>
      </c>
      <c r="P834" t="s">
        <v>29</v>
      </c>
      <c r="Q834" t="s">
        <v>30</v>
      </c>
      <c r="R834" t="s">
        <v>30</v>
      </c>
      <c r="S834">
        <v>28</v>
      </c>
      <c r="T834" t="s">
        <v>36</v>
      </c>
      <c r="U834" t="s">
        <v>79</v>
      </c>
      <c r="V834" s="1">
        <v>45573</v>
      </c>
      <c r="W834">
        <f>Table1[[#This Row],[customer_purchase count]]+1</f>
        <v>29</v>
      </c>
      <c r="X834">
        <f>Table1[[#This Row],[customer_purchase count]]*Rules!$B$3</f>
        <v>1673.4020512820514</v>
      </c>
      <c r="Y834" t="str">
        <f>IF(Table1[[#This Row],[customer_subscription]]=1,"Subscribed","Not Subscribed")</f>
        <v>Subscribed</v>
      </c>
    </row>
    <row r="835" spans="1:26" x14ac:dyDescent="0.25">
      <c r="A835">
        <v>834</v>
      </c>
      <c r="B835">
        <v>43</v>
      </c>
      <c r="C835" t="s">
        <v>22</v>
      </c>
      <c r="D835">
        <v>834</v>
      </c>
      <c r="E835" t="s">
        <v>69</v>
      </c>
      <c r="F835" t="s">
        <v>70</v>
      </c>
      <c r="G835">
        <v>834</v>
      </c>
      <c r="H835">
        <v>1199</v>
      </c>
      <c r="I835">
        <v>68</v>
      </c>
      <c r="J835" t="s">
        <v>104</v>
      </c>
      <c r="K835" t="s">
        <v>47</v>
      </c>
      <c r="L835" t="s">
        <v>76</v>
      </c>
      <c r="M835" t="s">
        <v>60</v>
      </c>
      <c r="N835">
        <v>3.5</v>
      </c>
      <c r="O835">
        <v>1</v>
      </c>
      <c r="P835" t="s">
        <v>57</v>
      </c>
      <c r="Q835" t="s">
        <v>30</v>
      </c>
      <c r="R835" t="s">
        <v>30</v>
      </c>
      <c r="S835">
        <v>11</v>
      </c>
      <c r="T835" t="s">
        <v>42</v>
      </c>
      <c r="U835" t="s">
        <v>52</v>
      </c>
      <c r="V835" s="1">
        <v>45614</v>
      </c>
      <c r="W835">
        <f>Table1[[#This Row],[customer_purchase count]]+1</f>
        <v>12</v>
      </c>
      <c r="X835">
        <f>Table1[[#This Row],[customer_purchase count]]*Rules!$B$3</f>
        <v>657.40794871794878</v>
      </c>
      <c r="Y835" t="str">
        <f>IF(Table1[[#This Row],[customer_subscription]]=1,"Subscribed","Not Subscribed")</f>
        <v>Subscribed</v>
      </c>
    </row>
    <row r="836" spans="1:26" x14ac:dyDescent="0.25">
      <c r="A836">
        <v>835</v>
      </c>
      <c r="B836">
        <v>52</v>
      </c>
      <c r="C836" t="s">
        <v>22</v>
      </c>
      <c r="D836">
        <v>835</v>
      </c>
      <c r="E836" t="s">
        <v>135</v>
      </c>
      <c r="F836" t="s">
        <v>70</v>
      </c>
      <c r="G836">
        <v>835</v>
      </c>
      <c r="H836">
        <v>1201</v>
      </c>
      <c r="I836">
        <v>89</v>
      </c>
      <c r="J836" t="s">
        <v>110</v>
      </c>
      <c r="K836" t="s">
        <v>47</v>
      </c>
      <c r="L836" t="s">
        <v>129</v>
      </c>
      <c r="M836" t="s">
        <v>56</v>
      </c>
      <c r="N836">
        <v>3.1</v>
      </c>
      <c r="O836">
        <v>1</v>
      </c>
      <c r="P836" t="s">
        <v>41</v>
      </c>
      <c r="Q836" t="s">
        <v>30</v>
      </c>
      <c r="R836" t="s">
        <v>30</v>
      </c>
      <c r="S836">
        <v>18</v>
      </c>
      <c r="T836" t="s">
        <v>42</v>
      </c>
      <c r="U836" t="s">
        <v>43</v>
      </c>
      <c r="V836" s="1">
        <v>45471</v>
      </c>
      <c r="W836">
        <f>Table1[[#This Row],[customer_purchase count]]+1</f>
        <v>19</v>
      </c>
      <c r="X836">
        <f>Table1[[#This Row],[customer_purchase count]]*Rules!$B$3</f>
        <v>1075.7584615384617</v>
      </c>
      <c r="Y836" t="str">
        <f>IF(Table1[[#This Row],[customer_subscription]]=1,"Subscribed","Not Subscribed")</f>
        <v>Subscribed</v>
      </c>
    </row>
    <row r="837" spans="1:26" x14ac:dyDescent="0.25">
      <c r="A837">
        <v>836</v>
      </c>
      <c r="B837">
        <v>35</v>
      </c>
      <c r="C837" t="s">
        <v>22</v>
      </c>
      <c r="D837">
        <v>836</v>
      </c>
      <c r="E837" t="s">
        <v>140</v>
      </c>
      <c r="F837" t="s">
        <v>45</v>
      </c>
      <c r="G837">
        <v>836</v>
      </c>
      <c r="H837">
        <v>1202</v>
      </c>
      <c r="I837">
        <v>26</v>
      </c>
      <c r="J837" t="s">
        <v>131</v>
      </c>
      <c r="K837" t="s">
        <v>26</v>
      </c>
      <c r="L837" t="s">
        <v>129</v>
      </c>
      <c r="M837" t="s">
        <v>56</v>
      </c>
      <c r="N837">
        <v>2.5</v>
      </c>
      <c r="O837">
        <v>1</v>
      </c>
      <c r="P837" t="s">
        <v>48</v>
      </c>
      <c r="Q837" t="s">
        <v>30</v>
      </c>
      <c r="R837" t="s">
        <v>30</v>
      </c>
      <c r="S837">
        <v>21</v>
      </c>
      <c r="T837" t="s">
        <v>89</v>
      </c>
      <c r="U837" t="s">
        <v>43</v>
      </c>
      <c r="V837" s="1">
        <v>45454</v>
      </c>
      <c r="W837">
        <f>Table1[[#This Row],[customer_purchase count]]+1</f>
        <v>22</v>
      </c>
      <c r="X837">
        <f>Table1[[#This Row],[customer_purchase count]]*Rules!$B$3</f>
        <v>1255.0515384615385</v>
      </c>
      <c r="Y837" t="str">
        <f>IF(Table1[[#This Row],[customer_subscription]]=1,"Subscribed","Not Subscribed")</f>
        <v>Subscribed</v>
      </c>
    </row>
    <row r="838" spans="1:26" x14ac:dyDescent="0.25">
      <c r="A838">
        <v>837</v>
      </c>
      <c r="B838">
        <v>23</v>
      </c>
      <c r="C838" t="s">
        <v>22</v>
      </c>
      <c r="D838">
        <v>837</v>
      </c>
      <c r="E838" t="s">
        <v>146</v>
      </c>
      <c r="F838" t="s">
        <v>70</v>
      </c>
      <c r="G838">
        <v>837</v>
      </c>
      <c r="H838">
        <v>1203</v>
      </c>
      <c r="I838">
        <v>90</v>
      </c>
      <c r="J838" t="s">
        <v>67</v>
      </c>
      <c r="K838" t="s">
        <v>26</v>
      </c>
      <c r="L838" t="s">
        <v>86</v>
      </c>
      <c r="M838" t="s">
        <v>28</v>
      </c>
      <c r="N838">
        <v>3.9</v>
      </c>
      <c r="O838">
        <v>1</v>
      </c>
      <c r="P838" t="s">
        <v>77</v>
      </c>
      <c r="Q838" t="s">
        <v>30</v>
      </c>
      <c r="R838" t="s">
        <v>30</v>
      </c>
      <c r="S838">
        <v>22</v>
      </c>
      <c r="T838" t="s">
        <v>36</v>
      </c>
      <c r="U838" t="s">
        <v>79</v>
      </c>
      <c r="V838" s="1">
        <v>45644</v>
      </c>
      <c r="W838">
        <f>Table1[[#This Row],[customer_purchase count]]+1</f>
        <v>23</v>
      </c>
      <c r="X838">
        <f>Table1[[#This Row],[customer_purchase count]]*Rules!$B$3</f>
        <v>1314.8158974358976</v>
      </c>
      <c r="Y838" t="str">
        <f>IF(Table1[[#This Row],[customer_subscription]]=1,"Subscribed","Not Subscribed")</f>
        <v>Subscribed</v>
      </c>
    </row>
    <row r="839" spans="1:26" x14ac:dyDescent="0.25">
      <c r="A839">
        <v>838</v>
      </c>
      <c r="B839">
        <v>25</v>
      </c>
      <c r="C839" t="s">
        <v>22</v>
      </c>
      <c r="D839">
        <v>838</v>
      </c>
      <c r="E839" t="s">
        <v>107</v>
      </c>
      <c r="F839" t="s">
        <v>24</v>
      </c>
      <c r="G839">
        <v>838</v>
      </c>
      <c r="H839">
        <v>1204</v>
      </c>
      <c r="I839">
        <v>28</v>
      </c>
      <c r="J839" t="s">
        <v>118</v>
      </c>
      <c r="K839" t="s">
        <v>26</v>
      </c>
      <c r="L839" t="s">
        <v>113</v>
      </c>
      <c r="M839" t="s">
        <v>40</v>
      </c>
      <c r="N839">
        <v>4.9000000000000004</v>
      </c>
      <c r="O839">
        <v>1</v>
      </c>
      <c r="P839" t="s">
        <v>29</v>
      </c>
      <c r="Q839" t="s">
        <v>30</v>
      </c>
      <c r="R839" t="s">
        <v>30</v>
      </c>
      <c r="S839">
        <v>33</v>
      </c>
      <c r="T839" t="s">
        <v>36</v>
      </c>
      <c r="U839" t="s">
        <v>100</v>
      </c>
      <c r="V839" s="1">
        <v>45425</v>
      </c>
      <c r="W839">
        <f>Table1[[#This Row],[customer_purchase count]]+1</f>
        <v>34</v>
      </c>
      <c r="X839">
        <f>Table1[[#This Row],[customer_purchase count]]*Rules!$B$3</f>
        <v>1972.2238461538464</v>
      </c>
      <c r="Y839" t="str">
        <f>IF(Table1[[#This Row],[customer_subscription]]=1,"Subscribed","Not Subscribed")</f>
        <v>Subscribed</v>
      </c>
    </row>
    <row r="840" spans="1:26" x14ac:dyDescent="0.25">
      <c r="A840">
        <v>839</v>
      </c>
      <c r="B840">
        <v>33</v>
      </c>
      <c r="C840" t="s">
        <v>22</v>
      </c>
      <c r="D840">
        <v>839</v>
      </c>
      <c r="E840" t="s">
        <v>65</v>
      </c>
      <c r="F840" t="s">
        <v>66</v>
      </c>
      <c r="G840">
        <v>839</v>
      </c>
      <c r="H840">
        <v>1205</v>
      </c>
      <c r="I840">
        <v>29</v>
      </c>
      <c r="J840" t="s">
        <v>25</v>
      </c>
      <c r="K840" t="s">
        <v>47</v>
      </c>
      <c r="L840" t="s">
        <v>27</v>
      </c>
      <c r="M840" t="s">
        <v>40</v>
      </c>
      <c r="N840">
        <v>4.3</v>
      </c>
      <c r="O840">
        <v>1</v>
      </c>
      <c r="P840" t="s">
        <v>29</v>
      </c>
      <c r="Q840" t="s">
        <v>30</v>
      </c>
      <c r="R840" t="s">
        <v>30</v>
      </c>
      <c r="S840">
        <v>49</v>
      </c>
      <c r="T840" t="s">
        <v>42</v>
      </c>
      <c r="U840" t="s">
        <v>52</v>
      </c>
      <c r="V840" s="1">
        <v>45418</v>
      </c>
      <c r="W840">
        <f>Table1[[#This Row],[customer_purchase count]]+1</f>
        <v>50</v>
      </c>
      <c r="X840">
        <f>Table1[[#This Row],[customer_purchase count]]*Rules!$B$3</f>
        <v>2928.4535897435899</v>
      </c>
      <c r="Y840" t="str">
        <f>IF(Table1[[#This Row],[customer_subscription]]=1,"Subscribed","Not Subscribed")</f>
        <v>Subscribed</v>
      </c>
      <c r="Z840" t="s">
        <v>193</v>
      </c>
    </row>
    <row r="841" spans="1:26" x14ac:dyDescent="0.25">
      <c r="A841">
        <v>840</v>
      </c>
      <c r="B841">
        <v>48</v>
      </c>
      <c r="C841" t="s">
        <v>22</v>
      </c>
      <c r="D841">
        <v>840</v>
      </c>
      <c r="E841" t="s">
        <v>58</v>
      </c>
      <c r="F841" t="s">
        <v>24</v>
      </c>
      <c r="G841">
        <v>840</v>
      </c>
      <c r="H841">
        <v>1207</v>
      </c>
      <c r="I841">
        <v>31</v>
      </c>
      <c r="J841" t="s">
        <v>118</v>
      </c>
      <c r="K841" t="s">
        <v>26</v>
      </c>
      <c r="L841" t="s">
        <v>88</v>
      </c>
      <c r="M841" t="s">
        <v>40</v>
      </c>
      <c r="N841">
        <v>2.6</v>
      </c>
      <c r="O841">
        <v>1</v>
      </c>
      <c r="P841" t="s">
        <v>41</v>
      </c>
      <c r="Q841" t="s">
        <v>30</v>
      </c>
      <c r="R841" t="s">
        <v>30</v>
      </c>
      <c r="S841">
        <v>10</v>
      </c>
      <c r="T841" t="s">
        <v>89</v>
      </c>
      <c r="U841" t="s">
        <v>100</v>
      </c>
      <c r="V841" s="1">
        <v>45393</v>
      </c>
      <c r="W841">
        <f>Table1[[#This Row],[customer_purchase count]]+1</f>
        <v>11</v>
      </c>
      <c r="X841">
        <f>Table1[[#This Row],[customer_purchase count]]*Rules!$B$3</f>
        <v>597.64358974358981</v>
      </c>
      <c r="Y841" t="str">
        <f>IF(Table1[[#This Row],[customer_subscription]]=1,"Subscribed","Not Subscribed")</f>
        <v>Subscribed</v>
      </c>
    </row>
    <row r="842" spans="1:26" x14ac:dyDescent="0.25">
      <c r="A842">
        <v>841</v>
      </c>
      <c r="B842">
        <v>42</v>
      </c>
      <c r="C842" t="s">
        <v>22</v>
      </c>
      <c r="D842">
        <v>841</v>
      </c>
      <c r="E842" t="s">
        <v>58</v>
      </c>
      <c r="F842" t="s">
        <v>24</v>
      </c>
      <c r="G842">
        <v>841</v>
      </c>
      <c r="H842">
        <v>1208</v>
      </c>
      <c r="I842">
        <v>24</v>
      </c>
      <c r="J842" t="s">
        <v>93</v>
      </c>
      <c r="K842" t="s">
        <v>26</v>
      </c>
      <c r="L842" t="s">
        <v>88</v>
      </c>
      <c r="M842" t="s">
        <v>56</v>
      </c>
      <c r="N842">
        <v>4.2</v>
      </c>
      <c r="O842">
        <v>1</v>
      </c>
      <c r="P842" t="s">
        <v>73</v>
      </c>
      <c r="Q842" t="s">
        <v>30</v>
      </c>
      <c r="R842" t="s">
        <v>30</v>
      </c>
      <c r="S842">
        <v>18</v>
      </c>
      <c r="T842" t="s">
        <v>49</v>
      </c>
      <c r="U842" t="s">
        <v>43</v>
      </c>
      <c r="V842" s="1">
        <v>45493</v>
      </c>
      <c r="W842">
        <f>Table1[[#This Row],[customer_purchase count]]+1</f>
        <v>19</v>
      </c>
      <c r="X842">
        <f>Table1[[#This Row],[customer_purchase count]]*Rules!$B$3</f>
        <v>1075.7584615384617</v>
      </c>
      <c r="Y842" t="str">
        <f>IF(Table1[[#This Row],[customer_subscription]]=1,"Subscribed","Not Subscribed")</f>
        <v>Subscribed</v>
      </c>
    </row>
    <row r="843" spans="1:26" x14ac:dyDescent="0.25">
      <c r="A843">
        <v>842</v>
      </c>
      <c r="B843">
        <v>55</v>
      </c>
      <c r="C843" t="s">
        <v>22</v>
      </c>
      <c r="D843">
        <v>842</v>
      </c>
      <c r="E843" t="s">
        <v>33</v>
      </c>
      <c r="F843" t="s">
        <v>24</v>
      </c>
      <c r="G843">
        <v>842</v>
      </c>
      <c r="H843">
        <v>1209</v>
      </c>
      <c r="I843">
        <v>88</v>
      </c>
      <c r="J843" t="s">
        <v>108</v>
      </c>
      <c r="K843" t="s">
        <v>47</v>
      </c>
      <c r="L843" t="s">
        <v>121</v>
      </c>
      <c r="M843" t="s">
        <v>56</v>
      </c>
      <c r="N843">
        <v>2.6</v>
      </c>
      <c r="O843">
        <v>1</v>
      </c>
      <c r="P843" t="s">
        <v>77</v>
      </c>
      <c r="Q843" t="s">
        <v>30</v>
      </c>
      <c r="R843" t="s">
        <v>30</v>
      </c>
      <c r="S843">
        <v>28</v>
      </c>
      <c r="T843" t="s">
        <v>49</v>
      </c>
      <c r="U843" t="s">
        <v>32</v>
      </c>
      <c r="V843" s="1">
        <v>45483</v>
      </c>
      <c r="W843">
        <f>Table1[[#This Row],[customer_purchase count]]+1</f>
        <v>29</v>
      </c>
      <c r="X843">
        <f>Table1[[#This Row],[customer_purchase count]]*Rules!$B$3</f>
        <v>1673.4020512820514</v>
      </c>
      <c r="Y843" t="str">
        <f>IF(Table1[[#This Row],[customer_subscription]]=1,"Subscribed","Not Subscribed")</f>
        <v>Subscribed</v>
      </c>
    </row>
    <row r="844" spans="1:26" x14ac:dyDescent="0.25">
      <c r="A844">
        <v>843</v>
      </c>
      <c r="B844">
        <v>59</v>
      </c>
      <c r="C844" t="s">
        <v>22</v>
      </c>
      <c r="D844">
        <v>843</v>
      </c>
      <c r="E844" t="s">
        <v>58</v>
      </c>
      <c r="F844" t="s">
        <v>24</v>
      </c>
      <c r="G844">
        <v>843</v>
      </c>
      <c r="H844">
        <v>1210</v>
      </c>
      <c r="I844">
        <v>87</v>
      </c>
      <c r="J844" t="s">
        <v>71</v>
      </c>
      <c r="K844" t="s">
        <v>47</v>
      </c>
      <c r="L844" t="s">
        <v>86</v>
      </c>
      <c r="M844" t="s">
        <v>40</v>
      </c>
      <c r="N844">
        <v>3.6</v>
      </c>
      <c r="O844">
        <v>1</v>
      </c>
      <c r="P844" t="s">
        <v>29</v>
      </c>
      <c r="Q844" t="s">
        <v>30</v>
      </c>
      <c r="R844" t="s">
        <v>30</v>
      </c>
      <c r="S844">
        <v>25</v>
      </c>
      <c r="T844" t="s">
        <v>49</v>
      </c>
      <c r="U844" t="s">
        <v>43</v>
      </c>
      <c r="V844" s="1">
        <v>45420</v>
      </c>
      <c r="W844">
        <f>Table1[[#This Row],[customer_purchase count]]+1</f>
        <v>26</v>
      </c>
      <c r="X844">
        <f>Table1[[#This Row],[customer_purchase count]]*Rules!$B$3</f>
        <v>1494.1089743589744</v>
      </c>
      <c r="Y844" t="str">
        <f>IF(Table1[[#This Row],[customer_subscription]]=1,"Subscribed","Not Subscribed")</f>
        <v>Subscribed</v>
      </c>
    </row>
    <row r="845" spans="1:26" x14ac:dyDescent="0.25">
      <c r="A845">
        <v>844</v>
      </c>
      <c r="B845">
        <v>65</v>
      </c>
      <c r="C845" t="s">
        <v>22</v>
      </c>
      <c r="D845">
        <v>844</v>
      </c>
      <c r="E845" t="s">
        <v>107</v>
      </c>
      <c r="F845" t="s">
        <v>24</v>
      </c>
      <c r="G845">
        <v>844</v>
      </c>
      <c r="H845">
        <v>1211</v>
      </c>
      <c r="I845">
        <v>80</v>
      </c>
      <c r="J845" t="s">
        <v>141</v>
      </c>
      <c r="K845" t="s">
        <v>39</v>
      </c>
      <c r="L845" t="s">
        <v>121</v>
      </c>
      <c r="M845" t="s">
        <v>56</v>
      </c>
      <c r="N845">
        <v>3.2</v>
      </c>
      <c r="O845">
        <v>1</v>
      </c>
      <c r="P845" t="s">
        <v>29</v>
      </c>
      <c r="Q845" t="s">
        <v>30</v>
      </c>
      <c r="R845" t="s">
        <v>30</v>
      </c>
      <c r="S845">
        <v>6</v>
      </c>
      <c r="T845" t="s">
        <v>49</v>
      </c>
      <c r="U845" t="s">
        <v>43</v>
      </c>
      <c r="V845" s="1">
        <v>45491</v>
      </c>
      <c r="W845">
        <f>Table1[[#This Row],[customer_purchase count]]+1</f>
        <v>7</v>
      </c>
      <c r="X845">
        <f>Table1[[#This Row],[customer_purchase count]]*Rules!$B$3</f>
        <v>358.58615384615388</v>
      </c>
      <c r="Y845" t="str">
        <f>IF(Table1[[#This Row],[customer_subscription]]=1,"Subscribed","Not Subscribed")</f>
        <v>Subscribed</v>
      </c>
    </row>
    <row r="846" spans="1:26" x14ac:dyDescent="0.25">
      <c r="A846">
        <v>845</v>
      </c>
      <c r="B846">
        <v>59</v>
      </c>
      <c r="C846" t="s">
        <v>22</v>
      </c>
      <c r="D846">
        <v>845</v>
      </c>
      <c r="E846" t="s">
        <v>44</v>
      </c>
      <c r="F846" t="s">
        <v>45</v>
      </c>
      <c r="G846">
        <v>845</v>
      </c>
      <c r="H846">
        <v>1213</v>
      </c>
      <c r="I846">
        <v>48</v>
      </c>
      <c r="J846" t="s">
        <v>71</v>
      </c>
      <c r="K846" t="s">
        <v>26</v>
      </c>
      <c r="L846" t="s">
        <v>76</v>
      </c>
      <c r="M846" t="s">
        <v>28</v>
      </c>
      <c r="N846">
        <v>4.4000000000000004</v>
      </c>
      <c r="O846">
        <v>1</v>
      </c>
      <c r="P846" t="s">
        <v>29</v>
      </c>
      <c r="Q846" t="s">
        <v>30</v>
      </c>
      <c r="R846" t="s">
        <v>30</v>
      </c>
      <c r="S846">
        <v>44</v>
      </c>
      <c r="T846" t="s">
        <v>31</v>
      </c>
      <c r="U846" t="s">
        <v>79</v>
      </c>
      <c r="V846" s="1">
        <v>45345</v>
      </c>
      <c r="W846">
        <f>Table1[[#This Row],[customer_purchase count]]+1</f>
        <v>45</v>
      </c>
      <c r="X846">
        <f>Table1[[#This Row],[customer_purchase count]]*Rules!$B$3</f>
        <v>2629.6317948717951</v>
      </c>
      <c r="Y846" t="str">
        <f>IF(Table1[[#This Row],[customer_subscription]]=1,"Subscribed","Not Subscribed")</f>
        <v>Subscribed</v>
      </c>
      <c r="Z846" t="s">
        <v>193</v>
      </c>
    </row>
    <row r="847" spans="1:26" x14ac:dyDescent="0.25">
      <c r="A847">
        <v>846</v>
      </c>
      <c r="B847">
        <v>31</v>
      </c>
      <c r="C847" t="s">
        <v>22</v>
      </c>
      <c r="D847">
        <v>846</v>
      </c>
      <c r="E847" t="s">
        <v>136</v>
      </c>
      <c r="F847" t="s">
        <v>70</v>
      </c>
      <c r="G847">
        <v>846</v>
      </c>
      <c r="H847">
        <v>1214</v>
      </c>
      <c r="I847">
        <v>21</v>
      </c>
      <c r="J847" t="s">
        <v>154</v>
      </c>
      <c r="K847" t="s">
        <v>95</v>
      </c>
      <c r="L847" t="s">
        <v>64</v>
      </c>
      <c r="M847" t="s">
        <v>28</v>
      </c>
      <c r="N847">
        <v>3.7</v>
      </c>
      <c r="O847">
        <v>1</v>
      </c>
      <c r="P847" t="s">
        <v>57</v>
      </c>
      <c r="Q847" t="s">
        <v>30</v>
      </c>
      <c r="R847" t="s">
        <v>30</v>
      </c>
      <c r="S847">
        <v>30</v>
      </c>
      <c r="T847" t="s">
        <v>31</v>
      </c>
      <c r="U847" t="s">
        <v>91</v>
      </c>
      <c r="V847" s="1">
        <v>45327</v>
      </c>
      <c r="W847">
        <f>Table1[[#This Row],[customer_purchase count]]+1</f>
        <v>31</v>
      </c>
      <c r="X847">
        <f>Table1[[#This Row],[customer_purchase count]]*Rules!$B$3</f>
        <v>1792.9307692307693</v>
      </c>
      <c r="Y847" t="str">
        <f>IF(Table1[[#This Row],[customer_subscription]]=1,"Subscribed","Not Subscribed")</f>
        <v>Subscribed</v>
      </c>
    </row>
    <row r="848" spans="1:26" x14ac:dyDescent="0.25">
      <c r="A848">
        <v>847</v>
      </c>
      <c r="B848">
        <v>49</v>
      </c>
      <c r="C848" t="s">
        <v>22</v>
      </c>
      <c r="D848">
        <v>847</v>
      </c>
      <c r="E848" t="s">
        <v>140</v>
      </c>
      <c r="F848" t="s">
        <v>45</v>
      </c>
      <c r="G848">
        <v>847</v>
      </c>
      <c r="H848">
        <v>1215</v>
      </c>
      <c r="I848">
        <v>72</v>
      </c>
      <c r="J848" t="s">
        <v>25</v>
      </c>
      <c r="K848" t="s">
        <v>47</v>
      </c>
      <c r="L848" t="s">
        <v>72</v>
      </c>
      <c r="M848" t="s">
        <v>40</v>
      </c>
      <c r="N848">
        <v>3.7</v>
      </c>
      <c r="O848">
        <v>1</v>
      </c>
      <c r="P848" t="s">
        <v>29</v>
      </c>
      <c r="Q848" t="s">
        <v>30</v>
      </c>
      <c r="R848" t="s">
        <v>30</v>
      </c>
      <c r="S848">
        <v>42</v>
      </c>
      <c r="T848" t="s">
        <v>89</v>
      </c>
      <c r="U848" t="s">
        <v>61</v>
      </c>
      <c r="V848" s="1">
        <v>45409</v>
      </c>
      <c r="W848">
        <f>Table1[[#This Row],[customer_purchase count]]+1</f>
        <v>43</v>
      </c>
      <c r="X848">
        <f>Table1[[#This Row],[customer_purchase count]]*Rules!$B$3</f>
        <v>2510.103076923077</v>
      </c>
      <c r="Y848" t="str">
        <f>IF(Table1[[#This Row],[customer_subscription]]=1,"Subscribed","Not Subscribed")</f>
        <v>Subscribed</v>
      </c>
      <c r="Z848" t="s">
        <v>193</v>
      </c>
    </row>
    <row r="849" spans="1:26" x14ac:dyDescent="0.25">
      <c r="A849">
        <v>848</v>
      </c>
      <c r="B849">
        <v>53</v>
      </c>
      <c r="C849" t="s">
        <v>22</v>
      </c>
      <c r="D849">
        <v>848</v>
      </c>
      <c r="E849" t="s">
        <v>107</v>
      </c>
      <c r="F849" t="s">
        <v>24</v>
      </c>
      <c r="G849">
        <v>848</v>
      </c>
      <c r="H849">
        <v>1216</v>
      </c>
      <c r="I849">
        <v>44</v>
      </c>
      <c r="J849" t="s">
        <v>130</v>
      </c>
      <c r="K849" t="s">
        <v>26</v>
      </c>
      <c r="L849" t="s">
        <v>147</v>
      </c>
      <c r="M849" t="s">
        <v>60</v>
      </c>
      <c r="N849">
        <v>4.0999999999999996</v>
      </c>
      <c r="O849">
        <v>1</v>
      </c>
      <c r="P849" t="s">
        <v>57</v>
      </c>
      <c r="Q849" t="s">
        <v>30</v>
      </c>
      <c r="R849" t="s">
        <v>30</v>
      </c>
      <c r="S849">
        <v>30</v>
      </c>
      <c r="T849" t="s">
        <v>49</v>
      </c>
      <c r="U849" t="s">
        <v>91</v>
      </c>
      <c r="V849" s="1">
        <v>45589</v>
      </c>
      <c r="W849">
        <f>Table1[[#This Row],[customer_purchase count]]+1</f>
        <v>31</v>
      </c>
      <c r="X849">
        <f>Table1[[#This Row],[customer_purchase count]]*Rules!$B$3</f>
        <v>1792.9307692307693</v>
      </c>
      <c r="Y849" t="str">
        <f>IF(Table1[[#This Row],[customer_subscription]]=1,"Subscribed","Not Subscribed")</f>
        <v>Subscribed</v>
      </c>
    </row>
    <row r="850" spans="1:26" x14ac:dyDescent="0.25">
      <c r="A850">
        <v>849</v>
      </c>
      <c r="B850">
        <v>48</v>
      </c>
      <c r="C850" t="s">
        <v>22</v>
      </c>
      <c r="D850">
        <v>849</v>
      </c>
      <c r="E850" t="s">
        <v>44</v>
      </c>
      <c r="F850" t="s">
        <v>45</v>
      </c>
      <c r="G850">
        <v>849</v>
      </c>
      <c r="H850">
        <v>1217</v>
      </c>
      <c r="I850">
        <v>73</v>
      </c>
      <c r="J850" t="s">
        <v>82</v>
      </c>
      <c r="K850" t="s">
        <v>47</v>
      </c>
      <c r="L850" t="s">
        <v>96</v>
      </c>
      <c r="M850" t="s">
        <v>60</v>
      </c>
      <c r="N850">
        <v>3.6</v>
      </c>
      <c r="O850">
        <v>1</v>
      </c>
      <c r="P850" t="s">
        <v>77</v>
      </c>
      <c r="Q850" t="s">
        <v>30</v>
      </c>
      <c r="R850" t="s">
        <v>30</v>
      </c>
      <c r="S850">
        <v>33</v>
      </c>
      <c r="T850" t="s">
        <v>42</v>
      </c>
      <c r="U850" t="s">
        <v>79</v>
      </c>
      <c r="V850" s="1">
        <v>45610</v>
      </c>
      <c r="W850">
        <f>Table1[[#This Row],[customer_purchase count]]+1</f>
        <v>34</v>
      </c>
      <c r="X850">
        <f>Table1[[#This Row],[customer_purchase count]]*Rules!$B$3</f>
        <v>1972.2238461538464</v>
      </c>
      <c r="Y850" t="str">
        <f>IF(Table1[[#This Row],[customer_subscription]]=1,"Subscribed","Not Subscribed")</f>
        <v>Subscribed</v>
      </c>
      <c r="Z850" t="s">
        <v>193</v>
      </c>
    </row>
    <row r="851" spans="1:26" x14ac:dyDescent="0.25">
      <c r="A851">
        <v>850</v>
      </c>
      <c r="B851">
        <v>23</v>
      </c>
      <c r="C851" t="s">
        <v>22</v>
      </c>
      <c r="D851">
        <v>850</v>
      </c>
      <c r="E851" t="s">
        <v>37</v>
      </c>
      <c r="F851" t="s">
        <v>24</v>
      </c>
      <c r="G851">
        <v>850</v>
      </c>
      <c r="H851">
        <v>1219</v>
      </c>
      <c r="I851">
        <v>61</v>
      </c>
      <c r="J851" t="s">
        <v>71</v>
      </c>
      <c r="K851" t="s">
        <v>39</v>
      </c>
      <c r="L851" t="s">
        <v>64</v>
      </c>
      <c r="M851" t="s">
        <v>40</v>
      </c>
      <c r="N851">
        <v>4.3</v>
      </c>
      <c r="O851">
        <v>1</v>
      </c>
      <c r="P851" t="s">
        <v>29</v>
      </c>
      <c r="Q851" t="s">
        <v>30</v>
      </c>
      <c r="R851" t="s">
        <v>30</v>
      </c>
      <c r="S851">
        <v>24</v>
      </c>
      <c r="T851" t="s">
        <v>49</v>
      </c>
      <c r="U851" t="s">
        <v>61</v>
      </c>
      <c r="V851" s="1">
        <v>45432</v>
      </c>
      <c r="W851">
        <f>Table1[[#This Row],[customer_purchase count]]+1</f>
        <v>25</v>
      </c>
      <c r="X851">
        <f>Table1[[#This Row],[customer_purchase count]]*Rules!$B$3</f>
        <v>1434.3446153846155</v>
      </c>
      <c r="Y851" t="str">
        <f>IF(Table1[[#This Row],[customer_subscription]]=1,"Subscribed","Not Subscribed")</f>
        <v>Subscribed</v>
      </c>
    </row>
    <row r="852" spans="1:26" x14ac:dyDescent="0.25">
      <c r="A852">
        <v>851</v>
      </c>
      <c r="B852">
        <v>68</v>
      </c>
      <c r="C852" t="s">
        <v>22</v>
      </c>
      <c r="D852">
        <v>851</v>
      </c>
      <c r="E852" t="s">
        <v>74</v>
      </c>
      <c r="F852" t="s">
        <v>45</v>
      </c>
      <c r="G852">
        <v>851</v>
      </c>
      <c r="H852">
        <v>1220</v>
      </c>
      <c r="I852">
        <v>20</v>
      </c>
      <c r="J852" t="s">
        <v>142</v>
      </c>
      <c r="K852" t="s">
        <v>26</v>
      </c>
      <c r="L852" t="s">
        <v>51</v>
      </c>
      <c r="M852" t="s">
        <v>28</v>
      </c>
      <c r="N852">
        <v>2.6</v>
      </c>
      <c r="O852">
        <v>1</v>
      </c>
      <c r="P852" t="s">
        <v>77</v>
      </c>
      <c r="Q852" t="s">
        <v>30</v>
      </c>
      <c r="R852" t="s">
        <v>30</v>
      </c>
      <c r="S852">
        <v>13</v>
      </c>
      <c r="T852" t="s">
        <v>31</v>
      </c>
      <c r="U852" t="s">
        <v>91</v>
      </c>
      <c r="V852" s="1">
        <v>45653</v>
      </c>
      <c r="W852">
        <f>Table1[[#This Row],[customer_purchase count]]+1</f>
        <v>14</v>
      </c>
      <c r="X852">
        <f>Table1[[#This Row],[customer_purchase count]]*Rules!$B$3</f>
        <v>776.93666666666672</v>
      </c>
      <c r="Y852" t="str">
        <f>IF(Table1[[#This Row],[customer_subscription]]=1,"Subscribed","Not Subscribed")</f>
        <v>Subscribed</v>
      </c>
    </row>
    <row r="853" spans="1:26" x14ac:dyDescent="0.25">
      <c r="A853">
        <v>852</v>
      </c>
      <c r="B853">
        <v>35</v>
      </c>
      <c r="C853" t="s">
        <v>22</v>
      </c>
      <c r="D853">
        <v>852</v>
      </c>
      <c r="E853" t="s">
        <v>44</v>
      </c>
      <c r="F853" t="s">
        <v>45</v>
      </c>
      <c r="G853">
        <v>852</v>
      </c>
      <c r="H853">
        <v>1221</v>
      </c>
      <c r="I853">
        <v>86</v>
      </c>
      <c r="J853" t="s">
        <v>38</v>
      </c>
      <c r="K853" t="s">
        <v>47</v>
      </c>
      <c r="L853" t="s">
        <v>111</v>
      </c>
      <c r="M853" t="s">
        <v>56</v>
      </c>
      <c r="N853">
        <v>2.9</v>
      </c>
      <c r="O853">
        <v>1</v>
      </c>
      <c r="P853" t="s">
        <v>29</v>
      </c>
      <c r="Q853" t="s">
        <v>30</v>
      </c>
      <c r="R853" t="s">
        <v>30</v>
      </c>
      <c r="S853">
        <v>19</v>
      </c>
      <c r="T853" t="s">
        <v>89</v>
      </c>
      <c r="U853" t="s">
        <v>91</v>
      </c>
      <c r="V853" s="1">
        <v>45456</v>
      </c>
      <c r="W853">
        <f>Table1[[#This Row],[customer_purchase count]]+1</f>
        <v>20</v>
      </c>
      <c r="X853">
        <f>Table1[[#This Row],[customer_purchase count]]*Rules!$B$3</f>
        <v>1135.5228205128205</v>
      </c>
      <c r="Y853" t="str">
        <f>IF(Table1[[#This Row],[customer_subscription]]=1,"Subscribed","Not Subscribed")</f>
        <v>Subscribed</v>
      </c>
    </row>
    <row r="854" spans="1:26" x14ac:dyDescent="0.25">
      <c r="A854">
        <v>853</v>
      </c>
      <c r="B854">
        <v>34</v>
      </c>
      <c r="C854" t="s">
        <v>22</v>
      </c>
      <c r="D854">
        <v>853</v>
      </c>
      <c r="E854" t="s">
        <v>84</v>
      </c>
      <c r="F854" t="s">
        <v>24</v>
      </c>
      <c r="G854">
        <v>853</v>
      </c>
      <c r="H854">
        <v>1222</v>
      </c>
      <c r="I854">
        <v>60</v>
      </c>
      <c r="J854" t="s">
        <v>106</v>
      </c>
      <c r="K854" t="s">
        <v>26</v>
      </c>
      <c r="L854" t="s">
        <v>137</v>
      </c>
      <c r="M854" t="s">
        <v>40</v>
      </c>
      <c r="N854">
        <v>4.2</v>
      </c>
      <c r="O854">
        <v>1</v>
      </c>
      <c r="P854" t="s">
        <v>48</v>
      </c>
      <c r="Q854" t="s">
        <v>30</v>
      </c>
      <c r="R854" t="s">
        <v>30</v>
      </c>
      <c r="S854">
        <v>23</v>
      </c>
      <c r="T854" t="s">
        <v>89</v>
      </c>
      <c r="U854" t="s">
        <v>100</v>
      </c>
      <c r="V854" s="1">
        <v>45379</v>
      </c>
      <c r="W854">
        <f>Table1[[#This Row],[customer_purchase count]]+1</f>
        <v>24</v>
      </c>
      <c r="X854">
        <f>Table1[[#This Row],[customer_purchase count]]*Rules!$B$3</f>
        <v>1374.5802564102564</v>
      </c>
      <c r="Y854" t="str">
        <f>IF(Table1[[#This Row],[customer_subscription]]=1,"Subscribed","Not Subscribed")</f>
        <v>Subscribed</v>
      </c>
    </row>
    <row r="855" spans="1:26" x14ac:dyDescent="0.25">
      <c r="A855">
        <v>854</v>
      </c>
      <c r="B855">
        <v>62</v>
      </c>
      <c r="C855" t="s">
        <v>22</v>
      </c>
      <c r="D855">
        <v>854</v>
      </c>
      <c r="E855" t="s">
        <v>127</v>
      </c>
      <c r="F855" t="s">
        <v>70</v>
      </c>
      <c r="G855">
        <v>854</v>
      </c>
      <c r="H855">
        <v>1223</v>
      </c>
      <c r="I855">
        <v>43</v>
      </c>
      <c r="J855" t="s">
        <v>82</v>
      </c>
      <c r="K855" t="s">
        <v>26</v>
      </c>
      <c r="L855" t="s">
        <v>124</v>
      </c>
      <c r="M855" t="s">
        <v>28</v>
      </c>
      <c r="N855">
        <v>4</v>
      </c>
      <c r="O855">
        <v>1</v>
      </c>
      <c r="P855" t="s">
        <v>41</v>
      </c>
      <c r="Q855" t="s">
        <v>30</v>
      </c>
      <c r="R855" t="s">
        <v>30</v>
      </c>
      <c r="S855">
        <v>35</v>
      </c>
      <c r="T855" t="s">
        <v>36</v>
      </c>
      <c r="U855" t="s">
        <v>91</v>
      </c>
      <c r="V855" s="1">
        <v>45340</v>
      </c>
      <c r="W855">
        <f>Table1[[#This Row],[customer_purchase count]]+1</f>
        <v>36</v>
      </c>
      <c r="X855">
        <f>Table1[[#This Row],[customer_purchase count]]*Rules!$B$3</f>
        <v>2091.7525641025641</v>
      </c>
      <c r="Y855" t="str">
        <f>IF(Table1[[#This Row],[customer_subscription]]=1,"Subscribed","Not Subscribed")</f>
        <v>Subscribed</v>
      </c>
    </row>
    <row r="856" spans="1:26" x14ac:dyDescent="0.25">
      <c r="A856">
        <v>855</v>
      </c>
      <c r="B856">
        <v>21</v>
      </c>
      <c r="C856" t="s">
        <v>22</v>
      </c>
      <c r="D856">
        <v>855</v>
      </c>
      <c r="E856" t="s">
        <v>98</v>
      </c>
      <c r="F856" t="s">
        <v>24</v>
      </c>
      <c r="G856">
        <v>855</v>
      </c>
      <c r="H856">
        <v>1225</v>
      </c>
      <c r="I856">
        <v>44</v>
      </c>
      <c r="J856" t="s">
        <v>102</v>
      </c>
      <c r="K856" t="s">
        <v>26</v>
      </c>
      <c r="L856" t="s">
        <v>147</v>
      </c>
      <c r="M856" t="s">
        <v>40</v>
      </c>
      <c r="N856">
        <v>4.3</v>
      </c>
      <c r="O856">
        <v>1</v>
      </c>
      <c r="P856" t="s">
        <v>41</v>
      </c>
      <c r="Q856" t="s">
        <v>30</v>
      </c>
      <c r="R856" t="s">
        <v>30</v>
      </c>
      <c r="S856">
        <v>22</v>
      </c>
      <c r="T856" t="s">
        <v>31</v>
      </c>
      <c r="U856" t="s">
        <v>91</v>
      </c>
      <c r="V856" s="1">
        <v>45387</v>
      </c>
      <c r="W856">
        <f>Table1[[#This Row],[customer_purchase count]]+1</f>
        <v>23</v>
      </c>
      <c r="X856">
        <f>Table1[[#This Row],[customer_purchase count]]*Rules!$B$3</f>
        <v>1314.8158974358976</v>
      </c>
      <c r="Y856" t="str">
        <f>IF(Table1[[#This Row],[customer_subscription]]=1,"Subscribed","Not Subscribed")</f>
        <v>Subscribed</v>
      </c>
    </row>
    <row r="857" spans="1:26" x14ac:dyDescent="0.25">
      <c r="A857">
        <v>856</v>
      </c>
      <c r="B857">
        <v>70</v>
      </c>
      <c r="C857" t="s">
        <v>22</v>
      </c>
      <c r="D857">
        <v>856</v>
      </c>
      <c r="E857" t="s">
        <v>128</v>
      </c>
      <c r="F857" t="s">
        <v>24</v>
      </c>
      <c r="G857">
        <v>856</v>
      </c>
      <c r="H857">
        <v>1226</v>
      </c>
      <c r="I857">
        <v>76</v>
      </c>
      <c r="J857" t="s">
        <v>50</v>
      </c>
      <c r="K857" t="s">
        <v>26</v>
      </c>
      <c r="L857" t="s">
        <v>83</v>
      </c>
      <c r="M857" t="s">
        <v>40</v>
      </c>
      <c r="N857">
        <v>3</v>
      </c>
      <c r="O857">
        <v>1</v>
      </c>
      <c r="P857" t="s">
        <v>73</v>
      </c>
      <c r="Q857" t="s">
        <v>30</v>
      </c>
      <c r="R857" t="s">
        <v>30</v>
      </c>
      <c r="S857">
        <v>14</v>
      </c>
      <c r="T857" t="s">
        <v>42</v>
      </c>
      <c r="U857" t="s">
        <v>61</v>
      </c>
      <c r="V857" s="1">
        <v>45379</v>
      </c>
      <c r="W857">
        <f>Table1[[#This Row],[customer_purchase count]]+1</f>
        <v>15</v>
      </c>
      <c r="X857">
        <f>Table1[[#This Row],[customer_purchase count]]*Rules!$B$3</f>
        <v>836.70102564102569</v>
      </c>
      <c r="Y857" t="str">
        <f>IF(Table1[[#This Row],[customer_subscription]]=1,"Subscribed","Not Subscribed")</f>
        <v>Subscribed</v>
      </c>
    </row>
    <row r="858" spans="1:26" x14ac:dyDescent="0.25">
      <c r="A858">
        <v>857</v>
      </c>
      <c r="B858">
        <v>55</v>
      </c>
      <c r="C858" t="s">
        <v>22</v>
      </c>
      <c r="D858">
        <v>857</v>
      </c>
      <c r="E858" t="s">
        <v>58</v>
      </c>
      <c r="F858" t="s">
        <v>24</v>
      </c>
      <c r="G858">
        <v>857</v>
      </c>
      <c r="H858">
        <v>1227</v>
      </c>
      <c r="I858">
        <v>33</v>
      </c>
      <c r="J858" t="s">
        <v>123</v>
      </c>
      <c r="K858" t="s">
        <v>47</v>
      </c>
      <c r="L858" t="s">
        <v>83</v>
      </c>
      <c r="M858" t="s">
        <v>56</v>
      </c>
      <c r="N858">
        <v>3.5</v>
      </c>
      <c r="O858">
        <v>1</v>
      </c>
      <c r="P858" t="s">
        <v>29</v>
      </c>
      <c r="Q858" t="s">
        <v>30</v>
      </c>
      <c r="R858" t="s">
        <v>30</v>
      </c>
      <c r="S858">
        <v>47</v>
      </c>
      <c r="T858" t="s">
        <v>89</v>
      </c>
      <c r="U858" t="s">
        <v>32</v>
      </c>
      <c r="V858" s="1">
        <v>45507</v>
      </c>
      <c r="W858">
        <f>Table1[[#This Row],[customer_purchase count]]+1</f>
        <v>48</v>
      </c>
      <c r="X858">
        <f>Table1[[#This Row],[customer_purchase count]]*Rules!$B$3</f>
        <v>2808.9248717948717</v>
      </c>
      <c r="Y858" t="str">
        <f>IF(Table1[[#This Row],[customer_subscription]]=1,"Subscribed","Not Subscribed")</f>
        <v>Subscribed</v>
      </c>
      <c r="Z858" t="s">
        <v>193</v>
      </c>
    </row>
    <row r="859" spans="1:26" x14ac:dyDescent="0.25">
      <c r="A859">
        <v>858</v>
      </c>
      <c r="B859">
        <v>43</v>
      </c>
      <c r="C859" t="s">
        <v>22</v>
      </c>
      <c r="D859">
        <v>858</v>
      </c>
      <c r="E859" t="s">
        <v>62</v>
      </c>
      <c r="F859" t="s">
        <v>24</v>
      </c>
      <c r="G859">
        <v>858</v>
      </c>
      <c r="H859">
        <v>1228</v>
      </c>
      <c r="I859">
        <v>60</v>
      </c>
      <c r="J859" t="s">
        <v>71</v>
      </c>
      <c r="K859" t="s">
        <v>26</v>
      </c>
      <c r="L859" t="s">
        <v>112</v>
      </c>
      <c r="M859" t="s">
        <v>60</v>
      </c>
      <c r="N859">
        <v>3</v>
      </c>
      <c r="O859">
        <v>1</v>
      </c>
      <c r="P859" t="s">
        <v>57</v>
      </c>
      <c r="Q859" t="s">
        <v>30</v>
      </c>
      <c r="R859" t="s">
        <v>30</v>
      </c>
      <c r="S859">
        <v>50</v>
      </c>
      <c r="T859" t="s">
        <v>89</v>
      </c>
      <c r="U859" t="s">
        <v>100</v>
      </c>
      <c r="V859" s="1">
        <v>45610</v>
      </c>
      <c r="W859">
        <f>Table1[[#This Row],[customer_purchase count]]+1</f>
        <v>51</v>
      </c>
      <c r="X859">
        <f>Table1[[#This Row],[customer_purchase count]]*Rules!$B$3</f>
        <v>2988.2179487179487</v>
      </c>
      <c r="Y859" t="str">
        <f>IF(Table1[[#This Row],[customer_subscription]]=1,"Subscribed","Not Subscribed")</f>
        <v>Subscribed</v>
      </c>
      <c r="Z859" t="s">
        <v>193</v>
      </c>
    </row>
    <row r="860" spans="1:26" x14ac:dyDescent="0.25">
      <c r="A860">
        <v>859</v>
      </c>
      <c r="B860">
        <v>19</v>
      </c>
      <c r="C860" t="s">
        <v>22</v>
      </c>
      <c r="D860">
        <v>859</v>
      </c>
      <c r="E860" t="s">
        <v>105</v>
      </c>
      <c r="F860" t="s">
        <v>66</v>
      </c>
      <c r="G860">
        <v>859</v>
      </c>
      <c r="H860">
        <v>1229</v>
      </c>
      <c r="I860">
        <v>26</v>
      </c>
      <c r="J860" t="s">
        <v>104</v>
      </c>
      <c r="K860" t="s">
        <v>26</v>
      </c>
      <c r="L860" t="s">
        <v>81</v>
      </c>
      <c r="M860" t="s">
        <v>60</v>
      </c>
      <c r="N860">
        <v>3.1</v>
      </c>
      <c r="O860">
        <v>1</v>
      </c>
      <c r="P860" t="s">
        <v>41</v>
      </c>
      <c r="Q860" t="s">
        <v>30</v>
      </c>
      <c r="R860" t="s">
        <v>30</v>
      </c>
      <c r="S860">
        <v>33</v>
      </c>
      <c r="T860" t="s">
        <v>49</v>
      </c>
      <c r="U860" t="s">
        <v>43</v>
      </c>
      <c r="V860" s="1">
        <v>45607</v>
      </c>
      <c r="W860">
        <f>Table1[[#This Row],[customer_purchase count]]+1</f>
        <v>34</v>
      </c>
      <c r="X860">
        <f>Table1[[#This Row],[customer_purchase count]]*Rules!$B$3</f>
        <v>1972.2238461538464</v>
      </c>
      <c r="Y860" t="str">
        <f>IF(Table1[[#This Row],[customer_subscription]]=1,"Subscribed","Not Subscribed")</f>
        <v>Subscribed</v>
      </c>
    </row>
    <row r="861" spans="1:26" x14ac:dyDescent="0.25">
      <c r="A861">
        <v>860</v>
      </c>
      <c r="B861">
        <v>47</v>
      </c>
      <c r="C861" t="s">
        <v>22</v>
      </c>
      <c r="D861">
        <v>860</v>
      </c>
      <c r="E861" t="s">
        <v>107</v>
      </c>
      <c r="F861" t="s">
        <v>24</v>
      </c>
      <c r="G861">
        <v>860</v>
      </c>
      <c r="H861">
        <v>1231</v>
      </c>
      <c r="I861">
        <v>73</v>
      </c>
      <c r="J861" t="s">
        <v>153</v>
      </c>
      <c r="K861" t="s">
        <v>47</v>
      </c>
      <c r="L861" t="s">
        <v>88</v>
      </c>
      <c r="M861" t="s">
        <v>28</v>
      </c>
      <c r="N861">
        <v>4</v>
      </c>
      <c r="O861">
        <v>1</v>
      </c>
      <c r="P861" t="s">
        <v>48</v>
      </c>
      <c r="Q861" t="s">
        <v>30</v>
      </c>
      <c r="R861" t="s">
        <v>30</v>
      </c>
      <c r="S861">
        <v>7</v>
      </c>
      <c r="T861" t="s">
        <v>89</v>
      </c>
      <c r="U861" t="s">
        <v>91</v>
      </c>
      <c r="V861" s="1">
        <v>45632</v>
      </c>
      <c r="W861">
        <f>Table1[[#This Row],[customer_purchase count]]+1</f>
        <v>8</v>
      </c>
      <c r="X861">
        <f>Table1[[#This Row],[customer_purchase count]]*Rules!$B$3</f>
        <v>418.35051282051285</v>
      </c>
      <c r="Y861" t="str">
        <f>IF(Table1[[#This Row],[customer_subscription]]=1,"Subscribed","Not Subscribed")</f>
        <v>Subscribed</v>
      </c>
    </row>
    <row r="862" spans="1:26" x14ac:dyDescent="0.25">
      <c r="A862">
        <v>861</v>
      </c>
      <c r="B862">
        <v>26</v>
      </c>
      <c r="C862" t="s">
        <v>22</v>
      </c>
      <c r="D862">
        <v>861</v>
      </c>
      <c r="E862" t="s">
        <v>74</v>
      </c>
      <c r="F862" t="s">
        <v>45</v>
      </c>
      <c r="G862">
        <v>861</v>
      </c>
      <c r="H862">
        <v>1232</v>
      </c>
      <c r="I862">
        <v>87</v>
      </c>
      <c r="J862" t="s">
        <v>134</v>
      </c>
      <c r="K862" t="s">
        <v>47</v>
      </c>
      <c r="L862" t="s">
        <v>35</v>
      </c>
      <c r="M862" t="s">
        <v>40</v>
      </c>
      <c r="N862">
        <v>4.0999999999999996</v>
      </c>
      <c r="O862">
        <v>1</v>
      </c>
      <c r="P862" t="s">
        <v>57</v>
      </c>
      <c r="Q862" t="s">
        <v>30</v>
      </c>
      <c r="R862" t="s">
        <v>30</v>
      </c>
      <c r="S862">
        <v>3</v>
      </c>
      <c r="T862" t="s">
        <v>36</v>
      </c>
      <c r="U862" t="s">
        <v>91</v>
      </c>
      <c r="V862" s="1">
        <v>45365</v>
      </c>
      <c r="W862">
        <f>Table1[[#This Row],[customer_purchase count]]+1</f>
        <v>4</v>
      </c>
      <c r="X862">
        <f>Table1[[#This Row],[customer_purchase count]]*Rules!$B$3</f>
        <v>179.29307692307694</v>
      </c>
      <c r="Y862" t="str">
        <f>IF(Table1[[#This Row],[customer_subscription]]=1,"Subscribed","Not Subscribed")</f>
        <v>Subscribed</v>
      </c>
    </row>
    <row r="863" spans="1:26" x14ac:dyDescent="0.25">
      <c r="A863">
        <v>862</v>
      </c>
      <c r="B863">
        <v>46</v>
      </c>
      <c r="C863" t="s">
        <v>22</v>
      </c>
      <c r="D863">
        <v>862</v>
      </c>
      <c r="E863" t="s">
        <v>90</v>
      </c>
      <c r="F863" t="s">
        <v>24</v>
      </c>
      <c r="G863">
        <v>862</v>
      </c>
      <c r="H863">
        <v>1233</v>
      </c>
      <c r="I863">
        <v>100</v>
      </c>
      <c r="J863" t="s">
        <v>144</v>
      </c>
      <c r="K863" t="s">
        <v>95</v>
      </c>
      <c r="L863" t="s">
        <v>99</v>
      </c>
      <c r="M863" t="s">
        <v>40</v>
      </c>
      <c r="N863">
        <v>3.3</v>
      </c>
      <c r="O863">
        <v>1</v>
      </c>
      <c r="P863" t="s">
        <v>73</v>
      </c>
      <c r="Q863" t="s">
        <v>30</v>
      </c>
      <c r="R863" t="s">
        <v>30</v>
      </c>
      <c r="S863">
        <v>35</v>
      </c>
      <c r="T863" t="s">
        <v>42</v>
      </c>
      <c r="U863" t="s">
        <v>100</v>
      </c>
      <c r="V863" s="1">
        <v>45426</v>
      </c>
      <c r="W863">
        <f>Table1[[#This Row],[customer_purchase count]]+1</f>
        <v>36</v>
      </c>
      <c r="X863">
        <f>Table1[[#This Row],[customer_purchase count]]*Rules!$B$3</f>
        <v>2091.7525641025641</v>
      </c>
      <c r="Y863" t="str">
        <f>IF(Table1[[#This Row],[customer_subscription]]=1,"Subscribed","Not Subscribed")</f>
        <v>Subscribed</v>
      </c>
      <c r="Z863" t="s">
        <v>193</v>
      </c>
    </row>
    <row r="864" spans="1:26" x14ac:dyDescent="0.25">
      <c r="A864">
        <v>863</v>
      </c>
      <c r="B864">
        <v>19</v>
      </c>
      <c r="C864" t="s">
        <v>22</v>
      </c>
      <c r="D864">
        <v>863</v>
      </c>
      <c r="E864" t="s">
        <v>65</v>
      </c>
      <c r="F864" t="s">
        <v>66</v>
      </c>
      <c r="G864">
        <v>863</v>
      </c>
      <c r="H864">
        <v>1234</v>
      </c>
      <c r="I864">
        <v>84</v>
      </c>
      <c r="J864" t="s">
        <v>75</v>
      </c>
      <c r="K864" t="s">
        <v>47</v>
      </c>
      <c r="L864" t="s">
        <v>64</v>
      </c>
      <c r="M864" t="s">
        <v>28</v>
      </c>
      <c r="N864">
        <v>4.9000000000000004</v>
      </c>
      <c r="O864">
        <v>1</v>
      </c>
      <c r="P864" t="s">
        <v>57</v>
      </c>
      <c r="Q864" t="s">
        <v>30</v>
      </c>
      <c r="R864" t="s">
        <v>30</v>
      </c>
      <c r="S864">
        <v>13</v>
      </c>
      <c r="T864" t="s">
        <v>49</v>
      </c>
      <c r="U864" t="s">
        <v>32</v>
      </c>
      <c r="V864" s="1">
        <v>45301</v>
      </c>
      <c r="W864">
        <f>Table1[[#This Row],[customer_purchase count]]+1</f>
        <v>14</v>
      </c>
      <c r="X864">
        <f>Table1[[#This Row],[customer_purchase count]]*Rules!$B$3</f>
        <v>776.93666666666672</v>
      </c>
      <c r="Y864" t="str">
        <f>IF(Table1[[#This Row],[customer_subscription]]=1,"Subscribed","Not Subscribed")</f>
        <v>Subscribed</v>
      </c>
      <c r="Z864" t="s">
        <v>187</v>
      </c>
    </row>
    <row r="865" spans="1:26" x14ac:dyDescent="0.25">
      <c r="A865">
        <v>864</v>
      </c>
      <c r="B865">
        <v>49</v>
      </c>
      <c r="C865" t="s">
        <v>22</v>
      </c>
      <c r="D865">
        <v>864</v>
      </c>
      <c r="E865" t="s">
        <v>53</v>
      </c>
      <c r="F865" t="s">
        <v>45</v>
      </c>
      <c r="G865">
        <v>864</v>
      </c>
      <c r="H865">
        <v>1235</v>
      </c>
      <c r="I865">
        <v>41</v>
      </c>
      <c r="J865" t="s">
        <v>132</v>
      </c>
      <c r="K865" t="s">
        <v>47</v>
      </c>
      <c r="L865" t="s">
        <v>112</v>
      </c>
      <c r="M865" t="s">
        <v>56</v>
      </c>
      <c r="N865">
        <v>3.9</v>
      </c>
      <c r="O865">
        <v>1</v>
      </c>
      <c r="P865" t="s">
        <v>57</v>
      </c>
      <c r="Q865" t="s">
        <v>30</v>
      </c>
      <c r="R865" t="s">
        <v>30</v>
      </c>
      <c r="S865">
        <v>42</v>
      </c>
      <c r="T865" t="s">
        <v>49</v>
      </c>
      <c r="U865" t="s">
        <v>32</v>
      </c>
      <c r="V865" s="1">
        <v>45474</v>
      </c>
      <c r="W865">
        <f>Table1[[#This Row],[customer_purchase count]]+1</f>
        <v>43</v>
      </c>
      <c r="X865">
        <f>Table1[[#This Row],[customer_purchase count]]*Rules!$B$3</f>
        <v>2510.103076923077</v>
      </c>
      <c r="Y865" t="str">
        <f>IF(Table1[[#This Row],[customer_subscription]]=1,"Subscribed","Not Subscribed")</f>
        <v>Subscribed</v>
      </c>
      <c r="Z865" t="s">
        <v>193</v>
      </c>
    </row>
    <row r="866" spans="1:26" x14ac:dyDescent="0.25">
      <c r="A866">
        <v>865</v>
      </c>
      <c r="B866">
        <v>51</v>
      </c>
      <c r="C866" t="s">
        <v>22</v>
      </c>
      <c r="D866">
        <v>865</v>
      </c>
      <c r="E866" t="s">
        <v>37</v>
      </c>
      <c r="F866" t="s">
        <v>24</v>
      </c>
      <c r="G866">
        <v>865</v>
      </c>
      <c r="H866">
        <v>1237</v>
      </c>
      <c r="I866">
        <v>59</v>
      </c>
      <c r="J866" t="s">
        <v>25</v>
      </c>
      <c r="K866" t="s">
        <v>39</v>
      </c>
      <c r="L866" t="s">
        <v>64</v>
      </c>
      <c r="M866" t="s">
        <v>28</v>
      </c>
      <c r="N866">
        <v>3.9</v>
      </c>
      <c r="O866">
        <v>1</v>
      </c>
      <c r="P866" t="s">
        <v>48</v>
      </c>
      <c r="Q866" t="s">
        <v>30</v>
      </c>
      <c r="R866" t="s">
        <v>30</v>
      </c>
      <c r="S866">
        <v>5</v>
      </c>
      <c r="T866" t="s">
        <v>49</v>
      </c>
      <c r="U866" t="s">
        <v>52</v>
      </c>
      <c r="V866" s="1">
        <v>45632</v>
      </c>
      <c r="W866">
        <f>Table1[[#This Row],[customer_purchase count]]+1</f>
        <v>6</v>
      </c>
      <c r="X866">
        <f>Table1[[#This Row],[customer_purchase count]]*Rules!$B$3</f>
        <v>298.82179487179491</v>
      </c>
      <c r="Y866" t="str">
        <f>IF(Table1[[#This Row],[customer_subscription]]=1,"Subscribed","Not Subscribed")</f>
        <v>Subscribed</v>
      </c>
    </row>
    <row r="867" spans="1:26" x14ac:dyDescent="0.25">
      <c r="A867">
        <v>866</v>
      </c>
      <c r="B867">
        <v>64</v>
      </c>
      <c r="C867" t="s">
        <v>22</v>
      </c>
      <c r="D867">
        <v>866</v>
      </c>
      <c r="E867" t="s">
        <v>23</v>
      </c>
      <c r="F867" t="s">
        <v>24</v>
      </c>
      <c r="G867">
        <v>866</v>
      </c>
      <c r="H867">
        <v>1238</v>
      </c>
      <c r="I867">
        <v>26</v>
      </c>
      <c r="J867" t="s">
        <v>115</v>
      </c>
      <c r="K867" t="s">
        <v>26</v>
      </c>
      <c r="L867" t="s">
        <v>64</v>
      </c>
      <c r="M867" t="s">
        <v>28</v>
      </c>
      <c r="N867">
        <v>4.8</v>
      </c>
      <c r="O867">
        <v>1</v>
      </c>
      <c r="P867" t="s">
        <v>77</v>
      </c>
      <c r="Q867" t="s">
        <v>30</v>
      </c>
      <c r="R867" t="s">
        <v>30</v>
      </c>
      <c r="S867">
        <v>23</v>
      </c>
      <c r="T867" t="s">
        <v>31</v>
      </c>
      <c r="U867" t="s">
        <v>52</v>
      </c>
      <c r="V867" s="1">
        <v>45297</v>
      </c>
      <c r="W867">
        <f>Table1[[#This Row],[customer_purchase count]]+1</f>
        <v>24</v>
      </c>
      <c r="X867">
        <f>Table1[[#This Row],[customer_purchase count]]*Rules!$B$3</f>
        <v>1374.5802564102564</v>
      </c>
      <c r="Y867" t="str">
        <f>IF(Table1[[#This Row],[customer_subscription]]=1,"Subscribed","Not Subscribed")</f>
        <v>Subscribed</v>
      </c>
    </row>
    <row r="868" spans="1:26" x14ac:dyDescent="0.25">
      <c r="A868">
        <v>867</v>
      </c>
      <c r="B868">
        <v>67</v>
      </c>
      <c r="C868" t="s">
        <v>22</v>
      </c>
      <c r="D868">
        <v>867</v>
      </c>
      <c r="E868" t="s">
        <v>92</v>
      </c>
      <c r="F868" t="s">
        <v>70</v>
      </c>
      <c r="G868">
        <v>867</v>
      </c>
      <c r="H868">
        <v>1239</v>
      </c>
      <c r="I868">
        <v>69</v>
      </c>
      <c r="J868" t="s">
        <v>133</v>
      </c>
      <c r="K868" t="s">
        <v>47</v>
      </c>
      <c r="L868" t="s">
        <v>96</v>
      </c>
      <c r="M868" t="s">
        <v>56</v>
      </c>
      <c r="N868">
        <v>2.7</v>
      </c>
      <c r="O868">
        <v>1</v>
      </c>
      <c r="P868" t="s">
        <v>41</v>
      </c>
      <c r="Q868" t="s">
        <v>30</v>
      </c>
      <c r="R868" t="s">
        <v>30</v>
      </c>
      <c r="S868">
        <v>11</v>
      </c>
      <c r="T868" t="s">
        <v>49</v>
      </c>
      <c r="U868" t="s">
        <v>79</v>
      </c>
      <c r="V868" s="1">
        <v>45482</v>
      </c>
      <c r="W868">
        <f>Table1[[#This Row],[customer_purchase count]]+1</f>
        <v>12</v>
      </c>
      <c r="X868">
        <f>Table1[[#This Row],[customer_purchase count]]*Rules!$B$3</f>
        <v>657.40794871794878</v>
      </c>
      <c r="Y868" t="str">
        <f>IF(Table1[[#This Row],[customer_subscription]]=1,"Subscribed","Not Subscribed")</f>
        <v>Subscribed</v>
      </c>
    </row>
    <row r="869" spans="1:26" x14ac:dyDescent="0.25">
      <c r="A869">
        <v>868</v>
      </c>
      <c r="B869">
        <v>37</v>
      </c>
      <c r="C869" t="s">
        <v>22</v>
      </c>
      <c r="D869">
        <v>868</v>
      </c>
      <c r="E869" t="s">
        <v>105</v>
      </c>
      <c r="F869" t="s">
        <v>66</v>
      </c>
      <c r="G869">
        <v>868</v>
      </c>
      <c r="H869">
        <v>1240</v>
      </c>
      <c r="I869">
        <v>20</v>
      </c>
      <c r="J869" t="s">
        <v>115</v>
      </c>
      <c r="K869" t="s">
        <v>47</v>
      </c>
      <c r="L869" t="s">
        <v>51</v>
      </c>
      <c r="M869" t="s">
        <v>40</v>
      </c>
      <c r="N869">
        <v>3.1</v>
      </c>
      <c r="O869">
        <v>1</v>
      </c>
      <c r="P869" t="s">
        <v>41</v>
      </c>
      <c r="Q869" t="s">
        <v>30</v>
      </c>
      <c r="R869" t="s">
        <v>30</v>
      </c>
      <c r="S869">
        <v>23</v>
      </c>
      <c r="T869" t="s">
        <v>78</v>
      </c>
      <c r="U869" t="s">
        <v>32</v>
      </c>
      <c r="V869" s="1">
        <v>45428</v>
      </c>
      <c r="W869">
        <f>Table1[[#This Row],[customer_purchase count]]+1</f>
        <v>24</v>
      </c>
      <c r="X869">
        <f>Table1[[#This Row],[customer_purchase count]]*Rules!$B$3</f>
        <v>1374.5802564102564</v>
      </c>
      <c r="Y869" t="str">
        <f>IF(Table1[[#This Row],[customer_subscription]]=1,"Subscribed","Not Subscribed")</f>
        <v>Subscribed</v>
      </c>
    </row>
    <row r="870" spans="1:26" x14ac:dyDescent="0.25">
      <c r="A870">
        <v>869</v>
      </c>
      <c r="B870">
        <v>40</v>
      </c>
      <c r="C870" t="s">
        <v>22</v>
      </c>
      <c r="D870">
        <v>869</v>
      </c>
      <c r="E870" t="s">
        <v>84</v>
      </c>
      <c r="F870" t="s">
        <v>24</v>
      </c>
      <c r="G870">
        <v>869</v>
      </c>
      <c r="H870">
        <v>1241</v>
      </c>
      <c r="I870">
        <v>83</v>
      </c>
      <c r="J870" t="s">
        <v>101</v>
      </c>
      <c r="K870" t="s">
        <v>47</v>
      </c>
      <c r="L870" t="s">
        <v>99</v>
      </c>
      <c r="M870" t="s">
        <v>56</v>
      </c>
      <c r="N870">
        <v>3.2</v>
      </c>
      <c r="O870">
        <v>1</v>
      </c>
      <c r="P870" t="s">
        <v>48</v>
      </c>
      <c r="Q870" t="s">
        <v>30</v>
      </c>
      <c r="R870" t="s">
        <v>30</v>
      </c>
      <c r="S870">
        <v>2</v>
      </c>
      <c r="T870" t="s">
        <v>42</v>
      </c>
      <c r="U870" t="s">
        <v>100</v>
      </c>
      <c r="V870" s="1">
        <v>45489</v>
      </c>
      <c r="W870">
        <f>Table1[[#This Row],[customer_purchase count]]+1</f>
        <v>3</v>
      </c>
      <c r="X870">
        <f>Table1[[#This Row],[customer_purchase count]]*Rules!$B$3</f>
        <v>119.52871794871795</v>
      </c>
      <c r="Y870" t="str">
        <f>IF(Table1[[#This Row],[customer_subscription]]=1,"Subscribed","Not Subscribed")</f>
        <v>Subscribed</v>
      </c>
    </row>
    <row r="871" spans="1:26" x14ac:dyDescent="0.25">
      <c r="A871">
        <v>870</v>
      </c>
      <c r="B871">
        <v>38</v>
      </c>
      <c r="C871" t="s">
        <v>22</v>
      </c>
      <c r="D871">
        <v>870</v>
      </c>
      <c r="E871" t="s">
        <v>127</v>
      </c>
      <c r="F871" t="s">
        <v>70</v>
      </c>
      <c r="G871">
        <v>870</v>
      </c>
      <c r="H871">
        <v>1243</v>
      </c>
      <c r="I871">
        <v>54</v>
      </c>
      <c r="J871" t="s">
        <v>85</v>
      </c>
      <c r="K871" t="s">
        <v>47</v>
      </c>
      <c r="L871" t="s">
        <v>68</v>
      </c>
      <c r="M871" t="s">
        <v>40</v>
      </c>
      <c r="N871">
        <v>2.7</v>
      </c>
      <c r="O871">
        <v>1</v>
      </c>
      <c r="P871" t="s">
        <v>73</v>
      </c>
      <c r="Q871" t="s">
        <v>30</v>
      </c>
      <c r="R871" t="s">
        <v>30</v>
      </c>
      <c r="S871">
        <v>33</v>
      </c>
      <c r="T871" t="s">
        <v>49</v>
      </c>
      <c r="U871" t="s">
        <v>43</v>
      </c>
      <c r="V871" s="1">
        <v>45376</v>
      </c>
      <c r="W871">
        <f>Table1[[#This Row],[customer_purchase count]]+1</f>
        <v>34</v>
      </c>
      <c r="X871">
        <f>Table1[[#This Row],[customer_purchase count]]*Rules!$B$3</f>
        <v>1972.2238461538464</v>
      </c>
      <c r="Y871" t="str">
        <f>IF(Table1[[#This Row],[customer_subscription]]=1,"Subscribed","Not Subscribed")</f>
        <v>Subscribed</v>
      </c>
      <c r="Z871" t="s">
        <v>193</v>
      </c>
    </row>
    <row r="872" spans="1:26" x14ac:dyDescent="0.25">
      <c r="A872">
        <v>871</v>
      </c>
      <c r="B872">
        <v>66</v>
      </c>
      <c r="C872" t="s">
        <v>22</v>
      </c>
      <c r="D872">
        <v>871</v>
      </c>
      <c r="E872" t="s">
        <v>107</v>
      </c>
      <c r="F872" t="s">
        <v>24</v>
      </c>
      <c r="G872">
        <v>871</v>
      </c>
      <c r="H872">
        <v>1244</v>
      </c>
      <c r="I872">
        <v>66</v>
      </c>
      <c r="J872" t="s">
        <v>67</v>
      </c>
      <c r="K872" t="s">
        <v>47</v>
      </c>
      <c r="L872" t="s">
        <v>147</v>
      </c>
      <c r="M872" t="s">
        <v>60</v>
      </c>
      <c r="N872">
        <v>2.5</v>
      </c>
      <c r="O872">
        <v>1</v>
      </c>
      <c r="P872" t="s">
        <v>57</v>
      </c>
      <c r="Q872" t="s">
        <v>30</v>
      </c>
      <c r="R872" t="s">
        <v>30</v>
      </c>
      <c r="S872">
        <v>6</v>
      </c>
      <c r="T872" t="s">
        <v>78</v>
      </c>
      <c r="U872" t="s">
        <v>79</v>
      </c>
      <c r="V872" s="1">
        <v>45571</v>
      </c>
      <c r="W872">
        <f>Table1[[#This Row],[customer_purchase count]]+1</f>
        <v>7</v>
      </c>
      <c r="X872">
        <f>Table1[[#This Row],[customer_purchase count]]*Rules!$B$3</f>
        <v>358.58615384615388</v>
      </c>
      <c r="Y872" t="str">
        <f>IF(Table1[[#This Row],[customer_subscription]]=1,"Subscribed","Not Subscribed")</f>
        <v>Subscribed</v>
      </c>
    </row>
    <row r="873" spans="1:26" x14ac:dyDescent="0.25">
      <c r="A873">
        <v>872</v>
      </c>
      <c r="B873">
        <v>47</v>
      </c>
      <c r="C873" t="s">
        <v>22</v>
      </c>
      <c r="D873">
        <v>872</v>
      </c>
      <c r="E873" t="s">
        <v>69</v>
      </c>
      <c r="F873" t="s">
        <v>70</v>
      </c>
      <c r="G873">
        <v>872</v>
      </c>
      <c r="H873">
        <v>1245</v>
      </c>
      <c r="I873">
        <v>42</v>
      </c>
      <c r="J873" t="s">
        <v>80</v>
      </c>
      <c r="K873" t="s">
        <v>47</v>
      </c>
      <c r="L873" t="s">
        <v>64</v>
      </c>
      <c r="M873" t="s">
        <v>40</v>
      </c>
      <c r="N873">
        <v>2.6</v>
      </c>
      <c r="O873">
        <v>1</v>
      </c>
      <c r="P873" t="s">
        <v>48</v>
      </c>
      <c r="Q873" t="s">
        <v>30</v>
      </c>
      <c r="R873" t="s">
        <v>30</v>
      </c>
      <c r="S873">
        <v>45</v>
      </c>
      <c r="T873" t="s">
        <v>89</v>
      </c>
      <c r="U873" t="s">
        <v>61</v>
      </c>
      <c r="V873" s="1">
        <v>45414</v>
      </c>
      <c r="W873">
        <f>Table1[[#This Row],[customer_purchase count]]+1</f>
        <v>46</v>
      </c>
      <c r="X873">
        <f>Table1[[#This Row],[customer_purchase count]]*Rules!$B$3</f>
        <v>2689.396153846154</v>
      </c>
      <c r="Y873" t="str">
        <f>IF(Table1[[#This Row],[customer_subscription]]=1,"Subscribed","Not Subscribed")</f>
        <v>Subscribed</v>
      </c>
      <c r="Z873" t="s">
        <v>193</v>
      </c>
    </row>
    <row r="874" spans="1:26" x14ac:dyDescent="0.25">
      <c r="A874">
        <v>873</v>
      </c>
      <c r="B874">
        <v>56</v>
      </c>
      <c r="C874" t="s">
        <v>22</v>
      </c>
      <c r="D874">
        <v>873</v>
      </c>
      <c r="E874" t="s">
        <v>37</v>
      </c>
      <c r="F874" t="s">
        <v>24</v>
      </c>
      <c r="G874">
        <v>873</v>
      </c>
      <c r="H874">
        <v>1246</v>
      </c>
      <c r="I874">
        <v>33</v>
      </c>
      <c r="J874" t="s">
        <v>117</v>
      </c>
      <c r="K874" t="s">
        <v>47</v>
      </c>
      <c r="L874" t="s">
        <v>72</v>
      </c>
      <c r="M874" t="s">
        <v>40</v>
      </c>
      <c r="N874">
        <v>2.9</v>
      </c>
      <c r="O874">
        <v>1</v>
      </c>
      <c r="P874" t="s">
        <v>57</v>
      </c>
      <c r="Q874" t="s">
        <v>30</v>
      </c>
      <c r="R874" t="s">
        <v>30</v>
      </c>
      <c r="S874">
        <v>25</v>
      </c>
      <c r="T874" t="s">
        <v>36</v>
      </c>
      <c r="U874" t="s">
        <v>61</v>
      </c>
      <c r="V874" s="1">
        <v>45391</v>
      </c>
      <c r="W874">
        <f>Table1[[#This Row],[customer_purchase count]]+1</f>
        <v>26</v>
      </c>
      <c r="X874">
        <f>Table1[[#This Row],[customer_purchase count]]*Rules!$B$3</f>
        <v>1494.1089743589744</v>
      </c>
      <c r="Y874" t="str">
        <f>IF(Table1[[#This Row],[customer_subscription]]=1,"Subscribed","Not Subscribed")</f>
        <v>Subscribed</v>
      </c>
    </row>
    <row r="875" spans="1:26" x14ac:dyDescent="0.25">
      <c r="A875">
        <v>874</v>
      </c>
      <c r="B875">
        <v>51</v>
      </c>
      <c r="C875" t="s">
        <v>22</v>
      </c>
      <c r="D875">
        <v>874</v>
      </c>
      <c r="E875" t="s">
        <v>140</v>
      </c>
      <c r="F875" t="s">
        <v>45</v>
      </c>
      <c r="G875">
        <v>874</v>
      </c>
      <c r="H875">
        <v>1247</v>
      </c>
      <c r="I875">
        <v>77</v>
      </c>
      <c r="J875" t="s">
        <v>94</v>
      </c>
      <c r="K875" t="s">
        <v>47</v>
      </c>
      <c r="L875" t="s">
        <v>72</v>
      </c>
      <c r="M875" t="s">
        <v>56</v>
      </c>
      <c r="N875">
        <v>4.2</v>
      </c>
      <c r="O875">
        <v>1</v>
      </c>
      <c r="P875" t="s">
        <v>41</v>
      </c>
      <c r="Q875" t="s">
        <v>30</v>
      </c>
      <c r="R875" t="s">
        <v>30</v>
      </c>
      <c r="S875">
        <v>24</v>
      </c>
      <c r="T875" t="s">
        <v>31</v>
      </c>
      <c r="U875" t="s">
        <v>61</v>
      </c>
      <c r="V875" s="1">
        <v>45467</v>
      </c>
      <c r="W875">
        <f>Table1[[#This Row],[customer_purchase count]]+1</f>
        <v>25</v>
      </c>
      <c r="X875">
        <f>Table1[[#This Row],[customer_purchase count]]*Rules!$B$3</f>
        <v>1434.3446153846155</v>
      </c>
      <c r="Y875" t="str">
        <f>IF(Table1[[#This Row],[customer_subscription]]=1,"Subscribed","Not Subscribed")</f>
        <v>Subscribed</v>
      </c>
    </row>
    <row r="876" spans="1:26" x14ac:dyDescent="0.25">
      <c r="A876">
        <v>875</v>
      </c>
      <c r="B876">
        <v>25</v>
      </c>
      <c r="C876" t="s">
        <v>22</v>
      </c>
      <c r="D876">
        <v>875</v>
      </c>
      <c r="E876" t="s">
        <v>105</v>
      </c>
      <c r="F876" t="s">
        <v>66</v>
      </c>
      <c r="G876">
        <v>875</v>
      </c>
      <c r="H876">
        <v>1249</v>
      </c>
      <c r="I876">
        <v>65</v>
      </c>
      <c r="J876" t="s">
        <v>34</v>
      </c>
      <c r="K876" t="s">
        <v>47</v>
      </c>
      <c r="L876" t="s">
        <v>139</v>
      </c>
      <c r="M876" t="s">
        <v>60</v>
      </c>
      <c r="N876">
        <v>4.4000000000000004</v>
      </c>
      <c r="O876">
        <v>1</v>
      </c>
      <c r="P876" t="s">
        <v>41</v>
      </c>
      <c r="Q876" t="s">
        <v>30</v>
      </c>
      <c r="R876" t="s">
        <v>30</v>
      </c>
      <c r="S876">
        <v>10</v>
      </c>
      <c r="T876" t="s">
        <v>31</v>
      </c>
      <c r="U876" t="s">
        <v>100</v>
      </c>
      <c r="V876" s="1">
        <v>45537</v>
      </c>
      <c r="W876">
        <f>Table1[[#This Row],[customer_purchase count]]+1</f>
        <v>11</v>
      </c>
      <c r="X876">
        <f>Table1[[#This Row],[customer_purchase count]]*Rules!$B$3</f>
        <v>597.64358974358981</v>
      </c>
      <c r="Y876" t="str">
        <f>IF(Table1[[#This Row],[customer_subscription]]=1,"Subscribed","Not Subscribed")</f>
        <v>Subscribed</v>
      </c>
      <c r="Z876" t="s">
        <v>187</v>
      </c>
    </row>
    <row r="877" spans="1:26" x14ac:dyDescent="0.25">
      <c r="A877">
        <v>876</v>
      </c>
      <c r="B877">
        <v>37</v>
      </c>
      <c r="C877" t="s">
        <v>22</v>
      </c>
      <c r="D877">
        <v>876</v>
      </c>
      <c r="E877" t="s">
        <v>44</v>
      </c>
      <c r="F877" t="s">
        <v>45</v>
      </c>
      <c r="G877">
        <v>876</v>
      </c>
      <c r="H877">
        <v>1250</v>
      </c>
      <c r="I877">
        <v>39</v>
      </c>
      <c r="J877" t="s">
        <v>117</v>
      </c>
      <c r="K877" t="s">
        <v>26</v>
      </c>
      <c r="L877" t="s">
        <v>27</v>
      </c>
      <c r="M877" t="s">
        <v>56</v>
      </c>
      <c r="N877">
        <v>4.0999999999999996</v>
      </c>
      <c r="O877">
        <v>1</v>
      </c>
      <c r="P877" t="s">
        <v>41</v>
      </c>
      <c r="Q877" t="s">
        <v>30</v>
      </c>
      <c r="R877" t="s">
        <v>30</v>
      </c>
      <c r="S877">
        <v>7</v>
      </c>
      <c r="T877" t="s">
        <v>78</v>
      </c>
      <c r="U877" t="s">
        <v>100</v>
      </c>
      <c r="V877" s="1">
        <v>45506</v>
      </c>
      <c r="W877">
        <f>Table1[[#This Row],[customer_purchase count]]+1</f>
        <v>8</v>
      </c>
      <c r="X877">
        <f>Table1[[#This Row],[customer_purchase count]]*Rules!$B$3</f>
        <v>418.35051282051285</v>
      </c>
      <c r="Y877" t="str">
        <f>IF(Table1[[#This Row],[customer_subscription]]=1,"Subscribed","Not Subscribed")</f>
        <v>Subscribed</v>
      </c>
    </row>
    <row r="878" spans="1:26" x14ac:dyDescent="0.25">
      <c r="A878">
        <v>877</v>
      </c>
      <c r="B878">
        <v>41</v>
      </c>
      <c r="C878" t="s">
        <v>22</v>
      </c>
      <c r="D878">
        <v>877</v>
      </c>
      <c r="E878" t="s">
        <v>136</v>
      </c>
      <c r="F878" t="s">
        <v>70</v>
      </c>
      <c r="G878">
        <v>877</v>
      </c>
      <c r="H878">
        <v>1251</v>
      </c>
      <c r="I878">
        <v>51</v>
      </c>
      <c r="J878" t="s">
        <v>148</v>
      </c>
      <c r="K878" t="s">
        <v>26</v>
      </c>
      <c r="L878" t="s">
        <v>27</v>
      </c>
      <c r="M878" t="s">
        <v>56</v>
      </c>
      <c r="N878">
        <v>3.8</v>
      </c>
      <c r="O878">
        <v>1</v>
      </c>
      <c r="P878" t="s">
        <v>73</v>
      </c>
      <c r="Q878" t="s">
        <v>30</v>
      </c>
      <c r="R878" t="s">
        <v>30</v>
      </c>
      <c r="S878">
        <v>1</v>
      </c>
      <c r="T878" t="s">
        <v>89</v>
      </c>
      <c r="U878" t="s">
        <v>43</v>
      </c>
      <c r="V878" s="1">
        <v>45492</v>
      </c>
      <c r="W878">
        <f>Table1[[#This Row],[customer_purchase count]]+1</f>
        <v>2</v>
      </c>
      <c r="X878">
        <f>Table1[[#This Row],[customer_purchase count]]*Rules!$B$3</f>
        <v>59.764358974358977</v>
      </c>
      <c r="Y878" t="str">
        <f>IF(Table1[[#This Row],[customer_subscription]]=1,"Subscribed","Not Subscribed")</f>
        <v>Subscribed</v>
      </c>
    </row>
    <row r="879" spans="1:26" x14ac:dyDescent="0.25">
      <c r="A879">
        <v>878</v>
      </c>
      <c r="B879">
        <v>64</v>
      </c>
      <c r="C879" t="s">
        <v>22</v>
      </c>
      <c r="D879">
        <v>878</v>
      </c>
      <c r="E879" t="s">
        <v>69</v>
      </c>
      <c r="F879" t="s">
        <v>70</v>
      </c>
      <c r="G879">
        <v>878</v>
      </c>
      <c r="H879">
        <v>1252</v>
      </c>
      <c r="I879">
        <v>65</v>
      </c>
      <c r="J879" t="s">
        <v>148</v>
      </c>
      <c r="K879" t="s">
        <v>47</v>
      </c>
      <c r="L879" t="s">
        <v>124</v>
      </c>
      <c r="M879" t="s">
        <v>28</v>
      </c>
      <c r="N879">
        <v>4.9000000000000004</v>
      </c>
      <c r="O879">
        <v>1</v>
      </c>
      <c r="P879" t="s">
        <v>48</v>
      </c>
      <c r="Q879" t="s">
        <v>30</v>
      </c>
      <c r="R879" t="s">
        <v>30</v>
      </c>
      <c r="S879">
        <v>45</v>
      </c>
      <c r="T879" t="s">
        <v>31</v>
      </c>
      <c r="U879" t="s">
        <v>100</v>
      </c>
      <c r="V879" s="1">
        <v>45335</v>
      </c>
      <c r="W879">
        <f>Table1[[#This Row],[customer_purchase count]]+1</f>
        <v>46</v>
      </c>
      <c r="X879">
        <f>Table1[[#This Row],[customer_purchase count]]*Rules!$B$3</f>
        <v>2689.396153846154</v>
      </c>
      <c r="Y879" t="str">
        <f>IF(Table1[[#This Row],[customer_subscription]]=1,"Subscribed","Not Subscribed")</f>
        <v>Subscribed</v>
      </c>
    </row>
    <row r="880" spans="1:26" x14ac:dyDescent="0.25">
      <c r="A880">
        <v>879</v>
      </c>
      <c r="B880">
        <v>23</v>
      </c>
      <c r="C880" t="s">
        <v>22</v>
      </c>
      <c r="D880">
        <v>879</v>
      </c>
      <c r="E880" t="s">
        <v>92</v>
      </c>
      <c r="F880" t="s">
        <v>70</v>
      </c>
      <c r="G880">
        <v>879</v>
      </c>
      <c r="H880">
        <v>1253</v>
      </c>
      <c r="I880">
        <v>89</v>
      </c>
      <c r="J880" t="s">
        <v>125</v>
      </c>
      <c r="K880" t="s">
        <v>39</v>
      </c>
      <c r="L880" t="s">
        <v>97</v>
      </c>
      <c r="M880" t="s">
        <v>56</v>
      </c>
      <c r="N880">
        <v>4.9000000000000004</v>
      </c>
      <c r="O880">
        <v>1</v>
      </c>
      <c r="P880" t="s">
        <v>29</v>
      </c>
      <c r="Q880" t="s">
        <v>30</v>
      </c>
      <c r="R880" t="s">
        <v>30</v>
      </c>
      <c r="S880">
        <v>37</v>
      </c>
      <c r="T880" t="s">
        <v>89</v>
      </c>
      <c r="U880" t="s">
        <v>43</v>
      </c>
      <c r="V880" s="1">
        <v>45485</v>
      </c>
      <c r="W880">
        <f>Table1[[#This Row],[customer_purchase count]]+1</f>
        <v>38</v>
      </c>
      <c r="X880">
        <f>Table1[[#This Row],[customer_purchase count]]*Rules!$B$3</f>
        <v>2211.2812820512822</v>
      </c>
      <c r="Y880" t="str">
        <f>IF(Table1[[#This Row],[customer_subscription]]=1,"Subscribed","Not Subscribed")</f>
        <v>Subscribed</v>
      </c>
    </row>
    <row r="881" spans="1:26" x14ac:dyDescent="0.25">
      <c r="A881">
        <v>880</v>
      </c>
      <c r="B881">
        <v>62</v>
      </c>
      <c r="C881" t="s">
        <v>22</v>
      </c>
      <c r="D881">
        <v>880</v>
      </c>
      <c r="E881" t="s">
        <v>90</v>
      </c>
      <c r="F881" t="s">
        <v>24</v>
      </c>
      <c r="G881">
        <v>880</v>
      </c>
      <c r="H881">
        <v>1255</v>
      </c>
      <c r="I881">
        <v>76</v>
      </c>
      <c r="J881" t="s">
        <v>54</v>
      </c>
      <c r="K881" t="s">
        <v>39</v>
      </c>
      <c r="L881" t="s">
        <v>96</v>
      </c>
      <c r="M881" t="s">
        <v>40</v>
      </c>
      <c r="N881">
        <v>4.0999999999999996</v>
      </c>
      <c r="O881">
        <v>1</v>
      </c>
      <c r="P881" t="s">
        <v>41</v>
      </c>
      <c r="Q881" t="s">
        <v>30</v>
      </c>
      <c r="R881" t="s">
        <v>30</v>
      </c>
      <c r="S881">
        <v>14</v>
      </c>
      <c r="T881" t="s">
        <v>49</v>
      </c>
      <c r="U881" t="s">
        <v>61</v>
      </c>
      <c r="V881" s="1">
        <v>45370</v>
      </c>
      <c r="W881">
        <f>Table1[[#This Row],[customer_purchase count]]+1</f>
        <v>15</v>
      </c>
      <c r="X881">
        <f>Table1[[#This Row],[customer_purchase count]]*Rules!$B$3</f>
        <v>836.70102564102569</v>
      </c>
      <c r="Y881" t="str">
        <f>IF(Table1[[#This Row],[customer_subscription]]=1,"Subscribed","Not Subscribed")</f>
        <v>Subscribed</v>
      </c>
    </row>
    <row r="882" spans="1:26" x14ac:dyDescent="0.25">
      <c r="A882">
        <v>881</v>
      </c>
      <c r="B882">
        <v>39</v>
      </c>
      <c r="C882" t="s">
        <v>22</v>
      </c>
      <c r="D882">
        <v>881</v>
      </c>
      <c r="E882" t="s">
        <v>135</v>
      </c>
      <c r="F882" t="s">
        <v>70</v>
      </c>
      <c r="G882">
        <v>881</v>
      </c>
      <c r="H882">
        <v>1256</v>
      </c>
      <c r="I882">
        <v>75</v>
      </c>
      <c r="J882" t="s">
        <v>110</v>
      </c>
      <c r="K882" t="s">
        <v>26</v>
      </c>
      <c r="L882" t="s">
        <v>111</v>
      </c>
      <c r="M882" t="s">
        <v>40</v>
      </c>
      <c r="N882">
        <v>3.1</v>
      </c>
      <c r="O882">
        <v>1</v>
      </c>
      <c r="P882" t="s">
        <v>29</v>
      </c>
      <c r="Q882" t="s">
        <v>30</v>
      </c>
      <c r="R882" t="s">
        <v>30</v>
      </c>
      <c r="S882">
        <v>25</v>
      </c>
      <c r="T882" t="s">
        <v>89</v>
      </c>
      <c r="U882" t="s">
        <v>91</v>
      </c>
      <c r="V882" s="1">
        <v>45420</v>
      </c>
      <c r="W882">
        <f>Table1[[#This Row],[customer_purchase count]]+1</f>
        <v>26</v>
      </c>
      <c r="X882">
        <f>Table1[[#This Row],[customer_purchase count]]*Rules!$B$3</f>
        <v>1494.1089743589744</v>
      </c>
      <c r="Y882" t="str">
        <f>IF(Table1[[#This Row],[customer_subscription]]=1,"Subscribed","Not Subscribed")</f>
        <v>Subscribed</v>
      </c>
    </row>
    <row r="883" spans="1:26" x14ac:dyDescent="0.25">
      <c r="A883">
        <v>882</v>
      </c>
      <c r="B883">
        <v>52</v>
      </c>
      <c r="C883" t="s">
        <v>22</v>
      </c>
      <c r="D883">
        <v>882</v>
      </c>
      <c r="E883" t="s">
        <v>44</v>
      </c>
      <c r="F883" t="s">
        <v>45</v>
      </c>
      <c r="G883">
        <v>882</v>
      </c>
      <c r="H883">
        <v>1257</v>
      </c>
      <c r="I883">
        <v>61</v>
      </c>
      <c r="J883" t="s">
        <v>134</v>
      </c>
      <c r="K883" t="s">
        <v>47</v>
      </c>
      <c r="L883" t="s">
        <v>68</v>
      </c>
      <c r="M883" t="s">
        <v>56</v>
      </c>
      <c r="N883">
        <v>2.7</v>
      </c>
      <c r="O883">
        <v>1</v>
      </c>
      <c r="P883" t="s">
        <v>48</v>
      </c>
      <c r="Q883" t="s">
        <v>30</v>
      </c>
      <c r="R883" t="s">
        <v>30</v>
      </c>
      <c r="S883">
        <v>18</v>
      </c>
      <c r="T883" t="s">
        <v>31</v>
      </c>
      <c r="U883" t="s">
        <v>52</v>
      </c>
      <c r="V883" s="1">
        <v>45494</v>
      </c>
      <c r="W883">
        <f>Table1[[#This Row],[customer_purchase count]]+1</f>
        <v>19</v>
      </c>
      <c r="X883">
        <f>Table1[[#This Row],[customer_purchase count]]*Rules!$B$3</f>
        <v>1075.7584615384617</v>
      </c>
      <c r="Y883" t="str">
        <f>IF(Table1[[#This Row],[customer_subscription]]=1,"Subscribed","Not Subscribed")</f>
        <v>Subscribed</v>
      </c>
    </row>
    <row r="884" spans="1:26" x14ac:dyDescent="0.25">
      <c r="A884">
        <v>883</v>
      </c>
      <c r="B884">
        <v>50</v>
      </c>
      <c r="C884" t="s">
        <v>22</v>
      </c>
      <c r="D884">
        <v>883</v>
      </c>
      <c r="E884" t="s">
        <v>140</v>
      </c>
      <c r="F884" t="s">
        <v>45</v>
      </c>
      <c r="G884">
        <v>883</v>
      </c>
      <c r="H884">
        <v>1258</v>
      </c>
      <c r="I884">
        <v>35</v>
      </c>
      <c r="J884" t="s">
        <v>144</v>
      </c>
      <c r="K884" t="s">
        <v>47</v>
      </c>
      <c r="L884" t="s">
        <v>112</v>
      </c>
      <c r="M884" t="s">
        <v>60</v>
      </c>
      <c r="N884">
        <v>3.8</v>
      </c>
      <c r="O884">
        <v>1</v>
      </c>
      <c r="P884" t="s">
        <v>48</v>
      </c>
      <c r="Q884" t="s">
        <v>30</v>
      </c>
      <c r="R884" t="s">
        <v>30</v>
      </c>
      <c r="S884">
        <v>37</v>
      </c>
      <c r="T884" t="s">
        <v>36</v>
      </c>
      <c r="U884" t="s">
        <v>100</v>
      </c>
      <c r="V884" s="1">
        <v>45614</v>
      </c>
      <c r="W884">
        <f>Table1[[#This Row],[customer_purchase count]]+1</f>
        <v>38</v>
      </c>
      <c r="X884">
        <f>Table1[[#This Row],[customer_purchase count]]*Rules!$B$3</f>
        <v>2211.2812820512822</v>
      </c>
      <c r="Y884" t="str">
        <f>IF(Table1[[#This Row],[customer_subscription]]=1,"Subscribed","Not Subscribed")</f>
        <v>Subscribed</v>
      </c>
      <c r="Z884" t="s">
        <v>193</v>
      </c>
    </row>
    <row r="885" spans="1:26" x14ac:dyDescent="0.25">
      <c r="A885">
        <v>884</v>
      </c>
      <c r="B885">
        <v>28</v>
      </c>
      <c r="C885" t="s">
        <v>22</v>
      </c>
      <c r="D885">
        <v>884</v>
      </c>
      <c r="E885" t="s">
        <v>53</v>
      </c>
      <c r="F885" t="s">
        <v>45</v>
      </c>
      <c r="G885">
        <v>884</v>
      </c>
      <c r="H885">
        <v>1259</v>
      </c>
      <c r="I885">
        <v>37</v>
      </c>
      <c r="J885" t="s">
        <v>141</v>
      </c>
      <c r="K885" t="s">
        <v>39</v>
      </c>
      <c r="L885" t="s">
        <v>83</v>
      </c>
      <c r="M885" t="s">
        <v>60</v>
      </c>
      <c r="N885">
        <v>4.3</v>
      </c>
      <c r="O885">
        <v>1</v>
      </c>
      <c r="P885" t="s">
        <v>41</v>
      </c>
      <c r="Q885" t="s">
        <v>30</v>
      </c>
      <c r="R885" t="s">
        <v>30</v>
      </c>
      <c r="S885">
        <v>30</v>
      </c>
      <c r="T885" t="s">
        <v>78</v>
      </c>
      <c r="U885" t="s">
        <v>91</v>
      </c>
      <c r="V885" s="1">
        <v>45617</v>
      </c>
      <c r="W885">
        <f>Table1[[#This Row],[customer_purchase count]]+1</f>
        <v>31</v>
      </c>
      <c r="X885">
        <f>Table1[[#This Row],[customer_purchase count]]*Rules!$B$3</f>
        <v>1792.9307692307693</v>
      </c>
      <c r="Y885" t="str">
        <f>IF(Table1[[#This Row],[customer_subscription]]=1,"Subscribed","Not Subscribed")</f>
        <v>Subscribed</v>
      </c>
    </row>
    <row r="886" spans="1:26" x14ac:dyDescent="0.25">
      <c r="A886">
        <v>885</v>
      </c>
      <c r="B886">
        <v>67</v>
      </c>
      <c r="C886" t="s">
        <v>22</v>
      </c>
      <c r="D886">
        <v>885</v>
      </c>
      <c r="E886" t="s">
        <v>90</v>
      </c>
      <c r="F886" t="s">
        <v>24</v>
      </c>
      <c r="G886">
        <v>885</v>
      </c>
      <c r="H886">
        <v>1261</v>
      </c>
      <c r="I886">
        <v>91</v>
      </c>
      <c r="J886" t="s">
        <v>80</v>
      </c>
      <c r="K886" t="s">
        <v>26</v>
      </c>
      <c r="L886" t="s">
        <v>137</v>
      </c>
      <c r="M886" t="s">
        <v>28</v>
      </c>
      <c r="N886">
        <v>4.0999999999999996</v>
      </c>
      <c r="O886">
        <v>1</v>
      </c>
      <c r="P886" t="s">
        <v>29</v>
      </c>
      <c r="Q886" t="s">
        <v>30</v>
      </c>
      <c r="R886" t="s">
        <v>30</v>
      </c>
      <c r="S886">
        <v>34</v>
      </c>
      <c r="T886" t="s">
        <v>78</v>
      </c>
      <c r="U886" t="s">
        <v>43</v>
      </c>
      <c r="V886" s="1">
        <v>45347</v>
      </c>
      <c r="W886">
        <f>Table1[[#This Row],[customer_purchase count]]+1</f>
        <v>35</v>
      </c>
      <c r="X886">
        <f>Table1[[#This Row],[customer_purchase count]]*Rules!$B$3</f>
        <v>2031.9882051282052</v>
      </c>
      <c r="Y886" t="str">
        <f>IF(Table1[[#This Row],[customer_subscription]]=1,"Subscribed","Not Subscribed")</f>
        <v>Subscribed</v>
      </c>
    </row>
    <row r="887" spans="1:26" x14ac:dyDescent="0.25">
      <c r="A887">
        <v>886</v>
      </c>
      <c r="B887">
        <v>41</v>
      </c>
      <c r="C887" t="s">
        <v>22</v>
      </c>
      <c r="D887">
        <v>886</v>
      </c>
      <c r="E887" t="s">
        <v>84</v>
      </c>
      <c r="F887" t="s">
        <v>24</v>
      </c>
      <c r="G887">
        <v>886</v>
      </c>
      <c r="H887">
        <v>1262</v>
      </c>
      <c r="I887">
        <v>99</v>
      </c>
      <c r="J887" t="s">
        <v>126</v>
      </c>
      <c r="K887" t="s">
        <v>26</v>
      </c>
      <c r="L887" t="s">
        <v>76</v>
      </c>
      <c r="M887" t="s">
        <v>60</v>
      </c>
      <c r="N887">
        <v>4.4000000000000004</v>
      </c>
      <c r="O887">
        <v>1</v>
      </c>
      <c r="P887" t="s">
        <v>41</v>
      </c>
      <c r="Q887" t="s">
        <v>30</v>
      </c>
      <c r="R887" t="s">
        <v>30</v>
      </c>
      <c r="S887">
        <v>49</v>
      </c>
      <c r="T887" t="s">
        <v>89</v>
      </c>
      <c r="U887" t="s">
        <v>100</v>
      </c>
      <c r="V887" s="1">
        <v>45581</v>
      </c>
      <c r="W887">
        <f>Table1[[#This Row],[customer_purchase count]]+1</f>
        <v>50</v>
      </c>
      <c r="X887">
        <f>Table1[[#This Row],[customer_purchase count]]*Rules!$B$3</f>
        <v>2928.4535897435899</v>
      </c>
      <c r="Y887" t="str">
        <f>IF(Table1[[#This Row],[customer_subscription]]=1,"Subscribed","Not Subscribed")</f>
        <v>Subscribed</v>
      </c>
      <c r="Z887" t="s">
        <v>193</v>
      </c>
    </row>
    <row r="888" spans="1:26" x14ac:dyDescent="0.25">
      <c r="A888">
        <v>887</v>
      </c>
      <c r="B888">
        <v>19</v>
      </c>
      <c r="C888" t="s">
        <v>22</v>
      </c>
      <c r="D888">
        <v>887</v>
      </c>
      <c r="E888" t="s">
        <v>62</v>
      </c>
      <c r="F888" t="s">
        <v>24</v>
      </c>
      <c r="G888">
        <v>887</v>
      </c>
      <c r="H888">
        <v>1263</v>
      </c>
      <c r="I888">
        <v>54</v>
      </c>
      <c r="J888" t="s">
        <v>143</v>
      </c>
      <c r="K888" t="s">
        <v>39</v>
      </c>
      <c r="L888" t="s">
        <v>113</v>
      </c>
      <c r="M888" t="s">
        <v>56</v>
      </c>
      <c r="N888">
        <v>3.6</v>
      </c>
      <c r="O888">
        <v>1</v>
      </c>
      <c r="P888" t="s">
        <v>29</v>
      </c>
      <c r="Q888" t="s">
        <v>30</v>
      </c>
      <c r="R888" t="s">
        <v>30</v>
      </c>
      <c r="S888">
        <v>48</v>
      </c>
      <c r="T888" t="s">
        <v>78</v>
      </c>
      <c r="U888" t="s">
        <v>91</v>
      </c>
      <c r="V888" s="1">
        <v>45464</v>
      </c>
      <c r="W888">
        <f>Table1[[#This Row],[customer_purchase count]]+1</f>
        <v>49</v>
      </c>
      <c r="X888">
        <f>Table1[[#This Row],[customer_purchase count]]*Rules!$B$3</f>
        <v>2868.689230769231</v>
      </c>
      <c r="Y888" t="str">
        <f>IF(Table1[[#This Row],[customer_subscription]]=1,"Subscribed","Not Subscribed")</f>
        <v>Subscribed</v>
      </c>
    </row>
    <row r="889" spans="1:26" x14ac:dyDescent="0.25">
      <c r="A889">
        <v>888</v>
      </c>
      <c r="B889">
        <v>70</v>
      </c>
      <c r="C889" t="s">
        <v>22</v>
      </c>
      <c r="D889">
        <v>888</v>
      </c>
      <c r="E889" t="s">
        <v>69</v>
      </c>
      <c r="F889" t="s">
        <v>70</v>
      </c>
      <c r="G889">
        <v>888</v>
      </c>
      <c r="H889">
        <v>1264</v>
      </c>
      <c r="I889">
        <v>47</v>
      </c>
      <c r="J889" t="s">
        <v>151</v>
      </c>
      <c r="K889" t="s">
        <v>26</v>
      </c>
      <c r="L889" t="s">
        <v>51</v>
      </c>
      <c r="M889" t="s">
        <v>28</v>
      </c>
      <c r="N889">
        <v>3.3</v>
      </c>
      <c r="O889">
        <v>1</v>
      </c>
      <c r="P889" t="s">
        <v>73</v>
      </c>
      <c r="Q889" t="s">
        <v>30</v>
      </c>
      <c r="R889" t="s">
        <v>30</v>
      </c>
      <c r="S889">
        <v>33</v>
      </c>
      <c r="T889" t="s">
        <v>49</v>
      </c>
      <c r="U889" t="s">
        <v>32</v>
      </c>
      <c r="V889" s="1">
        <v>45651</v>
      </c>
      <c r="W889">
        <f>Table1[[#This Row],[customer_purchase count]]+1</f>
        <v>34</v>
      </c>
      <c r="X889">
        <f>Table1[[#This Row],[customer_purchase count]]*Rules!$B$3</f>
        <v>1972.2238461538464</v>
      </c>
      <c r="Y889" t="str">
        <f>IF(Table1[[#This Row],[customer_subscription]]=1,"Subscribed","Not Subscribed")</f>
        <v>Subscribed</v>
      </c>
    </row>
    <row r="890" spans="1:26" x14ac:dyDescent="0.25">
      <c r="A890">
        <v>889</v>
      </c>
      <c r="B890">
        <v>49</v>
      </c>
      <c r="C890" t="s">
        <v>22</v>
      </c>
      <c r="D890">
        <v>889</v>
      </c>
      <c r="E890" t="s">
        <v>122</v>
      </c>
      <c r="F890" t="s">
        <v>70</v>
      </c>
      <c r="G890">
        <v>889</v>
      </c>
      <c r="H890">
        <v>1265</v>
      </c>
      <c r="I890">
        <v>77</v>
      </c>
      <c r="J890" t="s">
        <v>85</v>
      </c>
      <c r="K890" t="s">
        <v>39</v>
      </c>
      <c r="L890" t="s">
        <v>83</v>
      </c>
      <c r="M890" t="s">
        <v>40</v>
      </c>
      <c r="N890">
        <v>3.6</v>
      </c>
      <c r="O890">
        <v>1</v>
      </c>
      <c r="P890" t="s">
        <v>29</v>
      </c>
      <c r="Q890" t="s">
        <v>30</v>
      </c>
      <c r="R890" t="s">
        <v>30</v>
      </c>
      <c r="S890">
        <v>44</v>
      </c>
      <c r="T890" t="s">
        <v>36</v>
      </c>
      <c r="U890" t="s">
        <v>52</v>
      </c>
      <c r="V890" s="1">
        <v>45399</v>
      </c>
      <c r="W890">
        <f>Table1[[#This Row],[customer_purchase count]]+1</f>
        <v>45</v>
      </c>
      <c r="X890">
        <f>Table1[[#This Row],[customer_purchase count]]*Rules!$B$3</f>
        <v>2629.6317948717951</v>
      </c>
      <c r="Y890" t="str">
        <f>IF(Table1[[#This Row],[customer_subscription]]=1,"Subscribed","Not Subscribed")</f>
        <v>Subscribed</v>
      </c>
      <c r="Z890" t="s">
        <v>193</v>
      </c>
    </row>
    <row r="891" spans="1:26" x14ac:dyDescent="0.25">
      <c r="A891">
        <v>890</v>
      </c>
      <c r="B891">
        <v>59</v>
      </c>
      <c r="C891" t="s">
        <v>22</v>
      </c>
      <c r="D891">
        <v>890</v>
      </c>
      <c r="E891" t="s">
        <v>136</v>
      </c>
      <c r="F891" t="s">
        <v>70</v>
      </c>
      <c r="G891">
        <v>890</v>
      </c>
      <c r="H891">
        <v>1267</v>
      </c>
      <c r="I891">
        <v>84</v>
      </c>
      <c r="J891" t="s">
        <v>120</v>
      </c>
      <c r="K891" t="s">
        <v>39</v>
      </c>
      <c r="L891" t="s">
        <v>81</v>
      </c>
      <c r="M891" t="s">
        <v>60</v>
      </c>
      <c r="N891">
        <v>2.8</v>
      </c>
      <c r="O891">
        <v>1</v>
      </c>
      <c r="P891" t="s">
        <v>41</v>
      </c>
      <c r="Q891" t="s">
        <v>30</v>
      </c>
      <c r="R891" t="s">
        <v>30</v>
      </c>
      <c r="S891">
        <v>50</v>
      </c>
      <c r="T891" t="s">
        <v>31</v>
      </c>
      <c r="U891" t="s">
        <v>43</v>
      </c>
      <c r="V891" s="1">
        <v>45572</v>
      </c>
      <c r="W891">
        <f>Table1[[#This Row],[customer_purchase count]]+1</f>
        <v>51</v>
      </c>
      <c r="X891">
        <f>Table1[[#This Row],[customer_purchase count]]*Rules!$B$3</f>
        <v>2988.2179487179487</v>
      </c>
      <c r="Y891" t="str">
        <f>IF(Table1[[#This Row],[customer_subscription]]=1,"Subscribed","Not Subscribed")</f>
        <v>Subscribed</v>
      </c>
      <c r="Z891" t="s">
        <v>193</v>
      </c>
    </row>
    <row r="892" spans="1:26" x14ac:dyDescent="0.25">
      <c r="A892">
        <v>891</v>
      </c>
      <c r="B892">
        <v>52</v>
      </c>
      <c r="C892" t="s">
        <v>22</v>
      </c>
      <c r="D892">
        <v>891</v>
      </c>
      <c r="E892" t="s">
        <v>146</v>
      </c>
      <c r="F892" t="s">
        <v>70</v>
      </c>
      <c r="G892">
        <v>891</v>
      </c>
      <c r="H892">
        <v>1268</v>
      </c>
      <c r="I892">
        <v>51</v>
      </c>
      <c r="J892" t="s">
        <v>87</v>
      </c>
      <c r="K892" t="s">
        <v>39</v>
      </c>
      <c r="L892" t="s">
        <v>76</v>
      </c>
      <c r="M892" t="s">
        <v>40</v>
      </c>
      <c r="N892">
        <v>4.3</v>
      </c>
      <c r="O892">
        <v>1</v>
      </c>
      <c r="P892" t="s">
        <v>73</v>
      </c>
      <c r="Q892" t="s">
        <v>30</v>
      </c>
      <c r="R892" t="s">
        <v>30</v>
      </c>
      <c r="S892">
        <v>47</v>
      </c>
      <c r="T892" t="s">
        <v>42</v>
      </c>
      <c r="U892" t="s">
        <v>91</v>
      </c>
      <c r="V892" s="1">
        <v>45416</v>
      </c>
      <c r="W892">
        <f>Table1[[#This Row],[customer_purchase count]]+1</f>
        <v>48</v>
      </c>
      <c r="X892">
        <f>Table1[[#This Row],[customer_purchase count]]*Rules!$B$3</f>
        <v>2808.9248717948717</v>
      </c>
      <c r="Y892" t="str">
        <f>IF(Table1[[#This Row],[customer_subscription]]=1,"Subscribed","Not Subscribed")</f>
        <v>Subscribed</v>
      </c>
      <c r="Z892" t="s">
        <v>193</v>
      </c>
    </row>
    <row r="893" spans="1:26" x14ac:dyDescent="0.25">
      <c r="A893">
        <v>892</v>
      </c>
      <c r="B893">
        <v>20</v>
      </c>
      <c r="C893" t="s">
        <v>22</v>
      </c>
      <c r="D893">
        <v>892</v>
      </c>
      <c r="E893" t="s">
        <v>90</v>
      </c>
      <c r="F893" t="s">
        <v>24</v>
      </c>
      <c r="G893">
        <v>892</v>
      </c>
      <c r="H893">
        <v>1269</v>
      </c>
      <c r="I893">
        <v>26</v>
      </c>
      <c r="J893" t="s">
        <v>141</v>
      </c>
      <c r="K893" t="s">
        <v>39</v>
      </c>
      <c r="L893" t="s">
        <v>96</v>
      </c>
      <c r="M893" t="s">
        <v>56</v>
      </c>
      <c r="N893">
        <v>3.9</v>
      </c>
      <c r="O893">
        <v>1</v>
      </c>
      <c r="P893" t="s">
        <v>77</v>
      </c>
      <c r="Q893" t="s">
        <v>30</v>
      </c>
      <c r="R893" t="s">
        <v>30</v>
      </c>
      <c r="S893">
        <v>24</v>
      </c>
      <c r="T893" t="s">
        <v>49</v>
      </c>
      <c r="U893" t="s">
        <v>100</v>
      </c>
      <c r="V893" s="1">
        <v>45521</v>
      </c>
      <c r="W893">
        <f>Table1[[#This Row],[customer_purchase count]]+1</f>
        <v>25</v>
      </c>
      <c r="X893">
        <f>Table1[[#This Row],[customer_purchase count]]*Rules!$B$3</f>
        <v>1434.3446153846155</v>
      </c>
      <c r="Y893" t="str">
        <f>IF(Table1[[#This Row],[customer_subscription]]=1,"Subscribed","Not Subscribed")</f>
        <v>Subscribed</v>
      </c>
    </row>
    <row r="894" spans="1:26" x14ac:dyDescent="0.25">
      <c r="A894">
        <v>893</v>
      </c>
      <c r="B894">
        <v>31</v>
      </c>
      <c r="C894" t="s">
        <v>22</v>
      </c>
      <c r="D894">
        <v>893</v>
      </c>
      <c r="E894" t="s">
        <v>62</v>
      </c>
      <c r="F894" t="s">
        <v>24</v>
      </c>
      <c r="G894">
        <v>893</v>
      </c>
      <c r="H894">
        <v>1270</v>
      </c>
      <c r="I894">
        <v>64</v>
      </c>
      <c r="J894" t="s">
        <v>133</v>
      </c>
      <c r="K894" t="s">
        <v>26</v>
      </c>
      <c r="L894" t="s">
        <v>27</v>
      </c>
      <c r="M894" t="s">
        <v>56</v>
      </c>
      <c r="N894">
        <v>2.7</v>
      </c>
      <c r="O894">
        <v>1</v>
      </c>
      <c r="P894" t="s">
        <v>41</v>
      </c>
      <c r="Q894" t="s">
        <v>30</v>
      </c>
      <c r="R894" t="s">
        <v>30</v>
      </c>
      <c r="S894">
        <v>43</v>
      </c>
      <c r="T894" t="s">
        <v>89</v>
      </c>
      <c r="U894" t="s">
        <v>91</v>
      </c>
      <c r="V894" s="1">
        <v>45465</v>
      </c>
      <c r="W894">
        <f>Table1[[#This Row],[customer_purchase count]]+1</f>
        <v>44</v>
      </c>
      <c r="X894">
        <f>Table1[[#This Row],[customer_purchase count]]*Rules!$B$3</f>
        <v>2569.8674358974358</v>
      </c>
      <c r="Y894" t="str">
        <f>IF(Table1[[#This Row],[customer_subscription]]=1,"Subscribed","Not Subscribed")</f>
        <v>Subscribed</v>
      </c>
      <c r="Z894" t="s">
        <v>193</v>
      </c>
    </row>
    <row r="895" spans="1:26" x14ac:dyDescent="0.25">
      <c r="A895">
        <v>894</v>
      </c>
      <c r="B895">
        <v>33</v>
      </c>
      <c r="C895" t="s">
        <v>22</v>
      </c>
      <c r="D895">
        <v>894</v>
      </c>
      <c r="E895" t="s">
        <v>135</v>
      </c>
      <c r="F895" t="s">
        <v>70</v>
      </c>
      <c r="G895">
        <v>894</v>
      </c>
      <c r="H895">
        <v>1271</v>
      </c>
      <c r="I895">
        <v>51</v>
      </c>
      <c r="J895" t="s">
        <v>148</v>
      </c>
      <c r="K895" t="s">
        <v>47</v>
      </c>
      <c r="L895" t="s">
        <v>111</v>
      </c>
      <c r="M895" t="s">
        <v>40</v>
      </c>
      <c r="N895">
        <v>4.7</v>
      </c>
      <c r="O895">
        <v>1</v>
      </c>
      <c r="P895" t="s">
        <v>29</v>
      </c>
      <c r="Q895" t="s">
        <v>30</v>
      </c>
      <c r="R895" t="s">
        <v>30</v>
      </c>
      <c r="S895">
        <v>14</v>
      </c>
      <c r="T895" t="s">
        <v>31</v>
      </c>
      <c r="U895" t="s">
        <v>91</v>
      </c>
      <c r="V895" s="1">
        <v>45391</v>
      </c>
      <c r="W895">
        <f>Table1[[#This Row],[customer_purchase count]]+1</f>
        <v>15</v>
      </c>
      <c r="X895">
        <f>Table1[[#This Row],[customer_purchase count]]*Rules!$B$3</f>
        <v>836.70102564102569</v>
      </c>
      <c r="Y895" t="str">
        <f>IF(Table1[[#This Row],[customer_subscription]]=1,"Subscribed","Not Subscribed")</f>
        <v>Subscribed</v>
      </c>
    </row>
    <row r="896" spans="1:26" x14ac:dyDescent="0.25">
      <c r="A896">
        <v>895</v>
      </c>
      <c r="B896">
        <v>44</v>
      </c>
      <c r="C896" t="s">
        <v>22</v>
      </c>
      <c r="D896">
        <v>895</v>
      </c>
      <c r="E896" t="s">
        <v>107</v>
      </c>
      <c r="F896" t="s">
        <v>24</v>
      </c>
      <c r="G896">
        <v>895</v>
      </c>
      <c r="H896">
        <v>1273</v>
      </c>
      <c r="I896">
        <v>60</v>
      </c>
      <c r="J896" t="s">
        <v>54</v>
      </c>
      <c r="K896" t="s">
        <v>26</v>
      </c>
      <c r="L896" t="s">
        <v>76</v>
      </c>
      <c r="M896" t="s">
        <v>40</v>
      </c>
      <c r="N896">
        <v>3.8</v>
      </c>
      <c r="O896">
        <v>1</v>
      </c>
      <c r="P896" t="s">
        <v>41</v>
      </c>
      <c r="Q896" t="s">
        <v>30</v>
      </c>
      <c r="R896" t="s">
        <v>30</v>
      </c>
      <c r="S896">
        <v>3</v>
      </c>
      <c r="T896" t="s">
        <v>89</v>
      </c>
      <c r="U896" t="s">
        <v>61</v>
      </c>
      <c r="V896" s="1">
        <v>45373</v>
      </c>
      <c r="W896">
        <f>Table1[[#This Row],[customer_purchase count]]+1</f>
        <v>4</v>
      </c>
      <c r="X896">
        <f>Table1[[#This Row],[customer_purchase count]]*Rules!$B$3</f>
        <v>179.29307692307694</v>
      </c>
      <c r="Y896" t="str">
        <f>IF(Table1[[#This Row],[customer_subscription]]=1,"Subscribed","Not Subscribed")</f>
        <v>Subscribed</v>
      </c>
    </row>
    <row r="897" spans="1:26" x14ac:dyDescent="0.25">
      <c r="A897">
        <v>896</v>
      </c>
      <c r="B897">
        <v>40</v>
      </c>
      <c r="C897" t="s">
        <v>22</v>
      </c>
      <c r="D897">
        <v>896</v>
      </c>
      <c r="E897" t="s">
        <v>127</v>
      </c>
      <c r="F897" t="s">
        <v>70</v>
      </c>
      <c r="G897">
        <v>896</v>
      </c>
      <c r="H897">
        <v>1274</v>
      </c>
      <c r="I897">
        <v>69</v>
      </c>
      <c r="J897" t="s">
        <v>94</v>
      </c>
      <c r="K897" t="s">
        <v>95</v>
      </c>
      <c r="L897" t="s">
        <v>81</v>
      </c>
      <c r="M897" t="s">
        <v>40</v>
      </c>
      <c r="N897">
        <v>4.7</v>
      </c>
      <c r="O897">
        <v>1</v>
      </c>
      <c r="P897" t="s">
        <v>48</v>
      </c>
      <c r="Q897" t="s">
        <v>30</v>
      </c>
      <c r="R897" t="s">
        <v>30</v>
      </c>
      <c r="S897">
        <v>33</v>
      </c>
      <c r="T897" t="s">
        <v>89</v>
      </c>
      <c r="U897" t="s">
        <v>61</v>
      </c>
      <c r="V897" s="1">
        <v>45379</v>
      </c>
      <c r="W897">
        <f>Table1[[#This Row],[customer_purchase count]]+1</f>
        <v>34</v>
      </c>
      <c r="X897">
        <f>Table1[[#This Row],[customer_purchase count]]*Rules!$B$3</f>
        <v>1972.2238461538464</v>
      </c>
      <c r="Y897" t="str">
        <f>IF(Table1[[#This Row],[customer_subscription]]=1,"Subscribed","Not Subscribed")</f>
        <v>Subscribed</v>
      </c>
      <c r="Z897" t="s">
        <v>193</v>
      </c>
    </row>
    <row r="898" spans="1:26" x14ac:dyDescent="0.25">
      <c r="A898">
        <v>897</v>
      </c>
      <c r="B898">
        <v>69</v>
      </c>
      <c r="C898" t="s">
        <v>22</v>
      </c>
      <c r="D898">
        <v>897</v>
      </c>
      <c r="E898" t="s">
        <v>109</v>
      </c>
      <c r="F898" t="s">
        <v>70</v>
      </c>
      <c r="G898">
        <v>897</v>
      </c>
      <c r="H898">
        <v>1275</v>
      </c>
      <c r="I898">
        <v>29</v>
      </c>
      <c r="J898" t="s">
        <v>75</v>
      </c>
      <c r="K898" t="s">
        <v>47</v>
      </c>
      <c r="L898" t="s">
        <v>96</v>
      </c>
      <c r="M898" t="s">
        <v>40</v>
      </c>
      <c r="N898">
        <v>4.7</v>
      </c>
      <c r="O898">
        <v>1</v>
      </c>
      <c r="P898" t="s">
        <v>29</v>
      </c>
      <c r="Q898" t="s">
        <v>30</v>
      </c>
      <c r="R898" t="s">
        <v>30</v>
      </c>
      <c r="S898">
        <v>38</v>
      </c>
      <c r="T898" t="s">
        <v>36</v>
      </c>
      <c r="U898" t="s">
        <v>32</v>
      </c>
      <c r="V898" s="1">
        <v>45423</v>
      </c>
      <c r="W898">
        <f>Table1[[#This Row],[customer_purchase count]]+1</f>
        <v>39</v>
      </c>
      <c r="X898">
        <f>Table1[[#This Row],[customer_purchase count]]*Rules!$B$3</f>
        <v>2271.0456410256411</v>
      </c>
      <c r="Y898" t="str">
        <f>IF(Table1[[#This Row],[customer_subscription]]=1,"Subscribed","Not Subscribed")</f>
        <v>Subscribed</v>
      </c>
    </row>
    <row r="899" spans="1:26" x14ac:dyDescent="0.25">
      <c r="A899">
        <v>898</v>
      </c>
      <c r="B899">
        <v>29</v>
      </c>
      <c r="C899" t="s">
        <v>22</v>
      </c>
      <c r="D899">
        <v>898</v>
      </c>
      <c r="E899" t="s">
        <v>58</v>
      </c>
      <c r="F899" t="s">
        <v>24</v>
      </c>
      <c r="G899">
        <v>898</v>
      </c>
      <c r="H899">
        <v>1276</v>
      </c>
      <c r="I899">
        <v>91</v>
      </c>
      <c r="J899" t="s">
        <v>118</v>
      </c>
      <c r="K899" t="s">
        <v>47</v>
      </c>
      <c r="L899" t="s">
        <v>27</v>
      </c>
      <c r="M899" t="s">
        <v>40</v>
      </c>
      <c r="N899">
        <v>3.4</v>
      </c>
      <c r="O899">
        <v>1</v>
      </c>
      <c r="P899" t="s">
        <v>29</v>
      </c>
      <c r="Q899" t="s">
        <v>30</v>
      </c>
      <c r="R899" t="s">
        <v>30</v>
      </c>
      <c r="S899">
        <v>46</v>
      </c>
      <c r="T899" t="s">
        <v>31</v>
      </c>
      <c r="U899" t="s">
        <v>43</v>
      </c>
      <c r="V899" s="1">
        <v>45432</v>
      </c>
      <c r="W899">
        <f>Table1[[#This Row],[customer_purchase count]]+1</f>
        <v>47</v>
      </c>
      <c r="X899">
        <f>Table1[[#This Row],[customer_purchase count]]*Rules!$B$3</f>
        <v>2749.1605128205128</v>
      </c>
      <c r="Y899" t="str">
        <f>IF(Table1[[#This Row],[customer_subscription]]=1,"Subscribed","Not Subscribed")</f>
        <v>Subscribed</v>
      </c>
    </row>
    <row r="900" spans="1:26" x14ac:dyDescent="0.25">
      <c r="A900">
        <v>899</v>
      </c>
      <c r="B900">
        <v>54</v>
      </c>
      <c r="C900" t="s">
        <v>22</v>
      </c>
      <c r="D900">
        <v>899</v>
      </c>
      <c r="E900" t="s">
        <v>136</v>
      </c>
      <c r="F900" t="s">
        <v>70</v>
      </c>
      <c r="G900">
        <v>899</v>
      </c>
      <c r="H900">
        <v>1277</v>
      </c>
      <c r="I900">
        <v>70</v>
      </c>
      <c r="J900" t="s">
        <v>110</v>
      </c>
      <c r="K900" t="s">
        <v>26</v>
      </c>
      <c r="L900" t="s">
        <v>111</v>
      </c>
      <c r="M900" t="s">
        <v>40</v>
      </c>
      <c r="N900">
        <v>3.5</v>
      </c>
      <c r="O900">
        <v>1</v>
      </c>
      <c r="P900" t="s">
        <v>73</v>
      </c>
      <c r="Q900" t="s">
        <v>30</v>
      </c>
      <c r="R900" t="s">
        <v>30</v>
      </c>
      <c r="S900">
        <v>19</v>
      </c>
      <c r="T900" t="s">
        <v>78</v>
      </c>
      <c r="U900" t="s">
        <v>100</v>
      </c>
      <c r="V900" s="1">
        <v>45372</v>
      </c>
      <c r="W900">
        <f>Table1[[#This Row],[customer_purchase count]]+1</f>
        <v>20</v>
      </c>
      <c r="X900">
        <f>Table1[[#This Row],[customer_purchase count]]*Rules!$B$3</f>
        <v>1135.5228205128205</v>
      </c>
      <c r="Y900" t="str">
        <f>IF(Table1[[#This Row],[customer_subscription]]=1,"Subscribed","Not Subscribed")</f>
        <v>Subscribed</v>
      </c>
    </row>
    <row r="901" spans="1:26" x14ac:dyDescent="0.25">
      <c r="A901">
        <v>900</v>
      </c>
      <c r="B901">
        <v>65</v>
      </c>
      <c r="C901" t="s">
        <v>22</v>
      </c>
      <c r="D901">
        <v>900</v>
      </c>
      <c r="E901" t="s">
        <v>33</v>
      </c>
      <c r="F901" t="s">
        <v>24</v>
      </c>
      <c r="G901">
        <v>900</v>
      </c>
      <c r="H901">
        <v>1279</v>
      </c>
      <c r="I901">
        <v>58</v>
      </c>
      <c r="J901" t="s">
        <v>46</v>
      </c>
      <c r="K901" t="s">
        <v>47</v>
      </c>
      <c r="L901" t="s">
        <v>103</v>
      </c>
      <c r="M901" t="s">
        <v>56</v>
      </c>
      <c r="N901">
        <v>4</v>
      </c>
      <c r="O901">
        <v>1</v>
      </c>
      <c r="P901" t="s">
        <v>57</v>
      </c>
      <c r="Q901" t="s">
        <v>30</v>
      </c>
      <c r="R901" t="s">
        <v>30</v>
      </c>
      <c r="S901">
        <v>20</v>
      </c>
      <c r="T901" t="s">
        <v>49</v>
      </c>
      <c r="U901" t="s">
        <v>52</v>
      </c>
      <c r="V901" s="1">
        <v>45489</v>
      </c>
      <c r="W901">
        <f>Table1[[#This Row],[customer_purchase count]]+1</f>
        <v>21</v>
      </c>
      <c r="X901">
        <f>Table1[[#This Row],[customer_purchase count]]*Rules!$B$3</f>
        <v>1195.2871794871796</v>
      </c>
      <c r="Y901" t="str">
        <f>IF(Table1[[#This Row],[customer_subscription]]=1,"Subscribed","Not Subscribed")</f>
        <v>Subscribed</v>
      </c>
    </row>
    <row r="902" spans="1:26" x14ac:dyDescent="0.25">
      <c r="A902">
        <v>901</v>
      </c>
      <c r="B902">
        <v>54</v>
      </c>
      <c r="C902" t="s">
        <v>22</v>
      </c>
      <c r="D902">
        <v>901</v>
      </c>
      <c r="E902" t="s">
        <v>127</v>
      </c>
      <c r="F902" t="s">
        <v>70</v>
      </c>
      <c r="G902">
        <v>901</v>
      </c>
      <c r="H902">
        <v>1280</v>
      </c>
      <c r="I902">
        <v>98</v>
      </c>
      <c r="J902" t="s">
        <v>67</v>
      </c>
      <c r="K902" t="s">
        <v>26</v>
      </c>
      <c r="L902" t="s">
        <v>27</v>
      </c>
      <c r="M902" t="s">
        <v>60</v>
      </c>
      <c r="N902">
        <v>3.3</v>
      </c>
      <c r="O902">
        <v>1</v>
      </c>
      <c r="P902" t="s">
        <v>41</v>
      </c>
      <c r="Q902" t="s">
        <v>30</v>
      </c>
      <c r="R902" t="s">
        <v>30</v>
      </c>
      <c r="S902">
        <v>42</v>
      </c>
      <c r="T902" t="s">
        <v>78</v>
      </c>
      <c r="U902" t="s">
        <v>61</v>
      </c>
      <c r="V902" s="1">
        <v>45605</v>
      </c>
      <c r="W902">
        <f>Table1[[#This Row],[customer_purchase count]]+1</f>
        <v>43</v>
      </c>
      <c r="X902">
        <f>Table1[[#This Row],[customer_purchase count]]*Rules!$B$3</f>
        <v>2510.103076923077</v>
      </c>
      <c r="Y902" t="str">
        <f>IF(Table1[[#This Row],[customer_subscription]]=1,"Subscribed","Not Subscribed")</f>
        <v>Subscribed</v>
      </c>
      <c r="Z902" t="s">
        <v>193</v>
      </c>
    </row>
    <row r="903" spans="1:26" x14ac:dyDescent="0.25">
      <c r="A903">
        <v>902</v>
      </c>
      <c r="B903">
        <v>60</v>
      </c>
      <c r="C903" t="s">
        <v>22</v>
      </c>
      <c r="D903">
        <v>902</v>
      </c>
      <c r="E903" t="s">
        <v>122</v>
      </c>
      <c r="F903" t="s">
        <v>70</v>
      </c>
      <c r="G903">
        <v>902</v>
      </c>
      <c r="H903">
        <v>1281</v>
      </c>
      <c r="I903">
        <v>68</v>
      </c>
      <c r="J903" t="s">
        <v>71</v>
      </c>
      <c r="K903" t="s">
        <v>26</v>
      </c>
      <c r="L903" t="s">
        <v>86</v>
      </c>
      <c r="M903" t="s">
        <v>56</v>
      </c>
      <c r="N903">
        <v>4.7</v>
      </c>
      <c r="O903">
        <v>1</v>
      </c>
      <c r="P903" t="s">
        <v>73</v>
      </c>
      <c r="Q903" t="s">
        <v>30</v>
      </c>
      <c r="R903" t="s">
        <v>30</v>
      </c>
      <c r="S903">
        <v>34</v>
      </c>
      <c r="T903" t="s">
        <v>36</v>
      </c>
      <c r="U903" t="s">
        <v>91</v>
      </c>
      <c r="V903" s="1">
        <v>45456</v>
      </c>
      <c r="W903">
        <f>Table1[[#This Row],[customer_purchase count]]+1</f>
        <v>35</v>
      </c>
      <c r="X903">
        <f>Table1[[#This Row],[customer_purchase count]]*Rules!$B$3</f>
        <v>2031.9882051282052</v>
      </c>
      <c r="Y903" t="str">
        <f>IF(Table1[[#This Row],[customer_subscription]]=1,"Subscribed","Not Subscribed")</f>
        <v>Subscribed</v>
      </c>
      <c r="Z903" t="s">
        <v>193</v>
      </c>
    </row>
    <row r="904" spans="1:26" x14ac:dyDescent="0.25">
      <c r="A904">
        <v>903</v>
      </c>
      <c r="B904">
        <v>43</v>
      </c>
      <c r="C904" t="s">
        <v>22</v>
      </c>
      <c r="D904">
        <v>903</v>
      </c>
      <c r="E904" t="s">
        <v>127</v>
      </c>
      <c r="F904" t="s">
        <v>70</v>
      </c>
      <c r="G904">
        <v>903</v>
      </c>
      <c r="H904">
        <v>1282</v>
      </c>
      <c r="I904">
        <v>44</v>
      </c>
      <c r="J904" t="s">
        <v>25</v>
      </c>
      <c r="K904" t="s">
        <v>47</v>
      </c>
      <c r="L904" t="s">
        <v>121</v>
      </c>
      <c r="M904" t="s">
        <v>56</v>
      </c>
      <c r="N904">
        <v>2.8</v>
      </c>
      <c r="O904">
        <v>1</v>
      </c>
      <c r="P904" t="s">
        <v>48</v>
      </c>
      <c r="Q904" t="s">
        <v>30</v>
      </c>
      <c r="R904" t="s">
        <v>30</v>
      </c>
      <c r="S904">
        <v>5</v>
      </c>
      <c r="T904" t="s">
        <v>36</v>
      </c>
      <c r="U904" t="s">
        <v>91</v>
      </c>
      <c r="V904" s="1">
        <v>45505</v>
      </c>
      <c r="W904">
        <f>Table1[[#This Row],[customer_purchase count]]+1</f>
        <v>6</v>
      </c>
      <c r="X904">
        <f>Table1[[#This Row],[customer_purchase count]]*Rules!$B$3</f>
        <v>298.82179487179491</v>
      </c>
      <c r="Y904" t="str">
        <f>IF(Table1[[#This Row],[customer_subscription]]=1,"Subscribed","Not Subscribed")</f>
        <v>Subscribed</v>
      </c>
    </row>
    <row r="905" spans="1:26" x14ac:dyDescent="0.25">
      <c r="A905">
        <v>904</v>
      </c>
      <c r="B905">
        <v>44</v>
      </c>
      <c r="C905" t="s">
        <v>22</v>
      </c>
      <c r="D905">
        <v>904</v>
      </c>
      <c r="E905" t="s">
        <v>105</v>
      </c>
      <c r="F905" t="s">
        <v>66</v>
      </c>
      <c r="G905">
        <v>904</v>
      </c>
      <c r="H905">
        <v>1283</v>
      </c>
      <c r="I905">
        <v>45</v>
      </c>
      <c r="J905" t="s">
        <v>152</v>
      </c>
      <c r="K905" t="s">
        <v>47</v>
      </c>
      <c r="L905" t="s">
        <v>147</v>
      </c>
      <c r="M905" t="s">
        <v>28</v>
      </c>
      <c r="N905">
        <v>3.3</v>
      </c>
      <c r="O905">
        <v>1</v>
      </c>
      <c r="P905" t="s">
        <v>29</v>
      </c>
      <c r="Q905" t="s">
        <v>30</v>
      </c>
      <c r="R905" t="s">
        <v>30</v>
      </c>
      <c r="S905">
        <v>3</v>
      </c>
      <c r="T905" t="s">
        <v>49</v>
      </c>
      <c r="U905" t="s">
        <v>61</v>
      </c>
      <c r="V905" s="1">
        <v>45326</v>
      </c>
      <c r="W905">
        <f>Table1[[#This Row],[customer_purchase count]]+1</f>
        <v>4</v>
      </c>
      <c r="X905">
        <f>Table1[[#This Row],[customer_purchase count]]*Rules!$B$3</f>
        <v>179.29307692307694</v>
      </c>
      <c r="Y905" t="str">
        <f>IF(Table1[[#This Row],[customer_subscription]]=1,"Subscribed","Not Subscribed")</f>
        <v>Subscribed</v>
      </c>
    </row>
    <row r="906" spans="1:26" x14ac:dyDescent="0.25">
      <c r="A906">
        <v>905</v>
      </c>
      <c r="B906">
        <v>69</v>
      </c>
      <c r="C906" t="s">
        <v>22</v>
      </c>
      <c r="D906">
        <v>905</v>
      </c>
      <c r="E906" t="s">
        <v>116</v>
      </c>
      <c r="F906" t="s">
        <v>24</v>
      </c>
      <c r="G906">
        <v>905</v>
      </c>
      <c r="H906">
        <v>1285</v>
      </c>
      <c r="I906">
        <v>99</v>
      </c>
      <c r="J906" t="s">
        <v>123</v>
      </c>
      <c r="K906" t="s">
        <v>26</v>
      </c>
      <c r="L906" t="s">
        <v>139</v>
      </c>
      <c r="M906" t="s">
        <v>40</v>
      </c>
      <c r="N906">
        <v>2.9</v>
      </c>
      <c r="O906">
        <v>1</v>
      </c>
      <c r="P906" t="s">
        <v>41</v>
      </c>
      <c r="Q906" t="s">
        <v>30</v>
      </c>
      <c r="R906" t="s">
        <v>30</v>
      </c>
      <c r="S906">
        <v>46</v>
      </c>
      <c r="T906" t="s">
        <v>49</v>
      </c>
      <c r="U906" t="s">
        <v>100</v>
      </c>
      <c r="V906" s="1">
        <v>45404</v>
      </c>
      <c r="W906">
        <f>Table1[[#This Row],[customer_purchase count]]+1</f>
        <v>47</v>
      </c>
      <c r="X906">
        <f>Table1[[#This Row],[customer_purchase count]]*Rules!$B$3</f>
        <v>2749.1605128205128</v>
      </c>
      <c r="Y906" t="str">
        <f>IF(Table1[[#This Row],[customer_subscription]]=1,"Subscribed","Not Subscribed")</f>
        <v>Subscribed</v>
      </c>
    </row>
    <row r="907" spans="1:26" x14ac:dyDescent="0.25">
      <c r="A907">
        <v>906</v>
      </c>
      <c r="B907">
        <v>46</v>
      </c>
      <c r="C907" t="s">
        <v>22</v>
      </c>
      <c r="D907">
        <v>906</v>
      </c>
      <c r="E907" t="s">
        <v>84</v>
      </c>
      <c r="F907" t="s">
        <v>24</v>
      </c>
      <c r="G907">
        <v>906</v>
      </c>
      <c r="H907">
        <v>1286</v>
      </c>
      <c r="I907">
        <v>68</v>
      </c>
      <c r="J907" t="s">
        <v>94</v>
      </c>
      <c r="K907" t="s">
        <v>39</v>
      </c>
      <c r="L907" t="s">
        <v>112</v>
      </c>
      <c r="M907" t="s">
        <v>40</v>
      </c>
      <c r="N907">
        <v>2.8</v>
      </c>
      <c r="O907">
        <v>1</v>
      </c>
      <c r="P907" t="s">
        <v>57</v>
      </c>
      <c r="Q907" t="s">
        <v>30</v>
      </c>
      <c r="R907" t="s">
        <v>30</v>
      </c>
      <c r="S907">
        <v>16</v>
      </c>
      <c r="T907" t="s">
        <v>31</v>
      </c>
      <c r="U907" t="s">
        <v>52</v>
      </c>
      <c r="V907" s="1">
        <v>45352</v>
      </c>
      <c r="W907">
        <f>Table1[[#This Row],[customer_purchase count]]+1</f>
        <v>17</v>
      </c>
      <c r="X907">
        <f>Table1[[#This Row],[customer_purchase count]]*Rules!$B$3</f>
        <v>956.22974358974363</v>
      </c>
      <c r="Y907" t="str">
        <f>IF(Table1[[#This Row],[customer_subscription]]=1,"Subscribed","Not Subscribed")</f>
        <v>Subscribed</v>
      </c>
    </row>
    <row r="908" spans="1:26" x14ac:dyDescent="0.25">
      <c r="A908">
        <v>907</v>
      </c>
      <c r="B908">
        <v>41</v>
      </c>
      <c r="C908" t="s">
        <v>22</v>
      </c>
      <c r="D908">
        <v>907</v>
      </c>
      <c r="E908" t="s">
        <v>98</v>
      </c>
      <c r="F908" t="s">
        <v>24</v>
      </c>
      <c r="G908">
        <v>907</v>
      </c>
      <c r="H908">
        <v>1287</v>
      </c>
      <c r="I908">
        <v>56</v>
      </c>
      <c r="J908" t="s">
        <v>134</v>
      </c>
      <c r="K908" t="s">
        <v>47</v>
      </c>
      <c r="L908" t="s">
        <v>111</v>
      </c>
      <c r="M908" t="s">
        <v>40</v>
      </c>
      <c r="N908">
        <v>4.2</v>
      </c>
      <c r="O908">
        <v>1</v>
      </c>
      <c r="P908" t="s">
        <v>57</v>
      </c>
      <c r="Q908" t="s">
        <v>30</v>
      </c>
      <c r="R908" t="s">
        <v>30</v>
      </c>
      <c r="S908">
        <v>21</v>
      </c>
      <c r="T908" t="s">
        <v>89</v>
      </c>
      <c r="U908" t="s">
        <v>79</v>
      </c>
      <c r="V908" s="1">
        <v>45420</v>
      </c>
      <c r="W908">
        <f>Table1[[#This Row],[customer_purchase count]]+1</f>
        <v>22</v>
      </c>
      <c r="X908">
        <f>Table1[[#This Row],[customer_purchase count]]*Rules!$B$3</f>
        <v>1255.0515384615385</v>
      </c>
      <c r="Y908" t="str">
        <f>IF(Table1[[#This Row],[customer_subscription]]=1,"Subscribed","Not Subscribed")</f>
        <v>Subscribed</v>
      </c>
    </row>
    <row r="909" spans="1:26" x14ac:dyDescent="0.25">
      <c r="A909">
        <v>908</v>
      </c>
      <c r="B909">
        <v>32</v>
      </c>
      <c r="C909" t="s">
        <v>22</v>
      </c>
      <c r="D909">
        <v>908</v>
      </c>
      <c r="E909" t="s">
        <v>33</v>
      </c>
      <c r="F909" t="s">
        <v>24</v>
      </c>
      <c r="G909">
        <v>908</v>
      </c>
      <c r="H909">
        <v>1288</v>
      </c>
      <c r="I909">
        <v>43</v>
      </c>
      <c r="J909" t="s">
        <v>71</v>
      </c>
      <c r="K909" t="s">
        <v>26</v>
      </c>
      <c r="L909" t="s">
        <v>112</v>
      </c>
      <c r="M909" t="s">
        <v>28</v>
      </c>
      <c r="N909">
        <v>4.4000000000000004</v>
      </c>
      <c r="O909">
        <v>1</v>
      </c>
      <c r="P909" t="s">
        <v>29</v>
      </c>
      <c r="Q909" t="s">
        <v>30</v>
      </c>
      <c r="R909" t="s">
        <v>30</v>
      </c>
      <c r="S909">
        <v>34</v>
      </c>
      <c r="T909" t="s">
        <v>42</v>
      </c>
      <c r="U909" t="s">
        <v>79</v>
      </c>
      <c r="V909" s="1">
        <v>45332</v>
      </c>
      <c r="W909">
        <f>Table1[[#This Row],[customer_purchase count]]+1</f>
        <v>35</v>
      </c>
      <c r="X909">
        <f>Table1[[#This Row],[customer_purchase count]]*Rules!$B$3</f>
        <v>2031.9882051282052</v>
      </c>
      <c r="Y909" t="str">
        <f>IF(Table1[[#This Row],[customer_subscription]]=1,"Subscribed","Not Subscribed")</f>
        <v>Subscribed</v>
      </c>
      <c r="Z909" t="s">
        <v>193</v>
      </c>
    </row>
    <row r="910" spans="1:26" x14ac:dyDescent="0.25">
      <c r="A910">
        <v>909</v>
      </c>
      <c r="B910">
        <v>26</v>
      </c>
      <c r="C910" t="s">
        <v>22</v>
      </c>
      <c r="D910">
        <v>909</v>
      </c>
      <c r="E910" t="s">
        <v>92</v>
      </c>
      <c r="F910" t="s">
        <v>70</v>
      </c>
      <c r="G910">
        <v>909</v>
      </c>
      <c r="H910">
        <v>1289</v>
      </c>
      <c r="I910">
        <v>99</v>
      </c>
      <c r="J910" t="s">
        <v>130</v>
      </c>
      <c r="K910" t="s">
        <v>47</v>
      </c>
      <c r="L910" t="s">
        <v>51</v>
      </c>
      <c r="M910" t="s">
        <v>28</v>
      </c>
      <c r="N910">
        <v>3.6</v>
      </c>
      <c r="O910">
        <v>1</v>
      </c>
      <c r="P910" t="s">
        <v>41</v>
      </c>
      <c r="Q910" t="s">
        <v>30</v>
      </c>
      <c r="R910" t="s">
        <v>30</v>
      </c>
      <c r="S910">
        <v>9</v>
      </c>
      <c r="T910" t="s">
        <v>49</v>
      </c>
      <c r="U910" t="s">
        <v>100</v>
      </c>
      <c r="V910" s="1">
        <v>45646</v>
      </c>
      <c r="W910">
        <f>Table1[[#This Row],[customer_purchase count]]+1</f>
        <v>10</v>
      </c>
      <c r="X910">
        <f>Table1[[#This Row],[customer_purchase count]]*Rules!$B$3</f>
        <v>537.87923076923084</v>
      </c>
      <c r="Y910" t="str">
        <f>IF(Table1[[#This Row],[customer_subscription]]=1,"Subscribed","Not Subscribed")</f>
        <v>Subscribed</v>
      </c>
      <c r="Z910" t="s">
        <v>187</v>
      </c>
    </row>
    <row r="911" spans="1:26" x14ac:dyDescent="0.25">
      <c r="A911">
        <v>910</v>
      </c>
      <c r="B911">
        <v>61</v>
      </c>
      <c r="C911" t="s">
        <v>22</v>
      </c>
      <c r="D911">
        <v>910</v>
      </c>
      <c r="E911" t="s">
        <v>136</v>
      </c>
      <c r="F911" t="s">
        <v>70</v>
      </c>
      <c r="G911">
        <v>910</v>
      </c>
      <c r="H911">
        <v>1291</v>
      </c>
      <c r="I911">
        <v>56</v>
      </c>
      <c r="J911" t="s">
        <v>63</v>
      </c>
      <c r="K911" t="s">
        <v>26</v>
      </c>
      <c r="L911" t="s">
        <v>68</v>
      </c>
      <c r="M911" t="s">
        <v>60</v>
      </c>
      <c r="N911">
        <v>2.7</v>
      </c>
      <c r="O911">
        <v>1</v>
      </c>
      <c r="P911" t="s">
        <v>29</v>
      </c>
      <c r="Q911" t="s">
        <v>30</v>
      </c>
      <c r="R911" t="s">
        <v>30</v>
      </c>
      <c r="S911">
        <v>36</v>
      </c>
      <c r="T911" t="s">
        <v>49</v>
      </c>
      <c r="U911" t="s">
        <v>43</v>
      </c>
      <c r="V911" s="1">
        <v>45617</v>
      </c>
      <c r="W911">
        <f>Table1[[#This Row],[customer_purchase count]]+1</f>
        <v>37</v>
      </c>
      <c r="X911">
        <f>Table1[[#This Row],[customer_purchase count]]*Rules!$B$3</f>
        <v>2151.5169230769234</v>
      </c>
      <c r="Y911" t="str">
        <f>IF(Table1[[#This Row],[customer_subscription]]=1,"Subscribed","Not Subscribed")</f>
        <v>Subscribed</v>
      </c>
    </row>
    <row r="912" spans="1:26" x14ac:dyDescent="0.25">
      <c r="A912">
        <v>911</v>
      </c>
      <c r="B912">
        <v>49</v>
      </c>
      <c r="C912" t="s">
        <v>22</v>
      </c>
      <c r="D912">
        <v>911</v>
      </c>
      <c r="E912" t="s">
        <v>107</v>
      </c>
      <c r="F912" t="s">
        <v>24</v>
      </c>
      <c r="G912">
        <v>911</v>
      </c>
      <c r="H912">
        <v>1292</v>
      </c>
      <c r="I912">
        <v>25</v>
      </c>
      <c r="J912" t="s">
        <v>134</v>
      </c>
      <c r="K912" t="s">
        <v>39</v>
      </c>
      <c r="L912" t="s">
        <v>72</v>
      </c>
      <c r="M912" t="s">
        <v>40</v>
      </c>
      <c r="N912">
        <v>3.4</v>
      </c>
      <c r="O912">
        <v>1</v>
      </c>
      <c r="P912" t="s">
        <v>29</v>
      </c>
      <c r="Q912" t="s">
        <v>30</v>
      </c>
      <c r="R912" t="s">
        <v>30</v>
      </c>
      <c r="S912">
        <v>22</v>
      </c>
      <c r="T912" t="s">
        <v>42</v>
      </c>
      <c r="U912" t="s">
        <v>91</v>
      </c>
      <c r="V912" s="1">
        <v>45390</v>
      </c>
      <c r="W912">
        <f>Table1[[#This Row],[customer_purchase count]]+1</f>
        <v>23</v>
      </c>
      <c r="X912">
        <f>Table1[[#This Row],[customer_purchase count]]*Rules!$B$3</f>
        <v>1314.8158974358976</v>
      </c>
      <c r="Y912" t="str">
        <f>IF(Table1[[#This Row],[customer_subscription]]=1,"Subscribed","Not Subscribed")</f>
        <v>Subscribed</v>
      </c>
    </row>
    <row r="913" spans="1:26" x14ac:dyDescent="0.25">
      <c r="A913">
        <v>912</v>
      </c>
      <c r="B913">
        <v>53</v>
      </c>
      <c r="C913" t="s">
        <v>22</v>
      </c>
      <c r="D913">
        <v>912</v>
      </c>
      <c r="E913" t="s">
        <v>98</v>
      </c>
      <c r="F913" t="s">
        <v>24</v>
      </c>
      <c r="G913">
        <v>912</v>
      </c>
      <c r="H913">
        <v>1293</v>
      </c>
      <c r="I913">
        <v>74</v>
      </c>
      <c r="J913" t="s">
        <v>132</v>
      </c>
      <c r="K913" t="s">
        <v>47</v>
      </c>
      <c r="L913" t="s">
        <v>97</v>
      </c>
      <c r="M913" t="s">
        <v>28</v>
      </c>
      <c r="N913">
        <v>2.8</v>
      </c>
      <c r="O913">
        <v>1</v>
      </c>
      <c r="P913" t="s">
        <v>73</v>
      </c>
      <c r="Q913" t="s">
        <v>30</v>
      </c>
      <c r="R913" t="s">
        <v>30</v>
      </c>
      <c r="S913">
        <v>2</v>
      </c>
      <c r="T913" t="s">
        <v>78</v>
      </c>
      <c r="U913" t="s">
        <v>61</v>
      </c>
      <c r="V913" s="1">
        <v>45292</v>
      </c>
      <c r="W913">
        <f>Table1[[#This Row],[customer_purchase count]]+1</f>
        <v>3</v>
      </c>
      <c r="X913">
        <f>Table1[[#This Row],[customer_purchase count]]*Rules!$B$3</f>
        <v>119.52871794871795</v>
      </c>
      <c r="Y913" t="str">
        <f>IF(Table1[[#This Row],[customer_subscription]]=1,"Subscribed","Not Subscribed")</f>
        <v>Subscribed</v>
      </c>
    </row>
    <row r="914" spans="1:26" x14ac:dyDescent="0.25">
      <c r="A914">
        <v>913</v>
      </c>
      <c r="B914">
        <v>24</v>
      </c>
      <c r="C914" t="s">
        <v>22</v>
      </c>
      <c r="D914">
        <v>913</v>
      </c>
      <c r="E914" t="s">
        <v>107</v>
      </c>
      <c r="F914" t="s">
        <v>24</v>
      </c>
      <c r="G914">
        <v>913</v>
      </c>
      <c r="H914">
        <v>1294</v>
      </c>
      <c r="I914">
        <v>56</v>
      </c>
      <c r="J914" t="s">
        <v>75</v>
      </c>
      <c r="K914" t="s">
        <v>47</v>
      </c>
      <c r="L914" t="s">
        <v>99</v>
      </c>
      <c r="M914" t="s">
        <v>28</v>
      </c>
      <c r="N914">
        <v>3.4</v>
      </c>
      <c r="O914">
        <v>1</v>
      </c>
      <c r="P914" t="s">
        <v>48</v>
      </c>
      <c r="Q914" t="s">
        <v>30</v>
      </c>
      <c r="R914" t="s">
        <v>30</v>
      </c>
      <c r="S914">
        <v>32</v>
      </c>
      <c r="T914" t="s">
        <v>78</v>
      </c>
      <c r="U914" t="s">
        <v>91</v>
      </c>
      <c r="V914" s="1">
        <v>45333</v>
      </c>
      <c r="W914">
        <f>Table1[[#This Row],[customer_purchase count]]+1</f>
        <v>33</v>
      </c>
      <c r="X914">
        <f>Table1[[#This Row],[customer_purchase count]]*Rules!$B$3</f>
        <v>1912.4594871794873</v>
      </c>
      <c r="Y914" t="str">
        <f>IF(Table1[[#This Row],[customer_subscription]]=1,"Subscribed","Not Subscribed")</f>
        <v>Subscribed</v>
      </c>
    </row>
    <row r="915" spans="1:26" x14ac:dyDescent="0.25">
      <c r="A915">
        <v>914</v>
      </c>
      <c r="B915">
        <v>37</v>
      </c>
      <c r="C915" t="s">
        <v>22</v>
      </c>
      <c r="D915">
        <v>914</v>
      </c>
      <c r="E915" t="s">
        <v>53</v>
      </c>
      <c r="F915" t="s">
        <v>45</v>
      </c>
      <c r="G915">
        <v>914</v>
      </c>
      <c r="H915">
        <v>1295</v>
      </c>
      <c r="I915">
        <v>47</v>
      </c>
      <c r="J915" t="s">
        <v>143</v>
      </c>
      <c r="K915" t="s">
        <v>47</v>
      </c>
      <c r="L915" t="s">
        <v>137</v>
      </c>
      <c r="M915" t="s">
        <v>60</v>
      </c>
      <c r="N915">
        <v>2.6</v>
      </c>
      <c r="O915">
        <v>1</v>
      </c>
      <c r="P915" t="s">
        <v>48</v>
      </c>
      <c r="Q915" t="s">
        <v>30</v>
      </c>
      <c r="R915" t="s">
        <v>30</v>
      </c>
      <c r="S915">
        <v>29</v>
      </c>
      <c r="T915" t="s">
        <v>36</v>
      </c>
      <c r="U915" t="s">
        <v>100</v>
      </c>
      <c r="V915" s="1">
        <v>45583</v>
      </c>
      <c r="W915">
        <f>Table1[[#This Row],[customer_purchase count]]+1</f>
        <v>30</v>
      </c>
      <c r="X915">
        <f>Table1[[#This Row],[customer_purchase count]]*Rules!$B$3</f>
        <v>1733.1664102564102</v>
      </c>
      <c r="Y915" t="str">
        <f>IF(Table1[[#This Row],[customer_subscription]]=1,"Subscribed","Not Subscribed")</f>
        <v>Subscribed</v>
      </c>
    </row>
    <row r="916" spans="1:26" x14ac:dyDescent="0.25">
      <c r="A916">
        <v>915</v>
      </c>
      <c r="B916">
        <v>43</v>
      </c>
      <c r="C916" t="s">
        <v>22</v>
      </c>
      <c r="D916">
        <v>915</v>
      </c>
      <c r="E916" t="s">
        <v>84</v>
      </c>
      <c r="F916" t="s">
        <v>24</v>
      </c>
      <c r="G916">
        <v>915</v>
      </c>
      <c r="H916">
        <v>1297</v>
      </c>
      <c r="I916">
        <v>67</v>
      </c>
      <c r="J916" t="s">
        <v>152</v>
      </c>
      <c r="K916" t="s">
        <v>26</v>
      </c>
      <c r="L916" t="s">
        <v>76</v>
      </c>
      <c r="M916" t="s">
        <v>56</v>
      </c>
      <c r="N916">
        <v>4.0999999999999996</v>
      </c>
      <c r="O916">
        <v>1</v>
      </c>
      <c r="P916" t="s">
        <v>57</v>
      </c>
      <c r="Q916" t="s">
        <v>30</v>
      </c>
      <c r="R916" t="s">
        <v>30</v>
      </c>
      <c r="S916">
        <v>27</v>
      </c>
      <c r="T916" t="s">
        <v>31</v>
      </c>
      <c r="U916" t="s">
        <v>100</v>
      </c>
      <c r="V916" s="1">
        <v>45487</v>
      </c>
      <c r="W916">
        <f>Table1[[#This Row],[customer_purchase count]]+1</f>
        <v>28</v>
      </c>
      <c r="X916">
        <f>Table1[[#This Row],[customer_purchase count]]*Rules!$B$3</f>
        <v>1613.6376923076923</v>
      </c>
      <c r="Y916" t="str">
        <f>IF(Table1[[#This Row],[customer_subscription]]=1,"Subscribed","Not Subscribed")</f>
        <v>Subscribed</v>
      </c>
    </row>
    <row r="917" spans="1:26" x14ac:dyDescent="0.25">
      <c r="A917">
        <v>916</v>
      </c>
      <c r="B917">
        <v>31</v>
      </c>
      <c r="C917" t="s">
        <v>22</v>
      </c>
      <c r="D917">
        <v>916</v>
      </c>
      <c r="E917" t="s">
        <v>84</v>
      </c>
      <c r="F917" t="s">
        <v>24</v>
      </c>
      <c r="G917">
        <v>916</v>
      </c>
      <c r="H917">
        <v>1298</v>
      </c>
      <c r="I917">
        <v>22</v>
      </c>
      <c r="J917" t="s">
        <v>46</v>
      </c>
      <c r="K917" t="s">
        <v>26</v>
      </c>
      <c r="L917" t="s">
        <v>76</v>
      </c>
      <c r="M917" t="s">
        <v>28</v>
      </c>
      <c r="N917">
        <v>2.9</v>
      </c>
      <c r="O917">
        <v>1</v>
      </c>
      <c r="P917" t="s">
        <v>77</v>
      </c>
      <c r="Q917" t="s">
        <v>30</v>
      </c>
      <c r="R917" t="s">
        <v>30</v>
      </c>
      <c r="S917">
        <v>33</v>
      </c>
      <c r="T917" t="s">
        <v>42</v>
      </c>
      <c r="U917" t="s">
        <v>32</v>
      </c>
      <c r="V917" s="1">
        <v>45293</v>
      </c>
      <c r="W917">
        <f>Table1[[#This Row],[customer_purchase count]]+1</f>
        <v>34</v>
      </c>
      <c r="X917">
        <f>Table1[[#This Row],[customer_purchase count]]*Rules!$B$3</f>
        <v>1972.2238461538464</v>
      </c>
      <c r="Y917" t="str">
        <f>IF(Table1[[#This Row],[customer_subscription]]=1,"Subscribed","Not Subscribed")</f>
        <v>Subscribed</v>
      </c>
      <c r="Z917" t="s">
        <v>193</v>
      </c>
    </row>
    <row r="918" spans="1:26" x14ac:dyDescent="0.25">
      <c r="A918">
        <v>917</v>
      </c>
      <c r="B918">
        <v>49</v>
      </c>
      <c r="C918" t="s">
        <v>22</v>
      </c>
      <c r="D918">
        <v>917</v>
      </c>
      <c r="E918" t="s">
        <v>37</v>
      </c>
      <c r="F918" t="s">
        <v>24</v>
      </c>
      <c r="G918">
        <v>917</v>
      </c>
      <c r="H918">
        <v>1299</v>
      </c>
      <c r="I918">
        <v>34</v>
      </c>
      <c r="J918" t="s">
        <v>118</v>
      </c>
      <c r="K918" t="s">
        <v>39</v>
      </c>
      <c r="L918" t="s">
        <v>147</v>
      </c>
      <c r="M918" t="s">
        <v>40</v>
      </c>
      <c r="N918">
        <v>2.7</v>
      </c>
      <c r="O918">
        <v>1</v>
      </c>
      <c r="P918" t="s">
        <v>57</v>
      </c>
      <c r="Q918" t="s">
        <v>30</v>
      </c>
      <c r="R918" t="s">
        <v>30</v>
      </c>
      <c r="S918">
        <v>16</v>
      </c>
      <c r="T918" t="s">
        <v>31</v>
      </c>
      <c r="U918" t="s">
        <v>91</v>
      </c>
      <c r="V918" s="1">
        <v>45402</v>
      </c>
      <c r="W918">
        <f>Table1[[#This Row],[customer_purchase count]]+1</f>
        <v>17</v>
      </c>
      <c r="X918">
        <f>Table1[[#This Row],[customer_purchase count]]*Rules!$B$3</f>
        <v>956.22974358974363</v>
      </c>
      <c r="Y918" t="str">
        <f>IF(Table1[[#This Row],[customer_subscription]]=1,"Subscribed","Not Subscribed")</f>
        <v>Subscribed</v>
      </c>
    </row>
    <row r="919" spans="1:26" x14ac:dyDescent="0.25">
      <c r="A919">
        <v>918</v>
      </c>
      <c r="B919">
        <v>69</v>
      </c>
      <c r="C919" t="s">
        <v>22</v>
      </c>
      <c r="D919">
        <v>918</v>
      </c>
      <c r="E919" t="s">
        <v>33</v>
      </c>
      <c r="F919" t="s">
        <v>24</v>
      </c>
      <c r="G919">
        <v>918</v>
      </c>
      <c r="H919">
        <v>1300</v>
      </c>
      <c r="I919">
        <v>64</v>
      </c>
      <c r="J919" t="s">
        <v>71</v>
      </c>
      <c r="K919" t="s">
        <v>47</v>
      </c>
      <c r="L919" t="s">
        <v>35</v>
      </c>
      <c r="M919" t="s">
        <v>40</v>
      </c>
      <c r="N919">
        <v>3.7</v>
      </c>
      <c r="O919">
        <v>1</v>
      </c>
      <c r="P919" t="s">
        <v>57</v>
      </c>
      <c r="Q919" t="s">
        <v>30</v>
      </c>
      <c r="R919" t="s">
        <v>30</v>
      </c>
      <c r="S919">
        <v>11</v>
      </c>
      <c r="T919" t="s">
        <v>78</v>
      </c>
      <c r="U919" t="s">
        <v>61</v>
      </c>
      <c r="V919" s="1">
        <v>45422</v>
      </c>
      <c r="W919">
        <f>Table1[[#This Row],[customer_purchase count]]+1</f>
        <v>12</v>
      </c>
      <c r="X919">
        <f>Table1[[#This Row],[customer_purchase count]]*Rules!$B$3</f>
        <v>657.40794871794878</v>
      </c>
      <c r="Y919" t="str">
        <f>IF(Table1[[#This Row],[customer_subscription]]=1,"Subscribed","Not Subscribed")</f>
        <v>Subscribed</v>
      </c>
    </row>
    <row r="920" spans="1:26" x14ac:dyDescent="0.25">
      <c r="A920">
        <v>919</v>
      </c>
      <c r="B920">
        <v>65</v>
      </c>
      <c r="C920" t="s">
        <v>22</v>
      </c>
      <c r="D920">
        <v>919</v>
      </c>
      <c r="E920" t="s">
        <v>62</v>
      </c>
      <c r="F920" t="s">
        <v>24</v>
      </c>
      <c r="G920">
        <v>919</v>
      </c>
      <c r="H920">
        <v>1301</v>
      </c>
      <c r="I920">
        <v>42</v>
      </c>
      <c r="J920" t="s">
        <v>101</v>
      </c>
      <c r="K920" t="s">
        <v>47</v>
      </c>
      <c r="L920" t="s">
        <v>124</v>
      </c>
      <c r="M920" t="s">
        <v>40</v>
      </c>
      <c r="N920">
        <v>4.3</v>
      </c>
      <c r="O920">
        <v>1</v>
      </c>
      <c r="P920" t="s">
        <v>73</v>
      </c>
      <c r="Q920" t="s">
        <v>30</v>
      </c>
      <c r="R920" t="s">
        <v>30</v>
      </c>
      <c r="S920">
        <v>11</v>
      </c>
      <c r="T920" t="s">
        <v>36</v>
      </c>
      <c r="U920" t="s">
        <v>32</v>
      </c>
      <c r="V920" s="1">
        <v>45429</v>
      </c>
      <c r="W920">
        <f>Table1[[#This Row],[customer_purchase count]]+1</f>
        <v>12</v>
      </c>
      <c r="X920">
        <f>Table1[[#This Row],[customer_purchase count]]*Rules!$B$3</f>
        <v>657.40794871794878</v>
      </c>
      <c r="Y920" t="str">
        <f>IF(Table1[[#This Row],[customer_subscription]]=1,"Subscribed","Not Subscribed")</f>
        <v>Subscribed</v>
      </c>
    </row>
    <row r="921" spans="1:26" x14ac:dyDescent="0.25">
      <c r="A921">
        <v>920</v>
      </c>
      <c r="B921">
        <v>41</v>
      </c>
      <c r="C921" t="s">
        <v>22</v>
      </c>
      <c r="D921">
        <v>920</v>
      </c>
      <c r="E921" t="s">
        <v>58</v>
      </c>
      <c r="F921" t="s">
        <v>24</v>
      </c>
      <c r="G921">
        <v>920</v>
      </c>
      <c r="H921">
        <v>1303</v>
      </c>
      <c r="I921">
        <v>82</v>
      </c>
      <c r="J921" t="s">
        <v>38</v>
      </c>
      <c r="K921" t="s">
        <v>26</v>
      </c>
      <c r="L921" t="s">
        <v>99</v>
      </c>
      <c r="M921" t="s">
        <v>28</v>
      </c>
      <c r="N921">
        <v>2.6</v>
      </c>
      <c r="O921">
        <v>1</v>
      </c>
      <c r="P921" t="s">
        <v>73</v>
      </c>
      <c r="Q921" t="s">
        <v>30</v>
      </c>
      <c r="R921" t="s">
        <v>30</v>
      </c>
      <c r="S921">
        <v>17</v>
      </c>
      <c r="T921" t="s">
        <v>89</v>
      </c>
      <c r="U921" t="s">
        <v>79</v>
      </c>
      <c r="V921" s="1">
        <v>45317</v>
      </c>
      <c r="W921">
        <f>Table1[[#This Row],[customer_purchase count]]+1</f>
        <v>18</v>
      </c>
      <c r="X921">
        <f>Table1[[#This Row],[customer_purchase count]]*Rules!$B$3</f>
        <v>1015.9941025641026</v>
      </c>
      <c r="Y921" t="str">
        <f>IF(Table1[[#This Row],[customer_subscription]]=1,"Subscribed","Not Subscribed")</f>
        <v>Subscribed</v>
      </c>
    </row>
    <row r="922" spans="1:26" x14ac:dyDescent="0.25">
      <c r="A922">
        <v>921</v>
      </c>
      <c r="B922">
        <v>37</v>
      </c>
      <c r="C922" t="s">
        <v>22</v>
      </c>
      <c r="D922">
        <v>921</v>
      </c>
      <c r="E922" t="s">
        <v>136</v>
      </c>
      <c r="F922" t="s">
        <v>70</v>
      </c>
      <c r="G922">
        <v>921</v>
      </c>
      <c r="H922">
        <v>1304</v>
      </c>
      <c r="I922">
        <v>81</v>
      </c>
      <c r="J922" t="s">
        <v>75</v>
      </c>
      <c r="K922" t="s">
        <v>95</v>
      </c>
      <c r="L922" t="s">
        <v>83</v>
      </c>
      <c r="M922" t="s">
        <v>56</v>
      </c>
      <c r="N922">
        <v>4.3</v>
      </c>
      <c r="O922">
        <v>1</v>
      </c>
      <c r="P922" t="s">
        <v>41</v>
      </c>
      <c r="Q922" t="s">
        <v>30</v>
      </c>
      <c r="R922" t="s">
        <v>30</v>
      </c>
      <c r="S922">
        <v>37</v>
      </c>
      <c r="T922" t="s">
        <v>36</v>
      </c>
      <c r="U922" t="s">
        <v>43</v>
      </c>
      <c r="V922" s="1">
        <v>45495</v>
      </c>
      <c r="W922">
        <f>Table1[[#This Row],[customer_purchase count]]+1</f>
        <v>38</v>
      </c>
      <c r="X922">
        <f>Table1[[#This Row],[customer_purchase count]]*Rules!$B$3</f>
        <v>2211.2812820512822</v>
      </c>
      <c r="Y922" t="str">
        <f>IF(Table1[[#This Row],[customer_subscription]]=1,"Subscribed","Not Subscribed")</f>
        <v>Subscribed</v>
      </c>
      <c r="Z922" t="s">
        <v>193</v>
      </c>
    </row>
    <row r="923" spans="1:26" x14ac:dyDescent="0.25">
      <c r="A923">
        <v>922</v>
      </c>
      <c r="B923">
        <v>70</v>
      </c>
      <c r="C923" t="s">
        <v>22</v>
      </c>
      <c r="D923">
        <v>922</v>
      </c>
      <c r="E923" t="s">
        <v>65</v>
      </c>
      <c r="F923" t="s">
        <v>66</v>
      </c>
      <c r="G923">
        <v>922</v>
      </c>
      <c r="H923">
        <v>1305</v>
      </c>
      <c r="I923">
        <v>24</v>
      </c>
      <c r="J923" t="s">
        <v>150</v>
      </c>
      <c r="K923" t="s">
        <v>26</v>
      </c>
      <c r="L923" t="s">
        <v>68</v>
      </c>
      <c r="M923" t="s">
        <v>56</v>
      </c>
      <c r="N923">
        <v>4.0999999999999996</v>
      </c>
      <c r="O923">
        <v>1</v>
      </c>
      <c r="P923" t="s">
        <v>29</v>
      </c>
      <c r="Q923" t="s">
        <v>30</v>
      </c>
      <c r="R923" t="s">
        <v>30</v>
      </c>
      <c r="S923">
        <v>18</v>
      </c>
      <c r="T923" t="s">
        <v>49</v>
      </c>
      <c r="U923" t="s">
        <v>43</v>
      </c>
      <c r="V923" s="1">
        <v>45513</v>
      </c>
      <c r="W923">
        <f>Table1[[#This Row],[customer_purchase count]]+1</f>
        <v>19</v>
      </c>
      <c r="X923">
        <f>Table1[[#This Row],[customer_purchase count]]*Rules!$B$3</f>
        <v>1075.7584615384617</v>
      </c>
      <c r="Y923" t="str">
        <f>IF(Table1[[#This Row],[customer_subscription]]=1,"Subscribed","Not Subscribed")</f>
        <v>Subscribed</v>
      </c>
    </row>
    <row r="924" spans="1:26" x14ac:dyDescent="0.25">
      <c r="A924">
        <v>923</v>
      </c>
      <c r="B924">
        <v>63</v>
      </c>
      <c r="C924" t="s">
        <v>22</v>
      </c>
      <c r="D924">
        <v>923</v>
      </c>
      <c r="E924" t="s">
        <v>53</v>
      </c>
      <c r="F924" t="s">
        <v>45</v>
      </c>
      <c r="G924">
        <v>923</v>
      </c>
      <c r="H924">
        <v>1306</v>
      </c>
      <c r="I924">
        <v>60</v>
      </c>
      <c r="J924" t="s">
        <v>145</v>
      </c>
      <c r="K924" t="s">
        <v>47</v>
      </c>
      <c r="L924" t="s">
        <v>112</v>
      </c>
      <c r="M924" t="s">
        <v>60</v>
      </c>
      <c r="N924">
        <v>4.2</v>
      </c>
      <c r="O924">
        <v>1</v>
      </c>
      <c r="P924" t="s">
        <v>57</v>
      </c>
      <c r="Q924" t="s">
        <v>30</v>
      </c>
      <c r="R924" t="s">
        <v>30</v>
      </c>
      <c r="S924">
        <v>13</v>
      </c>
      <c r="T924" t="s">
        <v>42</v>
      </c>
      <c r="U924" t="s">
        <v>91</v>
      </c>
      <c r="V924" s="1">
        <v>45577</v>
      </c>
      <c r="W924">
        <f>Table1[[#This Row],[customer_purchase count]]+1</f>
        <v>14</v>
      </c>
      <c r="X924">
        <f>Table1[[#This Row],[customer_purchase count]]*Rules!$B$3</f>
        <v>776.93666666666672</v>
      </c>
      <c r="Y924" t="str">
        <f>IF(Table1[[#This Row],[customer_subscription]]=1,"Subscribed","Not Subscribed")</f>
        <v>Subscribed</v>
      </c>
    </row>
    <row r="925" spans="1:26" x14ac:dyDescent="0.25">
      <c r="A925">
        <v>924</v>
      </c>
      <c r="B925">
        <v>55</v>
      </c>
      <c r="C925" t="s">
        <v>22</v>
      </c>
      <c r="D925">
        <v>924</v>
      </c>
      <c r="E925" t="s">
        <v>58</v>
      </c>
      <c r="F925" t="s">
        <v>24</v>
      </c>
      <c r="G925">
        <v>924</v>
      </c>
      <c r="H925">
        <v>1307</v>
      </c>
      <c r="I925">
        <v>24</v>
      </c>
      <c r="J925" t="s">
        <v>75</v>
      </c>
      <c r="K925" t="s">
        <v>47</v>
      </c>
      <c r="L925" t="s">
        <v>68</v>
      </c>
      <c r="M925" t="s">
        <v>40</v>
      </c>
      <c r="N925">
        <v>4.2</v>
      </c>
      <c r="O925">
        <v>1</v>
      </c>
      <c r="P925" t="s">
        <v>73</v>
      </c>
      <c r="Q925" t="s">
        <v>30</v>
      </c>
      <c r="R925" t="s">
        <v>30</v>
      </c>
      <c r="S925">
        <v>7</v>
      </c>
      <c r="T925" t="s">
        <v>49</v>
      </c>
      <c r="U925" t="s">
        <v>43</v>
      </c>
      <c r="V925" s="1">
        <v>45432</v>
      </c>
      <c r="W925">
        <f>Table1[[#This Row],[customer_purchase count]]+1</f>
        <v>8</v>
      </c>
      <c r="X925">
        <f>Table1[[#This Row],[customer_purchase count]]*Rules!$B$3</f>
        <v>418.35051282051285</v>
      </c>
      <c r="Y925" t="str">
        <f>IF(Table1[[#This Row],[customer_subscription]]=1,"Subscribed","Not Subscribed")</f>
        <v>Subscribed</v>
      </c>
    </row>
    <row r="926" spans="1:26" x14ac:dyDescent="0.25">
      <c r="A926">
        <v>925</v>
      </c>
      <c r="B926">
        <v>52</v>
      </c>
      <c r="C926" t="s">
        <v>22</v>
      </c>
      <c r="D926">
        <v>925</v>
      </c>
      <c r="E926" t="s">
        <v>128</v>
      </c>
      <c r="F926" t="s">
        <v>24</v>
      </c>
      <c r="G926">
        <v>925</v>
      </c>
      <c r="H926">
        <v>1309</v>
      </c>
      <c r="I926">
        <v>78</v>
      </c>
      <c r="J926" t="s">
        <v>114</v>
      </c>
      <c r="K926" t="s">
        <v>95</v>
      </c>
      <c r="L926" t="s">
        <v>121</v>
      </c>
      <c r="M926" t="s">
        <v>28</v>
      </c>
      <c r="N926">
        <v>3.1</v>
      </c>
      <c r="O926">
        <v>1</v>
      </c>
      <c r="P926" t="s">
        <v>57</v>
      </c>
      <c r="Q926" t="s">
        <v>30</v>
      </c>
      <c r="R926" t="s">
        <v>30</v>
      </c>
      <c r="S926">
        <v>37</v>
      </c>
      <c r="T926" t="s">
        <v>36</v>
      </c>
      <c r="U926" t="s">
        <v>61</v>
      </c>
      <c r="V926" s="1">
        <v>45308</v>
      </c>
      <c r="W926">
        <f>Table1[[#This Row],[customer_purchase count]]+1</f>
        <v>38</v>
      </c>
      <c r="X926">
        <f>Table1[[#This Row],[customer_purchase count]]*Rules!$B$3</f>
        <v>2211.2812820512822</v>
      </c>
      <c r="Y926" t="str">
        <f>IF(Table1[[#This Row],[customer_subscription]]=1,"Subscribed","Not Subscribed")</f>
        <v>Subscribed</v>
      </c>
      <c r="Z926" t="s">
        <v>193</v>
      </c>
    </row>
    <row r="927" spans="1:26" x14ac:dyDescent="0.25">
      <c r="A927">
        <v>926</v>
      </c>
      <c r="B927">
        <v>22</v>
      </c>
      <c r="C927" t="s">
        <v>22</v>
      </c>
      <c r="D927">
        <v>926</v>
      </c>
      <c r="E927" t="s">
        <v>37</v>
      </c>
      <c r="F927" t="s">
        <v>24</v>
      </c>
      <c r="G927">
        <v>926</v>
      </c>
      <c r="H927">
        <v>1310</v>
      </c>
      <c r="I927">
        <v>88</v>
      </c>
      <c r="J927" t="s">
        <v>120</v>
      </c>
      <c r="K927" t="s">
        <v>26</v>
      </c>
      <c r="L927" t="s">
        <v>88</v>
      </c>
      <c r="M927" t="s">
        <v>28</v>
      </c>
      <c r="N927">
        <v>4.9000000000000004</v>
      </c>
      <c r="O927">
        <v>1</v>
      </c>
      <c r="P927" t="s">
        <v>29</v>
      </c>
      <c r="Q927" t="s">
        <v>30</v>
      </c>
      <c r="R927" t="s">
        <v>30</v>
      </c>
      <c r="S927">
        <v>8</v>
      </c>
      <c r="T927" t="s">
        <v>36</v>
      </c>
      <c r="U927" t="s">
        <v>91</v>
      </c>
      <c r="V927" s="1">
        <v>45633</v>
      </c>
      <c r="W927">
        <f>Table1[[#This Row],[customer_purchase count]]+1</f>
        <v>9</v>
      </c>
      <c r="X927">
        <f>Table1[[#This Row],[customer_purchase count]]*Rules!$B$3</f>
        <v>478.11487179487182</v>
      </c>
      <c r="Y927" t="str">
        <f>IF(Table1[[#This Row],[customer_subscription]]=1,"Subscribed","Not Subscribed")</f>
        <v>Subscribed</v>
      </c>
    </row>
    <row r="928" spans="1:26" x14ac:dyDescent="0.25">
      <c r="A928">
        <v>927</v>
      </c>
      <c r="B928">
        <v>54</v>
      </c>
      <c r="C928" t="s">
        <v>22</v>
      </c>
      <c r="D928">
        <v>927</v>
      </c>
      <c r="E928" t="s">
        <v>37</v>
      </c>
      <c r="F928" t="s">
        <v>24</v>
      </c>
      <c r="G928">
        <v>927</v>
      </c>
      <c r="H928">
        <v>1311</v>
      </c>
      <c r="I928">
        <v>63</v>
      </c>
      <c r="J928" t="s">
        <v>38</v>
      </c>
      <c r="K928" t="s">
        <v>95</v>
      </c>
      <c r="L928" t="s">
        <v>99</v>
      </c>
      <c r="M928" t="s">
        <v>40</v>
      </c>
      <c r="N928">
        <v>4.4000000000000004</v>
      </c>
      <c r="O928">
        <v>1</v>
      </c>
      <c r="P928" t="s">
        <v>29</v>
      </c>
      <c r="Q928" t="s">
        <v>30</v>
      </c>
      <c r="R928" t="s">
        <v>30</v>
      </c>
      <c r="S928">
        <v>11</v>
      </c>
      <c r="T928" t="s">
        <v>36</v>
      </c>
      <c r="U928" t="s">
        <v>79</v>
      </c>
      <c r="V928" s="1">
        <v>45425</v>
      </c>
      <c r="W928">
        <f>Table1[[#This Row],[customer_purchase count]]+1</f>
        <v>12</v>
      </c>
      <c r="X928">
        <f>Table1[[#This Row],[customer_purchase count]]*Rules!$B$3</f>
        <v>657.40794871794878</v>
      </c>
      <c r="Y928" t="str">
        <f>IF(Table1[[#This Row],[customer_subscription]]=1,"Subscribed","Not Subscribed")</f>
        <v>Subscribed</v>
      </c>
    </row>
    <row r="929" spans="1:26" x14ac:dyDescent="0.25">
      <c r="A929">
        <v>928</v>
      </c>
      <c r="B929">
        <v>28</v>
      </c>
      <c r="C929" t="s">
        <v>22</v>
      </c>
      <c r="D929">
        <v>928</v>
      </c>
      <c r="E929" t="s">
        <v>53</v>
      </c>
      <c r="F929" t="s">
        <v>45</v>
      </c>
      <c r="G929">
        <v>928</v>
      </c>
      <c r="H929">
        <v>1312</v>
      </c>
      <c r="I929">
        <v>78</v>
      </c>
      <c r="J929" t="s">
        <v>133</v>
      </c>
      <c r="K929" t="s">
        <v>26</v>
      </c>
      <c r="L929" t="s">
        <v>97</v>
      </c>
      <c r="M929" t="s">
        <v>56</v>
      </c>
      <c r="N929">
        <v>4.4000000000000004</v>
      </c>
      <c r="O929">
        <v>1</v>
      </c>
      <c r="P929" t="s">
        <v>57</v>
      </c>
      <c r="Q929" t="s">
        <v>30</v>
      </c>
      <c r="R929" t="s">
        <v>30</v>
      </c>
      <c r="S929">
        <v>8</v>
      </c>
      <c r="T929" t="s">
        <v>31</v>
      </c>
      <c r="U929" t="s">
        <v>79</v>
      </c>
      <c r="V929" s="1">
        <v>45451</v>
      </c>
      <c r="W929">
        <f>Table1[[#This Row],[customer_purchase count]]+1</f>
        <v>9</v>
      </c>
      <c r="X929">
        <f>Table1[[#This Row],[customer_purchase count]]*Rules!$B$3</f>
        <v>478.11487179487182</v>
      </c>
      <c r="Y929" t="str">
        <f>IF(Table1[[#This Row],[customer_subscription]]=1,"Subscribed","Not Subscribed")</f>
        <v>Subscribed</v>
      </c>
    </row>
    <row r="930" spans="1:26" x14ac:dyDescent="0.25">
      <c r="A930">
        <v>929</v>
      </c>
      <c r="B930">
        <v>67</v>
      </c>
      <c r="C930" t="s">
        <v>22</v>
      </c>
      <c r="D930">
        <v>929</v>
      </c>
      <c r="E930" t="s">
        <v>84</v>
      </c>
      <c r="F930" t="s">
        <v>24</v>
      </c>
      <c r="G930">
        <v>929</v>
      </c>
      <c r="H930">
        <v>1313</v>
      </c>
      <c r="I930">
        <v>37</v>
      </c>
      <c r="J930" t="s">
        <v>75</v>
      </c>
      <c r="K930" t="s">
        <v>95</v>
      </c>
      <c r="L930" t="s">
        <v>137</v>
      </c>
      <c r="M930" t="s">
        <v>28</v>
      </c>
      <c r="N930">
        <v>3.4</v>
      </c>
      <c r="O930">
        <v>1</v>
      </c>
      <c r="P930" t="s">
        <v>77</v>
      </c>
      <c r="Q930" t="s">
        <v>30</v>
      </c>
      <c r="R930" t="s">
        <v>30</v>
      </c>
      <c r="S930">
        <v>31</v>
      </c>
      <c r="T930" t="s">
        <v>36</v>
      </c>
      <c r="U930" t="s">
        <v>100</v>
      </c>
      <c r="V930" s="1">
        <v>45342</v>
      </c>
      <c r="W930">
        <f>Table1[[#This Row],[customer_purchase count]]+1</f>
        <v>32</v>
      </c>
      <c r="X930">
        <f>Table1[[#This Row],[customer_purchase count]]*Rules!$B$3</f>
        <v>1852.6951282051282</v>
      </c>
      <c r="Y930" t="str">
        <f>IF(Table1[[#This Row],[customer_subscription]]=1,"Subscribed","Not Subscribed")</f>
        <v>Subscribed</v>
      </c>
    </row>
    <row r="931" spans="1:26" x14ac:dyDescent="0.25">
      <c r="A931">
        <v>930</v>
      </c>
      <c r="B931">
        <v>59</v>
      </c>
      <c r="C931" t="s">
        <v>22</v>
      </c>
      <c r="D931">
        <v>930</v>
      </c>
      <c r="E931" t="s">
        <v>140</v>
      </c>
      <c r="F931" t="s">
        <v>45</v>
      </c>
      <c r="G931">
        <v>930</v>
      </c>
      <c r="H931">
        <v>1315</v>
      </c>
      <c r="I931">
        <v>94</v>
      </c>
      <c r="J931" t="s">
        <v>148</v>
      </c>
      <c r="K931" t="s">
        <v>47</v>
      </c>
      <c r="L931" t="s">
        <v>55</v>
      </c>
      <c r="M931" t="s">
        <v>60</v>
      </c>
      <c r="N931">
        <v>4.5</v>
      </c>
      <c r="O931">
        <v>1</v>
      </c>
      <c r="P931" t="s">
        <v>73</v>
      </c>
      <c r="Q931" t="s">
        <v>30</v>
      </c>
      <c r="R931" t="s">
        <v>30</v>
      </c>
      <c r="S931">
        <v>26</v>
      </c>
      <c r="T931" t="s">
        <v>89</v>
      </c>
      <c r="U931" t="s">
        <v>32</v>
      </c>
      <c r="V931" s="1">
        <v>45609</v>
      </c>
      <c r="W931">
        <f>Table1[[#This Row],[customer_purchase count]]+1</f>
        <v>27</v>
      </c>
      <c r="X931">
        <f>Table1[[#This Row],[customer_purchase count]]*Rules!$B$3</f>
        <v>1553.8733333333334</v>
      </c>
      <c r="Y931" t="str">
        <f>IF(Table1[[#This Row],[customer_subscription]]=1,"Subscribed","Not Subscribed")</f>
        <v>Subscribed</v>
      </c>
    </row>
    <row r="932" spans="1:26" x14ac:dyDescent="0.25">
      <c r="A932">
        <v>931</v>
      </c>
      <c r="B932">
        <v>26</v>
      </c>
      <c r="C932" t="s">
        <v>22</v>
      </c>
      <c r="D932">
        <v>931</v>
      </c>
      <c r="E932" t="s">
        <v>116</v>
      </c>
      <c r="F932" t="s">
        <v>24</v>
      </c>
      <c r="G932">
        <v>931</v>
      </c>
      <c r="H932">
        <v>1316</v>
      </c>
      <c r="I932">
        <v>78</v>
      </c>
      <c r="J932" t="s">
        <v>80</v>
      </c>
      <c r="K932" t="s">
        <v>26</v>
      </c>
      <c r="L932" t="s">
        <v>99</v>
      </c>
      <c r="M932" t="s">
        <v>60</v>
      </c>
      <c r="N932">
        <v>4.5</v>
      </c>
      <c r="O932">
        <v>1</v>
      </c>
      <c r="P932" t="s">
        <v>77</v>
      </c>
      <c r="Q932" t="s">
        <v>30</v>
      </c>
      <c r="R932" t="s">
        <v>30</v>
      </c>
      <c r="S932">
        <v>20</v>
      </c>
      <c r="T932" t="s">
        <v>42</v>
      </c>
      <c r="U932" t="s">
        <v>79</v>
      </c>
      <c r="V932" s="1">
        <v>45575</v>
      </c>
      <c r="W932">
        <f>Table1[[#This Row],[customer_purchase count]]+1</f>
        <v>21</v>
      </c>
      <c r="X932">
        <f>Table1[[#This Row],[customer_purchase count]]*Rules!$B$3</f>
        <v>1195.2871794871796</v>
      </c>
      <c r="Y932" t="str">
        <f>IF(Table1[[#This Row],[customer_subscription]]=1,"Subscribed","Not Subscribed")</f>
        <v>Subscribed</v>
      </c>
    </row>
    <row r="933" spans="1:26" x14ac:dyDescent="0.25">
      <c r="A933">
        <v>932</v>
      </c>
      <c r="B933">
        <v>24</v>
      </c>
      <c r="C933" t="s">
        <v>22</v>
      </c>
      <c r="D933">
        <v>932</v>
      </c>
      <c r="E933" t="s">
        <v>65</v>
      </c>
      <c r="F933" t="s">
        <v>66</v>
      </c>
      <c r="G933">
        <v>932</v>
      </c>
      <c r="H933">
        <v>1317</v>
      </c>
      <c r="I933">
        <v>36</v>
      </c>
      <c r="J933" t="s">
        <v>148</v>
      </c>
      <c r="K933" t="s">
        <v>47</v>
      </c>
      <c r="L933" t="s">
        <v>68</v>
      </c>
      <c r="M933" t="s">
        <v>28</v>
      </c>
      <c r="N933">
        <v>4.0999999999999996</v>
      </c>
      <c r="O933">
        <v>1</v>
      </c>
      <c r="P933" t="s">
        <v>57</v>
      </c>
      <c r="Q933" t="s">
        <v>30</v>
      </c>
      <c r="R933" t="s">
        <v>30</v>
      </c>
      <c r="S933">
        <v>24</v>
      </c>
      <c r="T933" t="s">
        <v>78</v>
      </c>
      <c r="U933" t="s">
        <v>32</v>
      </c>
      <c r="V933" s="1">
        <v>45630</v>
      </c>
      <c r="W933">
        <f>Table1[[#This Row],[customer_purchase count]]+1</f>
        <v>25</v>
      </c>
      <c r="X933">
        <f>Table1[[#This Row],[customer_purchase count]]*Rules!$B$3</f>
        <v>1434.3446153846155</v>
      </c>
      <c r="Y933" t="str">
        <f>IF(Table1[[#This Row],[customer_subscription]]=1,"Subscribed","Not Subscribed")</f>
        <v>Subscribed</v>
      </c>
    </row>
    <row r="934" spans="1:26" x14ac:dyDescent="0.25">
      <c r="A934">
        <v>933</v>
      </c>
      <c r="B934">
        <v>62</v>
      </c>
      <c r="C934" t="s">
        <v>22</v>
      </c>
      <c r="D934">
        <v>933</v>
      </c>
      <c r="E934" t="s">
        <v>90</v>
      </c>
      <c r="F934" t="s">
        <v>24</v>
      </c>
      <c r="G934">
        <v>933</v>
      </c>
      <c r="H934">
        <v>1318</v>
      </c>
      <c r="I934">
        <v>24</v>
      </c>
      <c r="J934" t="s">
        <v>119</v>
      </c>
      <c r="K934" t="s">
        <v>26</v>
      </c>
      <c r="L934" t="s">
        <v>147</v>
      </c>
      <c r="M934" t="s">
        <v>28</v>
      </c>
      <c r="N934">
        <v>3.2</v>
      </c>
      <c r="O934">
        <v>1</v>
      </c>
      <c r="P934" t="s">
        <v>57</v>
      </c>
      <c r="Q934" t="s">
        <v>30</v>
      </c>
      <c r="R934" t="s">
        <v>30</v>
      </c>
      <c r="S934">
        <v>45</v>
      </c>
      <c r="T934" t="s">
        <v>89</v>
      </c>
      <c r="U934" t="s">
        <v>79</v>
      </c>
      <c r="V934" s="1">
        <v>45331</v>
      </c>
      <c r="W934">
        <f>Table1[[#This Row],[customer_purchase count]]+1</f>
        <v>46</v>
      </c>
      <c r="X934">
        <f>Table1[[#This Row],[customer_purchase count]]*Rules!$B$3</f>
        <v>2689.396153846154</v>
      </c>
      <c r="Y934" t="str">
        <f>IF(Table1[[#This Row],[customer_subscription]]=1,"Subscribed","Not Subscribed")</f>
        <v>Subscribed</v>
      </c>
    </row>
    <row r="935" spans="1:26" x14ac:dyDescent="0.25">
      <c r="A935">
        <v>934</v>
      </c>
      <c r="B935">
        <v>70</v>
      </c>
      <c r="C935" t="s">
        <v>22</v>
      </c>
      <c r="D935">
        <v>934</v>
      </c>
      <c r="E935" t="s">
        <v>53</v>
      </c>
      <c r="F935" t="s">
        <v>45</v>
      </c>
      <c r="G935">
        <v>934</v>
      </c>
      <c r="H935">
        <v>1319</v>
      </c>
      <c r="I935">
        <v>84</v>
      </c>
      <c r="J935" t="s">
        <v>115</v>
      </c>
      <c r="K935" t="s">
        <v>47</v>
      </c>
      <c r="L935" t="s">
        <v>139</v>
      </c>
      <c r="M935" t="s">
        <v>40</v>
      </c>
      <c r="N935">
        <v>2.7</v>
      </c>
      <c r="O935">
        <v>1</v>
      </c>
      <c r="P935" t="s">
        <v>77</v>
      </c>
      <c r="Q935" t="s">
        <v>30</v>
      </c>
      <c r="R935" t="s">
        <v>30</v>
      </c>
      <c r="S935">
        <v>33</v>
      </c>
      <c r="T935" t="s">
        <v>89</v>
      </c>
      <c r="U935" t="s">
        <v>91</v>
      </c>
      <c r="V935" s="1">
        <v>45432</v>
      </c>
      <c r="W935">
        <f>Table1[[#This Row],[customer_purchase count]]+1</f>
        <v>34</v>
      </c>
      <c r="X935">
        <f>Table1[[#This Row],[customer_purchase count]]*Rules!$B$3</f>
        <v>1972.2238461538464</v>
      </c>
      <c r="Y935" t="str">
        <f>IF(Table1[[#This Row],[customer_subscription]]=1,"Subscribed","Not Subscribed")</f>
        <v>Subscribed</v>
      </c>
    </row>
    <row r="936" spans="1:26" x14ac:dyDescent="0.25">
      <c r="A936">
        <v>935</v>
      </c>
      <c r="B936">
        <v>45</v>
      </c>
      <c r="C936" t="s">
        <v>22</v>
      </c>
      <c r="D936">
        <v>935</v>
      </c>
      <c r="E936" t="s">
        <v>37</v>
      </c>
      <c r="F936" t="s">
        <v>24</v>
      </c>
      <c r="G936">
        <v>935</v>
      </c>
      <c r="H936">
        <v>1321</v>
      </c>
      <c r="I936">
        <v>47</v>
      </c>
      <c r="J936" t="s">
        <v>50</v>
      </c>
      <c r="K936" t="s">
        <v>39</v>
      </c>
      <c r="L936" t="s">
        <v>137</v>
      </c>
      <c r="M936" t="s">
        <v>40</v>
      </c>
      <c r="N936">
        <v>3.7</v>
      </c>
      <c r="O936">
        <v>1</v>
      </c>
      <c r="P936" t="s">
        <v>29</v>
      </c>
      <c r="Q936" t="s">
        <v>30</v>
      </c>
      <c r="R936" t="s">
        <v>30</v>
      </c>
      <c r="S936">
        <v>21</v>
      </c>
      <c r="T936" t="s">
        <v>78</v>
      </c>
      <c r="U936" t="s">
        <v>91</v>
      </c>
      <c r="V936" s="1">
        <v>45367</v>
      </c>
      <c r="W936">
        <f>Table1[[#This Row],[customer_purchase count]]+1</f>
        <v>22</v>
      </c>
      <c r="X936">
        <f>Table1[[#This Row],[customer_purchase count]]*Rules!$B$3</f>
        <v>1255.0515384615385</v>
      </c>
      <c r="Y936" t="str">
        <f>IF(Table1[[#This Row],[customer_subscription]]=1,"Subscribed","Not Subscribed")</f>
        <v>Subscribed</v>
      </c>
    </row>
    <row r="937" spans="1:26" x14ac:dyDescent="0.25">
      <c r="A937">
        <v>936</v>
      </c>
      <c r="B937">
        <v>58</v>
      </c>
      <c r="C937" t="s">
        <v>22</v>
      </c>
      <c r="D937">
        <v>936</v>
      </c>
      <c r="E937" t="s">
        <v>107</v>
      </c>
      <c r="F937" t="s">
        <v>24</v>
      </c>
      <c r="G937">
        <v>936</v>
      </c>
      <c r="H937">
        <v>1322</v>
      </c>
      <c r="I937">
        <v>51</v>
      </c>
      <c r="J937" t="s">
        <v>126</v>
      </c>
      <c r="K937" t="s">
        <v>26</v>
      </c>
      <c r="L937" t="s">
        <v>55</v>
      </c>
      <c r="M937" t="s">
        <v>60</v>
      </c>
      <c r="N937">
        <v>2.6</v>
      </c>
      <c r="O937">
        <v>1</v>
      </c>
      <c r="P937" t="s">
        <v>77</v>
      </c>
      <c r="Q937" t="s">
        <v>30</v>
      </c>
      <c r="R937" t="s">
        <v>30</v>
      </c>
      <c r="S937">
        <v>2</v>
      </c>
      <c r="T937" t="s">
        <v>78</v>
      </c>
      <c r="U937" t="s">
        <v>32</v>
      </c>
      <c r="V937" s="1">
        <v>45562</v>
      </c>
      <c r="W937">
        <f>Table1[[#This Row],[customer_purchase count]]+1</f>
        <v>3</v>
      </c>
      <c r="X937">
        <f>Table1[[#This Row],[customer_purchase count]]*Rules!$B$3</f>
        <v>119.52871794871795</v>
      </c>
      <c r="Y937" t="str">
        <f>IF(Table1[[#This Row],[customer_subscription]]=1,"Subscribed","Not Subscribed")</f>
        <v>Subscribed</v>
      </c>
    </row>
    <row r="938" spans="1:26" x14ac:dyDescent="0.25">
      <c r="A938">
        <v>937</v>
      </c>
      <c r="B938">
        <v>31</v>
      </c>
      <c r="C938" t="s">
        <v>22</v>
      </c>
      <c r="D938">
        <v>937</v>
      </c>
      <c r="E938" t="s">
        <v>74</v>
      </c>
      <c r="F938" t="s">
        <v>45</v>
      </c>
      <c r="G938">
        <v>937</v>
      </c>
      <c r="H938">
        <v>1323</v>
      </c>
      <c r="I938">
        <v>84</v>
      </c>
      <c r="J938" t="s">
        <v>34</v>
      </c>
      <c r="K938" t="s">
        <v>47</v>
      </c>
      <c r="L938" t="s">
        <v>72</v>
      </c>
      <c r="M938" t="s">
        <v>56</v>
      </c>
      <c r="N938">
        <v>2.7</v>
      </c>
      <c r="O938">
        <v>1</v>
      </c>
      <c r="P938" t="s">
        <v>41</v>
      </c>
      <c r="Q938" t="s">
        <v>30</v>
      </c>
      <c r="R938" t="s">
        <v>30</v>
      </c>
      <c r="S938">
        <v>28</v>
      </c>
      <c r="T938" t="s">
        <v>36</v>
      </c>
      <c r="U938" t="s">
        <v>43</v>
      </c>
      <c r="V938" s="1">
        <v>45507</v>
      </c>
      <c r="W938">
        <f>Table1[[#This Row],[customer_purchase count]]+1</f>
        <v>29</v>
      </c>
      <c r="X938">
        <f>Table1[[#This Row],[customer_purchase count]]*Rules!$B$3</f>
        <v>1673.4020512820514</v>
      </c>
      <c r="Y938" t="str">
        <f>IF(Table1[[#This Row],[customer_subscription]]=1,"Subscribed","Not Subscribed")</f>
        <v>Subscribed</v>
      </c>
    </row>
    <row r="939" spans="1:26" x14ac:dyDescent="0.25">
      <c r="A939">
        <v>938</v>
      </c>
      <c r="B939">
        <v>32</v>
      </c>
      <c r="C939" t="s">
        <v>22</v>
      </c>
      <c r="D939">
        <v>938</v>
      </c>
      <c r="E939" t="s">
        <v>62</v>
      </c>
      <c r="F939" t="s">
        <v>24</v>
      </c>
      <c r="G939">
        <v>938</v>
      </c>
      <c r="H939">
        <v>1324</v>
      </c>
      <c r="I939">
        <v>24</v>
      </c>
      <c r="J939" t="s">
        <v>149</v>
      </c>
      <c r="K939" t="s">
        <v>47</v>
      </c>
      <c r="L939" t="s">
        <v>139</v>
      </c>
      <c r="M939" t="s">
        <v>56</v>
      </c>
      <c r="N939">
        <v>2.7</v>
      </c>
      <c r="O939">
        <v>1</v>
      </c>
      <c r="P939" t="s">
        <v>29</v>
      </c>
      <c r="Q939" t="s">
        <v>30</v>
      </c>
      <c r="R939" t="s">
        <v>30</v>
      </c>
      <c r="S939">
        <v>18</v>
      </c>
      <c r="T939" t="s">
        <v>31</v>
      </c>
      <c r="U939" t="s">
        <v>61</v>
      </c>
      <c r="V939" s="1">
        <v>45528</v>
      </c>
      <c r="W939">
        <f>Table1[[#This Row],[customer_purchase count]]+1</f>
        <v>19</v>
      </c>
      <c r="X939">
        <f>Table1[[#This Row],[customer_purchase count]]*Rules!$B$3</f>
        <v>1075.7584615384617</v>
      </c>
      <c r="Y939" t="str">
        <f>IF(Table1[[#This Row],[customer_subscription]]=1,"Subscribed","Not Subscribed")</f>
        <v>Subscribed</v>
      </c>
    </row>
    <row r="940" spans="1:26" x14ac:dyDescent="0.25">
      <c r="A940">
        <v>939</v>
      </c>
      <c r="B940">
        <v>36</v>
      </c>
      <c r="C940" t="s">
        <v>22</v>
      </c>
      <c r="D940">
        <v>939</v>
      </c>
      <c r="E940" t="s">
        <v>23</v>
      </c>
      <c r="F940" t="s">
        <v>24</v>
      </c>
      <c r="G940">
        <v>939</v>
      </c>
      <c r="H940">
        <v>1325</v>
      </c>
      <c r="I940">
        <v>97</v>
      </c>
      <c r="J940" t="s">
        <v>153</v>
      </c>
      <c r="K940" t="s">
        <v>39</v>
      </c>
      <c r="L940" t="s">
        <v>88</v>
      </c>
      <c r="M940" t="s">
        <v>60</v>
      </c>
      <c r="N940">
        <v>4.8</v>
      </c>
      <c r="O940">
        <v>1</v>
      </c>
      <c r="P940" t="s">
        <v>41</v>
      </c>
      <c r="Q940" t="s">
        <v>30</v>
      </c>
      <c r="R940" t="s">
        <v>30</v>
      </c>
      <c r="S940">
        <v>21</v>
      </c>
      <c r="T940" t="s">
        <v>89</v>
      </c>
      <c r="U940" t="s">
        <v>32</v>
      </c>
      <c r="V940" s="1">
        <v>45623</v>
      </c>
      <c r="W940">
        <f>Table1[[#This Row],[customer_purchase count]]+1</f>
        <v>22</v>
      </c>
      <c r="X940">
        <f>Table1[[#This Row],[customer_purchase count]]*Rules!$B$3</f>
        <v>1255.0515384615385</v>
      </c>
      <c r="Y940" t="str">
        <f>IF(Table1[[#This Row],[customer_subscription]]=1,"Subscribed","Not Subscribed")</f>
        <v>Subscribed</v>
      </c>
    </row>
    <row r="941" spans="1:26" x14ac:dyDescent="0.25">
      <c r="A941">
        <v>940</v>
      </c>
      <c r="B941">
        <v>25</v>
      </c>
      <c r="C941" t="s">
        <v>22</v>
      </c>
      <c r="D941">
        <v>940</v>
      </c>
      <c r="E941" t="s">
        <v>116</v>
      </c>
      <c r="F941" t="s">
        <v>24</v>
      </c>
      <c r="G941">
        <v>940</v>
      </c>
      <c r="H941">
        <v>1327</v>
      </c>
      <c r="I941">
        <v>89</v>
      </c>
      <c r="J941" t="s">
        <v>87</v>
      </c>
      <c r="K941" t="s">
        <v>26</v>
      </c>
      <c r="L941" t="s">
        <v>129</v>
      </c>
      <c r="M941" t="s">
        <v>28</v>
      </c>
      <c r="N941">
        <v>4.8</v>
      </c>
      <c r="O941">
        <v>1</v>
      </c>
      <c r="P941" t="s">
        <v>48</v>
      </c>
      <c r="Q941" t="s">
        <v>30</v>
      </c>
      <c r="R941" t="s">
        <v>30</v>
      </c>
      <c r="S941">
        <v>24</v>
      </c>
      <c r="T941" t="s">
        <v>42</v>
      </c>
      <c r="U941" t="s">
        <v>91</v>
      </c>
      <c r="V941" s="1">
        <v>45324</v>
      </c>
      <c r="W941">
        <f>Table1[[#This Row],[customer_purchase count]]+1</f>
        <v>25</v>
      </c>
      <c r="X941">
        <f>Table1[[#This Row],[customer_purchase count]]*Rules!$B$3</f>
        <v>1434.3446153846155</v>
      </c>
      <c r="Y941" t="str">
        <f>IF(Table1[[#This Row],[customer_subscription]]=1,"Subscribed","Not Subscribed")</f>
        <v>Subscribed</v>
      </c>
    </row>
    <row r="942" spans="1:26" x14ac:dyDescent="0.25">
      <c r="A942">
        <v>941</v>
      </c>
      <c r="B942">
        <v>48</v>
      </c>
      <c r="C942" t="s">
        <v>22</v>
      </c>
      <c r="D942">
        <v>941</v>
      </c>
      <c r="E942" t="s">
        <v>136</v>
      </c>
      <c r="F942" t="s">
        <v>70</v>
      </c>
      <c r="G942">
        <v>941</v>
      </c>
      <c r="H942">
        <v>1328</v>
      </c>
      <c r="I942">
        <v>44</v>
      </c>
      <c r="J942" t="s">
        <v>115</v>
      </c>
      <c r="K942" t="s">
        <v>39</v>
      </c>
      <c r="L942" t="s">
        <v>35</v>
      </c>
      <c r="M942" t="s">
        <v>40</v>
      </c>
      <c r="N942">
        <v>2.6</v>
      </c>
      <c r="O942">
        <v>1</v>
      </c>
      <c r="P942" t="s">
        <v>77</v>
      </c>
      <c r="Q942" t="s">
        <v>30</v>
      </c>
      <c r="R942" t="s">
        <v>30</v>
      </c>
      <c r="S942">
        <v>15</v>
      </c>
      <c r="T942" t="s">
        <v>49</v>
      </c>
      <c r="U942" t="s">
        <v>100</v>
      </c>
      <c r="V942" s="1">
        <v>45384</v>
      </c>
      <c r="W942">
        <f>Table1[[#This Row],[customer_purchase count]]+1</f>
        <v>16</v>
      </c>
      <c r="X942">
        <f>Table1[[#This Row],[customer_purchase count]]*Rules!$B$3</f>
        <v>896.46538461538466</v>
      </c>
      <c r="Y942" t="str">
        <f>IF(Table1[[#This Row],[customer_subscription]]=1,"Subscribed","Not Subscribed")</f>
        <v>Subscribed</v>
      </c>
    </row>
    <row r="943" spans="1:26" x14ac:dyDescent="0.25">
      <c r="A943">
        <v>942</v>
      </c>
      <c r="B943">
        <v>39</v>
      </c>
      <c r="C943" t="s">
        <v>22</v>
      </c>
      <c r="D943">
        <v>942</v>
      </c>
      <c r="E943" t="s">
        <v>69</v>
      </c>
      <c r="F943" t="s">
        <v>70</v>
      </c>
      <c r="G943">
        <v>942</v>
      </c>
      <c r="H943">
        <v>1329</v>
      </c>
      <c r="I943">
        <v>35</v>
      </c>
      <c r="J943" t="s">
        <v>118</v>
      </c>
      <c r="K943" t="s">
        <v>26</v>
      </c>
      <c r="L943" t="s">
        <v>97</v>
      </c>
      <c r="M943" t="s">
        <v>28</v>
      </c>
      <c r="N943">
        <v>4.5</v>
      </c>
      <c r="O943">
        <v>1</v>
      </c>
      <c r="P943" t="s">
        <v>73</v>
      </c>
      <c r="Q943" t="s">
        <v>30</v>
      </c>
      <c r="R943" t="s">
        <v>30</v>
      </c>
      <c r="S943">
        <v>38</v>
      </c>
      <c r="T943" t="s">
        <v>49</v>
      </c>
      <c r="U943" t="s">
        <v>100</v>
      </c>
      <c r="V943" s="1">
        <v>45339</v>
      </c>
      <c r="W943">
        <f>Table1[[#This Row],[customer_purchase count]]+1</f>
        <v>39</v>
      </c>
      <c r="X943">
        <f>Table1[[#This Row],[customer_purchase count]]*Rules!$B$3</f>
        <v>2271.0456410256411</v>
      </c>
      <c r="Y943" t="str">
        <f>IF(Table1[[#This Row],[customer_subscription]]=1,"Subscribed","Not Subscribed")</f>
        <v>Subscribed</v>
      </c>
      <c r="Z943" t="s">
        <v>193</v>
      </c>
    </row>
    <row r="944" spans="1:26" x14ac:dyDescent="0.25">
      <c r="A944">
        <v>943</v>
      </c>
      <c r="B944">
        <v>26</v>
      </c>
      <c r="C944" t="s">
        <v>22</v>
      </c>
      <c r="D944">
        <v>943</v>
      </c>
      <c r="E944" t="s">
        <v>84</v>
      </c>
      <c r="F944" t="s">
        <v>24</v>
      </c>
      <c r="G944">
        <v>943</v>
      </c>
      <c r="H944">
        <v>1330</v>
      </c>
      <c r="I944">
        <v>91</v>
      </c>
      <c r="J944" t="s">
        <v>120</v>
      </c>
      <c r="K944" t="s">
        <v>47</v>
      </c>
      <c r="L944" t="s">
        <v>112</v>
      </c>
      <c r="M944" t="s">
        <v>28</v>
      </c>
      <c r="N944">
        <v>3.2</v>
      </c>
      <c r="O944">
        <v>1</v>
      </c>
      <c r="P944" t="s">
        <v>29</v>
      </c>
      <c r="Q944" t="s">
        <v>30</v>
      </c>
      <c r="R944" t="s">
        <v>30</v>
      </c>
      <c r="S944">
        <v>38</v>
      </c>
      <c r="T944" t="s">
        <v>49</v>
      </c>
      <c r="U944" t="s">
        <v>79</v>
      </c>
      <c r="V944" s="1">
        <v>45328</v>
      </c>
      <c r="W944">
        <f>Table1[[#This Row],[customer_purchase count]]+1</f>
        <v>39</v>
      </c>
      <c r="X944">
        <f>Table1[[#This Row],[customer_purchase count]]*Rules!$B$3</f>
        <v>2271.0456410256411</v>
      </c>
      <c r="Y944" t="str">
        <f>IF(Table1[[#This Row],[customer_subscription]]=1,"Subscribed","Not Subscribed")</f>
        <v>Subscribed</v>
      </c>
    </row>
    <row r="945" spans="1:26" x14ac:dyDescent="0.25">
      <c r="A945">
        <v>944</v>
      </c>
      <c r="B945">
        <v>32</v>
      </c>
      <c r="C945" t="s">
        <v>22</v>
      </c>
      <c r="D945">
        <v>944</v>
      </c>
      <c r="E945" t="s">
        <v>127</v>
      </c>
      <c r="F945" t="s">
        <v>70</v>
      </c>
      <c r="G945">
        <v>944</v>
      </c>
      <c r="H945">
        <v>1331</v>
      </c>
      <c r="I945">
        <v>63</v>
      </c>
      <c r="J945" t="s">
        <v>104</v>
      </c>
      <c r="K945" t="s">
        <v>26</v>
      </c>
      <c r="L945" t="s">
        <v>112</v>
      </c>
      <c r="M945" t="s">
        <v>28</v>
      </c>
      <c r="N945">
        <v>3.8</v>
      </c>
      <c r="O945">
        <v>1</v>
      </c>
      <c r="P945" t="s">
        <v>48</v>
      </c>
      <c r="Q945" t="s">
        <v>30</v>
      </c>
      <c r="R945" t="s">
        <v>30</v>
      </c>
      <c r="S945">
        <v>13</v>
      </c>
      <c r="T945" t="s">
        <v>31</v>
      </c>
      <c r="U945" t="s">
        <v>32</v>
      </c>
      <c r="V945" s="1">
        <v>45337</v>
      </c>
      <c r="W945">
        <f>Table1[[#This Row],[customer_purchase count]]+1</f>
        <v>14</v>
      </c>
      <c r="X945">
        <f>Table1[[#This Row],[customer_purchase count]]*Rules!$B$3</f>
        <v>776.93666666666672</v>
      </c>
      <c r="Y945" t="str">
        <f>IF(Table1[[#This Row],[customer_subscription]]=1,"Subscribed","Not Subscribed")</f>
        <v>Subscribed</v>
      </c>
    </row>
    <row r="946" spans="1:26" x14ac:dyDescent="0.25">
      <c r="A946">
        <v>945</v>
      </c>
      <c r="B946">
        <v>54</v>
      </c>
      <c r="C946" t="s">
        <v>22</v>
      </c>
      <c r="D946">
        <v>945</v>
      </c>
      <c r="E946" t="s">
        <v>136</v>
      </c>
      <c r="F946" t="s">
        <v>70</v>
      </c>
      <c r="G946">
        <v>945</v>
      </c>
      <c r="H946">
        <v>1333</v>
      </c>
      <c r="I946">
        <v>97</v>
      </c>
      <c r="J946" t="s">
        <v>119</v>
      </c>
      <c r="K946" t="s">
        <v>39</v>
      </c>
      <c r="L946" t="s">
        <v>27</v>
      </c>
      <c r="M946" t="s">
        <v>40</v>
      </c>
      <c r="N946">
        <v>4.8</v>
      </c>
      <c r="O946">
        <v>1</v>
      </c>
      <c r="P946" t="s">
        <v>29</v>
      </c>
      <c r="Q946" t="s">
        <v>30</v>
      </c>
      <c r="R946" t="s">
        <v>30</v>
      </c>
      <c r="S946">
        <v>39</v>
      </c>
      <c r="T946" t="s">
        <v>36</v>
      </c>
      <c r="U946" t="s">
        <v>79</v>
      </c>
      <c r="V946" s="1">
        <v>45430</v>
      </c>
      <c r="W946">
        <f>Table1[[#This Row],[customer_purchase count]]+1</f>
        <v>40</v>
      </c>
      <c r="X946">
        <f>Table1[[#This Row],[customer_purchase count]]*Rules!$B$3</f>
        <v>2330.81</v>
      </c>
      <c r="Y946" t="str">
        <f>IF(Table1[[#This Row],[customer_subscription]]=1,"Subscribed","Not Subscribed")</f>
        <v>Subscribed</v>
      </c>
      <c r="Z946" t="s">
        <v>193</v>
      </c>
    </row>
    <row r="947" spans="1:26" x14ac:dyDescent="0.25">
      <c r="A947">
        <v>946</v>
      </c>
      <c r="B947">
        <v>38</v>
      </c>
      <c r="C947" t="s">
        <v>22</v>
      </c>
      <c r="D947">
        <v>946</v>
      </c>
      <c r="E947" t="s">
        <v>140</v>
      </c>
      <c r="F947" t="s">
        <v>45</v>
      </c>
      <c r="G947">
        <v>946</v>
      </c>
      <c r="H947">
        <v>1334</v>
      </c>
      <c r="I947">
        <v>38</v>
      </c>
      <c r="J947" t="s">
        <v>151</v>
      </c>
      <c r="K947" t="s">
        <v>47</v>
      </c>
      <c r="L947" t="s">
        <v>86</v>
      </c>
      <c r="M947" t="s">
        <v>56</v>
      </c>
      <c r="N947">
        <v>4.0999999999999996</v>
      </c>
      <c r="O947">
        <v>1</v>
      </c>
      <c r="P947" t="s">
        <v>77</v>
      </c>
      <c r="Q947" t="s">
        <v>30</v>
      </c>
      <c r="R947" t="s">
        <v>30</v>
      </c>
      <c r="S947">
        <v>8</v>
      </c>
      <c r="T947" t="s">
        <v>31</v>
      </c>
      <c r="U947" t="s">
        <v>100</v>
      </c>
      <c r="V947" s="1">
        <v>45523</v>
      </c>
      <c r="W947">
        <f>Table1[[#This Row],[customer_purchase count]]+1</f>
        <v>9</v>
      </c>
      <c r="X947">
        <f>Table1[[#This Row],[customer_purchase count]]*Rules!$B$3</f>
        <v>478.11487179487182</v>
      </c>
      <c r="Y947" t="str">
        <f>IF(Table1[[#This Row],[customer_subscription]]=1,"Subscribed","Not Subscribed")</f>
        <v>Subscribed</v>
      </c>
    </row>
    <row r="948" spans="1:26" x14ac:dyDescent="0.25">
      <c r="A948">
        <v>947</v>
      </c>
      <c r="B948">
        <v>46</v>
      </c>
      <c r="C948" t="s">
        <v>22</v>
      </c>
      <c r="D948">
        <v>947</v>
      </c>
      <c r="E948" t="s">
        <v>65</v>
      </c>
      <c r="F948" t="s">
        <v>66</v>
      </c>
      <c r="G948">
        <v>947</v>
      </c>
      <c r="H948">
        <v>1335</v>
      </c>
      <c r="I948">
        <v>24</v>
      </c>
      <c r="J948" t="s">
        <v>141</v>
      </c>
      <c r="K948" t="s">
        <v>95</v>
      </c>
      <c r="L948" t="s">
        <v>147</v>
      </c>
      <c r="M948" t="s">
        <v>40</v>
      </c>
      <c r="N948">
        <v>2.8</v>
      </c>
      <c r="O948">
        <v>1</v>
      </c>
      <c r="P948" t="s">
        <v>48</v>
      </c>
      <c r="Q948" t="s">
        <v>30</v>
      </c>
      <c r="R948" t="s">
        <v>30</v>
      </c>
      <c r="S948">
        <v>4</v>
      </c>
      <c r="T948" t="s">
        <v>49</v>
      </c>
      <c r="U948" t="s">
        <v>61</v>
      </c>
      <c r="V948" s="1">
        <v>45355</v>
      </c>
      <c r="W948">
        <f>Table1[[#This Row],[customer_purchase count]]+1</f>
        <v>5</v>
      </c>
      <c r="X948">
        <f>Table1[[#This Row],[customer_purchase count]]*Rules!$B$3</f>
        <v>239.05743589743591</v>
      </c>
      <c r="Y948" t="str">
        <f>IF(Table1[[#This Row],[customer_subscription]]=1,"Subscribed","Not Subscribed")</f>
        <v>Subscribed</v>
      </c>
    </row>
    <row r="949" spans="1:26" x14ac:dyDescent="0.25">
      <c r="A949">
        <v>948</v>
      </c>
      <c r="B949">
        <v>57</v>
      </c>
      <c r="C949" t="s">
        <v>22</v>
      </c>
      <c r="D949">
        <v>948</v>
      </c>
      <c r="E949" t="s">
        <v>23</v>
      </c>
      <c r="F949" t="s">
        <v>24</v>
      </c>
      <c r="G949">
        <v>948</v>
      </c>
      <c r="H949">
        <v>1336</v>
      </c>
      <c r="I949">
        <v>32</v>
      </c>
      <c r="J949" t="s">
        <v>119</v>
      </c>
      <c r="K949" t="s">
        <v>47</v>
      </c>
      <c r="L949" t="s">
        <v>64</v>
      </c>
      <c r="M949" t="s">
        <v>28</v>
      </c>
      <c r="N949">
        <v>3.9</v>
      </c>
      <c r="O949">
        <v>1</v>
      </c>
      <c r="P949" t="s">
        <v>77</v>
      </c>
      <c r="Q949" t="s">
        <v>30</v>
      </c>
      <c r="R949" t="s">
        <v>30</v>
      </c>
      <c r="S949">
        <v>6</v>
      </c>
      <c r="T949" t="s">
        <v>36</v>
      </c>
      <c r="U949" t="s">
        <v>100</v>
      </c>
      <c r="V949" s="1">
        <v>45336</v>
      </c>
      <c r="W949">
        <f>Table1[[#This Row],[customer_purchase count]]+1</f>
        <v>7</v>
      </c>
      <c r="X949">
        <f>Table1[[#This Row],[customer_purchase count]]*Rules!$B$3</f>
        <v>358.58615384615388</v>
      </c>
      <c r="Y949" t="str">
        <f>IF(Table1[[#This Row],[customer_subscription]]=1,"Subscribed","Not Subscribed")</f>
        <v>Subscribed</v>
      </c>
    </row>
    <row r="950" spans="1:26" x14ac:dyDescent="0.25">
      <c r="A950">
        <v>949</v>
      </c>
      <c r="B950">
        <v>49</v>
      </c>
      <c r="C950" t="s">
        <v>22</v>
      </c>
      <c r="D950">
        <v>949</v>
      </c>
      <c r="E950" t="s">
        <v>127</v>
      </c>
      <c r="F950" t="s">
        <v>70</v>
      </c>
      <c r="G950">
        <v>949</v>
      </c>
      <c r="H950">
        <v>1337</v>
      </c>
      <c r="I950">
        <v>90</v>
      </c>
      <c r="J950" t="s">
        <v>93</v>
      </c>
      <c r="K950" t="s">
        <v>26</v>
      </c>
      <c r="L950" t="s">
        <v>81</v>
      </c>
      <c r="M950" t="s">
        <v>56</v>
      </c>
      <c r="N950">
        <v>4.9000000000000004</v>
      </c>
      <c r="O950">
        <v>1</v>
      </c>
      <c r="P950" t="s">
        <v>29</v>
      </c>
      <c r="Q950" t="s">
        <v>30</v>
      </c>
      <c r="R950" t="s">
        <v>30</v>
      </c>
      <c r="S950">
        <v>11</v>
      </c>
      <c r="T950" t="s">
        <v>31</v>
      </c>
      <c r="U950" t="s">
        <v>100</v>
      </c>
      <c r="V950" s="1">
        <v>45466</v>
      </c>
      <c r="W950">
        <f>Table1[[#This Row],[customer_purchase count]]+1</f>
        <v>12</v>
      </c>
      <c r="X950">
        <f>Table1[[#This Row],[customer_purchase count]]*Rules!$B$3</f>
        <v>657.40794871794878</v>
      </c>
      <c r="Y950" t="str">
        <f>IF(Table1[[#This Row],[customer_subscription]]=1,"Subscribed","Not Subscribed")</f>
        <v>Subscribed</v>
      </c>
    </row>
    <row r="951" spans="1:26" x14ac:dyDescent="0.25">
      <c r="A951">
        <v>950</v>
      </c>
      <c r="B951">
        <v>33</v>
      </c>
      <c r="C951" t="s">
        <v>22</v>
      </c>
      <c r="D951">
        <v>950</v>
      </c>
      <c r="E951" t="s">
        <v>37</v>
      </c>
      <c r="F951" t="s">
        <v>24</v>
      </c>
      <c r="G951">
        <v>950</v>
      </c>
      <c r="H951">
        <v>1339</v>
      </c>
      <c r="I951">
        <v>36</v>
      </c>
      <c r="J951" t="s">
        <v>59</v>
      </c>
      <c r="K951" t="s">
        <v>47</v>
      </c>
      <c r="L951" t="s">
        <v>81</v>
      </c>
      <c r="M951" t="s">
        <v>56</v>
      </c>
      <c r="N951">
        <v>3.4</v>
      </c>
      <c r="O951">
        <v>1</v>
      </c>
      <c r="P951" t="s">
        <v>57</v>
      </c>
      <c r="Q951" t="s">
        <v>30</v>
      </c>
      <c r="R951" t="s">
        <v>30</v>
      </c>
      <c r="S951">
        <v>49</v>
      </c>
      <c r="T951" t="s">
        <v>31</v>
      </c>
      <c r="U951" t="s">
        <v>91</v>
      </c>
      <c r="V951" s="1">
        <v>45478</v>
      </c>
      <c r="W951">
        <f>Table1[[#This Row],[customer_purchase count]]+1</f>
        <v>50</v>
      </c>
      <c r="X951">
        <f>Table1[[#This Row],[customer_purchase count]]*Rules!$B$3</f>
        <v>2928.4535897435899</v>
      </c>
      <c r="Y951" t="str">
        <f>IF(Table1[[#This Row],[customer_subscription]]=1,"Subscribed","Not Subscribed")</f>
        <v>Subscribed</v>
      </c>
      <c r="Z951" t="s">
        <v>193</v>
      </c>
    </row>
    <row r="952" spans="1:26" x14ac:dyDescent="0.25">
      <c r="A952">
        <v>951</v>
      </c>
      <c r="B952">
        <v>54</v>
      </c>
      <c r="C952" t="s">
        <v>22</v>
      </c>
      <c r="D952">
        <v>951</v>
      </c>
      <c r="E952" t="s">
        <v>135</v>
      </c>
      <c r="F952" t="s">
        <v>70</v>
      </c>
      <c r="G952">
        <v>951</v>
      </c>
      <c r="H952">
        <v>1340</v>
      </c>
      <c r="I952">
        <v>37</v>
      </c>
      <c r="J952" t="s">
        <v>133</v>
      </c>
      <c r="K952" t="s">
        <v>95</v>
      </c>
      <c r="L952" t="s">
        <v>51</v>
      </c>
      <c r="M952" t="s">
        <v>28</v>
      </c>
      <c r="N952">
        <v>4.0999999999999996</v>
      </c>
      <c r="O952">
        <v>1</v>
      </c>
      <c r="P952" t="s">
        <v>41</v>
      </c>
      <c r="Q952" t="s">
        <v>30</v>
      </c>
      <c r="R952" t="s">
        <v>30</v>
      </c>
      <c r="S952">
        <v>30</v>
      </c>
      <c r="T952" t="s">
        <v>49</v>
      </c>
      <c r="U952" t="s">
        <v>61</v>
      </c>
      <c r="V952" s="1">
        <v>45301</v>
      </c>
      <c r="W952">
        <f>Table1[[#This Row],[customer_purchase count]]+1</f>
        <v>31</v>
      </c>
      <c r="X952">
        <f>Table1[[#This Row],[customer_purchase count]]*Rules!$B$3</f>
        <v>1792.9307692307693</v>
      </c>
      <c r="Y952" t="str">
        <f>IF(Table1[[#This Row],[customer_subscription]]=1,"Subscribed","Not Subscribed")</f>
        <v>Subscribed</v>
      </c>
    </row>
    <row r="953" spans="1:26" x14ac:dyDescent="0.25">
      <c r="A953">
        <v>952</v>
      </c>
      <c r="B953">
        <v>47</v>
      </c>
      <c r="C953" t="s">
        <v>22</v>
      </c>
      <c r="D953">
        <v>952</v>
      </c>
      <c r="E953" t="s">
        <v>84</v>
      </c>
      <c r="F953" t="s">
        <v>24</v>
      </c>
      <c r="G953">
        <v>952</v>
      </c>
      <c r="H953">
        <v>1341</v>
      </c>
      <c r="I953">
        <v>51</v>
      </c>
      <c r="J953" t="s">
        <v>123</v>
      </c>
      <c r="K953" t="s">
        <v>47</v>
      </c>
      <c r="L953" t="s">
        <v>112</v>
      </c>
      <c r="M953" t="s">
        <v>56</v>
      </c>
      <c r="N953">
        <v>2.9</v>
      </c>
      <c r="O953">
        <v>1</v>
      </c>
      <c r="P953" t="s">
        <v>29</v>
      </c>
      <c r="Q953" t="s">
        <v>30</v>
      </c>
      <c r="R953" t="s">
        <v>30</v>
      </c>
      <c r="S953">
        <v>34</v>
      </c>
      <c r="T953" t="s">
        <v>78</v>
      </c>
      <c r="U953" t="s">
        <v>91</v>
      </c>
      <c r="V953" s="1">
        <v>45455</v>
      </c>
      <c r="W953">
        <f>Table1[[#This Row],[customer_purchase count]]+1</f>
        <v>35</v>
      </c>
      <c r="X953">
        <f>Table1[[#This Row],[customer_purchase count]]*Rules!$B$3</f>
        <v>2031.9882051282052</v>
      </c>
      <c r="Y953" t="str">
        <f>IF(Table1[[#This Row],[customer_subscription]]=1,"Subscribed","Not Subscribed")</f>
        <v>Subscribed</v>
      </c>
      <c r="Z953" t="s">
        <v>193</v>
      </c>
    </row>
    <row r="954" spans="1:26" x14ac:dyDescent="0.25">
      <c r="A954">
        <v>953</v>
      </c>
      <c r="B954">
        <v>36</v>
      </c>
      <c r="C954" t="s">
        <v>22</v>
      </c>
      <c r="D954">
        <v>953</v>
      </c>
      <c r="E954" t="s">
        <v>127</v>
      </c>
      <c r="F954" t="s">
        <v>70</v>
      </c>
      <c r="G954">
        <v>953</v>
      </c>
      <c r="H954">
        <v>1342</v>
      </c>
      <c r="I954">
        <v>71</v>
      </c>
      <c r="J954" t="s">
        <v>138</v>
      </c>
      <c r="K954" t="s">
        <v>39</v>
      </c>
      <c r="L954" t="s">
        <v>111</v>
      </c>
      <c r="M954" t="s">
        <v>60</v>
      </c>
      <c r="N954">
        <v>3.1</v>
      </c>
      <c r="O954">
        <v>1</v>
      </c>
      <c r="P954" t="s">
        <v>73</v>
      </c>
      <c r="Q954" t="s">
        <v>30</v>
      </c>
      <c r="R954" t="s">
        <v>30</v>
      </c>
      <c r="S954">
        <v>28</v>
      </c>
      <c r="T954" t="s">
        <v>49</v>
      </c>
      <c r="U954" t="s">
        <v>91</v>
      </c>
      <c r="V954" s="1">
        <v>45598</v>
      </c>
      <c r="W954">
        <f>Table1[[#This Row],[customer_purchase count]]+1</f>
        <v>29</v>
      </c>
      <c r="X954">
        <f>Table1[[#This Row],[customer_purchase count]]*Rules!$B$3</f>
        <v>1673.4020512820514</v>
      </c>
      <c r="Y954" t="str">
        <f>IF(Table1[[#This Row],[customer_subscription]]=1,"Subscribed","Not Subscribed")</f>
        <v>Subscribed</v>
      </c>
    </row>
    <row r="955" spans="1:26" x14ac:dyDescent="0.25">
      <c r="A955">
        <v>954</v>
      </c>
      <c r="B955">
        <v>68</v>
      </c>
      <c r="C955" t="s">
        <v>22</v>
      </c>
      <c r="D955">
        <v>954</v>
      </c>
      <c r="E955" t="s">
        <v>92</v>
      </c>
      <c r="F955" t="s">
        <v>70</v>
      </c>
      <c r="G955">
        <v>954</v>
      </c>
      <c r="H955">
        <v>1343</v>
      </c>
      <c r="I955">
        <v>50</v>
      </c>
      <c r="J955" t="s">
        <v>143</v>
      </c>
      <c r="K955" t="s">
        <v>39</v>
      </c>
      <c r="L955" t="s">
        <v>112</v>
      </c>
      <c r="M955" t="s">
        <v>40</v>
      </c>
      <c r="N955">
        <v>3.6</v>
      </c>
      <c r="O955">
        <v>1</v>
      </c>
      <c r="P955" t="s">
        <v>73</v>
      </c>
      <c r="Q955" t="s">
        <v>30</v>
      </c>
      <c r="R955" t="s">
        <v>30</v>
      </c>
      <c r="S955">
        <v>36</v>
      </c>
      <c r="T955" t="s">
        <v>31</v>
      </c>
      <c r="U955" t="s">
        <v>61</v>
      </c>
      <c r="V955" s="1">
        <v>45376</v>
      </c>
      <c r="W955">
        <f>Table1[[#This Row],[customer_purchase count]]+1</f>
        <v>37</v>
      </c>
      <c r="X955">
        <f>Table1[[#This Row],[customer_purchase count]]*Rules!$B$3</f>
        <v>2151.5169230769234</v>
      </c>
      <c r="Y955" t="str">
        <f>IF(Table1[[#This Row],[customer_subscription]]=1,"Subscribed","Not Subscribed")</f>
        <v>Subscribed</v>
      </c>
    </row>
    <row r="956" spans="1:26" x14ac:dyDescent="0.25">
      <c r="A956">
        <v>955</v>
      </c>
      <c r="B956">
        <v>60</v>
      </c>
      <c r="C956" t="s">
        <v>22</v>
      </c>
      <c r="D956">
        <v>955</v>
      </c>
      <c r="E956" t="s">
        <v>127</v>
      </c>
      <c r="F956" t="s">
        <v>70</v>
      </c>
      <c r="G956">
        <v>955</v>
      </c>
      <c r="H956">
        <v>1345</v>
      </c>
      <c r="I956">
        <v>74</v>
      </c>
      <c r="J956" t="s">
        <v>63</v>
      </c>
      <c r="K956" t="s">
        <v>39</v>
      </c>
      <c r="L956" t="s">
        <v>51</v>
      </c>
      <c r="M956" t="s">
        <v>60</v>
      </c>
      <c r="N956">
        <v>3.5</v>
      </c>
      <c r="O956">
        <v>1</v>
      </c>
      <c r="P956" t="s">
        <v>57</v>
      </c>
      <c r="Q956" t="s">
        <v>30</v>
      </c>
      <c r="R956" t="s">
        <v>30</v>
      </c>
      <c r="S956">
        <v>18</v>
      </c>
      <c r="T956" t="s">
        <v>42</v>
      </c>
      <c r="U956" t="s">
        <v>100</v>
      </c>
      <c r="V956" s="1">
        <v>45597</v>
      </c>
      <c r="W956">
        <f>Table1[[#This Row],[customer_purchase count]]+1</f>
        <v>19</v>
      </c>
      <c r="X956">
        <f>Table1[[#This Row],[customer_purchase count]]*Rules!$B$3</f>
        <v>1075.7584615384617</v>
      </c>
      <c r="Y956" t="str">
        <f>IF(Table1[[#This Row],[customer_subscription]]=1,"Subscribed","Not Subscribed")</f>
        <v>Subscribed</v>
      </c>
    </row>
    <row r="957" spans="1:26" x14ac:dyDescent="0.25">
      <c r="A957">
        <v>956</v>
      </c>
      <c r="B957">
        <v>55</v>
      </c>
      <c r="C957" t="s">
        <v>22</v>
      </c>
      <c r="D957">
        <v>956</v>
      </c>
      <c r="E957" t="s">
        <v>84</v>
      </c>
      <c r="F957" t="s">
        <v>24</v>
      </c>
      <c r="G957">
        <v>956</v>
      </c>
      <c r="H957">
        <v>1346</v>
      </c>
      <c r="I957">
        <v>75</v>
      </c>
      <c r="J957" t="s">
        <v>94</v>
      </c>
      <c r="K957" t="s">
        <v>26</v>
      </c>
      <c r="L957" t="s">
        <v>96</v>
      </c>
      <c r="M957" t="s">
        <v>56</v>
      </c>
      <c r="N957">
        <v>3.4</v>
      </c>
      <c r="O957">
        <v>1</v>
      </c>
      <c r="P957" t="s">
        <v>41</v>
      </c>
      <c r="Q957" t="s">
        <v>30</v>
      </c>
      <c r="R957" t="s">
        <v>30</v>
      </c>
      <c r="S957">
        <v>4</v>
      </c>
      <c r="T957" t="s">
        <v>49</v>
      </c>
      <c r="U957" t="s">
        <v>91</v>
      </c>
      <c r="V957" s="1">
        <v>45524</v>
      </c>
      <c r="W957">
        <f>Table1[[#This Row],[customer_purchase count]]+1</f>
        <v>5</v>
      </c>
      <c r="X957">
        <f>Table1[[#This Row],[customer_purchase count]]*Rules!$B$3</f>
        <v>239.05743589743591</v>
      </c>
      <c r="Y957" t="str">
        <f>IF(Table1[[#This Row],[customer_subscription]]=1,"Subscribed","Not Subscribed")</f>
        <v>Subscribed</v>
      </c>
    </row>
    <row r="958" spans="1:26" x14ac:dyDescent="0.25">
      <c r="A958">
        <v>957</v>
      </c>
      <c r="B958">
        <v>29</v>
      </c>
      <c r="C958" t="s">
        <v>22</v>
      </c>
      <c r="D958">
        <v>957</v>
      </c>
      <c r="E958" t="s">
        <v>58</v>
      </c>
      <c r="F958" t="s">
        <v>24</v>
      </c>
      <c r="G958">
        <v>957</v>
      </c>
      <c r="H958">
        <v>1347</v>
      </c>
      <c r="I958">
        <v>99</v>
      </c>
      <c r="J958" t="s">
        <v>94</v>
      </c>
      <c r="K958" t="s">
        <v>95</v>
      </c>
      <c r="L958" t="s">
        <v>112</v>
      </c>
      <c r="M958" t="s">
        <v>40</v>
      </c>
      <c r="N958">
        <v>2.9</v>
      </c>
      <c r="O958">
        <v>1</v>
      </c>
      <c r="P958" t="s">
        <v>73</v>
      </c>
      <c r="Q958" t="s">
        <v>30</v>
      </c>
      <c r="R958" t="s">
        <v>30</v>
      </c>
      <c r="S958">
        <v>42</v>
      </c>
      <c r="T958" t="s">
        <v>89</v>
      </c>
      <c r="U958" t="s">
        <v>61</v>
      </c>
      <c r="V958" s="1">
        <v>45383</v>
      </c>
      <c r="W958">
        <f>Table1[[#This Row],[customer_purchase count]]+1</f>
        <v>43</v>
      </c>
      <c r="X958">
        <f>Table1[[#This Row],[customer_purchase count]]*Rules!$B$3</f>
        <v>2510.103076923077</v>
      </c>
      <c r="Y958" t="str">
        <f>IF(Table1[[#This Row],[customer_subscription]]=1,"Subscribed","Not Subscribed")</f>
        <v>Subscribed</v>
      </c>
    </row>
    <row r="959" spans="1:26" x14ac:dyDescent="0.25">
      <c r="A959">
        <v>958</v>
      </c>
      <c r="B959">
        <v>38</v>
      </c>
      <c r="C959" t="s">
        <v>22</v>
      </c>
      <c r="D959">
        <v>958</v>
      </c>
      <c r="E959" t="s">
        <v>122</v>
      </c>
      <c r="F959" t="s">
        <v>70</v>
      </c>
      <c r="G959">
        <v>958</v>
      </c>
      <c r="H959">
        <v>1348</v>
      </c>
      <c r="I959">
        <v>23</v>
      </c>
      <c r="J959" t="s">
        <v>119</v>
      </c>
      <c r="K959" t="s">
        <v>95</v>
      </c>
      <c r="L959" t="s">
        <v>86</v>
      </c>
      <c r="M959" t="s">
        <v>40</v>
      </c>
      <c r="N959">
        <v>4.7</v>
      </c>
      <c r="O959">
        <v>1</v>
      </c>
      <c r="P959" t="s">
        <v>77</v>
      </c>
      <c r="Q959" t="s">
        <v>30</v>
      </c>
      <c r="R959" t="s">
        <v>30</v>
      </c>
      <c r="S959">
        <v>11</v>
      </c>
      <c r="T959" t="s">
        <v>36</v>
      </c>
      <c r="U959" t="s">
        <v>61</v>
      </c>
      <c r="V959" s="1">
        <v>45377</v>
      </c>
      <c r="W959">
        <f>Table1[[#This Row],[customer_purchase count]]+1</f>
        <v>12</v>
      </c>
      <c r="X959">
        <f>Table1[[#This Row],[customer_purchase count]]*Rules!$B$3</f>
        <v>657.40794871794878</v>
      </c>
      <c r="Y959" t="str">
        <f>IF(Table1[[#This Row],[customer_subscription]]=1,"Subscribed","Not Subscribed")</f>
        <v>Subscribed</v>
      </c>
    </row>
    <row r="960" spans="1:26" x14ac:dyDescent="0.25">
      <c r="A960">
        <v>959</v>
      </c>
      <c r="B960">
        <v>70</v>
      </c>
      <c r="C960" t="s">
        <v>22</v>
      </c>
      <c r="D960">
        <v>959</v>
      </c>
      <c r="E960" t="s">
        <v>53</v>
      </c>
      <c r="F960" t="s">
        <v>45</v>
      </c>
      <c r="G960">
        <v>959</v>
      </c>
      <c r="H960">
        <v>1349</v>
      </c>
      <c r="I960">
        <v>53</v>
      </c>
      <c r="J960" t="s">
        <v>152</v>
      </c>
      <c r="K960" t="s">
        <v>95</v>
      </c>
      <c r="L960" t="s">
        <v>121</v>
      </c>
      <c r="M960" t="s">
        <v>28</v>
      </c>
      <c r="N960">
        <v>4.4000000000000004</v>
      </c>
      <c r="O960">
        <v>1</v>
      </c>
      <c r="P960" t="s">
        <v>41</v>
      </c>
      <c r="Q960" t="s">
        <v>30</v>
      </c>
      <c r="R960" t="s">
        <v>30</v>
      </c>
      <c r="S960">
        <v>31</v>
      </c>
      <c r="T960" t="s">
        <v>42</v>
      </c>
      <c r="U960" t="s">
        <v>79</v>
      </c>
      <c r="V960" s="1">
        <v>45311</v>
      </c>
      <c r="W960">
        <f>Table1[[#This Row],[customer_purchase count]]+1</f>
        <v>32</v>
      </c>
      <c r="X960">
        <f>Table1[[#This Row],[customer_purchase count]]*Rules!$B$3</f>
        <v>1852.6951282051282</v>
      </c>
      <c r="Y960" t="str">
        <f>IF(Table1[[#This Row],[customer_subscription]]=1,"Subscribed","Not Subscribed")</f>
        <v>Subscribed</v>
      </c>
    </row>
    <row r="961" spans="1:26" x14ac:dyDescent="0.25">
      <c r="A961">
        <v>960</v>
      </c>
      <c r="B961">
        <v>36</v>
      </c>
      <c r="C961" t="s">
        <v>22</v>
      </c>
      <c r="D961">
        <v>960</v>
      </c>
      <c r="E961" t="s">
        <v>90</v>
      </c>
      <c r="F961" t="s">
        <v>24</v>
      </c>
      <c r="G961">
        <v>960</v>
      </c>
      <c r="H961">
        <v>1351</v>
      </c>
      <c r="I961">
        <v>99</v>
      </c>
      <c r="J961" t="s">
        <v>110</v>
      </c>
      <c r="K961" t="s">
        <v>47</v>
      </c>
      <c r="L961" t="s">
        <v>112</v>
      </c>
      <c r="M961" t="s">
        <v>40</v>
      </c>
      <c r="N961">
        <v>2.6</v>
      </c>
      <c r="O961">
        <v>1</v>
      </c>
      <c r="P961" t="s">
        <v>57</v>
      </c>
      <c r="Q961" t="s">
        <v>30</v>
      </c>
      <c r="R961" t="s">
        <v>30</v>
      </c>
      <c r="S961">
        <v>12</v>
      </c>
      <c r="T961" t="s">
        <v>36</v>
      </c>
      <c r="U961" t="s">
        <v>32</v>
      </c>
      <c r="V961" s="1">
        <v>45387</v>
      </c>
      <c r="W961">
        <f>Table1[[#This Row],[customer_purchase count]]+1</f>
        <v>13</v>
      </c>
      <c r="X961">
        <f>Table1[[#This Row],[customer_purchase count]]*Rules!$B$3</f>
        <v>717.17230769230775</v>
      </c>
      <c r="Y961" t="str">
        <f>IF(Table1[[#This Row],[customer_subscription]]=1,"Subscribed","Not Subscribed")</f>
        <v>Subscribed</v>
      </c>
    </row>
    <row r="962" spans="1:26" x14ac:dyDescent="0.25">
      <c r="A962">
        <v>961</v>
      </c>
      <c r="B962">
        <v>18</v>
      </c>
      <c r="C962" t="s">
        <v>22</v>
      </c>
      <c r="D962">
        <v>961</v>
      </c>
      <c r="E962" t="s">
        <v>109</v>
      </c>
      <c r="F962" t="s">
        <v>70</v>
      </c>
      <c r="G962">
        <v>961</v>
      </c>
      <c r="H962">
        <v>1352</v>
      </c>
      <c r="I962">
        <v>48</v>
      </c>
      <c r="J962" t="s">
        <v>63</v>
      </c>
      <c r="K962" t="s">
        <v>95</v>
      </c>
      <c r="L962" t="s">
        <v>129</v>
      </c>
      <c r="M962" t="s">
        <v>40</v>
      </c>
      <c r="N962">
        <v>4.4000000000000004</v>
      </c>
      <c r="O962">
        <v>1</v>
      </c>
      <c r="P962" t="s">
        <v>57</v>
      </c>
      <c r="Q962" t="s">
        <v>30</v>
      </c>
      <c r="R962" t="s">
        <v>30</v>
      </c>
      <c r="S962">
        <v>20</v>
      </c>
      <c r="T962" t="s">
        <v>31</v>
      </c>
      <c r="U962" t="s">
        <v>61</v>
      </c>
      <c r="V962" s="1">
        <v>45429</v>
      </c>
      <c r="W962">
        <f>Table1[[#This Row],[customer_purchase count]]+1</f>
        <v>21</v>
      </c>
      <c r="X962">
        <f>Table1[[#This Row],[customer_purchase count]]*Rules!$B$3</f>
        <v>1195.2871794871796</v>
      </c>
      <c r="Y962" t="str">
        <f>IF(Table1[[#This Row],[customer_subscription]]=1,"Subscribed","Not Subscribed")</f>
        <v>Subscribed</v>
      </c>
    </row>
    <row r="963" spans="1:26" x14ac:dyDescent="0.25">
      <c r="A963">
        <v>962</v>
      </c>
      <c r="B963">
        <v>62</v>
      </c>
      <c r="C963" t="s">
        <v>22</v>
      </c>
      <c r="D963">
        <v>962</v>
      </c>
      <c r="E963" t="s">
        <v>140</v>
      </c>
      <c r="F963" t="s">
        <v>45</v>
      </c>
      <c r="G963">
        <v>962</v>
      </c>
      <c r="H963">
        <v>1353</v>
      </c>
      <c r="I963">
        <v>72</v>
      </c>
      <c r="J963" t="s">
        <v>141</v>
      </c>
      <c r="K963" t="s">
        <v>26</v>
      </c>
      <c r="L963" t="s">
        <v>81</v>
      </c>
      <c r="M963" t="s">
        <v>60</v>
      </c>
      <c r="N963">
        <v>3.7</v>
      </c>
      <c r="O963">
        <v>1</v>
      </c>
      <c r="P963" t="s">
        <v>48</v>
      </c>
      <c r="Q963" t="s">
        <v>30</v>
      </c>
      <c r="R963" t="s">
        <v>30</v>
      </c>
      <c r="S963">
        <v>37</v>
      </c>
      <c r="T963" t="s">
        <v>89</v>
      </c>
      <c r="U963" t="s">
        <v>61</v>
      </c>
      <c r="V963" s="1">
        <v>45549</v>
      </c>
      <c r="W963">
        <f>Table1[[#This Row],[customer_purchase count]]+1</f>
        <v>38</v>
      </c>
      <c r="X963">
        <f>Table1[[#This Row],[customer_purchase count]]*Rules!$B$3</f>
        <v>2211.2812820512822</v>
      </c>
      <c r="Y963" t="str">
        <f>IF(Table1[[#This Row],[customer_subscription]]=1,"Subscribed","Not Subscribed")</f>
        <v>Subscribed</v>
      </c>
    </row>
    <row r="964" spans="1:26" x14ac:dyDescent="0.25">
      <c r="A964">
        <v>963</v>
      </c>
      <c r="B964">
        <v>29</v>
      </c>
      <c r="C964" t="s">
        <v>22</v>
      </c>
      <c r="D964">
        <v>963</v>
      </c>
      <c r="E964" t="s">
        <v>92</v>
      </c>
      <c r="F964" t="s">
        <v>70</v>
      </c>
      <c r="G964">
        <v>963</v>
      </c>
      <c r="H964">
        <v>1354</v>
      </c>
      <c r="I964">
        <v>64</v>
      </c>
      <c r="J964" t="s">
        <v>154</v>
      </c>
      <c r="K964" t="s">
        <v>26</v>
      </c>
      <c r="L964" t="s">
        <v>99</v>
      </c>
      <c r="M964" t="s">
        <v>40</v>
      </c>
      <c r="N964">
        <v>4.4000000000000004</v>
      </c>
      <c r="O964">
        <v>1</v>
      </c>
      <c r="P964" t="s">
        <v>57</v>
      </c>
      <c r="Q964" t="s">
        <v>30</v>
      </c>
      <c r="R964" t="s">
        <v>30</v>
      </c>
      <c r="S964">
        <v>26</v>
      </c>
      <c r="T964" t="s">
        <v>89</v>
      </c>
      <c r="U964" t="s">
        <v>32</v>
      </c>
      <c r="V964" s="1">
        <v>45356</v>
      </c>
      <c r="W964">
        <f>Table1[[#This Row],[customer_purchase count]]+1</f>
        <v>27</v>
      </c>
      <c r="X964">
        <f>Table1[[#This Row],[customer_purchase count]]*Rules!$B$3</f>
        <v>1553.8733333333334</v>
      </c>
      <c r="Y964" t="str">
        <f>IF(Table1[[#This Row],[customer_subscription]]=1,"Subscribed","Not Subscribed")</f>
        <v>Subscribed</v>
      </c>
    </row>
    <row r="965" spans="1:26" x14ac:dyDescent="0.25">
      <c r="A965">
        <v>964</v>
      </c>
      <c r="B965">
        <v>21</v>
      </c>
      <c r="C965" t="s">
        <v>22</v>
      </c>
      <c r="D965">
        <v>964</v>
      </c>
      <c r="E965" t="s">
        <v>140</v>
      </c>
      <c r="F965" t="s">
        <v>45</v>
      </c>
      <c r="G965">
        <v>964</v>
      </c>
      <c r="H965">
        <v>1355</v>
      </c>
      <c r="I965">
        <v>63</v>
      </c>
      <c r="J965" t="s">
        <v>134</v>
      </c>
      <c r="K965" t="s">
        <v>26</v>
      </c>
      <c r="L965" t="s">
        <v>99</v>
      </c>
      <c r="M965" t="s">
        <v>40</v>
      </c>
      <c r="N965">
        <v>2.5</v>
      </c>
      <c r="O965">
        <v>1</v>
      </c>
      <c r="P965" t="s">
        <v>73</v>
      </c>
      <c r="Q965" t="s">
        <v>30</v>
      </c>
      <c r="R965" t="s">
        <v>30</v>
      </c>
      <c r="S965">
        <v>14</v>
      </c>
      <c r="T965" t="s">
        <v>42</v>
      </c>
      <c r="U965" t="s">
        <v>43</v>
      </c>
      <c r="V965" s="1">
        <v>45360</v>
      </c>
      <c r="W965">
        <f>Table1[[#This Row],[customer_purchase count]]+1</f>
        <v>15</v>
      </c>
      <c r="X965">
        <f>Table1[[#This Row],[customer_purchase count]]*Rules!$B$3</f>
        <v>836.70102564102569</v>
      </c>
      <c r="Y965" t="str">
        <f>IF(Table1[[#This Row],[customer_subscription]]=1,"Subscribed","Not Subscribed")</f>
        <v>Subscribed</v>
      </c>
      <c r="Z965" t="s">
        <v>187</v>
      </c>
    </row>
    <row r="966" spans="1:26" x14ac:dyDescent="0.25">
      <c r="A966">
        <v>965</v>
      </c>
      <c r="B966">
        <v>42</v>
      </c>
      <c r="C966" t="s">
        <v>22</v>
      </c>
      <c r="D966">
        <v>965</v>
      </c>
      <c r="E966" t="s">
        <v>44</v>
      </c>
      <c r="F966" t="s">
        <v>45</v>
      </c>
      <c r="G966">
        <v>965</v>
      </c>
      <c r="H966">
        <v>1357</v>
      </c>
      <c r="I966">
        <v>51</v>
      </c>
      <c r="J966" t="s">
        <v>120</v>
      </c>
      <c r="K966" t="s">
        <v>47</v>
      </c>
      <c r="L966" t="s">
        <v>121</v>
      </c>
      <c r="M966" t="s">
        <v>40</v>
      </c>
      <c r="N966">
        <v>2.6</v>
      </c>
      <c r="O966">
        <v>1</v>
      </c>
      <c r="P966" t="s">
        <v>48</v>
      </c>
      <c r="Q966" t="s">
        <v>30</v>
      </c>
      <c r="R966" t="s">
        <v>30</v>
      </c>
      <c r="S966">
        <v>12</v>
      </c>
      <c r="T966" t="s">
        <v>31</v>
      </c>
      <c r="U966" t="s">
        <v>79</v>
      </c>
      <c r="V966" s="1">
        <v>45388</v>
      </c>
      <c r="W966">
        <f>Table1[[#This Row],[customer_purchase count]]+1</f>
        <v>13</v>
      </c>
      <c r="X966">
        <f>Table1[[#This Row],[customer_purchase count]]*Rules!$B$3</f>
        <v>717.17230769230775</v>
      </c>
      <c r="Y966" t="str">
        <f>IF(Table1[[#This Row],[customer_subscription]]=1,"Subscribed","Not Subscribed")</f>
        <v>Subscribed</v>
      </c>
    </row>
    <row r="967" spans="1:26" x14ac:dyDescent="0.25">
      <c r="A967">
        <v>966</v>
      </c>
      <c r="B967">
        <v>43</v>
      </c>
      <c r="C967" t="s">
        <v>22</v>
      </c>
      <c r="D967">
        <v>966</v>
      </c>
      <c r="E967" t="s">
        <v>140</v>
      </c>
      <c r="F967" t="s">
        <v>45</v>
      </c>
      <c r="G967">
        <v>966</v>
      </c>
      <c r="H967">
        <v>1358</v>
      </c>
      <c r="I967">
        <v>55</v>
      </c>
      <c r="J967" t="s">
        <v>82</v>
      </c>
      <c r="K967" t="s">
        <v>26</v>
      </c>
      <c r="L967" t="s">
        <v>97</v>
      </c>
      <c r="M967" t="s">
        <v>40</v>
      </c>
      <c r="N967">
        <v>5</v>
      </c>
      <c r="O967">
        <v>1</v>
      </c>
      <c r="P967" t="s">
        <v>77</v>
      </c>
      <c r="Q967" t="s">
        <v>30</v>
      </c>
      <c r="R967" t="s">
        <v>30</v>
      </c>
      <c r="S967">
        <v>10</v>
      </c>
      <c r="T967" t="s">
        <v>42</v>
      </c>
      <c r="U967" t="s">
        <v>52</v>
      </c>
      <c r="V967" s="1">
        <v>45384</v>
      </c>
      <c r="W967">
        <f>Table1[[#This Row],[customer_purchase count]]+1</f>
        <v>11</v>
      </c>
      <c r="X967">
        <f>Table1[[#This Row],[customer_purchase count]]*Rules!$B$3</f>
        <v>597.64358974358981</v>
      </c>
      <c r="Y967" t="str">
        <f>IF(Table1[[#This Row],[customer_subscription]]=1,"Subscribed","Not Subscribed")</f>
        <v>Subscribed</v>
      </c>
    </row>
    <row r="968" spans="1:26" x14ac:dyDescent="0.25">
      <c r="A968">
        <v>967</v>
      </c>
      <c r="B968">
        <v>58</v>
      </c>
      <c r="C968" t="s">
        <v>22</v>
      </c>
      <c r="D968">
        <v>967</v>
      </c>
      <c r="E968" t="s">
        <v>84</v>
      </c>
      <c r="F968" t="s">
        <v>24</v>
      </c>
      <c r="G968">
        <v>967</v>
      </c>
      <c r="H968">
        <v>1359</v>
      </c>
      <c r="I968">
        <v>55</v>
      </c>
      <c r="J968" t="s">
        <v>25</v>
      </c>
      <c r="K968" t="s">
        <v>47</v>
      </c>
      <c r="L968" t="s">
        <v>113</v>
      </c>
      <c r="M968" t="s">
        <v>40</v>
      </c>
      <c r="N968">
        <v>4.9000000000000004</v>
      </c>
      <c r="O968">
        <v>1</v>
      </c>
      <c r="P968" t="s">
        <v>29</v>
      </c>
      <c r="Q968" t="s">
        <v>30</v>
      </c>
      <c r="R968" t="s">
        <v>30</v>
      </c>
      <c r="S968">
        <v>19</v>
      </c>
      <c r="T968" t="s">
        <v>36</v>
      </c>
      <c r="U968" t="s">
        <v>52</v>
      </c>
      <c r="V968" s="1">
        <v>45432</v>
      </c>
      <c r="W968">
        <f>Table1[[#This Row],[customer_purchase count]]+1</f>
        <v>20</v>
      </c>
      <c r="X968">
        <f>Table1[[#This Row],[customer_purchase count]]*Rules!$B$3</f>
        <v>1135.5228205128205</v>
      </c>
      <c r="Y968" t="str">
        <f>IF(Table1[[#This Row],[customer_subscription]]=1,"Subscribed","Not Subscribed")</f>
        <v>Subscribed</v>
      </c>
    </row>
    <row r="969" spans="1:26" x14ac:dyDescent="0.25">
      <c r="A969">
        <v>968</v>
      </c>
      <c r="B969">
        <v>27</v>
      </c>
      <c r="C969" t="s">
        <v>22</v>
      </c>
      <c r="D969">
        <v>968</v>
      </c>
      <c r="E969" t="s">
        <v>107</v>
      </c>
      <c r="F969" t="s">
        <v>24</v>
      </c>
      <c r="G969">
        <v>968</v>
      </c>
      <c r="H969">
        <v>1360</v>
      </c>
      <c r="I969">
        <v>26</v>
      </c>
      <c r="J969" t="s">
        <v>145</v>
      </c>
      <c r="K969" t="s">
        <v>39</v>
      </c>
      <c r="L969" t="s">
        <v>68</v>
      </c>
      <c r="M969" t="s">
        <v>56</v>
      </c>
      <c r="N969">
        <v>3.7</v>
      </c>
      <c r="O969">
        <v>1</v>
      </c>
      <c r="P969" t="s">
        <v>77</v>
      </c>
      <c r="Q969" t="s">
        <v>30</v>
      </c>
      <c r="R969" t="s">
        <v>30</v>
      </c>
      <c r="S969">
        <v>4</v>
      </c>
      <c r="T969" t="s">
        <v>36</v>
      </c>
      <c r="U969" t="s">
        <v>43</v>
      </c>
      <c r="V969" s="1">
        <v>45470</v>
      </c>
      <c r="W969">
        <f>Table1[[#This Row],[customer_purchase count]]+1</f>
        <v>5</v>
      </c>
      <c r="X969">
        <f>Table1[[#This Row],[customer_purchase count]]*Rules!$B$3</f>
        <v>239.05743589743591</v>
      </c>
      <c r="Y969" t="str">
        <f>IF(Table1[[#This Row],[customer_subscription]]=1,"Subscribed","Not Subscribed")</f>
        <v>Subscribed</v>
      </c>
    </row>
    <row r="970" spans="1:26" x14ac:dyDescent="0.25">
      <c r="A970">
        <v>969</v>
      </c>
      <c r="B970">
        <v>57</v>
      </c>
      <c r="C970" t="s">
        <v>22</v>
      </c>
      <c r="D970">
        <v>969</v>
      </c>
      <c r="E970" t="s">
        <v>62</v>
      </c>
      <c r="F970" t="s">
        <v>24</v>
      </c>
      <c r="G970">
        <v>969</v>
      </c>
      <c r="H970">
        <v>1361</v>
      </c>
      <c r="I970">
        <v>67</v>
      </c>
      <c r="J970" t="s">
        <v>101</v>
      </c>
      <c r="K970" t="s">
        <v>26</v>
      </c>
      <c r="L970" t="s">
        <v>27</v>
      </c>
      <c r="M970" t="s">
        <v>56</v>
      </c>
      <c r="N970">
        <v>3.1</v>
      </c>
      <c r="O970">
        <v>1</v>
      </c>
      <c r="P970" t="s">
        <v>48</v>
      </c>
      <c r="Q970" t="s">
        <v>30</v>
      </c>
      <c r="R970" t="s">
        <v>30</v>
      </c>
      <c r="S970">
        <v>48</v>
      </c>
      <c r="T970" t="s">
        <v>78</v>
      </c>
      <c r="U970" t="s">
        <v>61</v>
      </c>
      <c r="V970" s="1">
        <v>45520</v>
      </c>
      <c r="W970">
        <f>Table1[[#This Row],[customer_purchase count]]+1</f>
        <v>49</v>
      </c>
      <c r="X970">
        <f>Table1[[#This Row],[customer_purchase count]]*Rules!$B$3</f>
        <v>2868.689230769231</v>
      </c>
      <c r="Y970" t="str">
        <f>IF(Table1[[#This Row],[customer_subscription]]=1,"Subscribed","Not Subscribed")</f>
        <v>Subscribed</v>
      </c>
      <c r="Z970" t="s">
        <v>193</v>
      </c>
    </row>
    <row r="971" spans="1:26" x14ac:dyDescent="0.25">
      <c r="A971">
        <v>970</v>
      </c>
      <c r="B971">
        <v>40</v>
      </c>
      <c r="C971" t="s">
        <v>22</v>
      </c>
      <c r="D971">
        <v>970</v>
      </c>
      <c r="E971" t="s">
        <v>65</v>
      </c>
      <c r="F971" t="s">
        <v>66</v>
      </c>
      <c r="G971">
        <v>970</v>
      </c>
      <c r="H971">
        <v>1363</v>
      </c>
      <c r="I971">
        <v>31</v>
      </c>
      <c r="J971" t="s">
        <v>102</v>
      </c>
      <c r="K971" t="s">
        <v>39</v>
      </c>
      <c r="L971" t="s">
        <v>72</v>
      </c>
      <c r="M971" t="s">
        <v>60</v>
      </c>
      <c r="N971">
        <v>3.2</v>
      </c>
      <c r="O971">
        <v>1</v>
      </c>
      <c r="P971" t="s">
        <v>29</v>
      </c>
      <c r="Q971" t="s">
        <v>30</v>
      </c>
      <c r="R971" t="s">
        <v>30</v>
      </c>
      <c r="S971">
        <v>37</v>
      </c>
      <c r="T971" t="s">
        <v>49</v>
      </c>
      <c r="U971" t="s">
        <v>91</v>
      </c>
      <c r="V971" s="1">
        <v>45585</v>
      </c>
      <c r="W971">
        <f>Table1[[#This Row],[customer_purchase count]]+1</f>
        <v>38</v>
      </c>
      <c r="X971">
        <f>Table1[[#This Row],[customer_purchase count]]*Rules!$B$3</f>
        <v>2211.2812820512822</v>
      </c>
      <c r="Y971" t="str">
        <f>IF(Table1[[#This Row],[customer_subscription]]=1,"Subscribed","Not Subscribed")</f>
        <v>Subscribed</v>
      </c>
      <c r="Z971" t="s">
        <v>193</v>
      </c>
    </row>
    <row r="972" spans="1:26" x14ac:dyDescent="0.25">
      <c r="A972">
        <v>971</v>
      </c>
      <c r="B972">
        <v>45</v>
      </c>
      <c r="C972" t="s">
        <v>22</v>
      </c>
      <c r="D972">
        <v>971</v>
      </c>
      <c r="E972" t="s">
        <v>37</v>
      </c>
      <c r="F972" t="s">
        <v>24</v>
      </c>
      <c r="G972">
        <v>971</v>
      </c>
      <c r="H972">
        <v>1364</v>
      </c>
      <c r="I972">
        <v>66</v>
      </c>
      <c r="J972" t="s">
        <v>102</v>
      </c>
      <c r="K972" t="s">
        <v>39</v>
      </c>
      <c r="L972" t="s">
        <v>35</v>
      </c>
      <c r="M972" t="s">
        <v>28</v>
      </c>
      <c r="N972">
        <v>4.4000000000000004</v>
      </c>
      <c r="O972">
        <v>1</v>
      </c>
      <c r="P972" t="s">
        <v>41</v>
      </c>
      <c r="Q972" t="s">
        <v>30</v>
      </c>
      <c r="R972" t="s">
        <v>30</v>
      </c>
      <c r="S972">
        <v>4</v>
      </c>
      <c r="T972" t="s">
        <v>36</v>
      </c>
      <c r="U972" t="s">
        <v>91</v>
      </c>
      <c r="V972" s="1">
        <v>45631</v>
      </c>
      <c r="W972">
        <f>Table1[[#This Row],[customer_purchase count]]+1</f>
        <v>5</v>
      </c>
      <c r="X972">
        <f>Table1[[#This Row],[customer_purchase count]]*Rules!$B$3</f>
        <v>239.05743589743591</v>
      </c>
      <c r="Y972" t="str">
        <f>IF(Table1[[#This Row],[customer_subscription]]=1,"Subscribed","Not Subscribed")</f>
        <v>Subscribed</v>
      </c>
    </row>
    <row r="973" spans="1:26" x14ac:dyDescent="0.25">
      <c r="A973">
        <v>972</v>
      </c>
      <c r="B973">
        <v>47</v>
      </c>
      <c r="C973" t="s">
        <v>22</v>
      </c>
      <c r="D973">
        <v>972</v>
      </c>
      <c r="E973" t="s">
        <v>92</v>
      </c>
      <c r="F973" t="s">
        <v>70</v>
      </c>
      <c r="G973">
        <v>972</v>
      </c>
      <c r="H973">
        <v>1365</v>
      </c>
      <c r="I973">
        <v>67</v>
      </c>
      <c r="J973" t="s">
        <v>119</v>
      </c>
      <c r="K973" t="s">
        <v>47</v>
      </c>
      <c r="L973" t="s">
        <v>112</v>
      </c>
      <c r="M973" t="s">
        <v>56</v>
      </c>
      <c r="N973">
        <v>4.3</v>
      </c>
      <c r="O973">
        <v>1</v>
      </c>
      <c r="P973" t="s">
        <v>48</v>
      </c>
      <c r="Q973" t="s">
        <v>30</v>
      </c>
      <c r="R973" t="s">
        <v>30</v>
      </c>
      <c r="S973">
        <v>15</v>
      </c>
      <c r="T973" t="s">
        <v>42</v>
      </c>
      <c r="U973" t="s">
        <v>43</v>
      </c>
      <c r="V973" s="1">
        <v>45519</v>
      </c>
      <c r="W973">
        <f>Table1[[#This Row],[customer_purchase count]]+1</f>
        <v>16</v>
      </c>
      <c r="X973">
        <f>Table1[[#This Row],[customer_purchase count]]*Rules!$B$3</f>
        <v>896.46538461538466</v>
      </c>
      <c r="Y973" t="str">
        <f>IF(Table1[[#This Row],[customer_subscription]]=1,"Subscribed","Not Subscribed")</f>
        <v>Subscribed</v>
      </c>
    </row>
    <row r="974" spans="1:26" x14ac:dyDescent="0.25">
      <c r="A974">
        <v>973</v>
      </c>
      <c r="B974">
        <v>61</v>
      </c>
      <c r="C974" t="s">
        <v>22</v>
      </c>
      <c r="D974">
        <v>973</v>
      </c>
      <c r="E974" t="s">
        <v>53</v>
      </c>
      <c r="F974" t="s">
        <v>45</v>
      </c>
      <c r="G974">
        <v>973</v>
      </c>
      <c r="H974">
        <v>1366</v>
      </c>
      <c r="I974">
        <v>61</v>
      </c>
      <c r="J974" t="s">
        <v>115</v>
      </c>
      <c r="K974" t="s">
        <v>26</v>
      </c>
      <c r="L974" t="s">
        <v>83</v>
      </c>
      <c r="M974" t="s">
        <v>28</v>
      </c>
      <c r="N974">
        <v>3</v>
      </c>
      <c r="O974">
        <v>1</v>
      </c>
      <c r="P974" t="s">
        <v>57</v>
      </c>
      <c r="Q974" t="s">
        <v>30</v>
      </c>
      <c r="R974" t="s">
        <v>30</v>
      </c>
      <c r="S974">
        <v>33</v>
      </c>
      <c r="T974" t="s">
        <v>42</v>
      </c>
      <c r="U974" t="s">
        <v>43</v>
      </c>
      <c r="V974" s="1">
        <v>45337</v>
      </c>
      <c r="W974">
        <f>Table1[[#This Row],[customer_purchase count]]+1</f>
        <v>34</v>
      </c>
      <c r="X974">
        <f>Table1[[#This Row],[customer_purchase count]]*Rules!$B$3</f>
        <v>1972.2238461538464</v>
      </c>
      <c r="Y974" t="str">
        <f>IF(Table1[[#This Row],[customer_subscription]]=1,"Subscribed","Not Subscribed")</f>
        <v>Subscribed</v>
      </c>
    </row>
    <row r="975" spans="1:26" x14ac:dyDescent="0.25">
      <c r="A975">
        <v>974</v>
      </c>
      <c r="B975">
        <v>60</v>
      </c>
      <c r="C975" t="s">
        <v>22</v>
      </c>
      <c r="D975">
        <v>974</v>
      </c>
      <c r="E975" t="s">
        <v>105</v>
      </c>
      <c r="F975" t="s">
        <v>66</v>
      </c>
      <c r="G975">
        <v>974</v>
      </c>
      <c r="H975">
        <v>1367</v>
      </c>
      <c r="I975">
        <v>75</v>
      </c>
      <c r="J975" t="s">
        <v>115</v>
      </c>
      <c r="K975" t="s">
        <v>47</v>
      </c>
      <c r="L975" t="s">
        <v>88</v>
      </c>
      <c r="M975" t="s">
        <v>60</v>
      </c>
      <c r="N975">
        <v>3.5</v>
      </c>
      <c r="O975">
        <v>1</v>
      </c>
      <c r="P975" t="s">
        <v>73</v>
      </c>
      <c r="Q975" t="s">
        <v>30</v>
      </c>
      <c r="R975" t="s">
        <v>30</v>
      </c>
      <c r="S975">
        <v>30</v>
      </c>
      <c r="T975" t="s">
        <v>78</v>
      </c>
      <c r="U975" t="s">
        <v>61</v>
      </c>
      <c r="V975" s="1">
        <v>45554</v>
      </c>
      <c r="W975">
        <f>Table1[[#This Row],[customer_purchase count]]+1</f>
        <v>31</v>
      </c>
      <c r="X975">
        <f>Table1[[#This Row],[customer_purchase count]]*Rules!$B$3</f>
        <v>1792.9307692307693</v>
      </c>
      <c r="Y975" t="str">
        <f>IF(Table1[[#This Row],[customer_subscription]]=1,"Subscribed","Not Subscribed")</f>
        <v>Subscribed</v>
      </c>
    </row>
    <row r="976" spans="1:26" x14ac:dyDescent="0.25">
      <c r="A976">
        <v>975</v>
      </c>
      <c r="B976">
        <v>69</v>
      </c>
      <c r="C976" t="s">
        <v>22</v>
      </c>
      <c r="D976">
        <v>975</v>
      </c>
      <c r="E976" t="s">
        <v>90</v>
      </c>
      <c r="F976" t="s">
        <v>24</v>
      </c>
      <c r="G976">
        <v>975</v>
      </c>
      <c r="H976">
        <v>1369</v>
      </c>
      <c r="I976">
        <v>90</v>
      </c>
      <c r="J976" t="s">
        <v>101</v>
      </c>
      <c r="K976" t="s">
        <v>47</v>
      </c>
      <c r="L976" t="s">
        <v>121</v>
      </c>
      <c r="M976" t="s">
        <v>40</v>
      </c>
      <c r="N976">
        <v>3.6</v>
      </c>
      <c r="O976">
        <v>1</v>
      </c>
      <c r="P976" t="s">
        <v>73</v>
      </c>
      <c r="Q976" t="s">
        <v>30</v>
      </c>
      <c r="R976" t="s">
        <v>30</v>
      </c>
      <c r="S976">
        <v>23</v>
      </c>
      <c r="T976" t="s">
        <v>78</v>
      </c>
      <c r="U976" t="s">
        <v>91</v>
      </c>
      <c r="V976" s="1">
        <v>45374</v>
      </c>
      <c r="W976">
        <f>Table1[[#This Row],[customer_purchase count]]+1</f>
        <v>24</v>
      </c>
      <c r="X976">
        <f>Table1[[#This Row],[customer_purchase count]]*Rules!$B$3</f>
        <v>1374.5802564102564</v>
      </c>
      <c r="Y976" t="str">
        <f>IF(Table1[[#This Row],[customer_subscription]]=1,"Subscribed","Not Subscribed")</f>
        <v>Subscribed</v>
      </c>
    </row>
    <row r="977" spans="1:26" x14ac:dyDescent="0.25">
      <c r="A977">
        <v>976</v>
      </c>
      <c r="B977">
        <v>58</v>
      </c>
      <c r="C977" t="s">
        <v>22</v>
      </c>
      <c r="D977">
        <v>976</v>
      </c>
      <c r="E977" t="s">
        <v>33</v>
      </c>
      <c r="F977" t="s">
        <v>24</v>
      </c>
      <c r="G977">
        <v>976</v>
      </c>
      <c r="H977">
        <v>1370</v>
      </c>
      <c r="I977">
        <v>40</v>
      </c>
      <c r="J977" t="s">
        <v>152</v>
      </c>
      <c r="K977" t="s">
        <v>47</v>
      </c>
      <c r="L977" t="s">
        <v>81</v>
      </c>
      <c r="M977" t="s">
        <v>56</v>
      </c>
      <c r="N977">
        <v>3.8</v>
      </c>
      <c r="O977">
        <v>1</v>
      </c>
      <c r="P977" t="s">
        <v>73</v>
      </c>
      <c r="Q977" t="s">
        <v>30</v>
      </c>
      <c r="R977" t="s">
        <v>30</v>
      </c>
      <c r="S977">
        <v>2</v>
      </c>
      <c r="T977" t="s">
        <v>78</v>
      </c>
      <c r="U977" t="s">
        <v>43</v>
      </c>
      <c r="V977" s="1">
        <v>45475</v>
      </c>
      <c r="W977">
        <f>Table1[[#This Row],[customer_purchase count]]+1</f>
        <v>3</v>
      </c>
      <c r="X977">
        <f>Table1[[#This Row],[customer_purchase count]]*Rules!$B$3</f>
        <v>119.52871794871795</v>
      </c>
      <c r="Y977" t="str">
        <f>IF(Table1[[#This Row],[customer_subscription]]=1,"Subscribed","Not Subscribed")</f>
        <v>Subscribed</v>
      </c>
    </row>
    <row r="978" spans="1:26" x14ac:dyDescent="0.25">
      <c r="A978">
        <v>977</v>
      </c>
      <c r="B978">
        <v>34</v>
      </c>
      <c r="C978" t="s">
        <v>22</v>
      </c>
      <c r="D978">
        <v>977</v>
      </c>
      <c r="E978" t="s">
        <v>116</v>
      </c>
      <c r="F978" t="s">
        <v>24</v>
      </c>
      <c r="G978">
        <v>977</v>
      </c>
      <c r="H978">
        <v>1371</v>
      </c>
      <c r="I978">
        <v>90</v>
      </c>
      <c r="J978" t="s">
        <v>106</v>
      </c>
      <c r="K978" t="s">
        <v>47</v>
      </c>
      <c r="L978" t="s">
        <v>27</v>
      </c>
      <c r="M978" t="s">
        <v>60</v>
      </c>
      <c r="N978">
        <v>3.6</v>
      </c>
      <c r="O978">
        <v>1</v>
      </c>
      <c r="P978" t="s">
        <v>29</v>
      </c>
      <c r="Q978" t="s">
        <v>30</v>
      </c>
      <c r="R978" t="s">
        <v>30</v>
      </c>
      <c r="S978">
        <v>50</v>
      </c>
      <c r="T978" t="s">
        <v>42</v>
      </c>
      <c r="U978" t="s">
        <v>100</v>
      </c>
      <c r="V978" s="1">
        <v>45585</v>
      </c>
      <c r="W978">
        <f>Table1[[#This Row],[customer_purchase count]]+1</f>
        <v>51</v>
      </c>
      <c r="X978">
        <f>Table1[[#This Row],[customer_purchase count]]*Rules!$B$3</f>
        <v>2988.2179487179487</v>
      </c>
      <c r="Y978" t="str">
        <f>IF(Table1[[#This Row],[customer_subscription]]=1,"Subscribed","Not Subscribed")</f>
        <v>Subscribed</v>
      </c>
      <c r="Z978" t="s">
        <v>193</v>
      </c>
    </row>
    <row r="979" spans="1:26" x14ac:dyDescent="0.25">
      <c r="A979">
        <v>978</v>
      </c>
      <c r="B979">
        <v>20</v>
      </c>
      <c r="C979" t="s">
        <v>22</v>
      </c>
      <c r="D979">
        <v>978</v>
      </c>
      <c r="E979" t="s">
        <v>136</v>
      </c>
      <c r="F979" t="s">
        <v>70</v>
      </c>
      <c r="G979">
        <v>978</v>
      </c>
      <c r="H979">
        <v>1372</v>
      </c>
      <c r="I979">
        <v>20</v>
      </c>
      <c r="J979" t="s">
        <v>152</v>
      </c>
      <c r="K979" t="s">
        <v>47</v>
      </c>
      <c r="L979" t="s">
        <v>97</v>
      </c>
      <c r="M979" t="s">
        <v>40</v>
      </c>
      <c r="N979">
        <v>4.5999999999999996</v>
      </c>
      <c r="O979">
        <v>1</v>
      </c>
      <c r="P979" t="s">
        <v>29</v>
      </c>
      <c r="Q979" t="s">
        <v>30</v>
      </c>
      <c r="R979" t="s">
        <v>30</v>
      </c>
      <c r="S979">
        <v>34</v>
      </c>
      <c r="T979" t="s">
        <v>36</v>
      </c>
      <c r="U979" t="s">
        <v>79</v>
      </c>
      <c r="V979" s="1">
        <v>45354</v>
      </c>
      <c r="W979">
        <f>Table1[[#This Row],[customer_purchase count]]+1</f>
        <v>35</v>
      </c>
      <c r="X979">
        <f>Table1[[#This Row],[customer_purchase count]]*Rules!$B$3</f>
        <v>2031.9882051282052</v>
      </c>
      <c r="Y979" t="str">
        <f>IF(Table1[[#This Row],[customer_subscription]]=1,"Subscribed","Not Subscribed")</f>
        <v>Subscribed</v>
      </c>
    </row>
    <row r="980" spans="1:26" x14ac:dyDescent="0.25">
      <c r="A980">
        <v>979</v>
      </c>
      <c r="B980">
        <v>56</v>
      </c>
      <c r="C980" t="s">
        <v>22</v>
      </c>
      <c r="D980">
        <v>979</v>
      </c>
      <c r="E980" t="s">
        <v>146</v>
      </c>
      <c r="F980" t="s">
        <v>70</v>
      </c>
      <c r="G980">
        <v>979</v>
      </c>
      <c r="H980">
        <v>1373</v>
      </c>
      <c r="I980">
        <v>40</v>
      </c>
      <c r="J980" t="s">
        <v>115</v>
      </c>
      <c r="K980" t="s">
        <v>47</v>
      </c>
      <c r="L980" t="s">
        <v>51</v>
      </c>
      <c r="M980" t="s">
        <v>56</v>
      </c>
      <c r="N980">
        <v>2.5</v>
      </c>
      <c r="O980">
        <v>1</v>
      </c>
      <c r="P980" t="s">
        <v>57</v>
      </c>
      <c r="Q980" t="s">
        <v>30</v>
      </c>
      <c r="R980" t="s">
        <v>30</v>
      </c>
      <c r="S980">
        <v>33</v>
      </c>
      <c r="T980" t="s">
        <v>42</v>
      </c>
      <c r="U980" t="s">
        <v>43</v>
      </c>
      <c r="V980" s="1">
        <v>45479</v>
      </c>
      <c r="W980">
        <f>Table1[[#This Row],[customer_purchase count]]+1</f>
        <v>34</v>
      </c>
      <c r="X980">
        <f>Table1[[#This Row],[customer_purchase count]]*Rules!$B$3</f>
        <v>1972.2238461538464</v>
      </c>
      <c r="Y980" t="str">
        <f>IF(Table1[[#This Row],[customer_subscription]]=1,"Subscribed","Not Subscribed")</f>
        <v>Subscribed</v>
      </c>
      <c r="Z980" t="s">
        <v>193</v>
      </c>
    </row>
    <row r="981" spans="1:26" x14ac:dyDescent="0.25">
      <c r="A981">
        <v>980</v>
      </c>
      <c r="B981">
        <v>64</v>
      </c>
      <c r="C981" t="s">
        <v>22</v>
      </c>
      <c r="D981">
        <v>980</v>
      </c>
      <c r="E981" t="s">
        <v>127</v>
      </c>
      <c r="F981" t="s">
        <v>70</v>
      </c>
      <c r="G981">
        <v>980</v>
      </c>
      <c r="H981">
        <v>1375</v>
      </c>
      <c r="I981">
        <v>33</v>
      </c>
      <c r="J981" t="s">
        <v>85</v>
      </c>
      <c r="K981" t="s">
        <v>39</v>
      </c>
      <c r="L981" t="s">
        <v>113</v>
      </c>
      <c r="M981" t="s">
        <v>60</v>
      </c>
      <c r="N981">
        <v>3.5</v>
      </c>
      <c r="O981">
        <v>1</v>
      </c>
      <c r="P981" t="s">
        <v>77</v>
      </c>
      <c r="Q981" t="s">
        <v>30</v>
      </c>
      <c r="R981" t="s">
        <v>30</v>
      </c>
      <c r="S981">
        <v>34</v>
      </c>
      <c r="T981" t="s">
        <v>89</v>
      </c>
      <c r="U981" t="s">
        <v>91</v>
      </c>
      <c r="V981" s="1">
        <v>45540</v>
      </c>
      <c r="W981">
        <f>Table1[[#This Row],[customer_purchase count]]+1</f>
        <v>35</v>
      </c>
      <c r="X981">
        <f>Table1[[#This Row],[customer_purchase count]]*Rules!$B$3</f>
        <v>2031.9882051282052</v>
      </c>
      <c r="Y981" t="str">
        <f>IF(Table1[[#This Row],[customer_subscription]]=1,"Subscribed","Not Subscribed")</f>
        <v>Subscribed</v>
      </c>
    </row>
    <row r="982" spans="1:26" x14ac:dyDescent="0.25">
      <c r="A982">
        <v>981</v>
      </c>
      <c r="B982">
        <v>56</v>
      </c>
      <c r="C982" t="s">
        <v>22</v>
      </c>
      <c r="D982">
        <v>981</v>
      </c>
      <c r="E982" t="s">
        <v>140</v>
      </c>
      <c r="F982" t="s">
        <v>45</v>
      </c>
      <c r="G982">
        <v>981</v>
      </c>
      <c r="H982">
        <v>1376</v>
      </c>
      <c r="I982">
        <v>98</v>
      </c>
      <c r="J982" t="s">
        <v>131</v>
      </c>
      <c r="K982" t="s">
        <v>39</v>
      </c>
      <c r="L982" t="s">
        <v>139</v>
      </c>
      <c r="M982" t="s">
        <v>40</v>
      </c>
      <c r="N982">
        <v>4</v>
      </c>
      <c r="O982">
        <v>1</v>
      </c>
      <c r="P982" t="s">
        <v>41</v>
      </c>
      <c r="Q982" t="s">
        <v>30</v>
      </c>
      <c r="R982" t="s">
        <v>30</v>
      </c>
      <c r="S982">
        <v>39</v>
      </c>
      <c r="T982" t="s">
        <v>49</v>
      </c>
      <c r="U982" t="s">
        <v>100</v>
      </c>
      <c r="V982" s="1">
        <v>45420</v>
      </c>
      <c r="W982">
        <f>Table1[[#This Row],[customer_purchase count]]+1</f>
        <v>40</v>
      </c>
      <c r="X982">
        <f>Table1[[#This Row],[customer_purchase count]]*Rules!$B$3</f>
        <v>2330.81</v>
      </c>
      <c r="Y982" t="str">
        <f>IF(Table1[[#This Row],[customer_subscription]]=1,"Subscribed","Not Subscribed")</f>
        <v>Subscribed</v>
      </c>
      <c r="Z982" t="s">
        <v>193</v>
      </c>
    </row>
    <row r="983" spans="1:26" x14ac:dyDescent="0.25">
      <c r="A983">
        <v>982</v>
      </c>
      <c r="B983">
        <v>27</v>
      </c>
      <c r="C983" t="s">
        <v>22</v>
      </c>
      <c r="D983">
        <v>982</v>
      </c>
      <c r="E983" t="s">
        <v>136</v>
      </c>
      <c r="F983" t="s">
        <v>70</v>
      </c>
      <c r="G983">
        <v>982</v>
      </c>
      <c r="H983">
        <v>1377</v>
      </c>
      <c r="I983">
        <v>42</v>
      </c>
      <c r="J983" t="s">
        <v>131</v>
      </c>
      <c r="K983" t="s">
        <v>47</v>
      </c>
      <c r="L983" t="s">
        <v>68</v>
      </c>
      <c r="M983" t="s">
        <v>40</v>
      </c>
      <c r="N983">
        <v>3.5</v>
      </c>
      <c r="O983">
        <v>1</v>
      </c>
      <c r="P983" t="s">
        <v>48</v>
      </c>
      <c r="Q983" t="s">
        <v>30</v>
      </c>
      <c r="R983" t="s">
        <v>30</v>
      </c>
      <c r="S983">
        <v>47</v>
      </c>
      <c r="T983" t="s">
        <v>42</v>
      </c>
      <c r="U983" t="s">
        <v>61</v>
      </c>
      <c r="V983" s="1">
        <v>45420</v>
      </c>
      <c r="W983">
        <f>Table1[[#This Row],[customer_purchase count]]+1</f>
        <v>48</v>
      </c>
      <c r="X983">
        <f>Table1[[#This Row],[customer_purchase count]]*Rules!$B$3</f>
        <v>2808.9248717948717</v>
      </c>
      <c r="Y983" t="str">
        <f>IF(Table1[[#This Row],[customer_subscription]]=1,"Subscribed","Not Subscribed")</f>
        <v>Subscribed</v>
      </c>
    </row>
    <row r="984" spans="1:26" x14ac:dyDescent="0.25">
      <c r="A984">
        <v>983</v>
      </c>
      <c r="B984">
        <v>35</v>
      </c>
      <c r="C984" t="s">
        <v>22</v>
      </c>
      <c r="D984">
        <v>983</v>
      </c>
      <c r="E984" t="s">
        <v>65</v>
      </c>
      <c r="F984" t="s">
        <v>66</v>
      </c>
      <c r="G984">
        <v>983</v>
      </c>
      <c r="H984">
        <v>1378</v>
      </c>
      <c r="I984">
        <v>62</v>
      </c>
      <c r="J984" t="s">
        <v>108</v>
      </c>
      <c r="K984" t="s">
        <v>39</v>
      </c>
      <c r="L984" t="s">
        <v>111</v>
      </c>
      <c r="M984" t="s">
        <v>56</v>
      </c>
      <c r="N984">
        <v>3.2</v>
      </c>
      <c r="O984">
        <v>1</v>
      </c>
      <c r="P984" t="s">
        <v>57</v>
      </c>
      <c r="Q984" t="s">
        <v>30</v>
      </c>
      <c r="R984" t="s">
        <v>30</v>
      </c>
      <c r="S984">
        <v>37</v>
      </c>
      <c r="T984" t="s">
        <v>49</v>
      </c>
      <c r="U984" t="s">
        <v>91</v>
      </c>
      <c r="V984" s="1">
        <v>45467</v>
      </c>
      <c r="W984">
        <f>Table1[[#This Row],[customer_purchase count]]+1</f>
        <v>38</v>
      </c>
      <c r="X984">
        <f>Table1[[#This Row],[customer_purchase count]]*Rules!$B$3</f>
        <v>2211.2812820512822</v>
      </c>
      <c r="Y984" t="str">
        <f>IF(Table1[[#This Row],[customer_subscription]]=1,"Subscribed","Not Subscribed")</f>
        <v>Subscribed</v>
      </c>
      <c r="Z984" t="s">
        <v>193</v>
      </c>
    </row>
    <row r="985" spans="1:26" x14ac:dyDescent="0.25">
      <c r="A985">
        <v>984</v>
      </c>
      <c r="B985">
        <v>24</v>
      </c>
      <c r="C985" t="s">
        <v>22</v>
      </c>
      <c r="D985">
        <v>984</v>
      </c>
      <c r="E985" t="s">
        <v>127</v>
      </c>
      <c r="F985" t="s">
        <v>70</v>
      </c>
      <c r="G985">
        <v>984</v>
      </c>
      <c r="H985">
        <v>1379</v>
      </c>
      <c r="I985">
        <v>45</v>
      </c>
      <c r="J985" t="s">
        <v>133</v>
      </c>
      <c r="K985" t="s">
        <v>26</v>
      </c>
      <c r="L985" t="s">
        <v>129</v>
      </c>
      <c r="M985" t="s">
        <v>28</v>
      </c>
      <c r="N985">
        <v>3.5</v>
      </c>
      <c r="O985">
        <v>1</v>
      </c>
      <c r="P985" t="s">
        <v>41</v>
      </c>
      <c r="Q985" t="s">
        <v>30</v>
      </c>
      <c r="R985" t="s">
        <v>30</v>
      </c>
      <c r="S985">
        <v>40</v>
      </c>
      <c r="T985" t="s">
        <v>31</v>
      </c>
      <c r="U985" t="s">
        <v>79</v>
      </c>
      <c r="V985" s="1">
        <v>45334</v>
      </c>
      <c r="W985">
        <f>Table1[[#This Row],[customer_purchase count]]+1</f>
        <v>41</v>
      </c>
      <c r="X985">
        <f>Table1[[#This Row],[customer_purchase count]]*Rules!$B$3</f>
        <v>2390.5743589743593</v>
      </c>
      <c r="Y985" t="str">
        <f>IF(Table1[[#This Row],[customer_subscription]]=1,"Subscribed","Not Subscribed")</f>
        <v>Subscribed</v>
      </c>
    </row>
    <row r="986" spans="1:26" x14ac:dyDescent="0.25">
      <c r="A986">
        <v>985</v>
      </c>
      <c r="B986">
        <v>26</v>
      </c>
      <c r="C986" t="s">
        <v>22</v>
      </c>
      <c r="D986">
        <v>985</v>
      </c>
      <c r="E986" t="s">
        <v>74</v>
      </c>
      <c r="F986" t="s">
        <v>45</v>
      </c>
      <c r="G986">
        <v>985</v>
      </c>
      <c r="H986">
        <v>1381</v>
      </c>
      <c r="I986">
        <v>78</v>
      </c>
      <c r="J986" t="s">
        <v>143</v>
      </c>
      <c r="K986" t="s">
        <v>47</v>
      </c>
      <c r="L986" t="s">
        <v>99</v>
      </c>
      <c r="M986" t="s">
        <v>56</v>
      </c>
      <c r="N986">
        <v>3.4</v>
      </c>
      <c r="O986">
        <v>1</v>
      </c>
      <c r="P986" t="s">
        <v>41</v>
      </c>
      <c r="Q986" t="s">
        <v>30</v>
      </c>
      <c r="R986" t="s">
        <v>30</v>
      </c>
      <c r="S986">
        <v>8</v>
      </c>
      <c r="T986" t="s">
        <v>42</v>
      </c>
      <c r="U986" t="s">
        <v>79</v>
      </c>
      <c r="V986" s="1">
        <v>45468</v>
      </c>
      <c r="W986">
        <f>Table1[[#This Row],[customer_purchase count]]+1</f>
        <v>9</v>
      </c>
      <c r="X986">
        <f>Table1[[#This Row],[customer_purchase count]]*Rules!$B$3</f>
        <v>478.11487179487182</v>
      </c>
      <c r="Y986" t="str">
        <f>IF(Table1[[#This Row],[customer_subscription]]=1,"Subscribed","Not Subscribed")</f>
        <v>Subscribed</v>
      </c>
    </row>
    <row r="987" spans="1:26" x14ac:dyDescent="0.25">
      <c r="A987">
        <v>986</v>
      </c>
      <c r="B987">
        <v>32</v>
      </c>
      <c r="C987" t="s">
        <v>22</v>
      </c>
      <c r="D987">
        <v>986</v>
      </c>
      <c r="E987" t="s">
        <v>69</v>
      </c>
      <c r="F987" t="s">
        <v>70</v>
      </c>
      <c r="G987">
        <v>986</v>
      </c>
      <c r="H987">
        <v>1382</v>
      </c>
      <c r="I987">
        <v>80</v>
      </c>
      <c r="J987" t="s">
        <v>67</v>
      </c>
      <c r="K987" t="s">
        <v>47</v>
      </c>
      <c r="L987" t="s">
        <v>27</v>
      </c>
      <c r="M987" t="s">
        <v>60</v>
      </c>
      <c r="N987">
        <v>5</v>
      </c>
      <c r="O987">
        <v>1</v>
      </c>
      <c r="P987" t="s">
        <v>29</v>
      </c>
      <c r="Q987" t="s">
        <v>30</v>
      </c>
      <c r="R987" t="s">
        <v>30</v>
      </c>
      <c r="S987">
        <v>12</v>
      </c>
      <c r="T987" t="s">
        <v>78</v>
      </c>
      <c r="U987" t="s">
        <v>52</v>
      </c>
      <c r="V987" s="1">
        <v>45563</v>
      </c>
      <c r="W987">
        <f>Table1[[#This Row],[customer_purchase count]]+1</f>
        <v>13</v>
      </c>
      <c r="X987">
        <f>Table1[[#This Row],[customer_purchase count]]*Rules!$B$3</f>
        <v>717.17230769230775</v>
      </c>
      <c r="Y987" t="str">
        <f>IF(Table1[[#This Row],[customer_subscription]]=1,"Subscribed","Not Subscribed")</f>
        <v>Subscribed</v>
      </c>
    </row>
    <row r="988" spans="1:26" x14ac:dyDescent="0.25">
      <c r="A988">
        <v>987</v>
      </c>
      <c r="B988">
        <v>54</v>
      </c>
      <c r="C988" t="s">
        <v>22</v>
      </c>
      <c r="D988">
        <v>987</v>
      </c>
      <c r="E988" t="s">
        <v>122</v>
      </c>
      <c r="F988" t="s">
        <v>70</v>
      </c>
      <c r="G988">
        <v>987</v>
      </c>
      <c r="H988">
        <v>1383</v>
      </c>
      <c r="I988">
        <v>96</v>
      </c>
      <c r="J988" t="s">
        <v>142</v>
      </c>
      <c r="K988" t="s">
        <v>39</v>
      </c>
      <c r="L988" t="s">
        <v>103</v>
      </c>
      <c r="M988" t="s">
        <v>40</v>
      </c>
      <c r="N988">
        <v>4.5</v>
      </c>
      <c r="O988">
        <v>1</v>
      </c>
      <c r="P988" t="s">
        <v>77</v>
      </c>
      <c r="Q988" t="s">
        <v>30</v>
      </c>
      <c r="R988" t="s">
        <v>30</v>
      </c>
      <c r="S988">
        <v>36</v>
      </c>
      <c r="T988" t="s">
        <v>78</v>
      </c>
      <c r="U988" t="s">
        <v>91</v>
      </c>
      <c r="V988" s="1">
        <v>45440</v>
      </c>
      <c r="W988">
        <f>Table1[[#This Row],[customer_purchase count]]+1</f>
        <v>37</v>
      </c>
      <c r="X988">
        <f>Table1[[#This Row],[customer_purchase count]]*Rules!$B$3</f>
        <v>2151.5169230769234</v>
      </c>
      <c r="Y988" t="str">
        <f>IF(Table1[[#This Row],[customer_subscription]]=1,"Subscribed","Not Subscribed")</f>
        <v>Subscribed</v>
      </c>
      <c r="Z988" t="s">
        <v>193</v>
      </c>
    </row>
    <row r="989" spans="1:26" x14ac:dyDescent="0.25">
      <c r="A989">
        <v>988</v>
      </c>
      <c r="B989">
        <v>62</v>
      </c>
      <c r="C989" t="s">
        <v>22</v>
      </c>
      <c r="D989">
        <v>988</v>
      </c>
      <c r="E989" t="s">
        <v>69</v>
      </c>
      <c r="F989" t="s">
        <v>70</v>
      </c>
      <c r="G989">
        <v>988</v>
      </c>
      <c r="H989">
        <v>1384</v>
      </c>
      <c r="I989">
        <v>47</v>
      </c>
      <c r="J989" t="s">
        <v>67</v>
      </c>
      <c r="K989" t="s">
        <v>47</v>
      </c>
      <c r="L989" t="s">
        <v>64</v>
      </c>
      <c r="M989" t="s">
        <v>56</v>
      </c>
      <c r="N989">
        <v>2.8</v>
      </c>
      <c r="O989">
        <v>1</v>
      </c>
      <c r="P989" t="s">
        <v>29</v>
      </c>
      <c r="Q989" t="s">
        <v>30</v>
      </c>
      <c r="R989" t="s">
        <v>30</v>
      </c>
      <c r="S989">
        <v>48</v>
      </c>
      <c r="T989" t="s">
        <v>49</v>
      </c>
      <c r="U989" t="s">
        <v>43</v>
      </c>
      <c r="V989" s="1">
        <v>45532</v>
      </c>
      <c r="W989">
        <f>Table1[[#This Row],[customer_purchase count]]+1</f>
        <v>49</v>
      </c>
      <c r="X989">
        <f>Table1[[#This Row],[customer_purchase count]]*Rules!$B$3</f>
        <v>2868.689230769231</v>
      </c>
      <c r="Y989" t="str">
        <f>IF(Table1[[#This Row],[customer_subscription]]=1,"Subscribed","Not Subscribed")</f>
        <v>Subscribed</v>
      </c>
    </row>
    <row r="990" spans="1:26" x14ac:dyDescent="0.25">
      <c r="A990">
        <v>989</v>
      </c>
      <c r="B990">
        <v>50</v>
      </c>
      <c r="C990" t="s">
        <v>22</v>
      </c>
      <c r="D990">
        <v>989</v>
      </c>
      <c r="E990" t="s">
        <v>98</v>
      </c>
      <c r="F990" t="s">
        <v>24</v>
      </c>
      <c r="G990">
        <v>989</v>
      </c>
      <c r="H990">
        <v>1385</v>
      </c>
      <c r="I990">
        <v>84</v>
      </c>
      <c r="J990" t="s">
        <v>126</v>
      </c>
      <c r="K990" t="s">
        <v>47</v>
      </c>
      <c r="L990" t="s">
        <v>124</v>
      </c>
      <c r="M990" t="s">
        <v>28</v>
      </c>
      <c r="N990">
        <v>4.9000000000000004</v>
      </c>
      <c r="O990">
        <v>1</v>
      </c>
      <c r="P990" t="s">
        <v>73</v>
      </c>
      <c r="Q990" t="s">
        <v>30</v>
      </c>
      <c r="R990" t="s">
        <v>30</v>
      </c>
      <c r="S990">
        <v>47</v>
      </c>
      <c r="T990" t="s">
        <v>49</v>
      </c>
      <c r="U990" t="s">
        <v>32</v>
      </c>
      <c r="V990" s="1">
        <v>45303</v>
      </c>
      <c r="W990">
        <f>Table1[[#This Row],[customer_purchase count]]+1</f>
        <v>48</v>
      </c>
      <c r="X990">
        <f>Table1[[#This Row],[customer_purchase count]]*Rules!$B$3</f>
        <v>2808.9248717948717</v>
      </c>
      <c r="Y990" t="str">
        <f>IF(Table1[[#This Row],[customer_subscription]]=1,"Subscribed","Not Subscribed")</f>
        <v>Subscribed</v>
      </c>
      <c r="Z990" t="s">
        <v>193</v>
      </c>
    </row>
    <row r="991" spans="1:26" x14ac:dyDescent="0.25">
      <c r="A991">
        <v>990</v>
      </c>
      <c r="B991">
        <v>70</v>
      </c>
      <c r="C991" t="s">
        <v>22</v>
      </c>
      <c r="D991">
        <v>990</v>
      </c>
      <c r="E991" t="s">
        <v>74</v>
      </c>
      <c r="F991" t="s">
        <v>45</v>
      </c>
      <c r="G991">
        <v>990</v>
      </c>
      <c r="H991">
        <v>1387</v>
      </c>
      <c r="I991">
        <v>31</v>
      </c>
      <c r="J991" t="s">
        <v>108</v>
      </c>
      <c r="K991" t="s">
        <v>47</v>
      </c>
      <c r="L991" t="s">
        <v>121</v>
      </c>
      <c r="M991" t="s">
        <v>40</v>
      </c>
      <c r="N991">
        <v>3.1</v>
      </c>
      <c r="O991">
        <v>1</v>
      </c>
      <c r="P991" t="s">
        <v>77</v>
      </c>
      <c r="Q991" t="s">
        <v>30</v>
      </c>
      <c r="R991" t="s">
        <v>30</v>
      </c>
      <c r="S991">
        <v>2</v>
      </c>
      <c r="T991" t="s">
        <v>78</v>
      </c>
      <c r="U991" t="s">
        <v>91</v>
      </c>
      <c r="V991" s="1">
        <v>45362</v>
      </c>
      <c r="W991">
        <f>Table1[[#This Row],[customer_purchase count]]+1</f>
        <v>3</v>
      </c>
      <c r="X991">
        <f>Table1[[#This Row],[customer_purchase count]]*Rules!$B$3</f>
        <v>119.52871794871795</v>
      </c>
      <c r="Y991" t="str">
        <f>IF(Table1[[#This Row],[customer_subscription]]=1,"Subscribed","Not Subscribed")</f>
        <v>Subscribed</v>
      </c>
    </row>
    <row r="992" spans="1:26" x14ac:dyDescent="0.25">
      <c r="A992">
        <v>991</v>
      </c>
      <c r="B992">
        <v>48</v>
      </c>
      <c r="C992" t="s">
        <v>22</v>
      </c>
      <c r="D992">
        <v>991</v>
      </c>
      <c r="E992" t="s">
        <v>92</v>
      </c>
      <c r="F992" t="s">
        <v>70</v>
      </c>
      <c r="G992">
        <v>991</v>
      </c>
      <c r="H992">
        <v>1388</v>
      </c>
      <c r="I992">
        <v>63</v>
      </c>
      <c r="J992" t="s">
        <v>152</v>
      </c>
      <c r="K992" t="s">
        <v>39</v>
      </c>
      <c r="L992" t="s">
        <v>137</v>
      </c>
      <c r="M992" t="s">
        <v>40</v>
      </c>
      <c r="N992">
        <v>4.8</v>
      </c>
      <c r="O992">
        <v>1</v>
      </c>
      <c r="P992" t="s">
        <v>77</v>
      </c>
      <c r="Q992" t="s">
        <v>30</v>
      </c>
      <c r="R992" t="s">
        <v>30</v>
      </c>
      <c r="S992">
        <v>24</v>
      </c>
      <c r="T992" t="s">
        <v>36</v>
      </c>
      <c r="U992" t="s">
        <v>43</v>
      </c>
      <c r="V992" s="1">
        <v>45376</v>
      </c>
      <c r="W992">
        <f>Table1[[#This Row],[customer_purchase count]]+1</f>
        <v>25</v>
      </c>
      <c r="X992">
        <f>Table1[[#This Row],[customer_purchase count]]*Rules!$B$3</f>
        <v>1434.3446153846155</v>
      </c>
      <c r="Y992" t="str">
        <f>IF(Table1[[#This Row],[customer_subscription]]=1,"Subscribed","Not Subscribed")</f>
        <v>Subscribed</v>
      </c>
    </row>
    <row r="993" spans="1:26" x14ac:dyDescent="0.25">
      <c r="A993">
        <v>992</v>
      </c>
      <c r="B993">
        <v>20</v>
      </c>
      <c r="C993" t="s">
        <v>22</v>
      </c>
      <c r="D993">
        <v>992</v>
      </c>
      <c r="E993" t="s">
        <v>62</v>
      </c>
      <c r="F993" t="s">
        <v>24</v>
      </c>
      <c r="G993">
        <v>992</v>
      </c>
      <c r="H993">
        <v>1389</v>
      </c>
      <c r="I993">
        <v>97</v>
      </c>
      <c r="J993" t="s">
        <v>153</v>
      </c>
      <c r="K993" t="s">
        <v>95</v>
      </c>
      <c r="L993" t="s">
        <v>55</v>
      </c>
      <c r="M993" t="s">
        <v>40</v>
      </c>
      <c r="N993">
        <v>2.7</v>
      </c>
      <c r="O993">
        <v>1</v>
      </c>
      <c r="P993" t="s">
        <v>57</v>
      </c>
      <c r="Q993" t="s">
        <v>30</v>
      </c>
      <c r="R993" t="s">
        <v>30</v>
      </c>
      <c r="S993">
        <v>40</v>
      </c>
      <c r="T993" t="s">
        <v>78</v>
      </c>
      <c r="U993" t="s">
        <v>79</v>
      </c>
      <c r="V993" s="1">
        <v>45354</v>
      </c>
      <c r="W993">
        <f>Table1[[#This Row],[customer_purchase count]]+1</f>
        <v>41</v>
      </c>
      <c r="X993">
        <f>Table1[[#This Row],[customer_purchase count]]*Rules!$B$3</f>
        <v>2390.5743589743593</v>
      </c>
      <c r="Y993" t="str">
        <f>IF(Table1[[#This Row],[customer_subscription]]=1,"Subscribed","Not Subscribed")</f>
        <v>Subscribed</v>
      </c>
    </row>
    <row r="994" spans="1:26" x14ac:dyDescent="0.25">
      <c r="A994">
        <v>993</v>
      </c>
      <c r="B994">
        <v>46</v>
      </c>
      <c r="C994" t="s">
        <v>22</v>
      </c>
      <c r="D994">
        <v>993</v>
      </c>
      <c r="E994" t="s">
        <v>105</v>
      </c>
      <c r="F994" t="s">
        <v>66</v>
      </c>
      <c r="G994">
        <v>993</v>
      </c>
      <c r="H994">
        <v>1390</v>
      </c>
      <c r="I994">
        <v>99</v>
      </c>
      <c r="J994" t="s">
        <v>63</v>
      </c>
      <c r="K994" t="s">
        <v>47</v>
      </c>
      <c r="L994" t="s">
        <v>27</v>
      </c>
      <c r="M994" t="s">
        <v>28</v>
      </c>
      <c r="N994">
        <v>4.5999999999999996</v>
      </c>
      <c r="O994">
        <v>1</v>
      </c>
      <c r="P994" t="s">
        <v>29</v>
      </c>
      <c r="Q994" t="s">
        <v>30</v>
      </c>
      <c r="R994" t="s">
        <v>30</v>
      </c>
      <c r="S994">
        <v>50</v>
      </c>
      <c r="T994" t="s">
        <v>89</v>
      </c>
      <c r="U994" t="s">
        <v>43</v>
      </c>
      <c r="V994" s="1">
        <v>45317</v>
      </c>
      <c r="W994">
        <f>Table1[[#This Row],[customer_purchase count]]+1</f>
        <v>51</v>
      </c>
      <c r="X994">
        <f>Table1[[#This Row],[customer_purchase count]]*Rules!$B$3</f>
        <v>2988.2179487179487</v>
      </c>
      <c r="Y994" t="str">
        <f>IF(Table1[[#This Row],[customer_subscription]]=1,"Subscribed","Not Subscribed")</f>
        <v>Subscribed</v>
      </c>
      <c r="Z994" t="s">
        <v>193</v>
      </c>
    </row>
    <row r="995" spans="1:26" x14ac:dyDescent="0.25">
      <c r="A995">
        <v>994</v>
      </c>
      <c r="B995">
        <v>51</v>
      </c>
      <c r="C995" t="s">
        <v>22</v>
      </c>
      <c r="D995">
        <v>994</v>
      </c>
      <c r="E995" t="s">
        <v>44</v>
      </c>
      <c r="F995" t="s">
        <v>45</v>
      </c>
      <c r="G995">
        <v>994</v>
      </c>
      <c r="H995">
        <v>1391</v>
      </c>
      <c r="I995">
        <v>90</v>
      </c>
      <c r="J995" t="s">
        <v>149</v>
      </c>
      <c r="K995" t="s">
        <v>47</v>
      </c>
      <c r="L995" t="s">
        <v>103</v>
      </c>
      <c r="M995" t="s">
        <v>28</v>
      </c>
      <c r="N995">
        <v>4.4000000000000004</v>
      </c>
      <c r="O995">
        <v>1</v>
      </c>
      <c r="P995" t="s">
        <v>77</v>
      </c>
      <c r="Q995" t="s">
        <v>30</v>
      </c>
      <c r="R995" t="s">
        <v>30</v>
      </c>
      <c r="S995">
        <v>25</v>
      </c>
      <c r="T995" t="s">
        <v>36</v>
      </c>
      <c r="U995" t="s">
        <v>43</v>
      </c>
      <c r="V995" s="1">
        <v>45654</v>
      </c>
      <c r="W995">
        <f>Table1[[#This Row],[customer_purchase count]]+1</f>
        <v>26</v>
      </c>
      <c r="X995">
        <f>Table1[[#This Row],[customer_purchase count]]*Rules!$B$3</f>
        <v>1494.1089743589744</v>
      </c>
      <c r="Y995" t="str">
        <f>IF(Table1[[#This Row],[customer_subscription]]=1,"Subscribed","Not Subscribed")</f>
        <v>Subscribed</v>
      </c>
    </row>
    <row r="996" spans="1:26" x14ac:dyDescent="0.25">
      <c r="A996">
        <v>995</v>
      </c>
      <c r="B996">
        <v>53</v>
      </c>
      <c r="C996" t="s">
        <v>22</v>
      </c>
      <c r="D996">
        <v>995</v>
      </c>
      <c r="E996" t="s">
        <v>74</v>
      </c>
      <c r="F996" t="s">
        <v>45</v>
      </c>
      <c r="G996">
        <v>995</v>
      </c>
      <c r="H996">
        <v>1393</v>
      </c>
      <c r="I996">
        <v>68</v>
      </c>
      <c r="J996" t="s">
        <v>87</v>
      </c>
      <c r="K996" t="s">
        <v>26</v>
      </c>
      <c r="L996" t="s">
        <v>86</v>
      </c>
      <c r="M996" t="s">
        <v>60</v>
      </c>
      <c r="N996">
        <v>3.2</v>
      </c>
      <c r="O996">
        <v>1</v>
      </c>
      <c r="P996" t="s">
        <v>29</v>
      </c>
      <c r="Q996" t="s">
        <v>30</v>
      </c>
      <c r="R996" t="s">
        <v>30</v>
      </c>
      <c r="S996">
        <v>20</v>
      </c>
      <c r="T996" t="s">
        <v>89</v>
      </c>
      <c r="U996" t="s">
        <v>91</v>
      </c>
      <c r="V996" s="1">
        <v>45609</v>
      </c>
      <c r="W996">
        <f>Table1[[#This Row],[customer_purchase count]]+1</f>
        <v>21</v>
      </c>
      <c r="X996">
        <f>Table1[[#This Row],[customer_purchase count]]*Rules!$B$3</f>
        <v>1195.2871794871796</v>
      </c>
      <c r="Y996" t="str">
        <f>IF(Table1[[#This Row],[customer_subscription]]=1,"Subscribed","Not Subscribed")</f>
        <v>Subscribed</v>
      </c>
    </row>
    <row r="997" spans="1:26" x14ac:dyDescent="0.25">
      <c r="A997">
        <v>996</v>
      </c>
      <c r="B997">
        <v>44</v>
      </c>
      <c r="C997" t="s">
        <v>22</v>
      </c>
      <c r="D997">
        <v>996</v>
      </c>
      <c r="E997" t="s">
        <v>109</v>
      </c>
      <c r="F997" t="s">
        <v>70</v>
      </c>
      <c r="G997">
        <v>996</v>
      </c>
      <c r="H997">
        <v>1394</v>
      </c>
      <c r="I997">
        <v>80</v>
      </c>
      <c r="J997" t="s">
        <v>138</v>
      </c>
      <c r="K997" t="s">
        <v>47</v>
      </c>
      <c r="L997" t="s">
        <v>139</v>
      </c>
      <c r="M997" t="s">
        <v>40</v>
      </c>
      <c r="N997">
        <v>3</v>
      </c>
      <c r="O997">
        <v>1</v>
      </c>
      <c r="P997" t="s">
        <v>73</v>
      </c>
      <c r="Q997" t="s">
        <v>30</v>
      </c>
      <c r="R997" t="s">
        <v>30</v>
      </c>
      <c r="S997">
        <v>10</v>
      </c>
      <c r="T997" t="s">
        <v>31</v>
      </c>
      <c r="U997" t="s">
        <v>43</v>
      </c>
      <c r="V997" s="1">
        <v>45430</v>
      </c>
      <c r="W997">
        <f>Table1[[#This Row],[customer_purchase count]]+1</f>
        <v>11</v>
      </c>
      <c r="X997">
        <f>Table1[[#This Row],[customer_purchase count]]*Rules!$B$3</f>
        <v>597.64358974358981</v>
      </c>
      <c r="Y997" t="str">
        <f>IF(Table1[[#This Row],[customer_subscription]]=1,"Subscribed","Not Subscribed")</f>
        <v>Subscribed</v>
      </c>
    </row>
    <row r="998" spans="1:26" x14ac:dyDescent="0.25">
      <c r="A998">
        <v>997</v>
      </c>
      <c r="B998">
        <v>29</v>
      </c>
      <c r="C998" t="s">
        <v>22</v>
      </c>
      <c r="D998">
        <v>997</v>
      </c>
      <c r="E998" t="s">
        <v>44</v>
      </c>
      <c r="F998" t="s">
        <v>45</v>
      </c>
      <c r="G998">
        <v>997</v>
      </c>
      <c r="H998">
        <v>1395</v>
      </c>
      <c r="I998">
        <v>91</v>
      </c>
      <c r="J998" t="s">
        <v>82</v>
      </c>
      <c r="K998" t="s">
        <v>26</v>
      </c>
      <c r="L998" t="s">
        <v>35</v>
      </c>
      <c r="M998" t="s">
        <v>56</v>
      </c>
      <c r="N998">
        <v>4.9000000000000004</v>
      </c>
      <c r="O998">
        <v>1</v>
      </c>
      <c r="P998" t="s">
        <v>57</v>
      </c>
      <c r="Q998" t="s">
        <v>30</v>
      </c>
      <c r="R998" t="s">
        <v>30</v>
      </c>
      <c r="S998">
        <v>32</v>
      </c>
      <c r="T998" t="s">
        <v>78</v>
      </c>
      <c r="U998" t="s">
        <v>61</v>
      </c>
      <c r="V998" s="1">
        <v>45496</v>
      </c>
      <c r="W998">
        <f>Table1[[#This Row],[customer_purchase count]]+1</f>
        <v>33</v>
      </c>
      <c r="X998">
        <f>Table1[[#This Row],[customer_purchase count]]*Rules!$B$3</f>
        <v>1912.4594871794873</v>
      </c>
      <c r="Y998" t="str">
        <f>IF(Table1[[#This Row],[customer_subscription]]=1,"Subscribed","Not Subscribed")</f>
        <v>Subscribed</v>
      </c>
    </row>
    <row r="999" spans="1:26" x14ac:dyDescent="0.25">
      <c r="A999">
        <v>998</v>
      </c>
      <c r="B999">
        <v>64</v>
      </c>
      <c r="C999" t="s">
        <v>22</v>
      </c>
      <c r="D999">
        <v>998</v>
      </c>
      <c r="E999" t="s">
        <v>98</v>
      </c>
      <c r="F999" t="s">
        <v>24</v>
      </c>
      <c r="G999">
        <v>998</v>
      </c>
      <c r="H999">
        <v>1396</v>
      </c>
      <c r="I999">
        <v>30</v>
      </c>
      <c r="J999" t="s">
        <v>25</v>
      </c>
      <c r="K999" t="s">
        <v>47</v>
      </c>
      <c r="L999" t="s">
        <v>112</v>
      </c>
      <c r="M999" t="s">
        <v>40</v>
      </c>
      <c r="N999">
        <v>3.6</v>
      </c>
      <c r="O999">
        <v>1</v>
      </c>
      <c r="P999" t="s">
        <v>29</v>
      </c>
      <c r="Q999" t="s">
        <v>30</v>
      </c>
      <c r="R999" t="s">
        <v>30</v>
      </c>
      <c r="S999">
        <v>31</v>
      </c>
      <c r="T999" t="s">
        <v>36</v>
      </c>
      <c r="U999" t="s">
        <v>32</v>
      </c>
      <c r="V999" s="1">
        <v>45403</v>
      </c>
      <c r="W999">
        <f>Table1[[#This Row],[customer_purchase count]]+1</f>
        <v>32</v>
      </c>
      <c r="X999">
        <f>Table1[[#This Row],[customer_purchase count]]*Rules!$B$3</f>
        <v>1852.6951282051282</v>
      </c>
      <c r="Y999" t="str">
        <f>IF(Table1[[#This Row],[customer_subscription]]=1,"Subscribed","Not Subscribed")</f>
        <v>Subscribed</v>
      </c>
    </row>
    <row r="1000" spans="1:26" x14ac:dyDescent="0.25">
      <c r="A1000">
        <v>999</v>
      </c>
      <c r="B1000">
        <v>51</v>
      </c>
      <c r="C1000" t="s">
        <v>22</v>
      </c>
      <c r="D1000">
        <v>999</v>
      </c>
      <c r="E1000" t="s">
        <v>74</v>
      </c>
      <c r="F1000" t="s">
        <v>45</v>
      </c>
      <c r="G1000">
        <v>999</v>
      </c>
      <c r="H1000">
        <v>1397</v>
      </c>
      <c r="I1000">
        <v>90</v>
      </c>
      <c r="J1000" t="s">
        <v>142</v>
      </c>
      <c r="K1000" t="s">
        <v>47</v>
      </c>
      <c r="L1000" t="s">
        <v>55</v>
      </c>
      <c r="M1000" t="s">
        <v>40</v>
      </c>
      <c r="N1000">
        <v>3.8</v>
      </c>
      <c r="O1000">
        <v>1</v>
      </c>
      <c r="P1000" t="s">
        <v>48</v>
      </c>
      <c r="Q1000" t="s">
        <v>30</v>
      </c>
      <c r="R1000" t="s">
        <v>30</v>
      </c>
      <c r="S1000">
        <v>48</v>
      </c>
      <c r="T1000" t="s">
        <v>78</v>
      </c>
      <c r="U1000" t="s">
        <v>79</v>
      </c>
      <c r="V1000" s="1">
        <v>45352</v>
      </c>
      <c r="W1000">
        <f>Table1[[#This Row],[customer_purchase count]]+1</f>
        <v>49</v>
      </c>
      <c r="X1000">
        <f>Table1[[#This Row],[customer_purchase count]]*Rules!$B$3</f>
        <v>2868.689230769231</v>
      </c>
      <c r="Y1000" t="str">
        <f>IF(Table1[[#This Row],[customer_subscription]]=1,"Subscribed","Not Subscribed")</f>
        <v>Subscribed</v>
      </c>
      <c r="Z1000" t="s">
        <v>193</v>
      </c>
    </row>
    <row r="1001" spans="1:26" x14ac:dyDescent="0.25">
      <c r="A1001">
        <v>1000</v>
      </c>
      <c r="B1001">
        <v>50</v>
      </c>
      <c r="C1001" t="s">
        <v>22</v>
      </c>
      <c r="D1001">
        <v>1000</v>
      </c>
      <c r="E1001" t="s">
        <v>128</v>
      </c>
      <c r="F1001" t="s">
        <v>24</v>
      </c>
      <c r="G1001">
        <v>1000</v>
      </c>
      <c r="H1001">
        <v>1399</v>
      </c>
      <c r="I1001">
        <v>28</v>
      </c>
      <c r="J1001" t="s">
        <v>133</v>
      </c>
      <c r="K1001" t="s">
        <v>26</v>
      </c>
      <c r="L1001" t="s">
        <v>113</v>
      </c>
      <c r="M1001" t="s">
        <v>40</v>
      </c>
      <c r="N1001">
        <v>2.9</v>
      </c>
      <c r="O1001">
        <v>1</v>
      </c>
      <c r="P1001" t="s">
        <v>57</v>
      </c>
      <c r="Q1001" t="s">
        <v>30</v>
      </c>
      <c r="R1001" t="s">
        <v>30</v>
      </c>
      <c r="S1001">
        <v>23</v>
      </c>
      <c r="T1001" t="s">
        <v>89</v>
      </c>
      <c r="U1001" t="s">
        <v>91</v>
      </c>
      <c r="V1001" s="1">
        <v>45390</v>
      </c>
      <c r="W1001">
        <f>Table1[[#This Row],[customer_purchase count]]+1</f>
        <v>24</v>
      </c>
      <c r="X1001">
        <f>Table1[[#This Row],[customer_purchase count]]*Rules!$B$3</f>
        <v>1374.5802564102564</v>
      </c>
      <c r="Y1001" t="str">
        <f>IF(Table1[[#This Row],[customer_subscription]]=1,"Subscribed","Not Subscribed")</f>
        <v>Subscribed</v>
      </c>
    </row>
    <row r="1002" spans="1:26" x14ac:dyDescent="0.25">
      <c r="A1002">
        <v>1001</v>
      </c>
      <c r="B1002">
        <v>43</v>
      </c>
      <c r="C1002" t="s">
        <v>22</v>
      </c>
      <c r="D1002">
        <v>1001</v>
      </c>
      <c r="E1002" t="s">
        <v>128</v>
      </c>
      <c r="F1002" t="s">
        <v>24</v>
      </c>
      <c r="G1002">
        <v>1001</v>
      </c>
      <c r="H1002">
        <v>1400</v>
      </c>
      <c r="I1002">
        <v>46</v>
      </c>
      <c r="J1002" t="s">
        <v>145</v>
      </c>
      <c r="K1002" t="s">
        <v>47</v>
      </c>
      <c r="L1002" t="s">
        <v>111</v>
      </c>
      <c r="M1002" t="s">
        <v>28</v>
      </c>
      <c r="N1002">
        <v>3.9</v>
      </c>
      <c r="O1002">
        <v>1</v>
      </c>
      <c r="P1002" t="s">
        <v>29</v>
      </c>
      <c r="Q1002" t="s">
        <v>30</v>
      </c>
      <c r="R1002" t="s">
        <v>30</v>
      </c>
      <c r="S1002">
        <v>1</v>
      </c>
      <c r="T1002" t="s">
        <v>78</v>
      </c>
      <c r="U1002" t="s">
        <v>79</v>
      </c>
      <c r="V1002" s="1">
        <v>45303</v>
      </c>
      <c r="W1002">
        <f>Table1[[#This Row],[customer_purchase count]]+1</f>
        <v>2</v>
      </c>
      <c r="X1002">
        <f>Table1[[#This Row],[customer_purchase count]]*Rules!$B$3</f>
        <v>59.764358974358977</v>
      </c>
      <c r="Y1002" t="str">
        <f>IF(Table1[[#This Row],[customer_subscription]]=1,"Subscribed","Not Subscribed")</f>
        <v>Subscribed</v>
      </c>
    </row>
    <row r="1003" spans="1:26" x14ac:dyDescent="0.25">
      <c r="A1003">
        <v>1002</v>
      </c>
      <c r="B1003">
        <v>61</v>
      </c>
      <c r="C1003" t="s">
        <v>22</v>
      </c>
      <c r="D1003">
        <v>1002</v>
      </c>
      <c r="E1003" t="s">
        <v>84</v>
      </c>
      <c r="F1003" t="s">
        <v>24</v>
      </c>
      <c r="G1003">
        <v>1002</v>
      </c>
      <c r="H1003">
        <v>1401</v>
      </c>
      <c r="I1003">
        <v>60</v>
      </c>
      <c r="J1003" t="s">
        <v>152</v>
      </c>
      <c r="K1003" t="s">
        <v>47</v>
      </c>
      <c r="L1003" t="s">
        <v>124</v>
      </c>
      <c r="M1003" t="s">
        <v>60</v>
      </c>
      <c r="N1003">
        <v>3.6</v>
      </c>
      <c r="O1003">
        <v>1</v>
      </c>
      <c r="P1003" t="s">
        <v>57</v>
      </c>
      <c r="Q1003" t="s">
        <v>30</v>
      </c>
      <c r="R1003" t="s">
        <v>30</v>
      </c>
      <c r="S1003">
        <v>4</v>
      </c>
      <c r="T1003" t="s">
        <v>89</v>
      </c>
      <c r="U1003" t="s">
        <v>32</v>
      </c>
      <c r="V1003" s="1">
        <v>45608</v>
      </c>
      <c r="W1003">
        <f>Table1[[#This Row],[customer_purchase count]]+1</f>
        <v>5</v>
      </c>
      <c r="X1003">
        <f>Table1[[#This Row],[customer_purchase count]]*Rules!$B$3</f>
        <v>239.05743589743591</v>
      </c>
      <c r="Y1003" t="str">
        <f>IF(Table1[[#This Row],[customer_subscription]]=1,"Subscribed","Not Subscribed")</f>
        <v>Subscribed</v>
      </c>
    </row>
    <row r="1004" spans="1:26" x14ac:dyDescent="0.25">
      <c r="A1004">
        <v>1003</v>
      </c>
      <c r="B1004">
        <v>55</v>
      </c>
      <c r="C1004" t="s">
        <v>22</v>
      </c>
      <c r="D1004">
        <v>1003</v>
      </c>
      <c r="E1004" t="s">
        <v>74</v>
      </c>
      <c r="F1004" t="s">
        <v>45</v>
      </c>
      <c r="G1004">
        <v>1003</v>
      </c>
      <c r="H1004">
        <v>1402</v>
      </c>
      <c r="I1004">
        <v>59</v>
      </c>
      <c r="J1004" t="s">
        <v>117</v>
      </c>
      <c r="K1004" t="s">
        <v>47</v>
      </c>
      <c r="L1004" t="s">
        <v>55</v>
      </c>
      <c r="M1004" t="s">
        <v>40</v>
      </c>
      <c r="N1004">
        <v>3.5</v>
      </c>
      <c r="O1004">
        <v>1</v>
      </c>
      <c r="P1004" t="s">
        <v>77</v>
      </c>
      <c r="Q1004" t="s">
        <v>30</v>
      </c>
      <c r="R1004" t="s">
        <v>30</v>
      </c>
      <c r="S1004">
        <v>3</v>
      </c>
      <c r="T1004" t="s">
        <v>78</v>
      </c>
      <c r="U1004" t="s">
        <v>79</v>
      </c>
      <c r="V1004" s="1">
        <v>45371</v>
      </c>
      <c r="W1004">
        <f>Table1[[#This Row],[customer_purchase count]]+1</f>
        <v>4</v>
      </c>
      <c r="X1004">
        <f>Table1[[#This Row],[customer_purchase count]]*Rules!$B$3</f>
        <v>179.29307692307694</v>
      </c>
      <c r="Y1004" t="str">
        <f>IF(Table1[[#This Row],[customer_subscription]]=1,"Subscribed","Not Subscribed")</f>
        <v>Subscribed</v>
      </c>
    </row>
    <row r="1005" spans="1:26" x14ac:dyDescent="0.25">
      <c r="A1005">
        <v>1004</v>
      </c>
      <c r="B1005">
        <v>56</v>
      </c>
      <c r="C1005" t="s">
        <v>22</v>
      </c>
      <c r="D1005">
        <v>1004</v>
      </c>
      <c r="E1005" t="s">
        <v>127</v>
      </c>
      <c r="F1005" t="s">
        <v>70</v>
      </c>
      <c r="G1005">
        <v>1004</v>
      </c>
      <c r="H1005">
        <v>1403</v>
      </c>
      <c r="I1005">
        <v>68</v>
      </c>
      <c r="J1005" t="s">
        <v>126</v>
      </c>
      <c r="K1005" t="s">
        <v>47</v>
      </c>
      <c r="L1005" t="s">
        <v>99</v>
      </c>
      <c r="M1005" t="s">
        <v>60</v>
      </c>
      <c r="N1005">
        <v>4</v>
      </c>
      <c r="O1005">
        <v>1</v>
      </c>
      <c r="P1005" t="s">
        <v>77</v>
      </c>
      <c r="Q1005" t="s">
        <v>30</v>
      </c>
      <c r="R1005" t="s">
        <v>30</v>
      </c>
      <c r="S1005">
        <v>3</v>
      </c>
      <c r="T1005" t="s">
        <v>36</v>
      </c>
      <c r="U1005" t="s">
        <v>79</v>
      </c>
      <c r="V1005" s="1">
        <v>45602</v>
      </c>
      <c r="W1005">
        <f>Table1[[#This Row],[customer_purchase count]]+1</f>
        <v>4</v>
      </c>
      <c r="X1005">
        <f>Table1[[#This Row],[customer_purchase count]]*Rules!$B$3</f>
        <v>179.29307692307694</v>
      </c>
      <c r="Y1005" t="str">
        <f>IF(Table1[[#This Row],[customer_subscription]]=1,"Subscribed","Not Subscribed")</f>
        <v>Subscribed</v>
      </c>
    </row>
    <row r="1006" spans="1:26" x14ac:dyDescent="0.25">
      <c r="A1006">
        <v>1005</v>
      </c>
      <c r="B1006">
        <v>33</v>
      </c>
      <c r="C1006" t="s">
        <v>22</v>
      </c>
      <c r="D1006">
        <v>1005</v>
      </c>
      <c r="E1006" t="s">
        <v>135</v>
      </c>
      <c r="F1006" t="s">
        <v>70</v>
      </c>
      <c r="G1006">
        <v>1005</v>
      </c>
      <c r="H1006">
        <v>1405</v>
      </c>
      <c r="I1006">
        <v>79</v>
      </c>
      <c r="J1006" t="s">
        <v>125</v>
      </c>
      <c r="K1006" t="s">
        <v>47</v>
      </c>
      <c r="L1006" t="s">
        <v>97</v>
      </c>
      <c r="M1006" t="s">
        <v>56</v>
      </c>
      <c r="N1006">
        <v>4.8</v>
      </c>
      <c r="O1006">
        <v>1</v>
      </c>
      <c r="P1006" t="s">
        <v>73</v>
      </c>
      <c r="Q1006" t="s">
        <v>30</v>
      </c>
      <c r="R1006" t="s">
        <v>30</v>
      </c>
      <c r="S1006">
        <v>44</v>
      </c>
      <c r="T1006" t="s">
        <v>36</v>
      </c>
      <c r="U1006" t="s">
        <v>52</v>
      </c>
      <c r="V1006" s="1">
        <v>45463</v>
      </c>
      <c r="W1006">
        <f>Table1[[#This Row],[customer_purchase count]]+1</f>
        <v>45</v>
      </c>
      <c r="X1006">
        <f>Table1[[#This Row],[customer_purchase count]]*Rules!$B$3</f>
        <v>2629.6317948717951</v>
      </c>
      <c r="Y1006" t="str">
        <f>IF(Table1[[#This Row],[customer_subscription]]=1,"Subscribed","Not Subscribed")</f>
        <v>Subscribed</v>
      </c>
      <c r="Z1006" t="s">
        <v>193</v>
      </c>
    </row>
    <row r="1007" spans="1:26" x14ac:dyDescent="0.25">
      <c r="A1007">
        <v>1006</v>
      </c>
      <c r="B1007">
        <v>43</v>
      </c>
      <c r="C1007" t="s">
        <v>22</v>
      </c>
      <c r="D1007">
        <v>1006</v>
      </c>
      <c r="E1007" t="s">
        <v>135</v>
      </c>
      <c r="F1007" t="s">
        <v>70</v>
      </c>
      <c r="G1007">
        <v>1006</v>
      </c>
      <c r="H1007">
        <v>1406</v>
      </c>
      <c r="I1007">
        <v>94</v>
      </c>
      <c r="J1007" t="s">
        <v>87</v>
      </c>
      <c r="K1007" t="s">
        <v>47</v>
      </c>
      <c r="L1007" t="s">
        <v>83</v>
      </c>
      <c r="M1007" t="s">
        <v>28</v>
      </c>
      <c r="N1007">
        <v>3.9</v>
      </c>
      <c r="O1007">
        <v>1</v>
      </c>
      <c r="P1007" t="s">
        <v>77</v>
      </c>
      <c r="Q1007" t="s">
        <v>30</v>
      </c>
      <c r="R1007" t="s">
        <v>30</v>
      </c>
      <c r="S1007">
        <v>5</v>
      </c>
      <c r="T1007" t="s">
        <v>89</v>
      </c>
      <c r="U1007" t="s">
        <v>79</v>
      </c>
      <c r="V1007" s="1">
        <v>45306</v>
      </c>
      <c r="W1007">
        <f>Table1[[#This Row],[customer_purchase count]]+1</f>
        <v>6</v>
      </c>
      <c r="X1007">
        <f>Table1[[#This Row],[customer_purchase count]]*Rules!$B$3</f>
        <v>298.82179487179491</v>
      </c>
      <c r="Y1007" t="str">
        <f>IF(Table1[[#This Row],[customer_subscription]]=1,"Subscribed","Not Subscribed")</f>
        <v>Subscribed</v>
      </c>
    </row>
    <row r="1008" spans="1:26" x14ac:dyDescent="0.25">
      <c r="A1008">
        <v>1007</v>
      </c>
      <c r="B1008">
        <v>21</v>
      </c>
      <c r="C1008" t="s">
        <v>22</v>
      </c>
      <c r="D1008">
        <v>1007</v>
      </c>
      <c r="E1008" t="s">
        <v>98</v>
      </c>
      <c r="F1008" t="s">
        <v>24</v>
      </c>
      <c r="G1008">
        <v>1007</v>
      </c>
      <c r="H1008">
        <v>1407</v>
      </c>
      <c r="I1008">
        <v>83</v>
      </c>
      <c r="J1008" t="s">
        <v>154</v>
      </c>
      <c r="K1008" t="s">
        <v>39</v>
      </c>
      <c r="L1008" t="s">
        <v>96</v>
      </c>
      <c r="M1008" t="s">
        <v>56</v>
      </c>
      <c r="N1008">
        <v>4.5</v>
      </c>
      <c r="O1008">
        <v>1</v>
      </c>
      <c r="P1008" t="s">
        <v>48</v>
      </c>
      <c r="Q1008" t="s">
        <v>30</v>
      </c>
      <c r="R1008" t="s">
        <v>30</v>
      </c>
      <c r="S1008">
        <v>50</v>
      </c>
      <c r="T1008" t="s">
        <v>31</v>
      </c>
      <c r="U1008" t="s">
        <v>61</v>
      </c>
      <c r="V1008" s="1">
        <v>45496</v>
      </c>
      <c r="W1008">
        <f>Table1[[#This Row],[customer_purchase count]]+1</f>
        <v>51</v>
      </c>
      <c r="X1008">
        <f>Table1[[#This Row],[customer_purchase count]]*Rules!$B$3</f>
        <v>2988.2179487179487</v>
      </c>
      <c r="Y1008" t="str">
        <f>IF(Table1[[#This Row],[customer_subscription]]=1,"Subscribed","Not Subscribed")</f>
        <v>Subscribed</v>
      </c>
    </row>
    <row r="1009" spans="1:26" x14ac:dyDescent="0.25">
      <c r="A1009">
        <v>1008</v>
      </c>
      <c r="B1009">
        <v>58</v>
      </c>
      <c r="C1009" t="s">
        <v>22</v>
      </c>
      <c r="D1009">
        <v>1008</v>
      </c>
      <c r="E1009" t="s">
        <v>146</v>
      </c>
      <c r="F1009" t="s">
        <v>70</v>
      </c>
      <c r="G1009">
        <v>1008</v>
      </c>
      <c r="H1009">
        <v>1408</v>
      </c>
      <c r="I1009">
        <v>62</v>
      </c>
      <c r="J1009" t="s">
        <v>145</v>
      </c>
      <c r="K1009" t="s">
        <v>95</v>
      </c>
      <c r="L1009" t="s">
        <v>51</v>
      </c>
      <c r="M1009" t="s">
        <v>40</v>
      </c>
      <c r="N1009">
        <v>4.8</v>
      </c>
      <c r="O1009">
        <v>1</v>
      </c>
      <c r="P1009" t="s">
        <v>57</v>
      </c>
      <c r="Q1009" t="s">
        <v>30</v>
      </c>
      <c r="R1009" t="s">
        <v>30</v>
      </c>
      <c r="S1009">
        <v>2</v>
      </c>
      <c r="T1009" t="s">
        <v>42</v>
      </c>
      <c r="U1009" t="s">
        <v>52</v>
      </c>
      <c r="V1009" s="1">
        <v>45376</v>
      </c>
      <c r="W1009">
        <f>Table1[[#This Row],[customer_purchase count]]+1</f>
        <v>3</v>
      </c>
      <c r="X1009">
        <f>Table1[[#This Row],[customer_purchase count]]*Rules!$B$3</f>
        <v>119.52871794871795</v>
      </c>
      <c r="Y1009" t="str">
        <f>IF(Table1[[#This Row],[customer_subscription]]=1,"Subscribed","Not Subscribed")</f>
        <v>Subscribed</v>
      </c>
    </row>
    <row r="1010" spans="1:26" x14ac:dyDescent="0.25">
      <c r="A1010">
        <v>1009</v>
      </c>
      <c r="B1010">
        <v>41</v>
      </c>
      <c r="C1010" t="s">
        <v>22</v>
      </c>
      <c r="D1010">
        <v>1009</v>
      </c>
      <c r="E1010" t="s">
        <v>122</v>
      </c>
      <c r="F1010" t="s">
        <v>70</v>
      </c>
      <c r="G1010">
        <v>1009</v>
      </c>
      <c r="H1010">
        <v>1409</v>
      </c>
      <c r="I1010">
        <v>85</v>
      </c>
      <c r="J1010" t="s">
        <v>133</v>
      </c>
      <c r="K1010" t="s">
        <v>47</v>
      </c>
      <c r="L1010" t="s">
        <v>72</v>
      </c>
      <c r="M1010" t="s">
        <v>40</v>
      </c>
      <c r="N1010">
        <v>2.6</v>
      </c>
      <c r="O1010">
        <v>1</v>
      </c>
      <c r="P1010" t="s">
        <v>77</v>
      </c>
      <c r="Q1010" t="s">
        <v>30</v>
      </c>
      <c r="R1010" t="s">
        <v>30</v>
      </c>
      <c r="S1010">
        <v>29</v>
      </c>
      <c r="T1010" t="s">
        <v>49</v>
      </c>
      <c r="U1010" t="s">
        <v>52</v>
      </c>
      <c r="V1010" s="1">
        <v>45386</v>
      </c>
      <c r="W1010">
        <f>Table1[[#This Row],[customer_purchase count]]+1</f>
        <v>30</v>
      </c>
      <c r="X1010">
        <f>Table1[[#This Row],[customer_purchase count]]*Rules!$B$3</f>
        <v>1733.1664102564102</v>
      </c>
      <c r="Y1010" t="str">
        <f>IF(Table1[[#This Row],[customer_subscription]]=1,"Subscribed","Not Subscribed")</f>
        <v>Subscribed</v>
      </c>
    </row>
    <row r="1011" spans="1:26" x14ac:dyDescent="0.25">
      <c r="A1011">
        <v>1010</v>
      </c>
      <c r="B1011">
        <v>39</v>
      </c>
      <c r="C1011" t="s">
        <v>22</v>
      </c>
      <c r="D1011">
        <v>1010</v>
      </c>
      <c r="E1011" t="s">
        <v>107</v>
      </c>
      <c r="F1011" t="s">
        <v>24</v>
      </c>
      <c r="G1011">
        <v>1010</v>
      </c>
      <c r="H1011">
        <v>1411</v>
      </c>
      <c r="I1011">
        <v>30</v>
      </c>
      <c r="J1011" t="s">
        <v>63</v>
      </c>
      <c r="K1011" t="s">
        <v>47</v>
      </c>
      <c r="L1011" t="s">
        <v>68</v>
      </c>
      <c r="M1011" t="s">
        <v>56</v>
      </c>
      <c r="N1011">
        <v>3.1</v>
      </c>
      <c r="O1011">
        <v>1</v>
      </c>
      <c r="P1011" t="s">
        <v>29</v>
      </c>
      <c r="Q1011" t="s">
        <v>30</v>
      </c>
      <c r="R1011" t="s">
        <v>30</v>
      </c>
      <c r="S1011">
        <v>11</v>
      </c>
      <c r="T1011" t="s">
        <v>31</v>
      </c>
      <c r="U1011" t="s">
        <v>52</v>
      </c>
      <c r="V1011" s="1">
        <v>45456</v>
      </c>
      <c r="W1011">
        <f>Table1[[#This Row],[customer_purchase count]]+1</f>
        <v>12</v>
      </c>
      <c r="X1011">
        <f>Table1[[#This Row],[customer_purchase count]]*Rules!$B$3</f>
        <v>657.40794871794878</v>
      </c>
      <c r="Y1011" t="str">
        <f>IF(Table1[[#This Row],[customer_subscription]]=1,"Subscribed","Not Subscribed")</f>
        <v>Subscribed</v>
      </c>
    </row>
    <row r="1012" spans="1:26" x14ac:dyDescent="0.25">
      <c r="A1012">
        <v>1011</v>
      </c>
      <c r="B1012">
        <v>54</v>
      </c>
      <c r="C1012" t="s">
        <v>22</v>
      </c>
      <c r="D1012">
        <v>1011</v>
      </c>
      <c r="E1012" t="s">
        <v>37</v>
      </c>
      <c r="F1012" t="s">
        <v>24</v>
      </c>
      <c r="G1012">
        <v>1011</v>
      </c>
      <c r="H1012">
        <v>1412</v>
      </c>
      <c r="I1012">
        <v>24</v>
      </c>
      <c r="J1012" t="s">
        <v>150</v>
      </c>
      <c r="K1012" t="s">
        <v>95</v>
      </c>
      <c r="L1012" t="s">
        <v>27</v>
      </c>
      <c r="M1012" t="s">
        <v>40</v>
      </c>
      <c r="N1012">
        <v>4.7</v>
      </c>
      <c r="O1012">
        <v>1</v>
      </c>
      <c r="P1012" t="s">
        <v>73</v>
      </c>
      <c r="Q1012" t="s">
        <v>30</v>
      </c>
      <c r="R1012" t="s">
        <v>30</v>
      </c>
      <c r="S1012">
        <v>37</v>
      </c>
      <c r="T1012" t="s">
        <v>42</v>
      </c>
      <c r="U1012" t="s">
        <v>32</v>
      </c>
      <c r="V1012" s="1">
        <v>45407</v>
      </c>
      <c r="W1012">
        <f>Table1[[#This Row],[customer_purchase count]]+1</f>
        <v>38</v>
      </c>
      <c r="X1012">
        <f>Table1[[#This Row],[customer_purchase count]]*Rules!$B$3</f>
        <v>2211.2812820512822</v>
      </c>
      <c r="Y1012" t="str">
        <f>IF(Table1[[#This Row],[customer_subscription]]=1,"Subscribed","Not Subscribed")</f>
        <v>Subscribed</v>
      </c>
      <c r="Z1012" t="s">
        <v>193</v>
      </c>
    </row>
    <row r="1013" spans="1:26" x14ac:dyDescent="0.25">
      <c r="A1013">
        <v>1012</v>
      </c>
      <c r="B1013">
        <v>43</v>
      </c>
      <c r="C1013" t="s">
        <v>22</v>
      </c>
      <c r="D1013">
        <v>1012</v>
      </c>
      <c r="E1013" t="s">
        <v>135</v>
      </c>
      <c r="F1013" t="s">
        <v>70</v>
      </c>
      <c r="G1013">
        <v>1012</v>
      </c>
      <c r="H1013">
        <v>1413</v>
      </c>
      <c r="I1013">
        <v>25</v>
      </c>
      <c r="J1013" t="s">
        <v>59</v>
      </c>
      <c r="K1013" t="s">
        <v>26</v>
      </c>
      <c r="L1013" t="s">
        <v>129</v>
      </c>
      <c r="M1013" t="s">
        <v>40</v>
      </c>
      <c r="N1013">
        <v>2.9</v>
      </c>
      <c r="O1013">
        <v>1</v>
      </c>
      <c r="P1013" t="s">
        <v>48</v>
      </c>
      <c r="Q1013" t="s">
        <v>30</v>
      </c>
      <c r="R1013" t="s">
        <v>30</v>
      </c>
      <c r="S1013">
        <v>32</v>
      </c>
      <c r="T1013" t="s">
        <v>89</v>
      </c>
      <c r="U1013" t="s">
        <v>32</v>
      </c>
      <c r="V1013" s="1">
        <v>45376</v>
      </c>
      <c r="W1013">
        <f>Table1[[#This Row],[customer_purchase count]]+1</f>
        <v>33</v>
      </c>
      <c r="X1013">
        <f>Table1[[#This Row],[customer_purchase count]]*Rules!$B$3</f>
        <v>1912.4594871794873</v>
      </c>
      <c r="Y1013" t="str">
        <f>IF(Table1[[#This Row],[customer_subscription]]=1,"Subscribed","Not Subscribed")</f>
        <v>Subscribed</v>
      </c>
    </row>
    <row r="1014" spans="1:26" x14ac:dyDescent="0.25">
      <c r="A1014">
        <v>1013</v>
      </c>
      <c r="B1014">
        <v>28</v>
      </c>
      <c r="C1014" t="s">
        <v>22</v>
      </c>
      <c r="D1014">
        <v>1013</v>
      </c>
      <c r="E1014" t="s">
        <v>44</v>
      </c>
      <c r="F1014" t="s">
        <v>45</v>
      </c>
      <c r="G1014">
        <v>1013</v>
      </c>
      <c r="H1014">
        <v>1414</v>
      </c>
      <c r="I1014">
        <v>37</v>
      </c>
      <c r="J1014" t="s">
        <v>133</v>
      </c>
      <c r="K1014" t="s">
        <v>26</v>
      </c>
      <c r="L1014" t="s">
        <v>88</v>
      </c>
      <c r="M1014" t="s">
        <v>56</v>
      </c>
      <c r="N1014">
        <v>3.8</v>
      </c>
      <c r="O1014">
        <v>1</v>
      </c>
      <c r="P1014" t="s">
        <v>29</v>
      </c>
      <c r="Q1014" t="s">
        <v>30</v>
      </c>
      <c r="R1014" t="s">
        <v>30</v>
      </c>
      <c r="S1014">
        <v>27</v>
      </c>
      <c r="T1014" t="s">
        <v>42</v>
      </c>
      <c r="U1014" t="s">
        <v>52</v>
      </c>
      <c r="V1014" s="1">
        <v>45449</v>
      </c>
      <c r="W1014">
        <f>Table1[[#This Row],[customer_purchase count]]+1</f>
        <v>28</v>
      </c>
      <c r="X1014">
        <f>Table1[[#This Row],[customer_purchase count]]*Rules!$B$3</f>
        <v>1613.6376923076923</v>
      </c>
      <c r="Y1014" t="str">
        <f>IF(Table1[[#This Row],[customer_subscription]]=1,"Subscribed","Not Subscribed")</f>
        <v>Subscribed</v>
      </c>
    </row>
    <row r="1015" spans="1:26" x14ac:dyDescent="0.25">
      <c r="A1015">
        <v>1014</v>
      </c>
      <c r="B1015">
        <v>59</v>
      </c>
      <c r="C1015" t="s">
        <v>22</v>
      </c>
      <c r="D1015">
        <v>1014</v>
      </c>
      <c r="E1015" t="s">
        <v>136</v>
      </c>
      <c r="F1015" t="s">
        <v>70</v>
      </c>
      <c r="G1015">
        <v>1014</v>
      </c>
      <c r="H1015">
        <v>1415</v>
      </c>
      <c r="I1015">
        <v>69</v>
      </c>
      <c r="J1015" t="s">
        <v>134</v>
      </c>
      <c r="K1015" t="s">
        <v>95</v>
      </c>
      <c r="L1015" t="s">
        <v>99</v>
      </c>
      <c r="M1015" t="s">
        <v>56</v>
      </c>
      <c r="N1015">
        <v>3.8</v>
      </c>
      <c r="O1015">
        <v>1</v>
      </c>
      <c r="P1015" t="s">
        <v>73</v>
      </c>
      <c r="Q1015" t="s">
        <v>30</v>
      </c>
      <c r="R1015" t="s">
        <v>30</v>
      </c>
      <c r="S1015">
        <v>31</v>
      </c>
      <c r="T1015" t="s">
        <v>31</v>
      </c>
      <c r="U1015" t="s">
        <v>79</v>
      </c>
      <c r="V1015" s="1">
        <v>45527</v>
      </c>
      <c r="W1015">
        <f>Table1[[#This Row],[customer_purchase count]]+1</f>
        <v>32</v>
      </c>
      <c r="X1015">
        <f>Table1[[#This Row],[customer_purchase count]]*Rules!$B$3</f>
        <v>1852.6951282051282</v>
      </c>
      <c r="Y1015" t="str">
        <f>IF(Table1[[#This Row],[customer_subscription]]=1,"Subscribed","Not Subscribed")</f>
        <v>Subscribed</v>
      </c>
    </row>
    <row r="1016" spans="1:26" x14ac:dyDescent="0.25">
      <c r="A1016">
        <v>1015</v>
      </c>
      <c r="B1016">
        <v>28</v>
      </c>
      <c r="C1016" t="s">
        <v>22</v>
      </c>
      <c r="D1016">
        <v>1015</v>
      </c>
      <c r="E1016" t="s">
        <v>74</v>
      </c>
      <c r="F1016" t="s">
        <v>45</v>
      </c>
      <c r="G1016">
        <v>1015</v>
      </c>
      <c r="H1016">
        <v>1417</v>
      </c>
      <c r="I1016">
        <v>97</v>
      </c>
      <c r="J1016" t="s">
        <v>126</v>
      </c>
      <c r="K1016" t="s">
        <v>47</v>
      </c>
      <c r="L1016" t="s">
        <v>86</v>
      </c>
      <c r="M1016" t="s">
        <v>56</v>
      </c>
      <c r="N1016">
        <v>3</v>
      </c>
      <c r="O1016">
        <v>1</v>
      </c>
      <c r="P1016" t="s">
        <v>57</v>
      </c>
      <c r="Q1016" t="s">
        <v>30</v>
      </c>
      <c r="R1016" t="s">
        <v>30</v>
      </c>
      <c r="S1016">
        <v>36</v>
      </c>
      <c r="T1016" t="s">
        <v>89</v>
      </c>
      <c r="U1016" t="s">
        <v>32</v>
      </c>
      <c r="V1016" s="1">
        <v>45532</v>
      </c>
      <c r="W1016">
        <f>Table1[[#This Row],[customer_purchase count]]+1</f>
        <v>37</v>
      </c>
      <c r="X1016">
        <f>Table1[[#This Row],[customer_purchase count]]*Rules!$B$3</f>
        <v>2151.5169230769234</v>
      </c>
      <c r="Y1016" t="str">
        <f>IF(Table1[[#This Row],[customer_subscription]]=1,"Subscribed","Not Subscribed")</f>
        <v>Subscribed</v>
      </c>
    </row>
    <row r="1017" spans="1:26" x14ac:dyDescent="0.25">
      <c r="A1017">
        <v>1016</v>
      </c>
      <c r="B1017">
        <v>68</v>
      </c>
      <c r="C1017" t="s">
        <v>22</v>
      </c>
      <c r="D1017">
        <v>1016</v>
      </c>
      <c r="E1017" t="s">
        <v>146</v>
      </c>
      <c r="F1017" t="s">
        <v>70</v>
      </c>
      <c r="G1017">
        <v>1016</v>
      </c>
      <c r="H1017">
        <v>1418</v>
      </c>
      <c r="I1017">
        <v>24</v>
      </c>
      <c r="J1017" t="s">
        <v>101</v>
      </c>
      <c r="K1017" t="s">
        <v>47</v>
      </c>
      <c r="L1017" t="s">
        <v>112</v>
      </c>
      <c r="M1017" t="s">
        <v>56</v>
      </c>
      <c r="N1017">
        <v>4.0999999999999996</v>
      </c>
      <c r="O1017">
        <v>1</v>
      </c>
      <c r="P1017" t="s">
        <v>57</v>
      </c>
      <c r="Q1017" t="s">
        <v>30</v>
      </c>
      <c r="R1017" t="s">
        <v>30</v>
      </c>
      <c r="S1017">
        <v>34</v>
      </c>
      <c r="T1017" t="s">
        <v>36</v>
      </c>
      <c r="U1017" t="s">
        <v>43</v>
      </c>
      <c r="V1017" s="1">
        <v>45469</v>
      </c>
      <c r="W1017">
        <f>Table1[[#This Row],[customer_purchase count]]+1</f>
        <v>35</v>
      </c>
      <c r="X1017">
        <f>Table1[[#This Row],[customer_purchase count]]*Rules!$B$3</f>
        <v>2031.9882051282052</v>
      </c>
      <c r="Y1017" t="str">
        <f>IF(Table1[[#This Row],[customer_subscription]]=1,"Subscribed","Not Subscribed")</f>
        <v>Subscribed</v>
      </c>
    </row>
    <row r="1018" spans="1:26" x14ac:dyDescent="0.25">
      <c r="A1018">
        <v>1017</v>
      </c>
      <c r="B1018">
        <v>20</v>
      </c>
      <c r="C1018" t="s">
        <v>22</v>
      </c>
      <c r="D1018">
        <v>1017</v>
      </c>
      <c r="E1018" t="s">
        <v>136</v>
      </c>
      <c r="F1018" t="s">
        <v>70</v>
      </c>
      <c r="G1018">
        <v>1017</v>
      </c>
      <c r="H1018">
        <v>1419</v>
      </c>
      <c r="I1018">
        <v>30</v>
      </c>
      <c r="J1018" t="s">
        <v>138</v>
      </c>
      <c r="K1018" t="s">
        <v>95</v>
      </c>
      <c r="L1018" t="s">
        <v>147</v>
      </c>
      <c r="M1018" t="s">
        <v>56</v>
      </c>
      <c r="N1018">
        <v>3.4</v>
      </c>
      <c r="O1018">
        <v>1</v>
      </c>
      <c r="P1018" t="s">
        <v>29</v>
      </c>
      <c r="Q1018" t="s">
        <v>30</v>
      </c>
      <c r="R1018" t="s">
        <v>30</v>
      </c>
      <c r="S1018">
        <v>15</v>
      </c>
      <c r="T1018" t="s">
        <v>78</v>
      </c>
      <c r="U1018" t="s">
        <v>100</v>
      </c>
      <c r="V1018" s="1">
        <v>45510</v>
      </c>
      <c r="W1018">
        <f>Table1[[#This Row],[customer_purchase count]]+1</f>
        <v>16</v>
      </c>
      <c r="X1018">
        <f>Table1[[#This Row],[customer_purchase count]]*Rules!$B$3</f>
        <v>896.46538461538466</v>
      </c>
      <c r="Y1018" t="str">
        <f>IF(Table1[[#This Row],[customer_subscription]]=1,"Subscribed","Not Subscribed")</f>
        <v>Subscribed</v>
      </c>
      <c r="Z1018" t="s">
        <v>187</v>
      </c>
    </row>
    <row r="1019" spans="1:26" x14ac:dyDescent="0.25">
      <c r="A1019">
        <v>1018</v>
      </c>
      <c r="B1019">
        <v>21</v>
      </c>
      <c r="C1019" t="s">
        <v>22</v>
      </c>
      <c r="D1019">
        <v>1018</v>
      </c>
      <c r="E1019" t="s">
        <v>105</v>
      </c>
      <c r="F1019" t="s">
        <v>66</v>
      </c>
      <c r="G1019">
        <v>1018</v>
      </c>
      <c r="H1019">
        <v>1420</v>
      </c>
      <c r="I1019">
        <v>53</v>
      </c>
      <c r="J1019" t="s">
        <v>104</v>
      </c>
      <c r="K1019" t="s">
        <v>26</v>
      </c>
      <c r="L1019" t="s">
        <v>124</v>
      </c>
      <c r="M1019" t="s">
        <v>60</v>
      </c>
      <c r="N1019">
        <v>2.5</v>
      </c>
      <c r="O1019">
        <v>1</v>
      </c>
      <c r="P1019" t="s">
        <v>29</v>
      </c>
      <c r="Q1019" t="s">
        <v>30</v>
      </c>
      <c r="R1019" t="s">
        <v>30</v>
      </c>
      <c r="S1019">
        <v>14</v>
      </c>
      <c r="T1019" t="s">
        <v>42</v>
      </c>
      <c r="U1019" t="s">
        <v>52</v>
      </c>
      <c r="V1019" s="1">
        <v>45623</v>
      </c>
      <c r="W1019">
        <f>Table1[[#This Row],[customer_purchase count]]+1</f>
        <v>15</v>
      </c>
      <c r="X1019">
        <f>Table1[[#This Row],[customer_purchase count]]*Rules!$B$3</f>
        <v>836.70102564102569</v>
      </c>
      <c r="Y1019" t="str">
        <f>IF(Table1[[#This Row],[customer_subscription]]=1,"Subscribed","Not Subscribed")</f>
        <v>Subscribed</v>
      </c>
      <c r="Z1019" t="s">
        <v>187</v>
      </c>
    </row>
    <row r="1020" spans="1:26" x14ac:dyDescent="0.25">
      <c r="A1020">
        <v>1019</v>
      </c>
      <c r="B1020">
        <v>50</v>
      </c>
      <c r="C1020" t="s">
        <v>22</v>
      </c>
      <c r="D1020">
        <v>1019</v>
      </c>
      <c r="E1020" t="s">
        <v>84</v>
      </c>
      <c r="F1020" t="s">
        <v>24</v>
      </c>
      <c r="G1020">
        <v>1019</v>
      </c>
      <c r="H1020">
        <v>1421</v>
      </c>
      <c r="I1020">
        <v>70</v>
      </c>
      <c r="J1020" t="s">
        <v>145</v>
      </c>
      <c r="K1020" t="s">
        <v>95</v>
      </c>
      <c r="L1020" t="s">
        <v>64</v>
      </c>
      <c r="M1020" t="s">
        <v>40</v>
      </c>
      <c r="N1020">
        <v>4.9000000000000004</v>
      </c>
      <c r="O1020">
        <v>1</v>
      </c>
      <c r="P1020" t="s">
        <v>48</v>
      </c>
      <c r="Q1020" t="s">
        <v>30</v>
      </c>
      <c r="R1020" t="s">
        <v>30</v>
      </c>
      <c r="S1020">
        <v>46</v>
      </c>
      <c r="T1020" t="s">
        <v>36</v>
      </c>
      <c r="U1020" t="s">
        <v>43</v>
      </c>
      <c r="V1020" s="1">
        <v>45426</v>
      </c>
      <c r="W1020">
        <f>Table1[[#This Row],[customer_purchase count]]+1</f>
        <v>47</v>
      </c>
      <c r="X1020">
        <f>Table1[[#This Row],[customer_purchase count]]*Rules!$B$3</f>
        <v>2749.1605128205128</v>
      </c>
      <c r="Y1020" t="str">
        <f>IF(Table1[[#This Row],[customer_subscription]]=1,"Subscribed","Not Subscribed")</f>
        <v>Subscribed</v>
      </c>
      <c r="Z1020" t="s">
        <v>193</v>
      </c>
    </row>
    <row r="1021" spans="1:26" x14ac:dyDescent="0.25">
      <c r="A1021">
        <v>1020</v>
      </c>
      <c r="B1021">
        <v>32</v>
      </c>
      <c r="C1021" t="s">
        <v>22</v>
      </c>
      <c r="D1021">
        <v>1020</v>
      </c>
      <c r="E1021" t="s">
        <v>58</v>
      </c>
      <c r="F1021" t="s">
        <v>24</v>
      </c>
      <c r="G1021">
        <v>1020</v>
      </c>
      <c r="H1021">
        <v>1423</v>
      </c>
      <c r="I1021">
        <v>76</v>
      </c>
      <c r="J1021" t="s">
        <v>25</v>
      </c>
      <c r="K1021" t="s">
        <v>39</v>
      </c>
      <c r="L1021" t="s">
        <v>121</v>
      </c>
      <c r="M1021" t="s">
        <v>28</v>
      </c>
      <c r="N1021">
        <v>2.8</v>
      </c>
      <c r="O1021">
        <v>1</v>
      </c>
      <c r="P1021" t="s">
        <v>57</v>
      </c>
      <c r="Q1021" t="s">
        <v>30</v>
      </c>
      <c r="R1021" t="s">
        <v>30</v>
      </c>
      <c r="S1021">
        <v>33</v>
      </c>
      <c r="T1021" t="s">
        <v>31</v>
      </c>
      <c r="U1021" t="s">
        <v>79</v>
      </c>
      <c r="V1021" s="1">
        <v>45294</v>
      </c>
      <c r="W1021">
        <f>Table1[[#This Row],[customer_purchase count]]+1</f>
        <v>34</v>
      </c>
      <c r="X1021">
        <f>Table1[[#This Row],[customer_purchase count]]*Rules!$B$3</f>
        <v>1972.2238461538464</v>
      </c>
      <c r="Y1021" t="str">
        <f>IF(Table1[[#This Row],[customer_subscription]]=1,"Subscribed","Not Subscribed")</f>
        <v>Subscribed</v>
      </c>
      <c r="Z1021" t="s">
        <v>193</v>
      </c>
    </row>
    <row r="1022" spans="1:26" x14ac:dyDescent="0.25">
      <c r="A1022">
        <v>1021</v>
      </c>
      <c r="B1022">
        <v>24</v>
      </c>
      <c r="C1022" t="s">
        <v>22</v>
      </c>
      <c r="D1022">
        <v>1021</v>
      </c>
      <c r="E1022" t="s">
        <v>122</v>
      </c>
      <c r="F1022" t="s">
        <v>70</v>
      </c>
      <c r="G1022">
        <v>1021</v>
      </c>
      <c r="H1022">
        <v>1424</v>
      </c>
      <c r="I1022">
        <v>95</v>
      </c>
      <c r="J1022" t="s">
        <v>82</v>
      </c>
      <c r="K1022" t="s">
        <v>47</v>
      </c>
      <c r="L1022" t="s">
        <v>97</v>
      </c>
      <c r="M1022" t="s">
        <v>60</v>
      </c>
      <c r="N1022">
        <v>4.5</v>
      </c>
      <c r="O1022">
        <v>1</v>
      </c>
      <c r="P1022" t="s">
        <v>29</v>
      </c>
      <c r="Q1022" t="s">
        <v>30</v>
      </c>
      <c r="R1022" t="s">
        <v>30</v>
      </c>
      <c r="S1022">
        <v>41</v>
      </c>
      <c r="T1022" t="s">
        <v>89</v>
      </c>
      <c r="U1022" t="s">
        <v>52</v>
      </c>
      <c r="V1022" s="1">
        <v>45590</v>
      </c>
      <c r="W1022">
        <f>Table1[[#This Row],[customer_purchase count]]+1</f>
        <v>42</v>
      </c>
      <c r="X1022">
        <f>Table1[[#This Row],[customer_purchase count]]*Rules!$B$3</f>
        <v>2450.3387179487181</v>
      </c>
      <c r="Y1022" t="str">
        <f>IF(Table1[[#This Row],[customer_subscription]]=1,"Subscribed","Not Subscribed")</f>
        <v>Subscribed</v>
      </c>
    </row>
    <row r="1023" spans="1:26" x14ac:dyDescent="0.25">
      <c r="A1023">
        <v>1022</v>
      </c>
      <c r="B1023">
        <v>55</v>
      </c>
      <c r="C1023" t="s">
        <v>22</v>
      </c>
      <c r="D1023">
        <v>1022</v>
      </c>
      <c r="E1023" t="s">
        <v>65</v>
      </c>
      <c r="F1023" t="s">
        <v>66</v>
      </c>
      <c r="G1023">
        <v>1022</v>
      </c>
      <c r="H1023">
        <v>1425</v>
      </c>
      <c r="I1023">
        <v>51</v>
      </c>
      <c r="J1023" t="s">
        <v>38</v>
      </c>
      <c r="K1023" t="s">
        <v>39</v>
      </c>
      <c r="L1023" t="s">
        <v>96</v>
      </c>
      <c r="M1023" t="s">
        <v>28</v>
      </c>
      <c r="N1023">
        <v>4.9000000000000004</v>
      </c>
      <c r="O1023">
        <v>1</v>
      </c>
      <c r="P1023" t="s">
        <v>73</v>
      </c>
      <c r="Q1023" t="s">
        <v>30</v>
      </c>
      <c r="R1023" t="s">
        <v>30</v>
      </c>
      <c r="S1023">
        <v>39</v>
      </c>
      <c r="T1023" t="s">
        <v>49</v>
      </c>
      <c r="U1023" t="s">
        <v>43</v>
      </c>
      <c r="V1023" s="1">
        <v>45306</v>
      </c>
      <c r="W1023">
        <f>Table1[[#This Row],[customer_purchase count]]+1</f>
        <v>40</v>
      </c>
      <c r="X1023">
        <f>Table1[[#This Row],[customer_purchase count]]*Rules!$B$3</f>
        <v>2330.81</v>
      </c>
      <c r="Y1023" t="str">
        <f>IF(Table1[[#This Row],[customer_subscription]]=1,"Subscribed","Not Subscribed")</f>
        <v>Subscribed</v>
      </c>
      <c r="Z1023" t="s">
        <v>193</v>
      </c>
    </row>
    <row r="1024" spans="1:26" x14ac:dyDescent="0.25">
      <c r="A1024">
        <v>1023</v>
      </c>
      <c r="B1024">
        <v>61</v>
      </c>
      <c r="C1024" t="s">
        <v>22</v>
      </c>
      <c r="D1024">
        <v>1023</v>
      </c>
      <c r="E1024" t="s">
        <v>69</v>
      </c>
      <c r="F1024" t="s">
        <v>70</v>
      </c>
      <c r="G1024">
        <v>1023</v>
      </c>
      <c r="H1024">
        <v>1426</v>
      </c>
      <c r="I1024">
        <v>41</v>
      </c>
      <c r="J1024" t="s">
        <v>148</v>
      </c>
      <c r="K1024" t="s">
        <v>47</v>
      </c>
      <c r="L1024" t="s">
        <v>96</v>
      </c>
      <c r="M1024" t="s">
        <v>28</v>
      </c>
      <c r="N1024">
        <v>4.9000000000000004</v>
      </c>
      <c r="O1024">
        <v>1</v>
      </c>
      <c r="P1024" t="s">
        <v>77</v>
      </c>
      <c r="Q1024" t="s">
        <v>30</v>
      </c>
      <c r="R1024" t="s">
        <v>30</v>
      </c>
      <c r="S1024">
        <v>7</v>
      </c>
      <c r="T1024" t="s">
        <v>36</v>
      </c>
      <c r="U1024" t="s">
        <v>52</v>
      </c>
      <c r="V1024" s="1">
        <v>45343</v>
      </c>
      <c r="W1024">
        <f>Table1[[#This Row],[customer_purchase count]]+1</f>
        <v>8</v>
      </c>
      <c r="X1024">
        <f>Table1[[#This Row],[customer_purchase count]]*Rules!$B$3</f>
        <v>418.35051282051285</v>
      </c>
      <c r="Y1024" t="str">
        <f>IF(Table1[[#This Row],[customer_subscription]]=1,"Subscribed","Not Subscribed")</f>
        <v>Subscribed</v>
      </c>
    </row>
    <row r="1025" spans="1:26" x14ac:dyDescent="0.25">
      <c r="A1025">
        <v>1024</v>
      </c>
      <c r="B1025">
        <v>61</v>
      </c>
      <c r="C1025" t="s">
        <v>22</v>
      </c>
      <c r="D1025">
        <v>1024</v>
      </c>
      <c r="E1025" t="s">
        <v>92</v>
      </c>
      <c r="F1025" t="s">
        <v>70</v>
      </c>
      <c r="G1025">
        <v>1024</v>
      </c>
      <c r="H1025">
        <v>1427</v>
      </c>
      <c r="I1025">
        <v>71</v>
      </c>
      <c r="J1025" t="s">
        <v>34</v>
      </c>
      <c r="K1025" t="s">
        <v>39</v>
      </c>
      <c r="L1025" t="s">
        <v>51</v>
      </c>
      <c r="M1025" t="s">
        <v>28</v>
      </c>
      <c r="N1025">
        <v>3.5</v>
      </c>
      <c r="O1025">
        <v>1</v>
      </c>
      <c r="P1025" t="s">
        <v>41</v>
      </c>
      <c r="Q1025" t="s">
        <v>30</v>
      </c>
      <c r="R1025" t="s">
        <v>30</v>
      </c>
      <c r="S1025">
        <v>29</v>
      </c>
      <c r="T1025" t="s">
        <v>78</v>
      </c>
      <c r="U1025" t="s">
        <v>100</v>
      </c>
      <c r="V1025" s="1">
        <v>45637</v>
      </c>
      <c r="W1025">
        <f>Table1[[#This Row],[customer_purchase count]]+1</f>
        <v>30</v>
      </c>
      <c r="X1025">
        <f>Table1[[#This Row],[customer_purchase count]]*Rules!$B$3</f>
        <v>1733.1664102564102</v>
      </c>
      <c r="Y1025" t="str">
        <f>IF(Table1[[#This Row],[customer_subscription]]=1,"Subscribed","Not Subscribed")</f>
        <v>Subscribed</v>
      </c>
    </row>
    <row r="1026" spans="1:26" x14ac:dyDescent="0.25">
      <c r="A1026">
        <v>1025</v>
      </c>
      <c r="B1026">
        <v>28</v>
      </c>
      <c r="C1026" t="s">
        <v>22</v>
      </c>
      <c r="D1026">
        <v>1025</v>
      </c>
      <c r="E1026" t="s">
        <v>116</v>
      </c>
      <c r="F1026" t="s">
        <v>24</v>
      </c>
      <c r="G1026">
        <v>1025</v>
      </c>
      <c r="H1026">
        <v>1429</v>
      </c>
      <c r="I1026">
        <v>66</v>
      </c>
      <c r="J1026" t="s">
        <v>141</v>
      </c>
      <c r="K1026" t="s">
        <v>47</v>
      </c>
      <c r="L1026" t="s">
        <v>76</v>
      </c>
      <c r="M1026" t="s">
        <v>56</v>
      </c>
      <c r="N1026">
        <v>3.5</v>
      </c>
      <c r="O1026">
        <v>1</v>
      </c>
      <c r="P1026" t="s">
        <v>41</v>
      </c>
      <c r="Q1026" t="s">
        <v>30</v>
      </c>
      <c r="R1026" t="s">
        <v>30</v>
      </c>
      <c r="S1026">
        <v>18</v>
      </c>
      <c r="T1026" t="s">
        <v>31</v>
      </c>
      <c r="U1026" t="s">
        <v>61</v>
      </c>
      <c r="V1026" s="1">
        <v>45500</v>
      </c>
      <c r="W1026">
        <f>Table1[[#This Row],[customer_purchase count]]+1</f>
        <v>19</v>
      </c>
      <c r="X1026">
        <f>Table1[[#This Row],[customer_purchase count]]*Rules!$B$3</f>
        <v>1075.7584615384617</v>
      </c>
      <c r="Y1026" t="str">
        <f>IF(Table1[[#This Row],[customer_subscription]]=1,"Subscribed","Not Subscribed")</f>
        <v>Subscribed</v>
      </c>
    </row>
    <row r="1027" spans="1:26" x14ac:dyDescent="0.25">
      <c r="A1027">
        <v>1026</v>
      </c>
      <c r="B1027">
        <v>60</v>
      </c>
      <c r="C1027" t="s">
        <v>22</v>
      </c>
      <c r="D1027">
        <v>1026</v>
      </c>
      <c r="E1027" t="s">
        <v>58</v>
      </c>
      <c r="F1027" t="s">
        <v>24</v>
      </c>
      <c r="G1027">
        <v>1026</v>
      </c>
      <c r="H1027">
        <v>1430</v>
      </c>
      <c r="I1027">
        <v>84</v>
      </c>
      <c r="J1027" t="s">
        <v>148</v>
      </c>
      <c r="K1027" t="s">
        <v>47</v>
      </c>
      <c r="L1027" t="s">
        <v>81</v>
      </c>
      <c r="M1027" t="s">
        <v>28</v>
      </c>
      <c r="N1027">
        <v>4.9000000000000004</v>
      </c>
      <c r="O1027">
        <v>1</v>
      </c>
      <c r="P1027" t="s">
        <v>41</v>
      </c>
      <c r="Q1027" t="s">
        <v>30</v>
      </c>
      <c r="R1027" t="s">
        <v>30</v>
      </c>
      <c r="S1027">
        <v>15</v>
      </c>
      <c r="T1027" t="s">
        <v>42</v>
      </c>
      <c r="U1027" t="s">
        <v>52</v>
      </c>
      <c r="V1027" s="1">
        <v>45310</v>
      </c>
      <c r="W1027">
        <f>Table1[[#This Row],[customer_purchase count]]+1</f>
        <v>16</v>
      </c>
      <c r="X1027">
        <f>Table1[[#This Row],[customer_purchase count]]*Rules!$B$3</f>
        <v>896.46538461538466</v>
      </c>
      <c r="Y1027" t="str">
        <f>IF(Table1[[#This Row],[customer_subscription]]=1,"Subscribed","Not Subscribed")</f>
        <v>Subscribed</v>
      </c>
    </row>
    <row r="1028" spans="1:26" x14ac:dyDescent="0.25">
      <c r="A1028">
        <v>1027</v>
      </c>
      <c r="B1028">
        <v>49</v>
      </c>
      <c r="C1028" t="s">
        <v>22</v>
      </c>
      <c r="D1028">
        <v>1027</v>
      </c>
      <c r="E1028" t="s">
        <v>69</v>
      </c>
      <c r="F1028" t="s">
        <v>70</v>
      </c>
      <c r="G1028">
        <v>1027</v>
      </c>
      <c r="H1028">
        <v>1431</v>
      </c>
      <c r="I1028">
        <v>95</v>
      </c>
      <c r="J1028" t="s">
        <v>144</v>
      </c>
      <c r="K1028" t="s">
        <v>26</v>
      </c>
      <c r="L1028" t="s">
        <v>51</v>
      </c>
      <c r="M1028" t="s">
        <v>28</v>
      </c>
      <c r="N1028">
        <v>3</v>
      </c>
      <c r="O1028">
        <v>1</v>
      </c>
      <c r="P1028" t="s">
        <v>29</v>
      </c>
      <c r="Q1028" t="s">
        <v>30</v>
      </c>
      <c r="R1028" t="s">
        <v>30</v>
      </c>
      <c r="S1028">
        <v>39</v>
      </c>
      <c r="T1028" t="s">
        <v>49</v>
      </c>
      <c r="U1028" t="s">
        <v>79</v>
      </c>
      <c r="V1028" s="1">
        <v>45633</v>
      </c>
      <c r="W1028">
        <f>Table1[[#This Row],[customer_purchase count]]+1</f>
        <v>40</v>
      </c>
      <c r="X1028">
        <f>Table1[[#This Row],[customer_purchase count]]*Rules!$B$3</f>
        <v>2330.81</v>
      </c>
      <c r="Y1028" t="str">
        <f>IF(Table1[[#This Row],[customer_subscription]]=1,"Subscribed","Not Subscribed")</f>
        <v>Subscribed</v>
      </c>
      <c r="Z1028" t="s">
        <v>193</v>
      </c>
    </row>
    <row r="1029" spans="1:26" x14ac:dyDescent="0.25">
      <c r="A1029">
        <v>1028</v>
      </c>
      <c r="B1029">
        <v>33</v>
      </c>
      <c r="C1029" t="s">
        <v>22</v>
      </c>
      <c r="D1029">
        <v>1028</v>
      </c>
      <c r="E1029" t="s">
        <v>109</v>
      </c>
      <c r="F1029" t="s">
        <v>70</v>
      </c>
      <c r="G1029">
        <v>1028</v>
      </c>
      <c r="H1029">
        <v>1432</v>
      </c>
      <c r="I1029">
        <v>90</v>
      </c>
      <c r="J1029" t="s">
        <v>126</v>
      </c>
      <c r="K1029" t="s">
        <v>26</v>
      </c>
      <c r="L1029" t="s">
        <v>88</v>
      </c>
      <c r="M1029" t="s">
        <v>56</v>
      </c>
      <c r="N1029">
        <v>2.8</v>
      </c>
      <c r="O1029">
        <v>1</v>
      </c>
      <c r="P1029" t="s">
        <v>48</v>
      </c>
      <c r="Q1029" t="s">
        <v>30</v>
      </c>
      <c r="R1029" t="s">
        <v>30</v>
      </c>
      <c r="S1029">
        <v>11</v>
      </c>
      <c r="T1029" t="s">
        <v>36</v>
      </c>
      <c r="U1029" t="s">
        <v>91</v>
      </c>
      <c r="V1029" s="1">
        <v>45466</v>
      </c>
      <c r="W1029">
        <f>Table1[[#This Row],[customer_purchase count]]+1</f>
        <v>12</v>
      </c>
      <c r="X1029">
        <f>Table1[[#This Row],[customer_purchase count]]*Rules!$B$3</f>
        <v>657.40794871794878</v>
      </c>
      <c r="Y1029" t="str">
        <f>IF(Table1[[#This Row],[customer_subscription]]=1,"Subscribed","Not Subscribed")</f>
        <v>Subscribed</v>
      </c>
    </row>
    <row r="1030" spans="1:26" x14ac:dyDescent="0.25">
      <c r="A1030">
        <v>1029</v>
      </c>
      <c r="B1030">
        <v>45</v>
      </c>
      <c r="C1030" t="s">
        <v>22</v>
      </c>
      <c r="D1030">
        <v>1029</v>
      </c>
      <c r="E1030" t="s">
        <v>107</v>
      </c>
      <c r="F1030" t="s">
        <v>24</v>
      </c>
      <c r="G1030">
        <v>1029</v>
      </c>
      <c r="H1030">
        <v>1433</v>
      </c>
      <c r="I1030">
        <v>36</v>
      </c>
      <c r="J1030" t="s">
        <v>148</v>
      </c>
      <c r="K1030" t="s">
        <v>39</v>
      </c>
      <c r="L1030" t="s">
        <v>96</v>
      </c>
      <c r="M1030" t="s">
        <v>56</v>
      </c>
      <c r="N1030">
        <v>3.7</v>
      </c>
      <c r="O1030">
        <v>1</v>
      </c>
      <c r="P1030" t="s">
        <v>57</v>
      </c>
      <c r="Q1030" t="s">
        <v>30</v>
      </c>
      <c r="R1030" t="s">
        <v>30</v>
      </c>
      <c r="S1030">
        <v>4</v>
      </c>
      <c r="T1030" t="s">
        <v>36</v>
      </c>
      <c r="U1030" t="s">
        <v>32</v>
      </c>
      <c r="V1030" s="1">
        <v>45517</v>
      </c>
      <c r="W1030">
        <f>Table1[[#This Row],[customer_purchase count]]+1</f>
        <v>5</v>
      </c>
      <c r="X1030">
        <f>Table1[[#This Row],[customer_purchase count]]*Rules!$B$3</f>
        <v>239.05743589743591</v>
      </c>
      <c r="Y1030" t="str">
        <f>IF(Table1[[#This Row],[customer_subscription]]=1,"Subscribed","Not Subscribed")</f>
        <v>Subscribed</v>
      </c>
    </row>
    <row r="1031" spans="1:26" x14ac:dyDescent="0.25">
      <c r="A1031">
        <v>1030</v>
      </c>
      <c r="B1031">
        <v>29</v>
      </c>
      <c r="C1031" t="s">
        <v>22</v>
      </c>
      <c r="D1031">
        <v>1030</v>
      </c>
      <c r="E1031" t="s">
        <v>146</v>
      </c>
      <c r="F1031" t="s">
        <v>70</v>
      </c>
      <c r="G1031">
        <v>1030</v>
      </c>
      <c r="H1031">
        <v>1435</v>
      </c>
      <c r="I1031">
        <v>22</v>
      </c>
      <c r="J1031" t="s">
        <v>126</v>
      </c>
      <c r="K1031" t="s">
        <v>47</v>
      </c>
      <c r="L1031" t="s">
        <v>76</v>
      </c>
      <c r="M1031" t="s">
        <v>40</v>
      </c>
      <c r="N1031">
        <v>3.6</v>
      </c>
      <c r="O1031">
        <v>1</v>
      </c>
      <c r="P1031" t="s">
        <v>73</v>
      </c>
      <c r="Q1031" t="s">
        <v>30</v>
      </c>
      <c r="R1031" t="s">
        <v>30</v>
      </c>
      <c r="S1031">
        <v>33</v>
      </c>
      <c r="T1031" t="s">
        <v>31</v>
      </c>
      <c r="U1031" t="s">
        <v>79</v>
      </c>
      <c r="V1031" s="1">
        <v>45409</v>
      </c>
      <c r="W1031">
        <f>Table1[[#This Row],[customer_purchase count]]+1</f>
        <v>34</v>
      </c>
      <c r="X1031">
        <f>Table1[[#This Row],[customer_purchase count]]*Rules!$B$3</f>
        <v>1972.2238461538464</v>
      </c>
      <c r="Y1031" t="str">
        <f>IF(Table1[[#This Row],[customer_subscription]]=1,"Subscribed","Not Subscribed")</f>
        <v>Subscribed</v>
      </c>
    </row>
    <row r="1032" spans="1:26" x14ac:dyDescent="0.25">
      <c r="A1032">
        <v>1031</v>
      </c>
      <c r="B1032">
        <v>58</v>
      </c>
      <c r="C1032" t="s">
        <v>22</v>
      </c>
      <c r="D1032">
        <v>1031</v>
      </c>
      <c r="E1032" t="s">
        <v>65</v>
      </c>
      <c r="F1032" t="s">
        <v>66</v>
      </c>
      <c r="G1032">
        <v>1031</v>
      </c>
      <c r="H1032">
        <v>1436</v>
      </c>
      <c r="I1032">
        <v>89</v>
      </c>
      <c r="J1032" t="s">
        <v>25</v>
      </c>
      <c r="K1032" t="s">
        <v>26</v>
      </c>
      <c r="L1032" t="s">
        <v>147</v>
      </c>
      <c r="M1032" t="s">
        <v>28</v>
      </c>
      <c r="N1032">
        <v>3.3</v>
      </c>
      <c r="O1032">
        <v>1</v>
      </c>
      <c r="P1032" t="s">
        <v>48</v>
      </c>
      <c r="Q1032" t="s">
        <v>30</v>
      </c>
      <c r="R1032" t="s">
        <v>30</v>
      </c>
      <c r="S1032">
        <v>37</v>
      </c>
      <c r="T1032" t="s">
        <v>89</v>
      </c>
      <c r="U1032" t="s">
        <v>61</v>
      </c>
      <c r="V1032" s="1">
        <v>45302</v>
      </c>
      <c r="W1032">
        <f>Table1[[#This Row],[customer_purchase count]]+1</f>
        <v>38</v>
      </c>
      <c r="X1032">
        <f>Table1[[#This Row],[customer_purchase count]]*Rules!$B$3</f>
        <v>2211.2812820512822</v>
      </c>
      <c r="Y1032" t="str">
        <f>IF(Table1[[#This Row],[customer_subscription]]=1,"Subscribed","Not Subscribed")</f>
        <v>Subscribed</v>
      </c>
      <c r="Z1032" t="s">
        <v>193</v>
      </c>
    </row>
    <row r="1033" spans="1:26" x14ac:dyDescent="0.25">
      <c r="A1033">
        <v>1032</v>
      </c>
      <c r="B1033">
        <v>22</v>
      </c>
      <c r="C1033" t="s">
        <v>22</v>
      </c>
      <c r="D1033">
        <v>1032</v>
      </c>
      <c r="E1033" t="s">
        <v>44</v>
      </c>
      <c r="F1033" t="s">
        <v>45</v>
      </c>
      <c r="G1033">
        <v>1032</v>
      </c>
      <c r="H1033">
        <v>1437</v>
      </c>
      <c r="I1033">
        <v>50</v>
      </c>
      <c r="J1033" t="s">
        <v>125</v>
      </c>
      <c r="K1033" t="s">
        <v>47</v>
      </c>
      <c r="L1033" t="s">
        <v>88</v>
      </c>
      <c r="M1033" t="s">
        <v>40</v>
      </c>
      <c r="N1033">
        <v>3.4</v>
      </c>
      <c r="O1033">
        <v>1</v>
      </c>
      <c r="P1033" t="s">
        <v>41</v>
      </c>
      <c r="Q1033" t="s">
        <v>30</v>
      </c>
      <c r="R1033" t="s">
        <v>30</v>
      </c>
      <c r="S1033">
        <v>32</v>
      </c>
      <c r="T1033" t="s">
        <v>36</v>
      </c>
      <c r="U1033" t="s">
        <v>61</v>
      </c>
      <c r="V1033" s="1">
        <v>45358</v>
      </c>
      <c r="W1033">
        <f>Table1[[#This Row],[customer_purchase count]]+1</f>
        <v>33</v>
      </c>
      <c r="X1033">
        <f>Table1[[#This Row],[customer_purchase count]]*Rules!$B$3</f>
        <v>1912.4594871794873</v>
      </c>
      <c r="Y1033" t="str">
        <f>IF(Table1[[#This Row],[customer_subscription]]=1,"Subscribed","Not Subscribed")</f>
        <v>Subscribed</v>
      </c>
    </row>
    <row r="1034" spans="1:26" x14ac:dyDescent="0.25">
      <c r="A1034">
        <v>1033</v>
      </c>
      <c r="B1034">
        <v>55</v>
      </c>
      <c r="C1034" t="s">
        <v>22</v>
      </c>
      <c r="D1034">
        <v>1033</v>
      </c>
      <c r="E1034" t="s">
        <v>140</v>
      </c>
      <c r="F1034" t="s">
        <v>45</v>
      </c>
      <c r="G1034">
        <v>1033</v>
      </c>
      <c r="H1034">
        <v>1438</v>
      </c>
      <c r="I1034">
        <v>36</v>
      </c>
      <c r="J1034" t="s">
        <v>34</v>
      </c>
      <c r="K1034" t="s">
        <v>47</v>
      </c>
      <c r="L1034" t="s">
        <v>96</v>
      </c>
      <c r="M1034" t="s">
        <v>60</v>
      </c>
      <c r="N1034">
        <v>4</v>
      </c>
      <c r="O1034">
        <v>1</v>
      </c>
      <c r="P1034" t="s">
        <v>41</v>
      </c>
      <c r="Q1034" t="s">
        <v>30</v>
      </c>
      <c r="R1034" t="s">
        <v>30</v>
      </c>
      <c r="S1034">
        <v>44</v>
      </c>
      <c r="T1034" t="s">
        <v>42</v>
      </c>
      <c r="U1034" t="s">
        <v>61</v>
      </c>
      <c r="V1034" s="1">
        <v>45544</v>
      </c>
      <c r="W1034">
        <f>Table1[[#This Row],[customer_purchase count]]+1</f>
        <v>45</v>
      </c>
      <c r="X1034">
        <f>Table1[[#This Row],[customer_purchase count]]*Rules!$B$3</f>
        <v>2629.6317948717951</v>
      </c>
      <c r="Y1034" t="str">
        <f>IF(Table1[[#This Row],[customer_subscription]]=1,"Subscribed","Not Subscribed")</f>
        <v>Subscribed</v>
      </c>
      <c r="Z1034" t="s">
        <v>193</v>
      </c>
    </row>
    <row r="1035" spans="1:26" x14ac:dyDescent="0.25">
      <c r="A1035">
        <v>1034</v>
      </c>
      <c r="B1035">
        <v>19</v>
      </c>
      <c r="C1035" t="s">
        <v>22</v>
      </c>
      <c r="D1035">
        <v>1034</v>
      </c>
      <c r="E1035" t="s">
        <v>98</v>
      </c>
      <c r="F1035" t="s">
        <v>24</v>
      </c>
      <c r="G1035">
        <v>1034</v>
      </c>
      <c r="H1035">
        <v>1439</v>
      </c>
      <c r="I1035">
        <v>52</v>
      </c>
      <c r="J1035" t="s">
        <v>59</v>
      </c>
      <c r="K1035" t="s">
        <v>39</v>
      </c>
      <c r="L1035" t="s">
        <v>68</v>
      </c>
      <c r="M1035" t="s">
        <v>40</v>
      </c>
      <c r="N1035">
        <v>4.5999999999999996</v>
      </c>
      <c r="O1035">
        <v>1</v>
      </c>
      <c r="P1035" t="s">
        <v>41</v>
      </c>
      <c r="Q1035" t="s">
        <v>30</v>
      </c>
      <c r="R1035" t="s">
        <v>30</v>
      </c>
      <c r="S1035">
        <v>41</v>
      </c>
      <c r="T1035" t="s">
        <v>78</v>
      </c>
      <c r="U1035" t="s">
        <v>61</v>
      </c>
      <c r="V1035" s="1">
        <v>45427</v>
      </c>
      <c r="W1035">
        <f>Table1[[#This Row],[customer_purchase count]]+1</f>
        <v>42</v>
      </c>
      <c r="X1035">
        <f>Table1[[#This Row],[customer_purchase count]]*Rules!$B$3</f>
        <v>2450.3387179487181</v>
      </c>
      <c r="Y1035" t="str">
        <f>IF(Table1[[#This Row],[customer_subscription]]=1,"Subscribed","Not Subscribed")</f>
        <v>Subscribed</v>
      </c>
    </row>
    <row r="1036" spans="1:26" x14ac:dyDescent="0.25">
      <c r="A1036">
        <v>1035</v>
      </c>
      <c r="B1036">
        <v>68</v>
      </c>
      <c r="C1036" t="s">
        <v>22</v>
      </c>
      <c r="D1036">
        <v>1035</v>
      </c>
      <c r="E1036" t="s">
        <v>128</v>
      </c>
      <c r="F1036" t="s">
        <v>24</v>
      </c>
      <c r="G1036">
        <v>1035</v>
      </c>
      <c r="H1036">
        <v>1441</v>
      </c>
      <c r="I1036">
        <v>29</v>
      </c>
      <c r="J1036" t="s">
        <v>131</v>
      </c>
      <c r="K1036" t="s">
        <v>47</v>
      </c>
      <c r="L1036" t="s">
        <v>81</v>
      </c>
      <c r="M1036" t="s">
        <v>60</v>
      </c>
      <c r="N1036">
        <v>4.2</v>
      </c>
      <c r="O1036">
        <v>1</v>
      </c>
      <c r="P1036" t="s">
        <v>48</v>
      </c>
      <c r="Q1036" t="s">
        <v>30</v>
      </c>
      <c r="R1036" t="s">
        <v>30</v>
      </c>
      <c r="S1036">
        <v>44</v>
      </c>
      <c r="T1036" t="s">
        <v>78</v>
      </c>
      <c r="U1036" t="s">
        <v>43</v>
      </c>
      <c r="V1036" s="1">
        <v>45572</v>
      </c>
      <c r="W1036">
        <f>Table1[[#This Row],[customer_purchase count]]+1</f>
        <v>45</v>
      </c>
      <c r="X1036">
        <f>Table1[[#This Row],[customer_purchase count]]*Rules!$B$3</f>
        <v>2629.6317948717951</v>
      </c>
      <c r="Y1036" t="str">
        <f>IF(Table1[[#This Row],[customer_subscription]]=1,"Subscribed","Not Subscribed")</f>
        <v>Subscribed</v>
      </c>
    </row>
    <row r="1037" spans="1:26" x14ac:dyDescent="0.25">
      <c r="A1037">
        <v>1036</v>
      </c>
      <c r="B1037">
        <v>61</v>
      </c>
      <c r="C1037" t="s">
        <v>22</v>
      </c>
      <c r="D1037">
        <v>1036</v>
      </c>
      <c r="E1037" t="s">
        <v>23</v>
      </c>
      <c r="F1037" t="s">
        <v>24</v>
      </c>
      <c r="G1037">
        <v>1036</v>
      </c>
      <c r="H1037">
        <v>1442</v>
      </c>
      <c r="I1037">
        <v>89</v>
      </c>
      <c r="J1037" t="s">
        <v>145</v>
      </c>
      <c r="K1037" t="s">
        <v>47</v>
      </c>
      <c r="L1037" t="s">
        <v>113</v>
      </c>
      <c r="M1037" t="s">
        <v>60</v>
      </c>
      <c r="N1037">
        <v>2.8</v>
      </c>
      <c r="O1037">
        <v>1</v>
      </c>
      <c r="P1037" t="s">
        <v>29</v>
      </c>
      <c r="Q1037" t="s">
        <v>30</v>
      </c>
      <c r="R1037" t="s">
        <v>30</v>
      </c>
      <c r="S1037">
        <v>32</v>
      </c>
      <c r="T1037" t="s">
        <v>31</v>
      </c>
      <c r="U1037" t="s">
        <v>52</v>
      </c>
      <c r="V1037" s="1">
        <v>45569</v>
      </c>
      <c r="W1037">
        <f>Table1[[#This Row],[customer_purchase count]]+1</f>
        <v>33</v>
      </c>
      <c r="X1037">
        <f>Table1[[#This Row],[customer_purchase count]]*Rules!$B$3</f>
        <v>1912.4594871794873</v>
      </c>
      <c r="Y1037" t="str">
        <f>IF(Table1[[#This Row],[customer_subscription]]=1,"Subscribed","Not Subscribed")</f>
        <v>Subscribed</v>
      </c>
    </row>
    <row r="1038" spans="1:26" x14ac:dyDescent="0.25">
      <c r="A1038">
        <v>1037</v>
      </c>
      <c r="B1038">
        <v>68</v>
      </c>
      <c r="C1038" t="s">
        <v>22</v>
      </c>
      <c r="D1038">
        <v>1037</v>
      </c>
      <c r="E1038" t="s">
        <v>69</v>
      </c>
      <c r="F1038" t="s">
        <v>70</v>
      </c>
      <c r="G1038">
        <v>1037</v>
      </c>
      <c r="H1038">
        <v>1443</v>
      </c>
      <c r="I1038">
        <v>47</v>
      </c>
      <c r="J1038" t="s">
        <v>80</v>
      </c>
      <c r="K1038" t="s">
        <v>47</v>
      </c>
      <c r="L1038" t="s">
        <v>137</v>
      </c>
      <c r="M1038" t="s">
        <v>60</v>
      </c>
      <c r="N1038">
        <v>3.7</v>
      </c>
      <c r="O1038">
        <v>1</v>
      </c>
      <c r="P1038" t="s">
        <v>73</v>
      </c>
      <c r="Q1038" t="s">
        <v>30</v>
      </c>
      <c r="R1038" t="s">
        <v>30</v>
      </c>
      <c r="S1038">
        <v>13</v>
      </c>
      <c r="T1038" t="s">
        <v>78</v>
      </c>
      <c r="U1038" t="s">
        <v>91</v>
      </c>
      <c r="V1038" s="1">
        <v>45543</v>
      </c>
      <c r="W1038">
        <f>Table1[[#This Row],[customer_purchase count]]+1</f>
        <v>14</v>
      </c>
      <c r="X1038">
        <f>Table1[[#This Row],[customer_purchase count]]*Rules!$B$3</f>
        <v>776.93666666666672</v>
      </c>
      <c r="Y1038" t="str">
        <f>IF(Table1[[#This Row],[customer_subscription]]=1,"Subscribed","Not Subscribed")</f>
        <v>Subscribed</v>
      </c>
    </row>
    <row r="1039" spans="1:26" x14ac:dyDescent="0.25">
      <c r="A1039">
        <v>1038</v>
      </c>
      <c r="B1039">
        <v>52</v>
      </c>
      <c r="C1039" t="s">
        <v>22</v>
      </c>
      <c r="D1039">
        <v>1038</v>
      </c>
      <c r="E1039" t="s">
        <v>109</v>
      </c>
      <c r="F1039" t="s">
        <v>70</v>
      </c>
      <c r="G1039">
        <v>1038</v>
      </c>
      <c r="H1039">
        <v>1444</v>
      </c>
      <c r="I1039">
        <v>25</v>
      </c>
      <c r="J1039" t="s">
        <v>46</v>
      </c>
      <c r="K1039" t="s">
        <v>95</v>
      </c>
      <c r="L1039" t="s">
        <v>113</v>
      </c>
      <c r="M1039" t="s">
        <v>40</v>
      </c>
      <c r="N1039">
        <v>3.4</v>
      </c>
      <c r="O1039">
        <v>1</v>
      </c>
      <c r="P1039" t="s">
        <v>57</v>
      </c>
      <c r="Q1039" t="s">
        <v>30</v>
      </c>
      <c r="R1039" t="s">
        <v>30</v>
      </c>
      <c r="S1039">
        <v>48</v>
      </c>
      <c r="T1039" t="s">
        <v>89</v>
      </c>
      <c r="U1039" t="s">
        <v>61</v>
      </c>
      <c r="V1039" s="1">
        <v>45423</v>
      </c>
      <c r="W1039">
        <f>Table1[[#This Row],[customer_purchase count]]+1</f>
        <v>49</v>
      </c>
      <c r="X1039">
        <f>Table1[[#This Row],[customer_purchase count]]*Rules!$B$3</f>
        <v>2868.689230769231</v>
      </c>
      <c r="Y1039" t="str">
        <f>IF(Table1[[#This Row],[customer_subscription]]=1,"Subscribed","Not Subscribed")</f>
        <v>Subscribed</v>
      </c>
      <c r="Z1039" t="s">
        <v>193</v>
      </c>
    </row>
    <row r="1040" spans="1:26" x14ac:dyDescent="0.25">
      <c r="A1040">
        <v>1039</v>
      </c>
      <c r="B1040">
        <v>41</v>
      </c>
      <c r="C1040" t="s">
        <v>22</v>
      </c>
      <c r="D1040">
        <v>1039</v>
      </c>
      <c r="E1040" t="s">
        <v>98</v>
      </c>
      <c r="F1040" t="s">
        <v>24</v>
      </c>
      <c r="G1040">
        <v>1039</v>
      </c>
      <c r="H1040">
        <v>1445</v>
      </c>
      <c r="I1040">
        <v>74</v>
      </c>
      <c r="J1040" t="s">
        <v>148</v>
      </c>
      <c r="K1040" t="s">
        <v>95</v>
      </c>
      <c r="L1040" t="s">
        <v>112</v>
      </c>
      <c r="M1040" t="s">
        <v>60</v>
      </c>
      <c r="N1040">
        <v>3</v>
      </c>
      <c r="O1040">
        <v>1</v>
      </c>
      <c r="P1040" t="s">
        <v>29</v>
      </c>
      <c r="Q1040" t="s">
        <v>30</v>
      </c>
      <c r="R1040" t="s">
        <v>30</v>
      </c>
      <c r="S1040">
        <v>3</v>
      </c>
      <c r="T1040" t="s">
        <v>78</v>
      </c>
      <c r="U1040" t="s">
        <v>43</v>
      </c>
      <c r="V1040" s="1">
        <v>45590</v>
      </c>
      <c r="W1040">
        <f>Table1[[#This Row],[customer_purchase count]]+1</f>
        <v>4</v>
      </c>
      <c r="X1040">
        <f>Table1[[#This Row],[customer_purchase count]]*Rules!$B$3</f>
        <v>179.29307692307694</v>
      </c>
      <c r="Y1040" t="str">
        <f>IF(Table1[[#This Row],[customer_subscription]]=1,"Subscribed","Not Subscribed")</f>
        <v>Subscribed</v>
      </c>
    </row>
    <row r="1041" spans="1:26" x14ac:dyDescent="0.25">
      <c r="A1041">
        <v>1040</v>
      </c>
      <c r="B1041">
        <v>29</v>
      </c>
      <c r="C1041" t="s">
        <v>22</v>
      </c>
      <c r="D1041">
        <v>1040</v>
      </c>
      <c r="E1041" t="s">
        <v>136</v>
      </c>
      <c r="F1041" t="s">
        <v>70</v>
      </c>
      <c r="G1041">
        <v>1040</v>
      </c>
      <c r="H1041">
        <v>1447</v>
      </c>
      <c r="I1041">
        <v>46</v>
      </c>
      <c r="J1041" t="s">
        <v>154</v>
      </c>
      <c r="K1041" t="s">
        <v>47</v>
      </c>
      <c r="L1041" t="s">
        <v>139</v>
      </c>
      <c r="M1041" t="s">
        <v>60</v>
      </c>
      <c r="N1041">
        <v>4.8</v>
      </c>
      <c r="O1041">
        <v>1</v>
      </c>
      <c r="P1041" t="s">
        <v>57</v>
      </c>
      <c r="Q1041" t="s">
        <v>30</v>
      </c>
      <c r="R1041" t="s">
        <v>30</v>
      </c>
      <c r="S1041">
        <v>39</v>
      </c>
      <c r="T1041" t="s">
        <v>31</v>
      </c>
      <c r="U1041" t="s">
        <v>91</v>
      </c>
      <c r="V1041" s="1">
        <v>45547</v>
      </c>
      <c r="W1041">
        <f>Table1[[#This Row],[customer_purchase count]]+1</f>
        <v>40</v>
      </c>
      <c r="X1041">
        <f>Table1[[#This Row],[customer_purchase count]]*Rules!$B$3</f>
        <v>2330.81</v>
      </c>
      <c r="Y1041" t="str">
        <f>IF(Table1[[#This Row],[customer_subscription]]=1,"Subscribed","Not Subscribed")</f>
        <v>Subscribed</v>
      </c>
    </row>
    <row r="1042" spans="1:26" x14ac:dyDescent="0.25">
      <c r="A1042">
        <v>1041</v>
      </c>
      <c r="B1042">
        <v>68</v>
      </c>
      <c r="C1042" t="s">
        <v>22</v>
      </c>
      <c r="D1042">
        <v>1041</v>
      </c>
      <c r="E1042" t="s">
        <v>37</v>
      </c>
      <c r="F1042" t="s">
        <v>24</v>
      </c>
      <c r="G1042">
        <v>1041</v>
      </c>
      <c r="H1042">
        <v>1448</v>
      </c>
      <c r="I1042">
        <v>22</v>
      </c>
      <c r="J1042" t="s">
        <v>101</v>
      </c>
      <c r="K1042" t="s">
        <v>39</v>
      </c>
      <c r="L1042" t="s">
        <v>139</v>
      </c>
      <c r="M1042" t="s">
        <v>60</v>
      </c>
      <c r="N1042">
        <v>4</v>
      </c>
      <c r="O1042">
        <v>1</v>
      </c>
      <c r="P1042" t="s">
        <v>48</v>
      </c>
      <c r="Q1042" t="s">
        <v>30</v>
      </c>
      <c r="R1042" t="s">
        <v>30</v>
      </c>
      <c r="S1042">
        <v>7</v>
      </c>
      <c r="T1042" t="s">
        <v>36</v>
      </c>
      <c r="U1042" t="s">
        <v>32</v>
      </c>
      <c r="V1042" s="1">
        <v>45580</v>
      </c>
      <c r="W1042">
        <f>Table1[[#This Row],[customer_purchase count]]+1</f>
        <v>8</v>
      </c>
      <c r="X1042">
        <f>Table1[[#This Row],[customer_purchase count]]*Rules!$B$3</f>
        <v>418.35051282051285</v>
      </c>
      <c r="Y1042" t="str">
        <f>IF(Table1[[#This Row],[customer_subscription]]=1,"Subscribed","Not Subscribed")</f>
        <v>Subscribed</v>
      </c>
    </row>
    <row r="1043" spans="1:26" x14ac:dyDescent="0.25">
      <c r="A1043">
        <v>1042</v>
      </c>
      <c r="B1043">
        <v>36</v>
      </c>
      <c r="C1043" t="s">
        <v>22</v>
      </c>
      <c r="D1043">
        <v>1042</v>
      </c>
      <c r="E1043" t="s">
        <v>58</v>
      </c>
      <c r="F1043" t="s">
        <v>24</v>
      </c>
      <c r="G1043">
        <v>1042</v>
      </c>
      <c r="H1043">
        <v>1449</v>
      </c>
      <c r="I1043">
        <v>25</v>
      </c>
      <c r="J1043" t="s">
        <v>151</v>
      </c>
      <c r="K1043" t="s">
        <v>47</v>
      </c>
      <c r="L1043" t="s">
        <v>124</v>
      </c>
      <c r="M1043" t="s">
        <v>56</v>
      </c>
      <c r="N1043">
        <v>4.9000000000000004</v>
      </c>
      <c r="O1043">
        <v>1</v>
      </c>
      <c r="P1043" t="s">
        <v>48</v>
      </c>
      <c r="Q1043" t="s">
        <v>30</v>
      </c>
      <c r="R1043" t="s">
        <v>30</v>
      </c>
      <c r="S1043">
        <v>11</v>
      </c>
      <c r="T1043" t="s">
        <v>36</v>
      </c>
      <c r="U1043" t="s">
        <v>32</v>
      </c>
      <c r="V1043" s="1">
        <v>45531</v>
      </c>
      <c r="W1043">
        <f>Table1[[#This Row],[customer_purchase count]]+1</f>
        <v>12</v>
      </c>
      <c r="X1043">
        <f>Table1[[#This Row],[customer_purchase count]]*Rules!$B$3</f>
        <v>657.40794871794878</v>
      </c>
      <c r="Y1043" t="str">
        <f>IF(Table1[[#This Row],[customer_subscription]]=1,"Subscribed","Not Subscribed")</f>
        <v>Subscribed</v>
      </c>
    </row>
    <row r="1044" spans="1:26" x14ac:dyDescent="0.25">
      <c r="A1044">
        <v>1043</v>
      </c>
      <c r="B1044">
        <v>55</v>
      </c>
      <c r="C1044" t="s">
        <v>22</v>
      </c>
      <c r="D1044">
        <v>1043</v>
      </c>
      <c r="E1044" t="s">
        <v>136</v>
      </c>
      <c r="F1044" t="s">
        <v>70</v>
      </c>
      <c r="G1044">
        <v>1043</v>
      </c>
      <c r="H1044">
        <v>1450</v>
      </c>
      <c r="I1044">
        <v>80</v>
      </c>
      <c r="J1044" t="s">
        <v>131</v>
      </c>
      <c r="K1044" t="s">
        <v>47</v>
      </c>
      <c r="L1044" t="s">
        <v>35</v>
      </c>
      <c r="M1044" t="s">
        <v>40</v>
      </c>
      <c r="N1044">
        <v>4.9000000000000004</v>
      </c>
      <c r="O1044">
        <v>1</v>
      </c>
      <c r="P1044" t="s">
        <v>48</v>
      </c>
      <c r="Q1044" t="s">
        <v>30</v>
      </c>
      <c r="R1044" t="s">
        <v>30</v>
      </c>
      <c r="S1044">
        <v>47</v>
      </c>
      <c r="T1044" t="s">
        <v>42</v>
      </c>
      <c r="U1044" t="s">
        <v>43</v>
      </c>
      <c r="V1044" s="1">
        <v>45354</v>
      </c>
      <c r="W1044">
        <f>Table1[[#This Row],[customer_purchase count]]+1</f>
        <v>48</v>
      </c>
      <c r="X1044">
        <f>Table1[[#This Row],[customer_purchase count]]*Rules!$B$3</f>
        <v>2808.9248717948717</v>
      </c>
      <c r="Y1044" t="str">
        <f>IF(Table1[[#This Row],[customer_subscription]]=1,"Subscribed","Not Subscribed")</f>
        <v>Subscribed</v>
      </c>
      <c r="Z1044" t="s">
        <v>193</v>
      </c>
    </row>
    <row r="1045" spans="1:26" x14ac:dyDescent="0.25">
      <c r="A1045">
        <v>1044</v>
      </c>
      <c r="B1045">
        <v>28</v>
      </c>
      <c r="C1045" t="s">
        <v>22</v>
      </c>
      <c r="D1045">
        <v>1044</v>
      </c>
      <c r="E1045" t="s">
        <v>37</v>
      </c>
      <c r="F1045" t="s">
        <v>24</v>
      </c>
      <c r="G1045">
        <v>1044</v>
      </c>
      <c r="H1045">
        <v>1451</v>
      </c>
      <c r="I1045">
        <v>76</v>
      </c>
      <c r="J1045" t="s">
        <v>80</v>
      </c>
      <c r="K1045" t="s">
        <v>47</v>
      </c>
      <c r="L1045" t="s">
        <v>99</v>
      </c>
      <c r="M1045" t="s">
        <v>40</v>
      </c>
      <c r="N1045">
        <v>3.3</v>
      </c>
      <c r="O1045">
        <v>1</v>
      </c>
      <c r="P1045" t="s">
        <v>73</v>
      </c>
      <c r="Q1045" t="s">
        <v>30</v>
      </c>
      <c r="R1045" t="s">
        <v>30</v>
      </c>
      <c r="S1045">
        <v>28</v>
      </c>
      <c r="T1045" t="s">
        <v>89</v>
      </c>
      <c r="U1045" t="s">
        <v>32</v>
      </c>
      <c r="V1045" s="1">
        <v>45370</v>
      </c>
      <c r="W1045">
        <f>Table1[[#This Row],[customer_purchase count]]+1</f>
        <v>29</v>
      </c>
      <c r="X1045">
        <f>Table1[[#This Row],[customer_purchase count]]*Rules!$B$3</f>
        <v>1673.4020512820514</v>
      </c>
      <c r="Y1045" t="str">
        <f>IF(Table1[[#This Row],[customer_subscription]]=1,"Subscribed","Not Subscribed")</f>
        <v>Subscribed</v>
      </c>
    </row>
    <row r="1046" spans="1:26" x14ac:dyDescent="0.25">
      <c r="A1046">
        <v>1045</v>
      </c>
      <c r="B1046">
        <v>39</v>
      </c>
      <c r="C1046" t="s">
        <v>22</v>
      </c>
      <c r="D1046">
        <v>1045</v>
      </c>
      <c r="E1046" t="s">
        <v>37</v>
      </c>
      <c r="F1046" t="s">
        <v>24</v>
      </c>
      <c r="G1046">
        <v>1045</v>
      </c>
      <c r="H1046">
        <v>1453</v>
      </c>
      <c r="I1046">
        <v>30</v>
      </c>
      <c r="J1046" t="s">
        <v>50</v>
      </c>
      <c r="K1046" t="s">
        <v>26</v>
      </c>
      <c r="L1046" t="s">
        <v>88</v>
      </c>
      <c r="M1046" t="s">
        <v>56</v>
      </c>
      <c r="N1046">
        <v>4.4000000000000004</v>
      </c>
      <c r="O1046">
        <v>1</v>
      </c>
      <c r="P1046" t="s">
        <v>48</v>
      </c>
      <c r="Q1046" t="s">
        <v>30</v>
      </c>
      <c r="R1046" t="s">
        <v>30</v>
      </c>
      <c r="S1046">
        <v>17</v>
      </c>
      <c r="T1046" t="s">
        <v>78</v>
      </c>
      <c r="U1046" t="s">
        <v>100</v>
      </c>
      <c r="V1046" s="1">
        <v>45515</v>
      </c>
      <c r="W1046">
        <f>Table1[[#This Row],[customer_purchase count]]+1</f>
        <v>18</v>
      </c>
      <c r="X1046">
        <f>Table1[[#This Row],[customer_purchase count]]*Rules!$B$3</f>
        <v>1015.9941025641026</v>
      </c>
      <c r="Y1046" t="str">
        <f>IF(Table1[[#This Row],[customer_subscription]]=1,"Subscribed","Not Subscribed")</f>
        <v>Subscribed</v>
      </c>
    </row>
    <row r="1047" spans="1:26" x14ac:dyDescent="0.25">
      <c r="A1047">
        <v>1046</v>
      </c>
      <c r="B1047">
        <v>54</v>
      </c>
      <c r="C1047" t="s">
        <v>22</v>
      </c>
      <c r="D1047">
        <v>1046</v>
      </c>
      <c r="E1047" t="s">
        <v>33</v>
      </c>
      <c r="F1047" t="s">
        <v>24</v>
      </c>
      <c r="G1047">
        <v>1046</v>
      </c>
      <c r="H1047">
        <v>1454</v>
      </c>
      <c r="I1047">
        <v>79</v>
      </c>
      <c r="J1047" t="s">
        <v>133</v>
      </c>
      <c r="K1047" t="s">
        <v>26</v>
      </c>
      <c r="L1047" t="s">
        <v>97</v>
      </c>
      <c r="M1047" t="s">
        <v>60</v>
      </c>
      <c r="N1047">
        <v>3.5</v>
      </c>
      <c r="O1047">
        <v>1</v>
      </c>
      <c r="P1047" t="s">
        <v>73</v>
      </c>
      <c r="Q1047" t="s">
        <v>30</v>
      </c>
      <c r="R1047" t="s">
        <v>30</v>
      </c>
      <c r="S1047">
        <v>11</v>
      </c>
      <c r="T1047" t="s">
        <v>49</v>
      </c>
      <c r="U1047" t="s">
        <v>79</v>
      </c>
      <c r="V1047" s="1">
        <v>45547</v>
      </c>
      <c r="W1047">
        <f>Table1[[#This Row],[customer_purchase count]]+1</f>
        <v>12</v>
      </c>
      <c r="X1047">
        <f>Table1[[#This Row],[customer_purchase count]]*Rules!$B$3</f>
        <v>657.40794871794878</v>
      </c>
      <c r="Y1047" t="str">
        <f>IF(Table1[[#This Row],[customer_subscription]]=1,"Subscribed","Not Subscribed")</f>
        <v>Subscribed</v>
      </c>
    </row>
    <row r="1048" spans="1:26" x14ac:dyDescent="0.25">
      <c r="A1048">
        <v>1047</v>
      </c>
      <c r="B1048">
        <v>40</v>
      </c>
      <c r="C1048" t="s">
        <v>22</v>
      </c>
      <c r="D1048">
        <v>1047</v>
      </c>
      <c r="E1048" t="s">
        <v>53</v>
      </c>
      <c r="F1048" t="s">
        <v>45</v>
      </c>
      <c r="G1048">
        <v>1047</v>
      </c>
      <c r="H1048">
        <v>1455</v>
      </c>
      <c r="I1048">
        <v>22</v>
      </c>
      <c r="J1048" t="s">
        <v>118</v>
      </c>
      <c r="K1048" t="s">
        <v>47</v>
      </c>
      <c r="L1048" t="s">
        <v>139</v>
      </c>
      <c r="M1048" t="s">
        <v>28</v>
      </c>
      <c r="N1048">
        <v>4.2</v>
      </c>
      <c r="O1048">
        <v>1</v>
      </c>
      <c r="P1048" t="s">
        <v>57</v>
      </c>
      <c r="Q1048" t="s">
        <v>30</v>
      </c>
      <c r="R1048" t="s">
        <v>30</v>
      </c>
      <c r="S1048">
        <v>12</v>
      </c>
      <c r="T1048" t="s">
        <v>31</v>
      </c>
      <c r="U1048" t="s">
        <v>52</v>
      </c>
      <c r="V1048" s="1">
        <v>45299</v>
      </c>
      <c r="W1048">
        <f>Table1[[#This Row],[customer_purchase count]]+1</f>
        <v>13</v>
      </c>
      <c r="X1048">
        <f>Table1[[#This Row],[customer_purchase count]]*Rules!$B$3</f>
        <v>717.17230769230775</v>
      </c>
      <c r="Y1048" t="str">
        <f>IF(Table1[[#This Row],[customer_subscription]]=1,"Subscribed","Not Subscribed")</f>
        <v>Subscribed</v>
      </c>
    </row>
    <row r="1049" spans="1:26" x14ac:dyDescent="0.25">
      <c r="A1049">
        <v>1048</v>
      </c>
      <c r="B1049">
        <v>31</v>
      </c>
      <c r="C1049" t="s">
        <v>22</v>
      </c>
      <c r="D1049">
        <v>1048</v>
      </c>
      <c r="E1049" t="s">
        <v>128</v>
      </c>
      <c r="F1049" t="s">
        <v>24</v>
      </c>
      <c r="G1049">
        <v>1048</v>
      </c>
      <c r="H1049">
        <v>1456</v>
      </c>
      <c r="I1049">
        <v>36</v>
      </c>
      <c r="J1049" t="s">
        <v>143</v>
      </c>
      <c r="K1049" t="s">
        <v>39</v>
      </c>
      <c r="L1049" t="s">
        <v>81</v>
      </c>
      <c r="M1049" t="s">
        <v>60</v>
      </c>
      <c r="N1049">
        <v>4.2</v>
      </c>
      <c r="O1049">
        <v>1</v>
      </c>
      <c r="P1049" t="s">
        <v>57</v>
      </c>
      <c r="Q1049" t="s">
        <v>30</v>
      </c>
      <c r="R1049" t="s">
        <v>30</v>
      </c>
      <c r="S1049">
        <v>7</v>
      </c>
      <c r="T1049" t="s">
        <v>42</v>
      </c>
      <c r="U1049" t="s">
        <v>32</v>
      </c>
      <c r="V1049" s="1">
        <v>45607</v>
      </c>
      <c r="W1049">
        <f>Table1[[#This Row],[customer_purchase count]]+1</f>
        <v>8</v>
      </c>
      <c r="X1049">
        <f>Table1[[#This Row],[customer_purchase count]]*Rules!$B$3</f>
        <v>418.35051282051285</v>
      </c>
      <c r="Y1049" t="str">
        <f>IF(Table1[[#This Row],[customer_subscription]]=1,"Subscribed","Not Subscribed")</f>
        <v>Subscribed</v>
      </c>
    </row>
    <row r="1050" spans="1:26" x14ac:dyDescent="0.25">
      <c r="A1050">
        <v>1049</v>
      </c>
      <c r="B1050">
        <v>30</v>
      </c>
      <c r="C1050" t="s">
        <v>22</v>
      </c>
      <c r="D1050">
        <v>1049</v>
      </c>
      <c r="E1050" t="s">
        <v>128</v>
      </c>
      <c r="F1050" t="s">
        <v>24</v>
      </c>
      <c r="G1050">
        <v>1049</v>
      </c>
      <c r="H1050">
        <v>1457</v>
      </c>
      <c r="I1050">
        <v>77</v>
      </c>
      <c r="J1050" t="s">
        <v>34</v>
      </c>
      <c r="K1050" t="s">
        <v>26</v>
      </c>
      <c r="L1050" t="s">
        <v>137</v>
      </c>
      <c r="M1050" t="s">
        <v>60</v>
      </c>
      <c r="N1050">
        <v>2.7</v>
      </c>
      <c r="O1050">
        <v>1</v>
      </c>
      <c r="P1050" t="s">
        <v>57</v>
      </c>
      <c r="Q1050" t="s">
        <v>30</v>
      </c>
      <c r="R1050" t="s">
        <v>30</v>
      </c>
      <c r="S1050">
        <v>19</v>
      </c>
      <c r="T1050" t="s">
        <v>31</v>
      </c>
      <c r="U1050" t="s">
        <v>32</v>
      </c>
      <c r="V1050" s="1">
        <v>45610</v>
      </c>
      <c r="W1050">
        <f>Table1[[#This Row],[customer_purchase count]]+1</f>
        <v>20</v>
      </c>
      <c r="X1050">
        <f>Table1[[#This Row],[customer_purchase count]]*Rules!$B$3</f>
        <v>1135.5228205128205</v>
      </c>
      <c r="Y1050" t="str">
        <f>IF(Table1[[#This Row],[customer_subscription]]=1,"Subscribed","Not Subscribed")</f>
        <v>Subscribed</v>
      </c>
    </row>
    <row r="1051" spans="1:26" x14ac:dyDescent="0.25">
      <c r="A1051">
        <v>1050</v>
      </c>
      <c r="B1051">
        <v>45</v>
      </c>
      <c r="C1051" t="s">
        <v>22</v>
      </c>
      <c r="D1051">
        <v>1050</v>
      </c>
      <c r="E1051" t="s">
        <v>92</v>
      </c>
      <c r="F1051" t="s">
        <v>70</v>
      </c>
      <c r="G1051">
        <v>1050</v>
      </c>
      <c r="H1051">
        <v>1459</v>
      </c>
      <c r="I1051">
        <v>33</v>
      </c>
      <c r="J1051" t="s">
        <v>144</v>
      </c>
      <c r="K1051" t="s">
        <v>39</v>
      </c>
      <c r="L1051" t="s">
        <v>76</v>
      </c>
      <c r="M1051" t="s">
        <v>60</v>
      </c>
      <c r="N1051">
        <v>2.8</v>
      </c>
      <c r="O1051">
        <v>1</v>
      </c>
      <c r="P1051" t="s">
        <v>77</v>
      </c>
      <c r="Q1051" t="s">
        <v>30</v>
      </c>
      <c r="R1051" t="s">
        <v>30</v>
      </c>
      <c r="S1051">
        <v>24</v>
      </c>
      <c r="T1051" t="s">
        <v>36</v>
      </c>
      <c r="U1051" t="s">
        <v>61</v>
      </c>
      <c r="V1051" s="1">
        <v>45552</v>
      </c>
      <c r="W1051">
        <f>Table1[[#This Row],[customer_purchase count]]+1</f>
        <v>25</v>
      </c>
      <c r="X1051">
        <f>Table1[[#This Row],[customer_purchase count]]*Rules!$B$3</f>
        <v>1434.3446153846155</v>
      </c>
      <c r="Y1051" t="str">
        <f>IF(Table1[[#This Row],[customer_subscription]]=1,"Subscribed","Not Subscribed")</f>
        <v>Subscribed</v>
      </c>
    </row>
    <row r="1052" spans="1:26" x14ac:dyDescent="0.25">
      <c r="A1052">
        <v>1051</v>
      </c>
      <c r="B1052">
        <v>48</v>
      </c>
      <c r="C1052" t="s">
        <v>22</v>
      </c>
      <c r="D1052">
        <v>1051</v>
      </c>
      <c r="E1052" t="s">
        <v>53</v>
      </c>
      <c r="F1052" t="s">
        <v>45</v>
      </c>
      <c r="G1052">
        <v>1051</v>
      </c>
      <c r="H1052">
        <v>1460</v>
      </c>
      <c r="I1052">
        <v>64</v>
      </c>
      <c r="J1052" t="s">
        <v>106</v>
      </c>
      <c r="K1052" t="s">
        <v>47</v>
      </c>
      <c r="L1052" t="s">
        <v>121</v>
      </c>
      <c r="M1052" t="s">
        <v>28</v>
      </c>
      <c r="N1052">
        <v>3.8</v>
      </c>
      <c r="O1052">
        <v>1</v>
      </c>
      <c r="P1052" t="s">
        <v>48</v>
      </c>
      <c r="Q1052" t="s">
        <v>30</v>
      </c>
      <c r="R1052" t="s">
        <v>30</v>
      </c>
      <c r="S1052">
        <v>19</v>
      </c>
      <c r="T1052" t="s">
        <v>31</v>
      </c>
      <c r="U1052" t="s">
        <v>91</v>
      </c>
      <c r="V1052" s="1">
        <v>45325</v>
      </c>
      <c r="W1052">
        <f>Table1[[#This Row],[customer_purchase count]]+1</f>
        <v>20</v>
      </c>
      <c r="X1052">
        <f>Table1[[#This Row],[customer_purchase count]]*Rules!$B$3</f>
        <v>1135.5228205128205</v>
      </c>
      <c r="Y1052" t="str">
        <f>IF(Table1[[#This Row],[customer_subscription]]=1,"Subscribed","Not Subscribed")</f>
        <v>Subscribed</v>
      </c>
    </row>
    <row r="1053" spans="1:26" x14ac:dyDescent="0.25">
      <c r="A1053">
        <v>1052</v>
      </c>
      <c r="B1053">
        <v>45</v>
      </c>
      <c r="C1053" t="s">
        <v>22</v>
      </c>
      <c r="D1053">
        <v>1052</v>
      </c>
      <c r="E1053" t="s">
        <v>128</v>
      </c>
      <c r="F1053" t="s">
        <v>24</v>
      </c>
      <c r="G1053">
        <v>1052</v>
      </c>
      <c r="H1053">
        <v>1461</v>
      </c>
      <c r="I1053">
        <v>53</v>
      </c>
      <c r="J1053" t="s">
        <v>126</v>
      </c>
      <c r="K1053" t="s">
        <v>47</v>
      </c>
      <c r="L1053" t="s">
        <v>129</v>
      </c>
      <c r="M1053" t="s">
        <v>60</v>
      </c>
      <c r="N1053">
        <v>2.6</v>
      </c>
      <c r="O1053">
        <v>1</v>
      </c>
      <c r="P1053" t="s">
        <v>41</v>
      </c>
      <c r="Q1053" t="s">
        <v>30</v>
      </c>
      <c r="R1053" t="s">
        <v>30</v>
      </c>
      <c r="S1053">
        <v>39</v>
      </c>
      <c r="T1053" t="s">
        <v>49</v>
      </c>
      <c r="U1053" t="s">
        <v>52</v>
      </c>
      <c r="V1053" s="1">
        <v>45560</v>
      </c>
      <c r="W1053">
        <f>Table1[[#This Row],[customer_purchase count]]+1</f>
        <v>40</v>
      </c>
      <c r="X1053">
        <f>Table1[[#This Row],[customer_purchase count]]*Rules!$B$3</f>
        <v>2330.81</v>
      </c>
      <c r="Y1053" t="str">
        <f>IF(Table1[[#This Row],[customer_subscription]]=1,"Subscribed","Not Subscribed")</f>
        <v>Subscribed</v>
      </c>
      <c r="Z1053" t="s">
        <v>193</v>
      </c>
    </row>
    <row r="1054" spans="1:26" x14ac:dyDescent="0.25">
      <c r="A1054">
        <v>1053</v>
      </c>
      <c r="B1054">
        <v>60</v>
      </c>
      <c r="C1054" t="s">
        <v>22</v>
      </c>
      <c r="D1054">
        <v>1053</v>
      </c>
      <c r="E1054" t="s">
        <v>74</v>
      </c>
      <c r="F1054" t="s">
        <v>45</v>
      </c>
      <c r="G1054">
        <v>1053</v>
      </c>
      <c r="H1054">
        <v>1462</v>
      </c>
      <c r="I1054">
        <v>36</v>
      </c>
      <c r="J1054" t="s">
        <v>144</v>
      </c>
      <c r="K1054" t="s">
        <v>95</v>
      </c>
      <c r="L1054" t="s">
        <v>72</v>
      </c>
      <c r="M1054" t="s">
        <v>60</v>
      </c>
      <c r="N1054">
        <v>3</v>
      </c>
      <c r="O1054">
        <v>1</v>
      </c>
      <c r="P1054" t="s">
        <v>73</v>
      </c>
      <c r="Q1054" t="s">
        <v>30</v>
      </c>
      <c r="R1054" t="s">
        <v>30</v>
      </c>
      <c r="S1054">
        <v>1</v>
      </c>
      <c r="T1054" t="s">
        <v>42</v>
      </c>
      <c r="U1054" t="s">
        <v>32</v>
      </c>
      <c r="V1054" s="1">
        <v>45547</v>
      </c>
      <c r="W1054">
        <f>Table1[[#This Row],[customer_purchase count]]+1</f>
        <v>2</v>
      </c>
      <c r="X1054">
        <f>Table1[[#This Row],[customer_purchase count]]*Rules!$B$3</f>
        <v>59.764358974358977</v>
      </c>
      <c r="Y1054" t="str">
        <f>IF(Table1[[#This Row],[customer_subscription]]=1,"Subscribed","Not Subscribed")</f>
        <v>Subscribed</v>
      </c>
    </row>
    <row r="1055" spans="1:26" x14ac:dyDescent="0.25">
      <c r="A1055">
        <v>1054</v>
      </c>
      <c r="B1055">
        <v>59</v>
      </c>
      <c r="C1055" t="s">
        <v>22</v>
      </c>
      <c r="D1055">
        <v>1054</v>
      </c>
      <c r="E1055" t="s">
        <v>23</v>
      </c>
      <c r="F1055" t="s">
        <v>24</v>
      </c>
      <c r="G1055">
        <v>1054</v>
      </c>
      <c r="H1055">
        <v>1463</v>
      </c>
      <c r="I1055">
        <v>70</v>
      </c>
      <c r="J1055" t="s">
        <v>114</v>
      </c>
      <c r="K1055" t="s">
        <v>47</v>
      </c>
      <c r="L1055" t="s">
        <v>147</v>
      </c>
      <c r="M1055" t="s">
        <v>40</v>
      </c>
      <c r="N1055">
        <v>3.3</v>
      </c>
      <c r="O1055">
        <v>0</v>
      </c>
      <c r="P1055" t="s">
        <v>73</v>
      </c>
      <c r="Q1055" t="s">
        <v>30</v>
      </c>
      <c r="R1055" t="s">
        <v>30</v>
      </c>
      <c r="S1055">
        <v>10</v>
      </c>
      <c r="T1055" t="s">
        <v>89</v>
      </c>
      <c r="U1055" t="s">
        <v>79</v>
      </c>
      <c r="V1055" s="1">
        <v>45363</v>
      </c>
      <c r="W1055">
        <f>Table1[[#This Row],[customer_purchase count]]+1</f>
        <v>11</v>
      </c>
      <c r="X1055">
        <f>Table1[[#This Row],[customer_purchase count]]*Rules!$B$3</f>
        <v>597.64358974358981</v>
      </c>
      <c r="Y1055" t="str">
        <f>IF(Table1[[#This Row],[customer_subscription]]=1,"Subscribed","Not Subscribed")</f>
        <v>Not Subscribed</v>
      </c>
      <c r="Z1055" t="s">
        <v>194</v>
      </c>
    </row>
    <row r="1056" spans="1:26" x14ac:dyDescent="0.25">
      <c r="A1056">
        <v>1055</v>
      </c>
      <c r="B1056">
        <v>18</v>
      </c>
      <c r="C1056" t="s">
        <v>22</v>
      </c>
      <c r="D1056">
        <v>1055</v>
      </c>
      <c r="E1056" t="s">
        <v>62</v>
      </c>
      <c r="F1056" t="s">
        <v>24</v>
      </c>
      <c r="G1056">
        <v>1055</v>
      </c>
      <c r="H1056">
        <v>1465</v>
      </c>
      <c r="I1056">
        <v>96</v>
      </c>
      <c r="J1056" t="s">
        <v>75</v>
      </c>
      <c r="K1056" t="s">
        <v>26</v>
      </c>
      <c r="L1056" t="s">
        <v>112</v>
      </c>
      <c r="M1056" t="s">
        <v>28</v>
      </c>
      <c r="N1056">
        <v>4.9000000000000004</v>
      </c>
      <c r="O1056">
        <v>0</v>
      </c>
      <c r="P1056" t="s">
        <v>29</v>
      </c>
      <c r="Q1056" t="s">
        <v>30</v>
      </c>
      <c r="R1056" t="s">
        <v>30</v>
      </c>
      <c r="S1056">
        <v>48</v>
      </c>
      <c r="T1056" t="s">
        <v>49</v>
      </c>
      <c r="U1056" t="s">
        <v>61</v>
      </c>
      <c r="V1056" s="1">
        <v>45303</v>
      </c>
      <c r="W1056">
        <f>Table1[[#This Row],[customer_purchase count]]+1</f>
        <v>49</v>
      </c>
      <c r="X1056">
        <f>Table1[[#This Row],[customer_purchase count]]*Rules!$B$3</f>
        <v>2868.689230769231</v>
      </c>
      <c r="Y1056" t="str">
        <f>IF(Table1[[#This Row],[customer_subscription]]=1,"Subscribed","Not Subscribed")</f>
        <v>Not Subscribed</v>
      </c>
    </row>
    <row r="1057" spans="1:26" x14ac:dyDescent="0.25">
      <c r="A1057">
        <v>1056</v>
      </c>
      <c r="B1057">
        <v>70</v>
      </c>
      <c r="C1057" t="s">
        <v>22</v>
      </c>
      <c r="D1057">
        <v>1056</v>
      </c>
      <c r="E1057" t="s">
        <v>105</v>
      </c>
      <c r="F1057" t="s">
        <v>66</v>
      </c>
      <c r="G1057">
        <v>1056</v>
      </c>
      <c r="H1057">
        <v>1466</v>
      </c>
      <c r="I1057">
        <v>27</v>
      </c>
      <c r="J1057" t="s">
        <v>38</v>
      </c>
      <c r="K1057" t="s">
        <v>47</v>
      </c>
      <c r="L1057" t="s">
        <v>124</v>
      </c>
      <c r="M1057" t="s">
        <v>40</v>
      </c>
      <c r="N1057">
        <v>3.3</v>
      </c>
      <c r="O1057">
        <v>0</v>
      </c>
      <c r="P1057" t="s">
        <v>48</v>
      </c>
      <c r="Q1057" t="s">
        <v>30</v>
      </c>
      <c r="R1057" t="s">
        <v>30</v>
      </c>
      <c r="S1057">
        <v>24</v>
      </c>
      <c r="T1057" t="s">
        <v>89</v>
      </c>
      <c r="U1057" t="s">
        <v>52</v>
      </c>
      <c r="V1057" s="1">
        <v>45432</v>
      </c>
      <c r="W1057">
        <f>Table1[[#This Row],[customer_purchase count]]+1</f>
        <v>25</v>
      </c>
      <c r="X1057">
        <f>Table1[[#This Row],[customer_purchase count]]*Rules!$B$3</f>
        <v>1434.3446153846155</v>
      </c>
      <c r="Y1057" t="str">
        <f>IF(Table1[[#This Row],[customer_subscription]]=1,"Subscribed","Not Subscribed")</f>
        <v>Not Subscribed</v>
      </c>
    </row>
    <row r="1058" spans="1:26" x14ac:dyDescent="0.25">
      <c r="A1058">
        <v>1057</v>
      </c>
      <c r="B1058">
        <v>20</v>
      </c>
      <c r="C1058" t="s">
        <v>22</v>
      </c>
      <c r="D1058">
        <v>1057</v>
      </c>
      <c r="E1058" t="s">
        <v>33</v>
      </c>
      <c r="F1058" t="s">
        <v>24</v>
      </c>
      <c r="G1058">
        <v>1057</v>
      </c>
      <c r="H1058">
        <v>1467</v>
      </c>
      <c r="I1058">
        <v>64</v>
      </c>
      <c r="J1058" t="s">
        <v>138</v>
      </c>
      <c r="K1058" t="s">
        <v>26</v>
      </c>
      <c r="L1058" t="s">
        <v>97</v>
      </c>
      <c r="M1058" t="s">
        <v>28</v>
      </c>
      <c r="N1058">
        <v>2.9</v>
      </c>
      <c r="O1058">
        <v>0</v>
      </c>
      <c r="P1058" t="s">
        <v>73</v>
      </c>
      <c r="Q1058" t="s">
        <v>30</v>
      </c>
      <c r="R1058" t="s">
        <v>30</v>
      </c>
      <c r="S1058">
        <v>42</v>
      </c>
      <c r="T1058" t="s">
        <v>31</v>
      </c>
      <c r="U1058" t="s">
        <v>32</v>
      </c>
      <c r="V1058" s="1">
        <v>45346</v>
      </c>
      <c r="W1058">
        <f>Table1[[#This Row],[customer_purchase count]]+1</f>
        <v>43</v>
      </c>
      <c r="X1058">
        <f>Table1[[#This Row],[customer_purchase count]]*Rules!$B$3</f>
        <v>2510.103076923077</v>
      </c>
      <c r="Y1058" t="str">
        <f>IF(Table1[[#This Row],[customer_subscription]]=1,"Subscribed","Not Subscribed")</f>
        <v>Not Subscribed</v>
      </c>
    </row>
    <row r="1059" spans="1:26" x14ac:dyDescent="0.25">
      <c r="A1059">
        <v>1058</v>
      </c>
      <c r="B1059">
        <v>65</v>
      </c>
      <c r="C1059" t="s">
        <v>22</v>
      </c>
      <c r="D1059">
        <v>1058</v>
      </c>
      <c r="E1059" t="s">
        <v>105</v>
      </c>
      <c r="F1059" t="s">
        <v>66</v>
      </c>
      <c r="G1059">
        <v>1058</v>
      </c>
      <c r="H1059">
        <v>1468</v>
      </c>
      <c r="I1059">
        <v>23</v>
      </c>
      <c r="J1059" t="s">
        <v>153</v>
      </c>
      <c r="K1059" t="s">
        <v>39</v>
      </c>
      <c r="L1059" t="s">
        <v>35</v>
      </c>
      <c r="M1059" t="s">
        <v>40</v>
      </c>
      <c r="N1059">
        <v>4.4000000000000004</v>
      </c>
      <c r="O1059">
        <v>0</v>
      </c>
      <c r="P1059" t="s">
        <v>73</v>
      </c>
      <c r="Q1059" t="s">
        <v>30</v>
      </c>
      <c r="R1059" t="s">
        <v>30</v>
      </c>
      <c r="S1059">
        <v>20</v>
      </c>
      <c r="T1059" t="s">
        <v>42</v>
      </c>
      <c r="U1059" t="s">
        <v>43</v>
      </c>
      <c r="V1059" s="1">
        <v>45360</v>
      </c>
      <c r="W1059">
        <f>Table1[[#This Row],[customer_purchase count]]+1</f>
        <v>21</v>
      </c>
      <c r="X1059">
        <f>Table1[[#This Row],[customer_purchase count]]*Rules!$B$3</f>
        <v>1195.2871794871796</v>
      </c>
      <c r="Y1059" t="str">
        <f>IF(Table1[[#This Row],[customer_subscription]]=1,"Subscribed","Not Subscribed")</f>
        <v>Not Subscribed</v>
      </c>
    </row>
    <row r="1060" spans="1:26" x14ac:dyDescent="0.25">
      <c r="A1060">
        <v>1059</v>
      </c>
      <c r="B1060">
        <v>29</v>
      </c>
      <c r="C1060" t="s">
        <v>22</v>
      </c>
      <c r="D1060">
        <v>1059</v>
      </c>
      <c r="E1060" t="s">
        <v>122</v>
      </c>
      <c r="F1060" t="s">
        <v>70</v>
      </c>
      <c r="G1060">
        <v>1059</v>
      </c>
      <c r="H1060">
        <v>1469</v>
      </c>
      <c r="I1060">
        <v>33</v>
      </c>
      <c r="J1060" t="s">
        <v>133</v>
      </c>
      <c r="K1060" t="s">
        <v>26</v>
      </c>
      <c r="L1060" t="s">
        <v>86</v>
      </c>
      <c r="M1060" t="s">
        <v>56</v>
      </c>
      <c r="N1060">
        <v>3.1</v>
      </c>
      <c r="O1060">
        <v>0</v>
      </c>
      <c r="P1060" t="s">
        <v>48</v>
      </c>
      <c r="Q1060" t="s">
        <v>30</v>
      </c>
      <c r="R1060" t="s">
        <v>30</v>
      </c>
      <c r="S1060">
        <v>49</v>
      </c>
      <c r="T1060" t="s">
        <v>78</v>
      </c>
      <c r="U1060" t="s">
        <v>100</v>
      </c>
      <c r="V1060" s="1">
        <v>45528</v>
      </c>
      <c r="W1060">
        <f>Table1[[#This Row],[customer_purchase count]]+1</f>
        <v>50</v>
      </c>
      <c r="X1060">
        <f>Table1[[#This Row],[customer_purchase count]]*Rules!$B$3</f>
        <v>2928.4535897435899</v>
      </c>
      <c r="Y1060" t="str">
        <f>IF(Table1[[#This Row],[customer_subscription]]=1,"Subscribed","Not Subscribed")</f>
        <v>Not Subscribed</v>
      </c>
    </row>
    <row r="1061" spans="1:26" x14ac:dyDescent="0.25">
      <c r="A1061">
        <v>1060</v>
      </c>
      <c r="B1061">
        <v>22</v>
      </c>
      <c r="C1061" t="s">
        <v>22</v>
      </c>
      <c r="D1061">
        <v>1060</v>
      </c>
      <c r="E1061" t="s">
        <v>105</v>
      </c>
      <c r="F1061" t="s">
        <v>66</v>
      </c>
      <c r="G1061">
        <v>1060</v>
      </c>
      <c r="H1061">
        <v>1471</v>
      </c>
      <c r="I1061">
        <v>34</v>
      </c>
      <c r="J1061" t="s">
        <v>101</v>
      </c>
      <c r="K1061" t="s">
        <v>47</v>
      </c>
      <c r="L1061" t="s">
        <v>121</v>
      </c>
      <c r="M1061" t="s">
        <v>28</v>
      </c>
      <c r="N1061">
        <v>2.5</v>
      </c>
      <c r="O1061">
        <v>0</v>
      </c>
      <c r="P1061" t="s">
        <v>57</v>
      </c>
      <c r="Q1061" t="s">
        <v>30</v>
      </c>
      <c r="R1061" t="s">
        <v>30</v>
      </c>
      <c r="S1061">
        <v>25</v>
      </c>
      <c r="T1061" t="s">
        <v>89</v>
      </c>
      <c r="U1061" t="s">
        <v>91</v>
      </c>
      <c r="V1061" s="1">
        <v>45644</v>
      </c>
      <c r="W1061">
        <f>Table1[[#This Row],[customer_purchase count]]+1</f>
        <v>26</v>
      </c>
      <c r="X1061">
        <f>Table1[[#This Row],[customer_purchase count]]*Rules!$B$3</f>
        <v>1494.1089743589744</v>
      </c>
      <c r="Y1061" t="str">
        <f>IF(Table1[[#This Row],[customer_subscription]]=1,"Subscribed","Not Subscribed")</f>
        <v>Not Subscribed</v>
      </c>
    </row>
    <row r="1062" spans="1:26" x14ac:dyDescent="0.25">
      <c r="A1062">
        <v>1061</v>
      </c>
      <c r="B1062">
        <v>27</v>
      </c>
      <c r="C1062" t="s">
        <v>22</v>
      </c>
      <c r="D1062">
        <v>1061</v>
      </c>
      <c r="E1062" t="s">
        <v>33</v>
      </c>
      <c r="F1062" t="s">
        <v>24</v>
      </c>
      <c r="G1062">
        <v>1061</v>
      </c>
      <c r="H1062">
        <v>1472</v>
      </c>
      <c r="I1062">
        <v>35</v>
      </c>
      <c r="J1062" t="s">
        <v>149</v>
      </c>
      <c r="K1062" t="s">
        <v>39</v>
      </c>
      <c r="L1062" t="s">
        <v>27</v>
      </c>
      <c r="M1062" t="s">
        <v>56</v>
      </c>
      <c r="N1062">
        <v>2.6</v>
      </c>
      <c r="O1062">
        <v>0</v>
      </c>
      <c r="P1062" t="s">
        <v>48</v>
      </c>
      <c r="Q1062" t="s">
        <v>30</v>
      </c>
      <c r="R1062" t="s">
        <v>30</v>
      </c>
      <c r="S1062">
        <v>21</v>
      </c>
      <c r="T1062" t="s">
        <v>89</v>
      </c>
      <c r="U1062" t="s">
        <v>100</v>
      </c>
      <c r="V1062" s="1">
        <v>45477</v>
      </c>
      <c r="W1062">
        <f>Table1[[#This Row],[customer_purchase count]]+1</f>
        <v>22</v>
      </c>
      <c r="X1062">
        <f>Table1[[#This Row],[customer_purchase count]]*Rules!$B$3</f>
        <v>1255.0515384615385</v>
      </c>
      <c r="Y1062" t="str">
        <f>IF(Table1[[#This Row],[customer_subscription]]=1,"Subscribed","Not Subscribed")</f>
        <v>Not Subscribed</v>
      </c>
    </row>
    <row r="1063" spans="1:26" x14ac:dyDescent="0.25">
      <c r="A1063">
        <v>1062</v>
      </c>
      <c r="B1063">
        <v>36</v>
      </c>
      <c r="C1063" t="s">
        <v>22</v>
      </c>
      <c r="D1063">
        <v>1062</v>
      </c>
      <c r="E1063" t="s">
        <v>65</v>
      </c>
      <c r="F1063" t="s">
        <v>66</v>
      </c>
      <c r="G1063">
        <v>1062</v>
      </c>
      <c r="H1063">
        <v>1473</v>
      </c>
      <c r="I1063">
        <v>62</v>
      </c>
      <c r="J1063" t="s">
        <v>138</v>
      </c>
      <c r="K1063" t="s">
        <v>47</v>
      </c>
      <c r="L1063" t="s">
        <v>27</v>
      </c>
      <c r="M1063" t="s">
        <v>56</v>
      </c>
      <c r="N1063">
        <v>4.4000000000000004</v>
      </c>
      <c r="O1063">
        <v>0</v>
      </c>
      <c r="P1063" t="s">
        <v>41</v>
      </c>
      <c r="Q1063" t="s">
        <v>30</v>
      </c>
      <c r="R1063" t="s">
        <v>30</v>
      </c>
      <c r="S1063">
        <v>12</v>
      </c>
      <c r="T1063" t="s">
        <v>31</v>
      </c>
      <c r="U1063" t="s">
        <v>100</v>
      </c>
      <c r="V1063" s="1">
        <v>45476</v>
      </c>
      <c r="W1063">
        <f>Table1[[#This Row],[customer_purchase count]]+1</f>
        <v>13</v>
      </c>
      <c r="X1063">
        <f>Table1[[#This Row],[customer_purchase count]]*Rules!$B$3</f>
        <v>717.17230769230775</v>
      </c>
      <c r="Y1063" t="str">
        <f>IF(Table1[[#This Row],[customer_subscription]]=1,"Subscribed","Not Subscribed")</f>
        <v>Not Subscribed</v>
      </c>
      <c r="Z1063" t="s">
        <v>194</v>
      </c>
    </row>
    <row r="1064" spans="1:26" x14ac:dyDescent="0.25">
      <c r="A1064">
        <v>1063</v>
      </c>
      <c r="B1064">
        <v>59</v>
      </c>
      <c r="C1064" t="s">
        <v>22</v>
      </c>
      <c r="D1064">
        <v>1063</v>
      </c>
      <c r="E1064" t="s">
        <v>140</v>
      </c>
      <c r="F1064" t="s">
        <v>45</v>
      </c>
      <c r="G1064">
        <v>1063</v>
      </c>
      <c r="H1064">
        <v>1474</v>
      </c>
      <c r="I1064">
        <v>75</v>
      </c>
      <c r="J1064" t="s">
        <v>126</v>
      </c>
      <c r="K1064" t="s">
        <v>47</v>
      </c>
      <c r="L1064" t="s">
        <v>113</v>
      </c>
      <c r="M1064" t="s">
        <v>60</v>
      </c>
      <c r="N1064">
        <v>2.6</v>
      </c>
      <c r="O1064">
        <v>0</v>
      </c>
      <c r="P1064" t="s">
        <v>48</v>
      </c>
      <c r="Q1064" t="s">
        <v>30</v>
      </c>
      <c r="R1064" t="s">
        <v>30</v>
      </c>
      <c r="S1064">
        <v>21</v>
      </c>
      <c r="T1064" t="s">
        <v>89</v>
      </c>
      <c r="U1064" t="s">
        <v>100</v>
      </c>
      <c r="V1064" s="1">
        <v>45598</v>
      </c>
      <c r="W1064">
        <f>Table1[[#This Row],[customer_purchase count]]+1</f>
        <v>22</v>
      </c>
      <c r="X1064">
        <f>Table1[[#This Row],[customer_purchase count]]*Rules!$B$3</f>
        <v>1255.0515384615385</v>
      </c>
      <c r="Y1064" t="str">
        <f>IF(Table1[[#This Row],[customer_subscription]]=1,"Subscribed","Not Subscribed")</f>
        <v>Not Subscribed</v>
      </c>
    </row>
    <row r="1065" spans="1:26" x14ac:dyDescent="0.25">
      <c r="A1065">
        <v>1064</v>
      </c>
      <c r="B1065">
        <v>62</v>
      </c>
      <c r="C1065" t="s">
        <v>22</v>
      </c>
      <c r="D1065">
        <v>1064</v>
      </c>
      <c r="E1065" t="s">
        <v>107</v>
      </c>
      <c r="F1065" t="s">
        <v>24</v>
      </c>
      <c r="G1065">
        <v>1064</v>
      </c>
      <c r="H1065">
        <v>1475</v>
      </c>
      <c r="I1065">
        <v>29</v>
      </c>
      <c r="J1065" t="s">
        <v>93</v>
      </c>
      <c r="K1065" t="s">
        <v>39</v>
      </c>
      <c r="L1065" t="s">
        <v>129</v>
      </c>
      <c r="M1065" t="s">
        <v>56</v>
      </c>
      <c r="N1065">
        <v>3.3</v>
      </c>
      <c r="O1065">
        <v>0</v>
      </c>
      <c r="P1065" t="s">
        <v>41</v>
      </c>
      <c r="Q1065" t="s">
        <v>30</v>
      </c>
      <c r="R1065" t="s">
        <v>30</v>
      </c>
      <c r="S1065">
        <v>35</v>
      </c>
      <c r="T1065" t="s">
        <v>36</v>
      </c>
      <c r="U1065" t="s">
        <v>91</v>
      </c>
      <c r="V1065" s="1">
        <v>45475</v>
      </c>
      <c r="W1065">
        <f>Table1[[#This Row],[customer_purchase count]]+1</f>
        <v>36</v>
      </c>
      <c r="X1065">
        <f>Table1[[#This Row],[customer_purchase count]]*Rules!$B$3</f>
        <v>2091.7525641025641</v>
      </c>
      <c r="Y1065" t="str">
        <f>IF(Table1[[#This Row],[customer_subscription]]=1,"Subscribed","Not Subscribed")</f>
        <v>Not Subscribed</v>
      </c>
    </row>
    <row r="1066" spans="1:26" x14ac:dyDescent="0.25">
      <c r="A1066">
        <v>1065</v>
      </c>
      <c r="B1066">
        <v>34</v>
      </c>
      <c r="C1066" t="s">
        <v>22</v>
      </c>
      <c r="D1066">
        <v>1065</v>
      </c>
      <c r="E1066" t="s">
        <v>127</v>
      </c>
      <c r="F1066" t="s">
        <v>70</v>
      </c>
      <c r="G1066">
        <v>1065</v>
      </c>
      <c r="H1066">
        <v>1477</v>
      </c>
      <c r="I1066">
        <v>28</v>
      </c>
      <c r="J1066" t="s">
        <v>54</v>
      </c>
      <c r="K1066" t="s">
        <v>47</v>
      </c>
      <c r="L1066" t="s">
        <v>86</v>
      </c>
      <c r="M1066" t="s">
        <v>40</v>
      </c>
      <c r="N1066">
        <v>3.5</v>
      </c>
      <c r="O1066">
        <v>0</v>
      </c>
      <c r="P1066" t="s">
        <v>29</v>
      </c>
      <c r="Q1066" t="s">
        <v>30</v>
      </c>
      <c r="R1066" t="s">
        <v>30</v>
      </c>
      <c r="S1066">
        <v>42</v>
      </c>
      <c r="T1066" t="s">
        <v>42</v>
      </c>
      <c r="U1066" t="s">
        <v>100</v>
      </c>
      <c r="V1066" s="1">
        <v>45429</v>
      </c>
      <c r="W1066">
        <f>Table1[[#This Row],[customer_purchase count]]+1</f>
        <v>43</v>
      </c>
      <c r="X1066">
        <f>Table1[[#This Row],[customer_purchase count]]*Rules!$B$3</f>
        <v>2510.103076923077</v>
      </c>
      <c r="Y1066" t="str">
        <f>IF(Table1[[#This Row],[customer_subscription]]=1,"Subscribed","Not Subscribed")</f>
        <v>Not Subscribed</v>
      </c>
    </row>
    <row r="1067" spans="1:26" x14ac:dyDescent="0.25">
      <c r="A1067">
        <v>1066</v>
      </c>
      <c r="B1067">
        <v>59</v>
      </c>
      <c r="C1067" t="s">
        <v>22</v>
      </c>
      <c r="D1067">
        <v>1066</v>
      </c>
      <c r="E1067" t="s">
        <v>116</v>
      </c>
      <c r="F1067" t="s">
        <v>24</v>
      </c>
      <c r="G1067">
        <v>1066</v>
      </c>
      <c r="H1067">
        <v>1478</v>
      </c>
      <c r="I1067">
        <v>20</v>
      </c>
      <c r="J1067" t="s">
        <v>93</v>
      </c>
      <c r="K1067" t="s">
        <v>95</v>
      </c>
      <c r="L1067" t="s">
        <v>147</v>
      </c>
      <c r="M1067" t="s">
        <v>40</v>
      </c>
      <c r="N1067">
        <v>4.0999999999999996</v>
      </c>
      <c r="O1067">
        <v>0</v>
      </c>
      <c r="P1067" t="s">
        <v>77</v>
      </c>
      <c r="Q1067" t="s">
        <v>30</v>
      </c>
      <c r="R1067" t="s">
        <v>30</v>
      </c>
      <c r="S1067">
        <v>3</v>
      </c>
      <c r="T1067" t="s">
        <v>49</v>
      </c>
      <c r="U1067" t="s">
        <v>100</v>
      </c>
      <c r="V1067" s="1">
        <v>45396</v>
      </c>
      <c r="W1067">
        <f>Table1[[#This Row],[customer_purchase count]]+1</f>
        <v>4</v>
      </c>
      <c r="X1067">
        <f>Table1[[#This Row],[customer_purchase count]]*Rules!$B$3</f>
        <v>179.29307692307694</v>
      </c>
      <c r="Y1067" t="str">
        <f>IF(Table1[[#This Row],[customer_subscription]]=1,"Subscribed","Not Subscribed")</f>
        <v>Not Subscribed</v>
      </c>
      <c r="Z1067" t="s">
        <v>194</v>
      </c>
    </row>
    <row r="1068" spans="1:26" x14ac:dyDescent="0.25">
      <c r="A1068">
        <v>1067</v>
      </c>
      <c r="B1068">
        <v>49</v>
      </c>
      <c r="C1068" t="s">
        <v>22</v>
      </c>
      <c r="D1068">
        <v>1067</v>
      </c>
      <c r="E1068" t="s">
        <v>65</v>
      </c>
      <c r="F1068" t="s">
        <v>66</v>
      </c>
      <c r="G1068">
        <v>1067</v>
      </c>
      <c r="H1068">
        <v>1479</v>
      </c>
      <c r="I1068">
        <v>96</v>
      </c>
      <c r="J1068" t="s">
        <v>94</v>
      </c>
      <c r="K1068" t="s">
        <v>47</v>
      </c>
      <c r="L1068" t="s">
        <v>111</v>
      </c>
      <c r="M1068" t="s">
        <v>28</v>
      </c>
      <c r="N1068">
        <v>4</v>
      </c>
      <c r="O1068">
        <v>0</v>
      </c>
      <c r="P1068" t="s">
        <v>77</v>
      </c>
      <c r="Q1068" t="s">
        <v>30</v>
      </c>
      <c r="R1068" t="s">
        <v>30</v>
      </c>
      <c r="S1068">
        <v>11</v>
      </c>
      <c r="T1068" t="s">
        <v>49</v>
      </c>
      <c r="U1068" t="s">
        <v>79</v>
      </c>
      <c r="V1068" s="1">
        <v>45629</v>
      </c>
      <c r="W1068">
        <f>Table1[[#This Row],[customer_purchase count]]+1</f>
        <v>12</v>
      </c>
      <c r="X1068">
        <f>Table1[[#This Row],[customer_purchase count]]*Rules!$B$3</f>
        <v>657.40794871794878</v>
      </c>
      <c r="Y1068" t="str">
        <f>IF(Table1[[#This Row],[customer_subscription]]=1,"Subscribed","Not Subscribed")</f>
        <v>Not Subscribed</v>
      </c>
      <c r="Z1068" t="s">
        <v>194</v>
      </c>
    </row>
    <row r="1069" spans="1:26" x14ac:dyDescent="0.25">
      <c r="A1069">
        <v>1068</v>
      </c>
      <c r="B1069">
        <v>18</v>
      </c>
      <c r="C1069" t="s">
        <v>22</v>
      </c>
      <c r="D1069">
        <v>1068</v>
      </c>
      <c r="E1069" t="s">
        <v>84</v>
      </c>
      <c r="F1069" t="s">
        <v>24</v>
      </c>
      <c r="G1069">
        <v>1068</v>
      </c>
      <c r="H1069">
        <v>1480</v>
      </c>
      <c r="I1069">
        <v>43</v>
      </c>
      <c r="J1069" t="s">
        <v>141</v>
      </c>
      <c r="K1069" t="s">
        <v>39</v>
      </c>
      <c r="L1069" t="s">
        <v>103</v>
      </c>
      <c r="M1069" t="s">
        <v>56</v>
      </c>
      <c r="N1069">
        <v>2.7</v>
      </c>
      <c r="O1069">
        <v>0</v>
      </c>
      <c r="P1069" t="s">
        <v>73</v>
      </c>
      <c r="Q1069" t="s">
        <v>30</v>
      </c>
      <c r="R1069" t="s">
        <v>30</v>
      </c>
      <c r="S1069">
        <v>22</v>
      </c>
      <c r="T1069" t="s">
        <v>49</v>
      </c>
      <c r="U1069" t="s">
        <v>61</v>
      </c>
      <c r="V1069" s="1">
        <v>45456</v>
      </c>
      <c r="W1069">
        <f>Table1[[#This Row],[customer_purchase count]]+1</f>
        <v>23</v>
      </c>
      <c r="X1069">
        <f>Table1[[#This Row],[customer_purchase count]]*Rules!$B$3</f>
        <v>1314.8158974358976</v>
      </c>
      <c r="Y1069" t="str">
        <f>IF(Table1[[#This Row],[customer_subscription]]=1,"Subscribed","Not Subscribed")</f>
        <v>Not Subscribed</v>
      </c>
    </row>
    <row r="1070" spans="1:26" x14ac:dyDescent="0.25">
      <c r="A1070">
        <v>1069</v>
      </c>
      <c r="B1070">
        <v>55</v>
      </c>
      <c r="C1070" t="s">
        <v>22</v>
      </c>
      <c r="D1070">
        <v>1069</v>
      </c>
      <c r="E1070" t="s">
        <v>58</v>
      </c>
      <c r="F1070" t="s">
        <v>24</v>
      </c>
      <c r="G1070">
        <v>1069</v>
      </c>
      <c r="H1070">
        <v>1481</v>
      </c>
      <c r="I1070">
        <v>94</v>
      </c>
      <c r="J1070" t="s">
        <v>54</v>
      </c>
      <c r="K1070" t="s">
        <v>47</v>
      </c>
      <c r="L1070" t="s">
        <v>81</v>
      </c>
      <c r="M1070" t="s">
        <v>60</v>
      </c>
      <c r="N1070">
        <v>2.5</v>
      </c>
      <c r="O1070">
        <v>0</v>
      </c>
      <c r="P1070" t="s">
        <v>57</v>
      </c>
      <c r="Q1070" t="s">
        <v>30</v>
      </c>
      <c r="R1070" t="s">
        <v>30</v>
      </c>
      <c r="S1070">
        <v>47</v>
      </c>
      <c r="T1070" t="s">
        <v>42</v>
      </c>
      <c r="U1070" t="s">
        <v>43</v>
      </c>
      <c r="V1070" s="1">
        <v>45554</v>
      </c>
      <c r="W1070">
        <f>Table1[[#This Row],[customer_purchase count]]+1</f>
        <v>48</v>
      </c>
      <c r="X1070">
        <f>Table1[[#This Row],[customer_purchase count]]*Rules!$B$3</f>
        <v>2808.9248717948717</v>
      </c>
      <c r="Y1070" t="str">
        <f>IF(Table1[[#This Row],[customer_subscription]]=1,"Subscribed","Not Subscribed")</f>
        <v>Not Subscribed</v>
      </c>
    </row>
    <row r="1071" spans="1:26" x14ac:dyDescent="0.25">
      <c r="A1071">
        <v>1070</v>
      </c>
      <c r="B1071">
        <v>38</v>
      </c>
      <c r="C1071" t="s">
        <v>22</v>
      </c>
      <c r="D1071">
        <v>1070</v>
      </c>
      <c r="E1071" t="s">
        <v>90</v>
      </c>
      <c r="F1071" t="s">
        <v>24</v>
      </c>
      <c r="G1071">
        <v>1070</v>
      </c>
      <c r="H1071">
        <v>1483</v>
      </c>
      <c r="I1071">
        <v>81</v>
      </c>
      <c r="J1071" t="s">
        <v>131</v>
      </c>
      <c r="K1071" t="s">
        <v>95</v>
      </c>
      <c r="L1071" t="s">
        <v>55</v>
      </c>
      <c r="M1071" t="s">
        <v>60</v>
      </c>
      <c r="N1071">
        <v>4.3</v>
      </c>
      <c r="O1071">
        <v>0</v>
      </c>
      <c r="P1071" t="s">
        <v>48</v>
      </c>
      <c r="Q1071" t="s">
        <v>30</v>
      </c>
      <c r="R1071" t="s">
        <v>30</v>
      </c>
      <c r="S1071">
        <v>33</v>
      </c>
      <c r="T1071" t="s">
        <v>31</v>
      </c>
      <c r="U1071" t="s">
        <v>100</v>
      </c>
      <c r="V1071" s="1">
        <v>45601</v>
      </c>
      <c r="W1071">
        <f>Table1[[#This Row],[customer_purchase count]]+1</f>
        <v>34</v>
      </c>
      <c r="X1071">
        <f>Table1[[#This Row],[customer_purchase count]]*Rules!$B$3</f>
        <v>1972.2238461538464</v>
      </c>
      <c r="Y1071" t="str">
        <f>IF(Table1[[#This Row],[customer_subscription]]=1,"Subscribed","Not Subscribed")</f>
        <v>Not Subscribed</v>
      </c>
    </row>
    <row r="1072" spans="1:26" x14ac:dyDescent="0.25">
      <c r="A1072">
        <v>1071</v>
      </c>
      <c r="B1072">
        <v>50</v>
      </c>
      <c r="C1072" t="s">
        <v>22</v>
      </c>
      <c r="D1072">
        <v>1071</v>
      </c>
      <c r="E1072" t="s">
        <v>109</v>
      </c>
      <c r="F1072" t="s">
        <v>70</v>
      </c>
      <c r="G1072">
        <v>1071</v>
      </c>
      <c r="H1072">
        <v>1484</v>
      </c>
      <c r="I1072">
        <v>75</v>
      </c>
      <c r="J1072" t="s">
        <v>101</v>
      </c>
      <c r="K1072" t="s">
        <v>47</v>
      </c>
      <c r="L1072" t="s">
        <v>139</v>
      </c>
      <c r="M1072" t="s">
        <v>56</v>
      </c>
      <c r="N1072">
        <v>3.3</v>
      </c>
      <c r="O1072">
        <v>0</v>
      </c>
      <c r="P1072" t="s">
        <v>41</v>
      </c>
      <c r="Q1072" t="s">
        <v>30</v>
      </c>
      <c r="R1072" t="s">
        <v>30</v>
      </c>
      <c r="S1072">
        <v>50</v>
      </c>
      <c r="T1072" t="s">
        <v>89</v>
      </c>
      <c r="U1072" t="s">
        <v>43</v>
      </c>
      <c r="V1072" s="1">
        <v>45452</v>
      </c>
      <c r="W1072">
        <f>Table1[[#This Row],[customer_purchase count]]+1</f>
        <v>51</v>
      </c>
      <c r="X1072">
        <f>Table1[[#This Row],[customer_purchase count]]*Rules!$B$3</f>
        <v>2988.2179487179487</v>
      </c>
      <c r="Y1072" t="str">
        <f>IF(Table1[[#This Row],[customer_subscription]]=1,"Subscribed","Not Subscribed")</f>
        <v>Not Subscribed</v>
      </c>
    </row>
    <row r="1073" spans="1:26" x14ac:dyDescent="0.25">
      <c r="A1073">
        <v>1072</v>
      </c>
      <c r="B1073">
        <v>61</v>
      </c>
      <c r="C1073" t="s">
        <v>22</v>
      </c>
      <c r="D1073">
        <v>1072</v>
      </c>
      <c r="E1073" t="s">
        <v>127</v>
      </c>
      <c r="F1073" t="s">
        <v>70</v>
      </c>
      <c r="G1073">
        <v>1072</v>
      </c>
      <c r="H1073">
        <v>1485</v>
      </c>
      <c r="I1073">
        <v>81</v>
      </c>
      <c r="J1073" t="s">
        <v>141</v>
      </c>
      <c r="K1073" t="s">
        <v>47</v>
      </c>
      <c r="L1073" t="s">
        <v>121</v>
      </c>
      <c r="M1073" t="s">
        <v>56</v>
      </c>
      <c r="N1073">
        <v>2.6</v>
      </c>
      <c r="O1073">
        <v>0</v>
      </c>
      <c r="P1073" t="s">
        <v>29</v>
      </c>
      <c r="Q1073" t="s">
        <v>30</v>
      </c>
      <c r="R1073" t="s">
        <v>30</v>
      </c>
      <c r="S1073">
        <v>46</v>
      </c>
      <c r="T1073" t="s">
        <v>42</v>
      </c>
      <c r="U1073" t="s">
        <v>91</v>
      </c>
      <c r="V1073" s="1">
        <v>45521</v>
      </c>
      <c r="W1073">
        <f>Table1[[#This Row],[customer_purchase count]]+1</f>
        <v>47</v>
      </c>
      <c r="X1073">
        <f>Table1[[#This Row],[customer_purchase count]]*Rules!$B$3</f>
        <v>2749.1605128205128</v>
      </c>
      <c r="Y1073" t="str">
        <f>IF(Table1[[#This Row],[customer_subscription]]=1,"Subscribed","Not Subscribed")</f>
        <v>Not Subscribed</v>
      </c>
    </row>
    <row r="1074" spans="1:26" x14ac:dyDescent="0.25">
      <c r="A1074">
        <v>1073</v>
      </c>
      <c r="B1074">
        <v>48</v>
      </c>
      <c r="C1074" t="s">
        <v>22</v>
      </c>
      <c r="D1074">
        <v>1073</v>
      </c>
      <c r="E1074" t="s">
        <v>62</v>
      </c>
      <c r="F1074" t="s">
        <v>24</v>
      </c>
      <c r="G1074">
        <v>1073</v>
      </c>
      <c r="H1074">
        <v>1486</v>
      </c>
      <c r="I1074">
        <v>92</v>
      </c>
      <c r="J1074" t="s">
        <v>138</v>
      </c>
      <c r="K1074" t="s">
        <v>26</v>
      </c>
      <c r="L1074" t="s">
        <v>83</v>
      </c>
      <c r="M1074" t="s">
        <v>60</v>
      </c>
      <c r="N1074">
        <v>3.5</v>
      </c>
      <c r="O1074">
        <v>0</v>
      </c>
      <c r="P1074" t="s">
        <v>29</v>
      </c>
      <c r="Q1074" t="s">
        <v>30</v>
      </c>
      <c r="R1074" t="s">
        <v>30</v>
      </c>
      <c r="S1074">
        <v>34</v>
      </c>
      <c r="T1074" t="s">
        <v>89</v>
      </c>
      <c r="U1074" t="s">
        <v>32</v>
      </c>
      <c r="V1074" s="1">
        <v>45572</v>
      </c>
      <c r="W1074">
        <f>Table1[[#This Row],[customer_purchase count]]+1</f>
        <v>35</v>
      </c>
      <c r="X1074">
        <f>Table1[[#This Row],[customer_purchase count]]*Rules!$B$3</f>
        <v>2031.9882051282052</v>
      </c>
      <c r="Y1074" t="str">
        <f>IF(Table1[[#This Row],[customer_subscription]]=1,"Subscribed","Not Subscribed")</f>
        <v>Not Subscribed</v>
      </c>
    </row>
    <row r="1075" spans="1:26" x14ac:dyDescent="0.25">
      <c r="A1075">
        <v>1074</v>
      </c>
      <c r="B1075">
        <v>22</v>
      </c>
      <c r="C1075" t="s">
        <v>22</v>
      </c>
      <c r="D1075">
        <v>1074</v>
      </c>
      <c r="E1075" t="s">
        <v>122</v>
      </c>
      <c r="F1075" t="s">
        <v>70</v>
      </c>
      <c r="G1075">
        <v>1074</v>
      </c>
      <c r="H1075">
        <v>1487</v>
      </c>
      <c r="I1075">
        <v>96</v>
      </c>
      <c r="J1075" t="s">
        <v>102</v>
      </c>
      <c r="K1075" t="s">
        <v>95</v>
      </c>
      <c r="L1075" t="s">
        <v>76</v>
      </c>
      <c r="M1075" t="s">
        <v>40</v>
      </c>
      <c r="N1075">
        <v>4</v>
      </c>
      <c r="O1075">
        <v>0</v>
      </c>
      <c r="P1075" t="s">
        <v>77</v>
      </c>
      <c r="Q1075" t="s">
        <v>30</v>
      </c>
      <c r="R1075" t="s">
        <v>30</v>
      </c>
      <c r="S1075">
        <v>33</v>
      </c>
      <c r="T1075" t="s">
        <v>42</v>
      </c>
      <c r="U1075" t="s">
        <v>91</v>
      </c>
      <c r="V1075" s="1">
        <v>45359</v>
      </c>
      <c r="W1075">
        <f>Table1[[#This Row],[customer_purchase count]]+1</f>
        <v>34</v>
      </c>
      <c r="X1075">
        <f>Table1[[#This Row],[customer_purchase count]]*Rules!$B$3</f>
        <v>1972.2238461538464</v>
      </c>
      <c r="Y1075" t="str">
        <f>IF(Table1[[#This Row],[customer_subscription]]=1,"Subscribed","Not Subscribed")</f>
        <v>Not Subscribed</v>
      </c>
    </row>
    <row r="1076" spans="1:26" x14ac:dyDescent="0.25">
      <c r="A1076">
        <v>1075</v>
      </c>
      <c r="B1076">
        <v>48</v>
      </c>
      <c r="C1076" t="s">
        <v>22</v>
      </c>
      <c r="D1076">
        <v>1075</v>
      </c>
      <c r="E1076" t="s">
        <v>109</v>
      </c>
      <c r="F1076" t="s">
        <v>70</v>
      </c>
      <c r="G1076">
        <v>1075</v>
      </c>
      <c r="H1076">
        <v>1489</v>
      </c>
      <c r="I1076">
        <v>71</v>
      </c>
      <c r="J1076" t="s">
        <v>125</v>
      </c>
      <c r="K1076" t="s">
        <v>39</v>
      </c>
      <c r="L1076" t="s">
        <v>55</v>
      </c>
      <c r="M1076" t="s">
        <v>60</v>
      </c>
      <c r="N1076">
        <v>2.6</v>
      </c>
      <c r="O1076">
        <v>0</v>
      </c>
      <c r="P1076" t="s">
        <v>57</v>
      </c>
      <c r="Q1076" t="s">
        <v>30</v>
      </c>
      <c r="R1076" t="s">
        <v>30</v>
      </c>
      <c r="S1076">
        <v>45</v>
      </c>
      <c r="T1076" t="s">
        <v>78</v>
      </c>
      <c r="U1076" t="s">
        <v>32</v>
      </c>
      <c r="V1076" s="1">
        <v>45589</v>
      </c>
      <c r="W1076">
        <f>Table1[[#This Row],[customer_purchase count]]+1</f>
        <v>46</v>
      </c>
      <c r="X1076">
        <f>Table1[[#This Row],[customer_purchase count]]*Rules!$B$3</f>
        <v>2689.396153846154</v>
      </c>
      <c r="Y1076" t="str">
        <f>IF(Table1[[#This Row],[customer_subscription]]=1,"Subscribed","Not Subscribed")</f>
        <v>Not Subscribed</v>
      </c>
    </row>
    <row r="1077" spans="1:26" x14ac:dyDescent="0.25">
      <c r="A1077">
        <v>1076</v>
      </c>
      <c r="B1077">
        <v>57</v>
      </c>
      <c r="C1077" t="s">
        <v>22</v>
      </c>
      <c r="D1077">
        <v>1076</v>
      </c>
      <c r="E1077" t="s">
        <v>92</v>
      </c>
      <c r="F1077" t="s">
        <v>70</v>
      </c>
      <c r="G1077">
        <v>1076</v>
      </c>
      <c r="H1077">
        <v>1490</v>
      </c>
      <c r="I1077">
        <v>50</v>
      </c>
      <c r="J1077" t="s">
        <v>71</v>
      </c>
      <c r="K1077" t="s">
        <v>26</v>
      </c>
      <c r="L1077" t="s">
        <v>129</v>
      </c>
      <c r="M1077" t="s">
        <v>56</v>
      </c>
      <c r="N1077">
        <v>4.9000000000000004</v>
      </c>
      <c r="O1077">
        <v>0</v>
      </c>
      <c r="P1077" t="s">
        <v>48</v>
      </c>
      <c r="Q1077" t="s">
        <v>30</v>
      </c>
      <c r="R1077" t="s">
        <v>30</v>
      </c>
      <c r="S1077">
        <v>32</v>
      </c>
      <c r="T1077" t="s">
        <v>89</v>
      </c>
      <c r="U1077" t="s">
        <v>79</v>
      </c>
      <c r="V1077" s="1">
        <v>45477</v>
      </c>
      <c r="W1077">
        <f>Table1[[#This Row],[customer_purchase count]]+1</f>
        <v>33</v>
      </c>
      <c r="X1077">
        <f>Table1[[#This Row],[customer_purchase count]]*Rules!$B$3</f>
        <v>1912.4594871794873</v>
      </c>
      <c r="Y1077" t="str">
        <f>IF(Table1[[#This Row],[customer_subscription]]=1,"Subscribed","Not Subscribed")</f>
        <v>Not Subscribed</v>
      </c>
    </row>
    <row r="1078" spans="1:26" x14ac:dyDescent="0.25">
      <c r="A1078">
        <v>1077</v>
      </c>
      <c r="B1078">
        <v>33</v>
      </c>
      <c r="C1078" t="s">
        <v>22</v>
      </c>
      <c r="D1078">
        <v>1077</v>
      </c>
      <c r="E1078" t="s">
        <v>65</v>
      </c>
      <c r="F1078" t="s">
        <v>66</v>
      </c>
      <c r="G1078">
        <v>1077</v>
      </c>
      <c r="H1078">
        <v>1491</v>
      </c>
      <c r="I1078">
        <v>72</v>
      </c>
      <c r="J1078" t="s">
        <v>117</v>
      </c>
      <c r="K1078" t="s">
        <v>26</v>
      </c>
      <c r="L1078" t="s">
        <v>64</v>
      </c>
      <c r="M1078" t="s">
        <v>40</v>
      </c>
      <c r="N1078">
        <v>2.9</v>
      </c>
      <c r="O1078">
        <v>0</v>
      </c>
      <c r="P1078" t="s">
        <v>57</v>
      </c>
      <c r="Q1078" t="s">
        <v>30</v>
      </c>
      <c r="R1078" t="s">
        <v>30</v>
      </c>
      <c r="S1078">
        <v>47</v>
      </c>
      <c r="T1078" t="s">
        <v>31</v>
      </c>
      <c r="U1078" t="s">
        <v>79</v>
      </c>
      <c r="V1078" s="1">
        <v>45367</v>
      </c>
      <c r="W1078">
        <f>Table1[[#This Row],[customer_purchase count]]+1</f>
        <v>48</v>
      </c>
      <c r="X1078">
        <f>Table1[[#This Row],[customer_purchase count]]*Rules!$B$3</f>
        <v>2808.9248717948717</v>
      </c>
      <c r="Y1078" t="str">
        <f>IF(Table1[[#This Row],[customer_subscription]]=1,"Subscribed","Not Subscribed")</f>
        <v>Not Subscribed</v>
      </c>
    </row>
    <row r="1079" spans="1:26" x14ac:dyDescent="0.25">
      <c r="A1079">
        <v>1078</v>
      </c>
      <c r="B1079">
        <v>58</v>
      </c>
      <c r="C1079" t="s">
        <v>22</v>
      </c>
      <c r="D1079">
        <v>1078</v>
      </c>
      <c r="E1079" t="s">
        <v>105</v>
      </c>
      <c r="F1079" t="s">
        <v>66</v>
      </c>
      <c r="G1079">
        <v>1078</v>
      </c>
      <c r="H1079">
        <v>1492</v>
      </c>
      <c r="I1079">
        <v>28</v>
      </c>
      <c r="J1079" t="s">
        <v>67</v>
      </c>
      <c r="K1079" t="s">
        <v>47</v>
      </c>
      <c r="L1079" t="s">
        <v>72</v>
      </c>
      <c r="M1079" t="s">
        <v>28</v>
      </c>
      <c r="N1079">
        <v>3.7</v>
      </c>
      <c r="O1079">
        <v>0</v>
      </c>
      <c r="P1079" t="s">
        <v>57</v>
      </c>
      <c r="Q1079" t="s">
        <v>30</v>
      </c>
      <c r="R1079" t="s">
        <v>30</v>
      </c>
      <c r="S1079">
        <v>5</v>
      </c>
      <c r="T1079" t="s">
        <v>49</v>
      </c>
      <c r="U1079" t="s">
        <v>61</v>
      </c>
      <c r="V1079" s="1">
        <v>45323</v>
      </c>
      <c r="W1079">
        <f>Table1[[#This Row],[customer_purchase count]]+1</f>
        <v>6</v>
      </c>
      <c r="X1079">
        <f>Table1[[#This Row],[customer_purchase count]]*Rules!$B$3</f>
        <v>298.82179487179491</v>
      </c>
      <c r="Y1079" t="str">
        <f>IF(Table1[[#This Row],[customer_subscription]]=1,"Subscribed","Not Subscribed")</f>
        <v>Not Subscribed</v>
      </c>
      <c r="Z1079" t="s">
        <v>194</v>
      </c>
    </row>
    <row r="1080" spans="1:26" x14ac:dyDescent="0.25">
      <c r="A1080">
        <v>1079</v>
      </c>
      <c r="B1080">
        <v>37</v>
      </c>
      <c r="C1080" t="s">
        <v>22</v>
      </c>
      <c r="D1080">
        <v>1079</v>
      </c>
      <c r="E1080" t="s">
        <v>33</v>
      </c>
      <c r="F1080" t="s">
        <v>24</v>
      </c>
      <c r="G1080">
        <v>1079</v>
      </c>
      <c r="H1080">
        <v>1493</v>
      </c>
      <c r="I1080">
        <v>59</v>
      </c>
      <c r="J1080" t="s">
        <v>120</v>
      </c>
      <c r="K1080" t="s">
        <v>47</v>
      </c>
      <c r="L1080" t="s">
        <v>68</v>
      </c>
      <c r="M1080" t="s">
        <v>60</v>
      </c>
      <c r="N1080">
        <v>4.4000000000000004</v>
      </c>
      <c r="O1080">
        <v>0</v>
      </c>
      <c r="P1080" t="s">
        <v>29</v>
      </c>
      <c r="Q1080" t="s">
        <v>30</v>
      </c>
      <c r="R1080" t="s">
        <v>30</v>
      </c>
      <c r="S1080">
        <v>49</v>
      </c>
      <c r="T1080" t="s">
        <v>42</v>
      </c>
      <c r="U1080" t="s">
        <v>32</v>
      </c>
      <c r="V1080" s="1">
        <v>45546</v>
      </c>
      <c r="W1080">
        <f>Table1[[#This Row],[customer_purchase count]]+1</f>
        <v>50</v>
      </c>
      <c r="X1080">
        <f>Table1[[#This Row],[customer_purchase count]]*Rules!$B$3</f>
        <v>2928.4535897435899</v>
      </c>
      <c r="Y1080" t="str">
        <f>IF(Table1[[#This Row],[customer_subscription]]=1,"Subscribed","Not Subscribed")</f>
        <v>Not Subscribed</v>
      </c>
    </row>
    <row r="1081" spans="1:26" x14ac:dyDescent="0.25">
      <c r="A1081">
        <v>1080</v>
      </c>
      <c r="B1081">
        <v>18</v>
      </c>
      <c r="C1081" t="s">
        <v>22</v>
      </c>
      <c r="D1081">
        <v>1080</v>
      </c>
      <c r="E1081" t="s">
        <v>65</v>
      </c>
      <c r="F1081" t="s">
        <v>66</v>
      </c>
      <c r="G1081">
        <v>1080</v>
      </c>
      <c r="H1081">
        <v>1495</v>
      </c>
      <c r="I1081">
        <v>33</v>
      </c>
      <c r="J1081" t="s">
        <v>104</v>
      </c>
      <c r="K1081" t="s">
        <v>39</v>
      </c>
      <c r="L1081" t="s">
        <v>147</v>
      </c>
      <c r="M1081" t="s">
        <v>56</v>
      </c>
      <c r="N1081">
        <v>4.4000000000000004</v>
      </c>
      <c r="O1081">
        <v>0</v>
      </c>
      <c r="P1081" t="s">
        <v>41</v>
      </c>
      <c r="Q1081" t="s">
        <v>30</v>
      </c>
      <c r="R1081" t="s">
        <v>30</v>
      </c>
      <c r="S1081">
        <v>48</v>
      </c>
      <c r="T1081" t="s">
        <v>78</v>
      </c>
      <c r="U1081" t="s">
        <v>91</v>
      </c>
      <c r="V1081" s="1">
        <v>45487</v>
      </c>
      <c r="W1081">
        <f>Table1[[#This Row],[customer_purchase count]]+1</f>
        <v>49</v>
      </c>
      <c r="X1081">
        <f>Table1[[#This Row],[customer_purchase count]]*Rules!$B$3</f>
        <v>2868.689230769231</v>
      </c>
      <c r="Y1081" t="str">
        <f>IF(Table1[[#This Row],[customer_subscription]]=1,"Subscribed","Not Subscribed")</f>
        <v>Not Subscribed</v>
      </c>
    </row>
    <row r="1082" spans="1:26" x14ac:dyDescent="0.25">
      <c r="A1082">
        <v>1081</v>
      </c>
      <c r="B1082">
        <v>65</v>
      </c>
      <c r="C1082" t="s">
        <v>22</v>
      </c>
      <c r="D1082">
        <v>1081</v>
      </c>
      <c r="E1082" t="s">
        <v>122</v>
      </c>
      <c r="F1082" t="s">
        <v>70</v>
      </c>
      <c r="G1082">
        <v>1081</v>
      </c>
      <c r="H1082">
        <v>1496</v>
      </c>
      <c r="I1082">
        <v>59</v>
      </c>
      <c r="J1082" t="s">
        <v>141</v>
      </c>
      <c r="K1082" t="s">
        <v>26</v>
      </c>
      <c r="L1082" t="s">
        <v>147</v>
      </c>
      <c r="M1082" t="s">
        <v>60</v>
      </c>
      <c r="N1082">
        <v>3.8</v>
      </c>
      <c r="O1082">
        <v>0</v>
      </c>
      <c r="P1082" t="s">
        <v>29</v>
      </c>
      <c r="Q1082" t="s">
        <v>30</v>
      </c>
      <c r="R1082" t="s">
        <v>30</v>
      </c>
      <c r="S1082">
        <v>22</v>
      </c>
      <c r="T1082" t="s">
        <v>36</v>
      </c>
      <c r="U1082" t="s">
        <v>100</v>
      </c>
      <c r="V1082" s="1">
        <v>45607</v>
      </c>
      <c r="W1082">
        <f>Table1[[#This Row],[customer_purchase count]]+1</f>
        <v>23</v>
      </c>
      <c r="X1082">
        <f>Table1[[#This Row],[customer_purchase count]]*Rules!$B$3</f>
        <v>1314.8158974358976</v>
      </c>
      <c r="Y1082" t="str">
        <f>IF(Table1[[#This Row],[customer_subscription]]=1,"Subscribed","Not Subscribed")</f>
        <v>Not Subscribed</v>
      </c>
    </row>
    <row r="1083" spans="1:26" x14ac:dyDescent="0.25">
      <c r="A1083">
        <v>1082</v>
      </c>
      <c r="B1083">
        <v>62</v>
      </c>
      <c r="C1083" t="s">
        <v>22</v>
      </c>
      <c r="D1083">
        <v>1082</v>
      </c>
      <c r="E1083" t="s">
        <v>136</v>
      </c>
      <c r="F1083" t="s">
        <v>70</v>
      </c>
      <c r="G1083">
        <v>1082</v>
      </c>
      <c r="H1083">
        <v>1497</v>
      </c>
      <c r="I1083">
        <v>30</v>
      </c>
      <c r="J1083" t="s">
        <v>138</v>
      </c>
      <c r="K1083" t="s">
        <v>95</v>
      </c>
      <c r="L1083" t="s">
        <v>113</v>
      </c>
      <c r="M1083" t="s">
        <v>40</v>
      </c>
      <c r="N1083">
        <v>4.5</v>
      </c>
      <c r="O1083">
        <v>0</v>
      </c>
      <c r="P1083" t="s">
        <v>57</v>
      </c>
      <c r="Q1083" t="s">
        <v>30</v>
      </c>
      <c r="R1083" t="s">
        <v>30</v>
      </c>
      <c r="S1083">
        <v>45</v>
      </c>
      <c r="T1083" t="s">
        <v>42</v>
      </c>
      <c r="U1083" t="s">
        <v>52</v>
      </c>
      <c r="V1083" s="1">
        <v>45399</v>
      </c>
      <c r="W1083">
        <f>Table1[[#This Row],[customer_purchase count]]+1</f>
        <v>46</v>
      </c>
      <c r="X1083">
        <f>Table1[[#This Row],[customer_purchase count]]*Rules!$B$3</f>
        <v>2689.396153846154</v>
      </c>
      <c r="Y1083" t="str">
        <f>IF(Table1[[#This Row],[customer_subscription]]=1,"Subscribed","Not Subscribed")</f>
        <v>Not Subscribed</v>
      </c>
    </row>
    <row r="1084" spans="1:26" x14ac:dyDescent="0.25">
      <c r="A1084">
        <v>1083</v>
      </c>
      <c r="B1084">
        <v>54</v>
      </c>
      <c r="C1084" t="s">
        <v>22</v>
      </c>
      <c r="D1084">
        <v>1083</v>
      </c>
      <c r="E1084" t="s">
        <v>127</v>
      </c>
      <c r="F1084" t="s">
        <v>70</v>
      </c>
      <c r="G1084">
        <v>1083</v>
      </c>
      <c r="H1084">
        <v>1498</v>
      </c>
      <c r="I1084">
        <v>85</v>
      </c>
      <c r="J1084" t="s">
        <v>134</v>
      </c>
      <c r="K1084" t="s">
        <v>95</v>
      </c>
      <c r="L1084" t="s">
        <v>112</v>
      </c>
      <c r="M1084" t="s">
        <v>28</v>
      </c>
      <c r="N1084">
        <v>2.6</v>
      </c>
      <c r="O1084">
        <v>0</v>
      </c>
      <c r="P1084" t="s">
        <v>48</v>
      </c>
      <c r="Q1084" t="s">
        <v>30</v>
      </c>
      <c r="R1084" t="s">
        <v>30</v>
      </c>
      <c r="S1084">
        <v>30</v>
      </c>
      <c r="T1084" t="s">
        <v>31</v>
      </c>
      <c r="U1084" t="s">
        <v>61</v>
      </c>
      <c r="V1084" s="1">
        <v>45651</v>
      </c>
      <c r="W1084">
        <f>Table1[[#This Row],[customer_purchase count]]+1</f>
        <v>31</v>
      </c>
      <c r="X1084">
        <f>Table1[[#This Row],[customer_purchase count]]*Rules!$B$3</f>
        <v>1792.9307692307693</v>
      </c>
      <c r="Y1084" t="str">
        <f>IF(Table1[[#This Row],[customer_subscription]]=1,"Subscribed","Not Subscribed")</f>
        <v>Not Subscribed</v>
      </c>
    </row>
    <row r="1085" spans="1:26" x14ac:dyDescent="0.25">
      <c r="A1085">
        <v>1084</v>
      </c>
      <c r="B1085">
        <v>35</v>
      </c>
      <c r="C1085" t="s">
        <v>22</v>
      </c>
      <c r="D1085">
        <v>1084</v>
      </c>
      <c r="E1085" t="s">
        <v>135</v>
      </c>
      <c r="F1085" t="s">
        <v>70</v>
      </c>
      <c r="G1085">
        <v>1084</v>
      </c>
      <c r="H1085">
        <v>1499</v>
      </c>
      <c r="I1085">
        <v>97</v>
      </c>
      <c r="J1085" t="s">
        <v>152</v>
      </c>
      <c r="K1085" t="s">
        <v>26</v>
      </c>
      <c r="L1085" t="s">
        <v>88</v>
      </c>
      <c r="M1085" t="s">
        <v>56</v>
      </c>
      <c r="N1085">
        <v>3.3</v>
      </c>
      <c r="O1085">
        <v>0</v>
      </c>
      <c r="P1085" t="s">
        <v>77</v>
      </c>
      <c r="Q1085" t="s">
        <v>30</v>
      </c>
      <c r="R1085" t="s">
        <v>30</v>
      </c>
      <c r="S1085">
        <v>43</v>
      </c>
      <c r="T1085" t="s">
        <v>36</v>
      </c>
      <c r="U1085" t="s">
        <v>43</v>
      </c>
      <c r="V1085" s="1">
        <v>45493</v>
      </c>
      <c r="W1085">
        <f>Table1[[#This Row],[customer_purchase count]]+1</f>
        <v>44</v>
      </c>
      <c r="X1085">
        <f>Table1[[#This Row],[customer_purchase count]]*Rules!$B$3</f>
        <v>2569.8674358974358</v>
      </c>
      <c r="Y1085" t="str">
        <f>IF(Table1[[#This Row],[customer_subscription]]=1,"Subscribed","Not Subscribed")</f>
        <v>Not Subscribed</v>
      </c>
    </row>
    <row r="1086" spans="1:26" x14ac:dyDescent="0.25">
      <c r="A1086">
        <v>1085</v>
      </c>
      <c r="B1086">
        <v>34</v>
      </c>
      <c r="C1086" t="s">
        <v>22</v>
      </c>
      <c r="D1086">
        <v>1085</v>
      </c>
      <c r="E1086" t="s">
        <v>116</v>
      </c>
      <c r="F1086" t="s">
        <v>24</v>
      </c>
      <c r="G1086">
        <v>1085</v>
      </c>
      <c r="H1086">
        <v>1501</v>
      </c>
      <c r="I1086">
        <v>36</v>
      </c>
      <c r="J1086" t="s">
        <v>75</v>
      </c>
      <c r="K1086" t="s">
        <v>39</v>
      </c>
      <c r="L1086" t="s">
        <v>76</v>
      </c>
      <c r="M1086" t="s">
        <v>60</v>
      </c>
      <c r="N1086">
        <v>4.0999999999999996</v>
      </c>
      <c r="O1086">
        <v>0</v>
      </c>
      <c r="P1086" t="s">
        <v>48</v>
      </c>
      <c r="Q1086" t="s">
        <v>30</v>
      </c>
      <c r="R1086" t="s">
        <v>30</v>
      </c>
      <c r="S1086">
        <v>48</v>
      </c>
      <c r="T1086" t="s">
        <v>36</v>
      </c>
      <c r="U1086" t="s">
        <v>61</v>
      </c>
      <c r="V1086" s="1">
        <v>45613</v>
      </c>
      <c r="W1086">
        <f>Table1[[#This Row],[customer_purchase count]]+1</f>
        <v>49</v>
      </c>
      <c r="X1086">
        <f>Table1[[#This Row],[customer_purchase count]]*Rules!$B$3</f>
        <v>2868.689230769231</v>
      </c>
      <c r="Y1086" t="str">
        <f>IF(Table1[[#This Row],[customer_subscription]]=1,"Subscribed","Not Subscribed")</f>
        <v>Not Subscribed</v>
      </c>
    </row>
    <row r="1087" spans="1:26" x14ac:dyDescent="0.25">
      <c r="A1087">
        <v>1086</v>
      </c>
      <c r="B1087">
        <v>25</v>
      </c>
      <c r="C1087" t="s">
        <v>22</v>
      </c>
      <c r="D1087">
        <v>1086</v>
      </c>
      <c r="E1087" t="s">
        <v>109</v>
      </c>
      <c r="F1087" t="s">
        <v>70</v>
      </c>
      <c r="G1087">
        <v>1086</v>
      </c>
      <c r="H1087">
        <v>1502</v>
      </c>
      <c r="I1087">
        <v>85</v>
      </c>
      <c r="J1087" t="s">
        <v>143</v>
      </c>
      <c r="K1087" t="s">
        <v>47</v>
      </c>
      <c r="L1087" t="s">
        <v>51</v>
      </c>
      <c r="M1087" t="s">
        <v>28</v>
      </c>
      <c r="N1087">
        <v>3</v>
      </c>
      <c r="O1087">
        <v>0</v>
      </c>
      <c r="P1087" t="s">
        <v>77</v>
      </c>
      <c r="Q1087" t="s">
        <v>30</v>
      </c>
      <c r="R1087" t="s">
        <v>30</v>
      </c>
      <c r="S1087">
        <v>23</v>
      </c>
      <c r="T1087" t="s">
        <v>31</v>
      </c>
      <c r="U1087" t="s">
        <v>32</v>
      </c>
      <c r="V1087" s="1">
        <v>45300</v>
      </c>
      <c r="W1087">
        <f>Table1[[#This Row],[customer_purchase count]]+1</f>
        <v>24</v>
      </c>
      <c r="X1087">
        <f>Table1[[#This Row],[customer_purchase count]]*Rules!$B$3</f>
        <v>1374.5802564102564</v>
      </c>
      <c r="Y1087" t="str">
        <f>IF(Table1[[#This Row],[customer_subscription]]=1,"Subscribed","Not Subscribed")</f>
        <v>Not Subscribed</v>
      </c>
    </row>
    <row r="1088" spans="1:26" x14ac:dyDescent="0.25">
      <c r="A1088">
        <v>1087</v>
      </c>
      <c r="B1088">
        <v>53</v>
      </c>
      <c r="C1088" t="s">
        <v>22</v>
      </c>
      <c r="D1088">
        <v>1087</v>
      </c>
      <c r="E1088" t="s">
        <v>92</v>
      </c>
      <c r="F1088" t="s">
        <v>70</v>
      </c>
      <c r="G1088">
        <v>1087</v>
      </c>
      <c r="H1088">
        <v>1503</v>
      </c>
      <c r="I1088">
        <v>62</v>
      </c>
      <c r="J1088" t="s">
        <v>123</v>
      </c>
      <c r="K1088" t="s">
        <v>47</v>
      </c>
      <c r="L1088" t="s">
        <v>81</v>
      </c>
      <c r="M1088" t="s">
        <v>28</v>
      </c>
      <c r="N1088">
        <v>3</v>
      </c>
      <c r="O1088">
        <v>0</v>
      </c>
      <c r="P1088" t="s">
        <v>41</v>
      </c>
      <c r="Q1088" t="s">
        <v>30</v>
      </c>
      <c r="R1088" t="s">
        <v>30</v>
      </c>
      <c r="S1088">
        <v>27</v>
      </c>
      <c r="T1088" t="s">
        <v>49</v>
      </c>
      <c r="U1088" t="s">
        <v>79</v>
      </c>
      <c r="V1088" s="1">
        <v>45634</v>
      </c>
      <c r="W1088">
        <f>Table1[[#This Row],[customer_purchase count]]+1</f>
        <v>28</v>
      </c>
      <c r="X1088">
        <f>Table1[[#This Row],[customer_purchase count]]*Rules!$B$3</f>
        <v>1613.6376923076923</v>
      </c>
      <c r="Y1088" t="str">
        <f>IF(Table1[[#This Row],[customer_subscription]]=1,"Subscribed","Not Subscribed")</f>
        <v>Not Subscribed</v>
      </c>
    </row>
    <row r="1089" spans="1:26" x14ac:dyDescent="0.25">
      <c r="A1089">
        <v>1088</v>
      </c>
      <c r="B1089">
        <v>45</v>
      </c>
      <c r="C1089" t="s">
        <v>22</v>
      </c>
      <c r="D1089">
        <v>1088</v>
      </c>
      <c r="E1089" t="s">
        <v>37</v>
      </c>
      <c r="F1089" t="s">
        <v>24</v>
      </c>
      <c r="G1089">
        <v>1088</v>
      </c>
      <c r="H1089">
        <v>1504</v>
      </c>
      <c r="I1089">
        <v>71</v>
      </c>
      <c r="J1089" t="s">
        <v>67</v>
      </c>
      <c r="K1089" t="s">
        <v>39</v>
      </c>
      <c r="L1089" t="s">
        <v>55</v>
      </c>
      <c r="M1089" t="s">
        <v>28</v>
      </c>
      <c r="N1089">
        <v>3.4</v>
      </c>
      <c r="O1089">
        <v>0</v>
      </c>
      <c r="P1089" t="s">
        <v>48</v>
      </c>
      <c r="Q1089" t="s">
        <v>30</v>
      </c>
      <c r="R1089" t="s">
        <v>30</v>
      </c>
      <c r="S1089">
        <v>7</v>
      </c>
      <c r="T1089" t="s">
        <v>78</v>
      </c>
      <c r="U1089" t="s">
        <v>91</v>
      </c>
      <c r="V1089" s="1">
        <v>45644</v>
      </c>
      <c r="W1089">
        <f>Table1[[#This Row],[customer_purchase count]]+1</f>
        <v>8</v>
      </c>
      <c r="X1089">
        <f>Table1[[#This Row],[customer_purchase count]]*Rules!$B$3</f>
        <v>418.35051282051285</v>
      </c>
      <c r="Y1089" t="str">
        <f>IF(Table1[[#This Row],[customer_subscription]]=1,"Subscribed","Not Subscribed")</f>
        <v>Not Subscribed</v>
      </c>
      <c r="Z1089" t="s">
        <v>194</v>
      </c>
    </row>
    <row r="1090" spans="1:26" x14ac:dyDescent="0.25">
      <c r="A1090">
        <v>1089</v>
      </c>
      <c r="B1090">
        <v>49</v>
      </c>
      <c r="C1090" t="s">
        <v>22</v>
      </c>
      <c r="D1090">
        <v>1089</v>
      </c>
      <c r="E1090" t="s">
        <v>98</v>
      </c>
      <c r="F1090" t="s">
        <v>24</v>
      </c>
      <c r="G1090">
        <v>1089</v>
      </c>
      <c r="H1090">
        <v>1505</v>
      </c>
      <c r="I1090">
        <v>21</v>
      </c>
      <c r="J1090" t="s">
        <v>63</v>
      </c>
      <c r="K1090" t="s">
        <v>47</v>
      </c>
      <c r="L1090" t="s">
        <v>51</v>
      </c>
      <c r="M1090" t="s">
        <v>28</v>
      </c>
      <c r="N1090">
        <v>2.7</v>
      </c>
      <c r="O1090">
        <v>0</v>
      </c>
      <c r="P1090" t="s">
        <v>41</v>
      </c>
      <c r="Q1090" t="s">
        <v>30</v>
      </c>
      <c r="R1090" t="s">
        <v>30</v>
      </c>
      <c r="S1090">
        <v>2</v>
      </c>
      <c r="T1090" t="s">
        <v>49</v>
      </c>
      <c r="U1090" t="s">
        <v>43</v>
      </c>
      <c r="V1090" s="1">
        <v>45298</v>
      </c>
      <c r="W1090">
        <f>Table1[[#This Row],[customer_purchase count]]+1</f>
        <v>3</v>
      </c>
      <c r="X1090">
        <f>Table1[[#This Row],[customer_purchase count]]*Rules!$B$3</f>
        <v>119.52871794871795</v>
      </c>
      <c r="Y1090" t="str">
        <f>IF(Table1[[#This Row],[customer_subscription]]=1,"Subscribed","Not Subscribed")</f>
        <v>Not Subscribed</v>
      </c>
      <c r="Z1090" t="s">
        <v>194</v>
      </c>
    </row>
    <row r="1091" spans="1:26" x14ac:dyDescent="0.25">
      <c r="A1091">
        <v>1090</v>
      </c>
      <c r="B1091">
        <v>40</v>
      </c>
      <c r="C1091" t="s">
        <v>22</v>
      </c>
      <c r="D1091">
        <v>1090</v>
      </c>
      <c r="E1091" t="s">
        <v>135</v>
      </c>
      <c r="F1091" t="s">
        <v>70</v>
      </c>
      <c r="G1091">
        <v>1090</v>
      </c>
      <c r="H1091">
        <v>1507</v>
      </c>
      <c r="I1091">
        <v>61</v>
      </c>
      <c r="J1091" t="s">
        <v>120</v>
      </c>
      <c r="K1091" t="s">
        <v>47</v>
      </c>
      <c r="L1091" t="s">
        <v>68</v>
      </c>
      <c r="M1091" t="s">
        <v>40</v>
      </c>
      <c r="N1091">
        <v>3.8</v>
      </c>
      <c r="O1091">
        <v>0</v>
      </c>
      <c r="P1091" t="s">
        <v>48</v>
      </c>
      <c r="Q1091" t="s">
        <v>30</v>
      </c>
      <c r="R1091" t="s">
        <v>30</v>
      </c>
      <c r="S1091">
        <v>33</v>
      </c>
      <c r="T1091" t="s">
        <v>49</v>
      </c>
      <c r="U1091" t="s">
        <v>79</v>
      </c>
      <c r="V1091" s="1">
        <v>45406</v>
      </c>
      <c r="W1091">
        <f>Table1[[#This Row],[customer_purchase count]]+1</f>
        <v>34</v>
      </c>
      <c r="X1091">
        <f>Table1[[#This Row],[customer_purchase count]]*Rules!$B$3</f>
        <v>1972.2238461538464</v>
      </c>
      <c r="Y1091" t="str">
        <f>IF(Table1[[#This Row],[customer_subscription]]=1,"Subscribed","Not Subscribed")</f>
        <v>Not Subscribed</v>
      </c>
    </row>
    <row r="1092" spans="1:26" x14ac:dyDescent="0.25">
      <c r="A1092">
        <v>1091</v>
      </c>
      <c r="B1092">
        <v>38</v>
      </c>
      <c r="C1092" t="s">
        <v>22</v>
      </c>
      <c r="D1092">
        <v>1091</v>
      </c>
      <c r="E1092" t="s">
        <v>122</v>
      </c>
      <c r="F1092" t="s">
        <v>70</v>
      </c>
      <c r="G1092">
        <v>1091</v>
      </c>
      <c r="H1092">
        <v>1508</v>
      </c>
      <c r="I1092">
        <v>58</v>
      </c>
      <c r="J1092" t="s">
        <v>142</v>
      </c>
      <c r="K1092" t="s">
        <v>47</v>
      </c>
      <c r="L1092" t="s">
        <v>86</v>
      </c>
      <c r="M1092" t="s">
        <v>40</v>
      </c>
      <c r="N1092">
        <v>4.2</v>
      </c>
      <c r="O1092">
        <v>0</v>
      </c>
      <c r="P1092" t="s">
        <v>77</v>
      </c>
      <c r="Q1092" t="s">
        <v>30</v>
      </c>
      <c r="R1092" t="s">
        <v>30</v>
      </c>
      <c r="S1092">
        <v>27</v>
      </c>
      <c r="T1092" t="s">
        <v>36</v>
      </c>
      <c r="U1092" t="s">
        <v>32</v>
      </c>
      <c r="V1092" s="1">
        <v>45374</v>
      </c>
      <c r="W1092">
        <f>Table1[[#This Row],[customer_purchase count]]+1</f>
        <v>28</v>
      </c>
      <c r="X1092">
        <f>Table1[[#This Row],[customer_purchase count]]*Rules!$B$3</f>
        <v>1613.6376923076923</v>
      </c>
      <c r="Y1092" t="str">
        <f>IF(Table1[[#This Row],[customer_subscription]]=1,"Subscribed","Not Subscribed")</f>
        <v>Not Subscribed</v>
      </c>
    </row>
    <row r="1093" spans="1:26" x14ac:dyDescent="0.25">
      <c r="A1093">
        <v>1092</v>
      </c>
      <c r="B1093">
        <v>44</v>
      </c>
      <c r="C1093" t="s">
        <v>22</v>
      </c>
      <c r="D1093">
        <v>1092</v>
      </c>
      <c r="E1093" t="s">
        <v>33</v>
      </c>
      <c r="F1093" t="s">
        <v>24</v>
      </c>
      <c r="G1093">
        <v>1092</v>
      </c>
      <c r="H1093">
        <v>1509</v>
      </c>
      <c r="I1093">
        <v>80</v>
      </c>
      <c r="J1093" t="s">
        <v>101</v>
      </c>
      <c r="K1093" t="s">
        <v>26</v>
      </c>
      <c r="L1093" t="s">
        <v>96</v>
      </c>
      <c r="M1093" t="s">
        <v>40</v>
      </c>
      <c r="N1093">
        <v>4.7</v>
      </c>
      <c r="O1093">
        <v>0</v>
      </c>
      <c r="P1093" t="s">
        <v>77</v>
      </c>
      <c r="Q1093" t="s">
        <v>30</v>
      </c>
      <c r="R1093" t="s">
        <v>30</v>
      </c>
      <c r="S1093">
        <v>6</v>
      </c>
      <c r="T1093" t="s">
        <v>42</v>
      </c>
      <c r="U1093" t="s">
        <v>32</v>
      </c>
      <c r="V1093" s="1">
        <v>45407</v>
      </c>
      <c r="W1093">
        <f>Table1[[#This Row],[customer_purchase count]]+1</f>
        <v>7</v>
      </c>
      <c r="X1093">
        <f>Table1[[#This Row],[customer_purchase count]]*Rules!$B$3</f>
        <v>358.58615384615388</v>
      </c>
      <c r="Y1093" t="str">
        <f>IF(Table1[[#This Row],[customer_subscription]]=1,"Subscribed","Not Subscribed")</f>
        <v>Not Subscribed</v>
      </c>
      <c r="Z1093" t="s">
        <v>194</v>
      </c>
    </row>
    <row r="1094" spans="1:26" x14ac:dyDescent="0.25">
      <c r="A1094">
        <v>1093</v>
      </c>
      <c r="B1094">
        <v>68</v>
      </c>
      <c r="C1094" t="s">
        <v>22</v>
      </c>
      <c r="D1094">
        <v>1093</v>
      </c>
      <c r="E1094" t="s">
        <v>109</v>
      </c>
      <c r="F1094" t="s">
        <v>70</v>
      </c>
      <c r="G1094">
        <v>1093</v>
      </c>
      <c r="H1094">
        <v>1510</v>
      </c>
      <c r="I1094">
        <v>50</v>
      </c>
      <c r="J1094" t="s">
        <v>150</v>
      </c>
      <c r="K1094" t="s">
        <v>26</v>
      </c>
      <c r="L1094" t="s">
        <v>139</v>
      </c>
      <c r="M1094" t="s">
        <v>40</v>
      </c>
      <c r="N1094">
        <v>4.0999999999999996</v>
      </c>
      <c r="O1094">
        <v>0</v>
      </c>
      <c r="P1094" t="s">
        <v>73</v>
      </c>
      <c r="Q1094" t="s">
        <v>30</v>
      </c>
      <c r="R1094" t="s">
        <v>30</v>
      </c>
      <c r="S1094">
        <v>20</v>
      </c>
      <c r="T1094" t="s">
        <v>31</v>
      </c>
      <c r="U1094" t="s">
        <v>61</v>
      </c>
      <c r="V1094" s="1">
        <v>45405</v>
      </c>
      <c r="W1094">
        <f>Table1[[#This Row],[customer_purchase count]]+1</f>
        <v>21</v>
      </c>
      <c r="X1094">
        <f>Table1[[#This Row],[customer_purchase count]]*Rules!$B$3</f>
        <v>1195.2871794871796</v>
      </c>
      <c r="Y1094" t="str">
        <f>IF(Table1[[#This Row],[customer_subscription]]=1,"Subscribed","Not Subscribed")</f>
        <v>Not Subscribed</v>
      </c>
    </row>
    <row r="1095" spans="1:26" x14ac:dyDescent="0.25">
      <c r="A1095">
        <v>1094</v>
      </c>
      <c r="B1095">
        <v>60</v>
      </c>
      <c r="C1095" t="s">
        <v>22</v>
      </c>
      <c r="D1095">
        <v>1094</v>
      </c>
      <c r="E1095" t="s">
        <v>53</v>
      </c>
      <c r="F1095" t="s">
        <v>45</v>
      </c>
      <c r="G1095">
        <v>1094</v>
      </c>
      <c r="H1095">
        <v>1511</v>
      </c>
      <c r="I1095">
        <v>48</v>
      </c>
      <c r="J1095" t="s">
        <v>82</v>
      </c>
      <c r="K1095" t="s">
        <v>39</v>
      </c>
      <c r="L1095" t="s">
        <v>129</v>
      </c>
      <c r="M1095" t="s">
        <v>28</v>
      </c>
      <c r="N1095">
        <v>4.2</v>
      </c>
      <c r="O1095">
        <v>0</v>
      </c>
      <c r="P1095" t="s">
        <v>73</v>
      </c>
      <c r="Q1095" t="s">
        <v>30</v>
      </c>
      <c r="R1095" t="s">
        <v>30</v>
      </c>
      <c r="S1095">
        <v>46</v>
      </c>
      <c r="T1095" t="s">
        <v>31</v>
      </c>
      <c r="U1095" t="s">
        <v>100</v>
      </c>
      <c r="V1095" s="1">
        <v>45294</v>
      </c>
      <c r="W1095">
        <f>Table1[[#This Row],[customer_purchase count]]+1</f>
        <v>47</v>
      </c>
      <c r="X1095">
        <f>Table1[[#This Row],[customer_purchase count]]*Rules!$B$3</f>
        <v>2749.1605128205128</v>
      </c>
      <c r="Y1095" t="str">
        <f>IF(Table1[[#This Row],[customer_subscription]]=1,"Subscribed","Not Subscribed")</f>
        <v>Not Subscribed</v>
      </c>
    </row>
    <row r="1096" spans="1:26" x14ac:dyDescent="0.25">
      <c r="A1096">
        <v>1095</v>
      </c>
      <c r="B1096">
        <v>25</v>
      </c>
      <c r="C1096" t="s">
        <v>22</v>
      </c>
      <c r="D1096">
        <v>1095</v>
      </c>
      <c r="E1096" t="s">
        <v>109</v>
      </c>
      <c r="F1096" t="s">
        <v>70</v>
      </c>
      <c r="G1096">
        <v>1095</v>
      </c>
      <c r="H1096">
        <v>1513</v>
      </c>
      <c r="I1096">
        <v>40</v>
      </c>
      <c r="J1096" t="s">
        <v>142</v>
      </c>
      <c r="K1096" t="s">
        <v>47</v>
      </c>
      <c r="L1096" t="s">
        <v>97</v>
      </c>
      <c r="M1096" t="s">
        <v>28</v>
      </c>
      <c r="N1096">
        <v>4.8</v>
      </c>
      <c r="O1096">
        <v>0</v>
      </c>
      <c r="P1096" t="s">
        <v>48</v>
      </c>
      <c r="Q1096" t="s">
        <v>30</v>
      </c>
      <c r="R1096" t="s">
        <v>30</v>
      </c>
      <c r="S1096">
        <v>25</v>
      </c>
      <c r="T1096" t="s">
        <v>36</v>
      </c>
      <c r="U1096" t="s">
        <v>61</v>
      </c>
      <c r="V1096" s="1">
        <v>45637</v>
      </c>
      <c r="W1096">
        <f>Table1[[#This Row],[customer_purchase count]]+1</f>
        <v>26</v>
      </c>
      <c r="X1096">
        <f>Table1[[#This Row],[customer_purchase count]]*Rules!$B$3</f>
        <v>1494.1089743589744</v>
      </c>
      <c r="Y1096" t="str">
        <f>IF(Table1[[#This Row],[customer_subscription]]=1,"Subscribed","Not Subscribed")</f>
        <v>Not Subscribed</v>
      </c>
    </row>
    <row r="1097" spans="1:26" x14ac:dyDescent="0.25">
      <c r="A1097">
        <v>1096</v>
      </c>
      <c r="B1097">
        <v>19</v>
      </c>
      <c r="C1097" t="s">
        <v>22</v>
      </c>
      <c r="D1097">
        <v>1096</v>
      </c>
      <c r="E1097" t="s">
        <v>65</v>
      </c>
      <c r="F1097" t="s">
        <v>66</v>
      </c>
      <c r="G1097">
        <v>1096</v>
      </c>
      <c r="H1097">
        <v>1514</v>
      </c>
      <c r="I1097">
        <v>34</v>
      </c>
      <c r="J1097" t="s">
        <v>125</v>
      </c>
      <c r="K1097" t="s">
        <v>39</v>
      </c>
      <c r="L1097" t="s">
        <v>103</v>
      </c>
      <c r="M1097" t="s">
        <v>56</v>
      </c>
      <c r="N1097">
        <v>3</v>
      </c>
      <c r="O1097">
        <v>0</v>
      </c>
      <c r="P1097" t="s">
        <v>41</v>
      </c>
      <c r="Q1097" t="s">
        <v>30</v>
      </c>
      <c r="R1097" t="s">
        <v>30</v>
      </c>
      <c r="S1097">
        <v>30</v>
      </c>
      <c r="T1097" t="s">
        <v>78</v>
      </c>
      <c r="U1097" t="s">
        <v>61</v>
      </c>
      <c r="V1097" s="1">
        <v>45511</v>
      </c>
      <c r="W1097">
        <f>Table1[[#This Row],[customer_purchase count]]+1</f>
        <v>31</v>
      </c>
      <c r="X1097">
        <f>Table1[[#This Row],[customer_purchase count]]*Rules!$B$3</f>
        <v>1792.9307692307693</v>
      </c>
      <c r="Y1097" t="str">
        <f>IF(Table1[[#This Row],[customer_subscription]]=1,"Subscribed","Not Subscribed")</f>
        <v>Not Subscribed</v>
      </c>
    </row>
    <row r="1098" spans="1:26" x14ac:dyDescent="0.25">
      <c r="A1098">
        <v>1097</v>
      </c>
      <c r="B1098">
        <v>57</v>
      </c>
      <c r="C1098" t="s">
        <v>22</v>
      </c>
      <c r="D1098">
        <v>1097</v>
      </c>
      <c r="E1098" t="s">
        <v>65</v>
      </c>
      <c r="F1098" t="s">
        <v>66</v>
      </c>
      <c r="G1098">
        <v>1097</v>
      </c>
      <c r="H1098">
        <v>1515</v>
      </c>
      <c r="I1098">
        <v>46</v>
      </c>
      <c r="J1098" t="s">
        <v>85</v>
      </c>
      <c r="K1098" t="s">
        <v>39</v>
      </c>
      <c r="L1098" t="s">
        <v>121</v>
      </c>
      <c r="M1098" t="s">
        <v>60</v>
      </c>
      <c r="N1098">
        <v>2.6</v>
      </c>
      <c r="O1098">
        <v>0</v>
      </c>
      <c r="P1098" t="s">
        <v>57</v>
      </c>
      <c r="Q1098" t="s">
        <v>30</v>
      </c>
      <c r="R1098" t="s">
        <v>30</v>
      </c>
      <c r="S1098">
        <v>48</v>
      </c>
      <c r="T1098" t="s">
        <v>42</v>
      </c>
      <c r="U1098" t="s">
        <v>52</v>
      </c>
      <c r="V1098" s="1">
        <v>45593</v>
      </c>
      <c r="W1098">
        <f>Table1[[#This Row],[customer_purchase count]]+1</f>
        <v>49</v>
      </c>
      <c r="X1098">
        <f>Table1[[#This Row],[customer_purchase count]]*Rules!$B$3</f>
        <v>2868.689230769231</v>
      </c>
      <c r="Y1098" t="str">
        <f>IF(Table1[[#This Row],[customer_subscription]]=1,"Subscribed","Not Subscribed")</f>
        <v>Not Subscribed</v>
      </c>
    </row>
    <row r="1099" spans="1:26" x14ac:dyDescent="0.25">
      <c r="A1099">
        <v>1098</v>
      </c>
      <c r="B1099">
        <v>58</v>
      </c>
      <c r="C1099" t="s">
        <v>22</v>
      </c>
      <c r="D1099">
        <v>1098</v>
      </c>
      <c r="E1099" t="s">
        <v>92</v>
      </c>
      <c r="F1099" t="s">
        <v>70</v>
      </c>
      <c r="G1099">
        <v>1098</v>
      </c>
      <c r="H1099">
        <v>1516</v>
      </c>
      <c r="I1099">
        <v>27</v>
      </c>
      <c r="J1099" t="s">
        <v>132</v>
      </c>
      <c r="K1099" t="s">
        <v>47</v>
      </c>
      <c r="L1099" t="s">
        <v>97</v>
      </c>
      <c r="M1099" t="s">
        <v>56</v>
      </c>
      <c r="N1099">
        <v>3.2</v>
      </c>
      <c r="O1099">
        <v>0</v>
      </c>
      <c r="P1099" t="s">
        <v>77</v>
      </c>
      <c r="Q1099" t="s">
        <v>30</v>
      </c>
      <c r="R1099" t="s">
        <v>30</v>
      </c>
      <c r="S1099">
        <v>47</v>
      </c>
      <c r="T1099" t="s">
        <v>78</v>
      </c>
      <c r="U1099" t="s">
        <v>43</v>
      </c>
      <c r="V1099" s="1">
        <v>45452</v>
      </c>
      <c r="W1099">
        <f>Table1[[#This Row],[customer_purchase count]]+1</f>
        <v>48</v>
      </c>
      <c r="X1099">
        <f>Table1[[#This Row],[customer_purchase count]]*Rules!$B$3</f>
        <v>2808.9248717948717</v>
      </c>
      <c r="Y1099" t="str">
        <f>IF(Table1[[#This Row],[customer_subscription]]=1,"Subscribed","Not Subscribed")</f>
        <v>Not Subscribed</v>
      </c>
    </row>
    <row r="1100" spans="1:26" x14ac:dyDescent="0.25">
      <c r="A1100">
        <v>1099</v>
      </c>
      <c r="B1100">
        <v>49</v>
      </c>
      <c r="C1100" t="s">
        <v>22</v>
      </c>
      <c r="D1100">
        <v>1099</v>
      </c>
      <c r="E1100" t="s">
        <v>69</v>
      </c>
      <c r="F1100" t="s">
        <v>70</v>
      </c>
      <c r="G1100">
        <v>1099</v>
      </c>
      <c r="H1100">
        <v>1517</v>
      </c>
      <c r="I1100">
        <v>98</v>
      </c>
      <c r="J1100" t="s">
        <v>138</v>
      </c>
      <c r="K1100" t="s">
        <v>39</v>
      </c>
      <c r="L1100" t="s">
        <v>51</v>
      </c>
      <c r="M1100" t="s">
        <v>40</v>
      </c>
      <c r="N1100">
        <v>3.6</v>
      </c>
      <c r="O1100">
        <v>0</v>
      </c>
      <c r="P1100" t="s">
        <v>48</v>
      </c>
      <c r="Q1100" t="s">
        <v>30</v>
      </c>
      <c r="R1100" t="s">
        <v>30</v>
      </c>
      <c r="S1100">
        <v>27</v>
      </c>
      <c r="T1100" t="s">
        <v>42</v>
      </c>
      <c r="U1100" t="s">
        <v>43</v>
      </c>
      <c r="V1100" s="1">
        <v>45423</v>
      </c>
      <c r="W1100">
        <f>Table1[[#This Row],[customer_purchase count]]+1</f>
        <v>28</v>
      </c>
      <c r="X1100">
        <f>Table1[[#This Row],[customer_purchase count]]*Rules!$B$3</f>
        <v>1613.6376923076923</v>
      </c>
      <c r="Y1100" t="str">
        <f>IF(Table1[[#This Row],[customer_subscription]]=1,"Subscribed","Not Subscribed")</f>
        <v>Not Subscribed</v>
      </c>
    </row>
    <row r="1101" spans="1:26" x14ac:dyDescent="0.25">
      <c r="A1101">
        <v>1100</v>
      </c>
      <c r="B1101">
        <v>19</v>
      </c>
      <c r="C1101" t="s">
        <v>22</v>
      </c>
      <c r="D1101">
        <v>1100</v>
      </c>
      <c r="E1101" t="s">
        <v>33</v>
      </c>
      <c r="F1101" t="s">
        <v>24</v>
      </c>
      <c r="G1101">
        <v>1100</v>
      </c>
      <c r="H1101">
        <v>1519</v>
      </c>
      <c r="I1101">
        <v>73</v>
      </c>
      <c r="J1101" t="s">
        <v>101</v>
      </c>
      <c r="K1101" t="s">
        <v>47</v>
      </c>
      <c r="L1101" t="s">
        <v>103</v>
      </c>
      <c r="M1101" t="s">
        <v>60</v>
      </c>
      <c r="N1101">
        <v>2.6</v>
      </c>
      <c r="O1101">
        <v>0</v>
      </c>
      <c r="P1101" t="s">
        <v>48</v>
      </c>
      <c r="Q1101" t="s">
        <v>30</v>
      </c>
      <c r="R1101" t="s">
        <v>30</v>
      </c>
      <c r="S1101">
        <v>45</v>
      </c>
      <c r="T1101" t="s">
        <v>78</v>
      </c>
      <c r="U1101" t="s">
        <v>32</v>
      </c>
      <c r="V1101" s="1">
        <v>45543</v>
      </c>
      <c r="W1101">
        <f>Table1[[#This Row],[customer_purchase count]]+1</f>
        <v>46</v>
      </c>
      <c r="X1101">
        <f>Table1[[#This Row],[customer_purchase count]]*Rules!$B$3</f>
        <v>2689.396153846154</v>
      </c>
      <c r="Y1101" t="str">
        <f>IF(Table1[[#This Row],[customer_subscription]]=1,"Subscribed","Not Subscribed")</f>
        <v>Not Subscribed</v>
      </c>
    </row>
    <row r="1102" spans="1:26" x14ac:dyDescent="0.25">
      <c r="A1102">
        <v>1101</v>
      </c>
      <c r="B1102">
        <v>50</v>
      </c>
      <c r="C1102" t="s">
        <v>22</v>
      </c>
      <c r="D1102">
        <v>1101</v>
      </c>
      <c r="E1102" t="s">
        <v>98</v>
      </c>
      <c r="F1102" t="s">
        <v>24</v>
      </c>
      <c r="G1102">
        <v>1101</v>
      </c>
      <c r="H1102">
        <v>1520</v>
      </c>
      <c r="I1102">
        <v>28</v>
      </c>
      <c r="J1102" t="s">
        <v>110</v>
      </c>
      <c r="K1102" t="s">
        <v>26</v>
      </c>
      <c r="L1102" t="s">
        <v>83</v>
      </c>
      <c r="M1102" t="s">
        <v>40</v>
      </c>
      <c r="N1102">
        <v>4.4000000000000004</v>
      </c>
      <c r="O1102">
        <v>0</v>
      </c>
      <c r="P1102" t="s">
        <v>29</v>
      </c>
      <c r="Q1102" t="s">
        <v>30</v>
      </c>
      <c r="R1102" t="s">
        <v>30</v>
      </c>
      <c r="S1102">
        <v>2</v>
      </c>
      <c r="T1102" t="s">
        <v>42</v>
      </c>
      <c r="U1102" t="s">
        <v>43</v>
      </c>
      <c r="V1102" s="1">
        <v>45405</v>
      </c>
      <c r="W1102">
        <f>Table1[[#This Row],[customer_purchase count]]+1</f>
        <v>3</v>
      </c>
      <c r="X1102">
        <f>Table1[[#This Row],[customer_purchase count]]*Rules!$B$3</f>
        <v>119.52871794871795</v>
      </c>
      <c r="Y1102" t="str">
        <f>IF(Table1[[#This Row],[customer_subscription]]=1,"Subscribed","Not Subscribed")</f>
        <v>Not Subscribed</v>
      </c>
      <c r="Z1102" t="s">
        <v>194</v>
      </c>
    </row>
    <row r="1103" spans="1:26" x14ac:dyDescent="0.25">
      <c r="A1103">
        <v>1102</v>
      </c>
      <c r="B1103">
        <v>30</v>
      </c>
      <c r="C1103" t="s">
        <v>22</v>
      </c>
      <c r="D1103">
        <v>1102</v>
      </c>
      <c r="E1103" t="s">
        <v>146</v>
      </c>
      <c r="F1103" t="s">
        <v>70</v>
      </c>
      <c r="G1103">
        <v>1102</v>
      </c>
      <c r="H1103">
        <v>1521</v>
      </c>
      <c r="I1103">
        <v>76</v>
      </c>
      <c r="J1103" t="s">
        <v>82</v>
      </c>
      <c r="K1103" t="s">
        <v>95</v>
      </c>
      <c r="L1103" t="s">
        <v>68</v>
      </c>
      <c r="M1103" t="s">
        <v>60</v>
      </c>
      <c r="N1103">
        <v>3</v>
      </c>
      <c r="O1103">
        <v>0</v>
      </c>
      <c r="P1103" t="s">
        <v>41</v>
      </c>
      <c r="Q1103" t="s">
        <v>30</v>
      </c>
      <c r="R1103" t="s">
        <v>30</v>
      </c>
      <c r="S1103">
        <v>39</v>
      </c>
      <c r="T1103" t="s">
        <v>36</v>
      </c>
      <c r="U1103" t="s">
        <v>32</v>
      </c>
      <c r="V1103" s="1">
        <v>45609</v>
      </c>
      <c r="W1103">
        <f>Table1[[#This Row],[customer_purchase count]]+1</f>
        <v>40</v>
      </c>
      <c r="X1103">
        <f>Table1[[#This Row],[customer_purchase count]]*Rules!$B$3</f>
        <v>2330.81</v>
      </c>
      <c r="Y1103" t="str">
        <f>IF(Table1[[#This Row],[customer_subscription]]=1,"Subscribed","Not Subscribed")</f>
        <v>Not Subscribed</v>
      </c>
    </row>
    <row r="1104" spans="1:26" x14ac:dyDescent="0.25">
      <c r="A1104">
        <v>1103</v>
      </c>
      <c r="B1104">
        <v>52</v>
      </c>
      <c r="C1104" t="s">
        <v>22</v>
      </c>
      <c r="D1104">
        <v>1103</v>
      </c>
      <c r="E1104" t="s">
        <v>33</v>
      </c>
      <c r="F1104" t="s">
        <v>24</v>
      </c>
      <c r="G1104">
        <v>1103</v>
      </c>
      <c r="H1104">
        <v>1522</v>
      </c>
      <c r="I1104">
        <v>83</v>
      </c>
      <c r="J1104" t="s">
        <v>108</v>
      </c>
      <c r="K1104" t="s">
        <v>47</v>
      </c>
      <c r="L1104" t="s">
        <v>103</v>
      </c>
      <c r="M1104" t="s">
        <v>60</v>
      </c>
      <c r="N1104">
        <v>2.9</v>
      </c>
      <c r="O1104">
        <v>0</v>
      </c>
      <c r="P1104" t="s">
        <v>29</v>
      </c>
      <c r="Q1104" t="s">
        <v>30</v>
      </c>
      <c r="R1104" t="s">
        <v>30</v>
      </c>
      <c r="S1104">
        <v>24</v>
      </c>
      <c r="T1104" t="s">
        <v>36</v>
      </c>
      <c r="U1104" t="s">
        <v>32</v>
      </c>
      <c r="V1104" s="1">
        <v>45556</v>
      </c>
      <c r="W1104">
        <f>Table1[[#This Row],[customer_purchase count]]+1</f>
        <v>25</v>
      </c>
      <c r="X1104">
        <f>Table1[[#This Row],[customer_purchase count]]*Rules!$B$3</f>
        <v>1434.3446153846155</v>
      </c>
      <c r="Y1104" t="str">
        <f>IF(Table1[[#This Row],[customer_subscription]]=1,"Subscribed","Not Subscribed")</f>
        <v>Not Subscribed</v>
      </c>
    </row>
    <row r="1105" spans="1:26" x14ac:dyDescent="0.25">
      <c r="A1105">
        <v>1104</v>
      </c>
      <c r="B1105">
        <v>35</v>
      </c>
      <c r="C1105" t="s">
        <v>22</v>
      </c>
      <c r="D1105">
        <v>1104</v>
      </c>
      <c r="E1105" t="s">
        <v>107</v>
      </c>
      <c r="F1105" t="s">
        <v>24</v>
      </c>
      <c r="G1105">
        <v>1104</v>
      </c>
      <c r="H1105">
        <v>1523</v>
      </c>
      <c r="I1105">
        <v>23</v>
      </c>
      <c r="J1105" t="s">
        <v>125</v>
      </c>
      <c r="K1105" t="s">
        <v>39</v>
      </c>
      <c r="L1105" t="s">
        <v>64</v>
      </c>
      <c r="M1105" t="s">
        <v>40</v>
      </c>
      <c r="N1105">
        <v>4.3</v>
      </c>
      <c r="O1105">
        <v>0</v>
      </c>
      <c r="P1105" t="s">
        <v>41</v>
      </c>
      <c r="Q1105" t="s">
        <v>30</v>
      </c>
      <c r="R1105" t="s">
        <v>30</v>
      </c>
      <c r="S1105">
        <v>8</v>
      </c>
      <c r="T1105" t="s">
        <v>89</v>
      </c>
      <c r="U1105" t="s">
        <v>79</v>
      </c>
      <c r="V1105" s="1">
        <v>45394</v>
      </c>
      <c r="W1105">
        <f>Table1[[#This Row],[customer_purchase count]]+1</f>
        <v>9</v>
      </c>
      <c r="X1105">
        <f>Table1[[#This Row],[customer_purchase count]]*Rules!$B$3</f>
        <v>478.11487179487182</v>
      </c>
      <c r="Y1105" t="str">
        <f>IF(Table1[[#This Row],[customer_subscription]]=1,"Subscribed","Not Subscribed")</f>
        <v>Not Subscribed</v>
      </c>
      <c r="Z1105" t="s">
        <v>194</v>
      </c>
    </row>
    <row r="1106" spans="1:26" x14ac:dyDescent="0.25">
      <c r="A1106">
        <v>1105</v>
      </c>
      <c r="B1106">
        <v>35</v>
      </c>
      <c r="C1106" t="s">
        <v>22</v>
      </c>
      <c r="D1106">
        <v>1105</v>
      </c>
      <c r="E1106" t="s">
        <v>127</v>
      </c>
      <c r="F1106" t="s">
        <v>70</v>
      </c>
      <c r="G1106">
        <v>1105</v>
      </c>
      <c r="H1106">
        <v>1525</v>
      </c>
      <c r="I1106">
        <v>28</v>
      </c>
      <c r="J1106" t="s">
        <v>82</v>
      </c>
      <c r="K1106" t="s">
        <v>47</v>
      </c>
      <c r="L1106" t="s">
        <v>121</v>
      </c>
      <c r="M1106" t="s">
        <v>60</v>
      </c>
      <c r="N1106">
        <v>3.1</v>
      </c>
      <c r="O1106">
        <v>0</v>
      </c>
      <c r="P1106" t="s">
        <v>29</v>
      </c>
      <c r="Q1106" t="s">
        <v>30</v>
      </c>
      <c r="R1106" t="s">
        <v>30</v>
      </c>
      <c r="S1106">
        <v>8</v>
      </c>
      <c r="T1106" t="s">
        <v>78</v>
      </c>
      <c r="U1106" t="s">
        <v>61</v>
      </c>
      <c r="V1106" s="1">
        <v>45563</v>
      </c>
      <c r="W1106">
        <f>Table1[[#This Row],[customer_purchase count]]+1</f>
        <v>9</v>
      </c>
      <c r="X1106">
        <f>Table1[[#This Row],[customer_purchase count]]*Rules!$B$3</f>
        <v>478.11487179487182</v>
      </c>
      <c r="Y1106" t="str">
        <f>IF(Table1[[#This Row],[customer_subscription]]=1,"Subscribed","Not Subscribed")</f>
        <v>Not Subscribed</v>
      </c>
      <c r="Z1106" t="s">
        <v>194</v>
      </c>
    </row>
    <row r="1107" spans="1:26" x14ac:dyDescent="0.25">
      <c r="A1107">
        <v>1106</v>
      </c>
      <c r="B1107">
        <v>33</v>
      </c>
      <c r="C1107" t="s">
        <v>22</v>
      </c>
      <c r="D1107">
        <v>1106</v>
      </c>
      <c r="E1107" t="s">
        <v>116</v>
      </c>
      <c r="F1107" t="s">
        <v>24</v>
      </c>
      <c r="G1107">
        <v>1106</v>
      </c>
      <c r="H1107">
        <v>1526</v>
      </c>
      <c r="I1107">
        <v>83</v>
      </c>
      <c r="J1107" t="s">
        <v>38</v>
      </c>
      <c r="K1107" t="s">
        <v>39</v>
      </c>
      <c r="L1107" t="s">
        <v>81</v>
      </c>
      <c r="M1107" t="s">
        <v>40</v>
      </c>
      <c r="N1107">
        <v>3</v>
      </c>
      <c r="O1107">
        <v>0</v>
      </c>
      <c r="P1107" t="s">
        <v>48</v>
      </c>
      <c r="Q1107" t="s">
        <v>30</v>
      </c>
      <c r="R1107" t="s">
        <v>30</v>
      </c>
      <c r="S1107">
        <v>6</v>
      </c>
      <c r="T1107" t="s">
        <v>31</v>
      </c>
      <c r="U1107" t="s">
        <v>100</v>
      </c>
      <c r="V1107" s="1">
        <v>45433</v>
      </c>
      <c r="W1107">
        <f>Table1[[#This Row],[customer_purchase count]]+1</f>
        <v>7</v>
      </c>
      <c r="X1107">
        <f>Table1[[#This Row],[customer_purchase count]]*Rules!$B$3</f>
        <v>358.58615384615388</v>
      </c>
      <c r="Y1107" t="str">
        <f>IF(Table1[[#This Row],[customer_subscription]]=1,"Subscribed","Not Subscribed")</f>
        <v>Not Subscribed</v>
      </c>
      <c r="Z1107" t="s">
        <v>194</v>
      </c>
    </row>
    <row r="1108" spans="1:26" x14ac:dyDescent="0.25">
      <c r="A1108">
        <v>1107</v>
      </c>
      <c r="B1108">
        <v>52</v>
      </c>
      <c r="C1108" t="s">
        <v>22</v>
      </c>
      <c r="D1108">
        <v>1107</v>
      </c>
      <c r="E1108" t="s">
        <v>90</v>
      </c>
      <c r="F1108" t="s">
        <v>24</v>
      </c>
      <c r="G1108">
        <v>1107</v>
      </c>
      <c r="H1108">
        <v>1527</v>
      </c>
      <c r="I1108">
        <v>96</v>
      </c>
      <c r="J1108" t="s">
        <v>151</v>
      </c>
      <c r="K1108" t="s">
        <v>26</v>
      </c>
      <c r="L1108" t="s">
        <v>86</v>
      </c>
      <c r="M1108" t="s">
        <v>28</v>
      </c>
      <c r="N1108">
        <v>3.6</v>
      </c>
      <c r="O1108">
        <v>0</v>
      </c>
      <c r="P1108" t="s">
        <v>77</v>
      </c>
      <c r="Q1108" t="s">
        <v>30</v>
      </c>
      <c r="R1108" t="s">
        <v>30</v>
      </c>
      <c r="S1108">
        <v>12</v>
      </c>
      <c r="T1108" t="s">
        <v>31</v>
      </c>
      <c r="U1108" t="s">
        <v>32</v>
      </c>
      <c r="V1108" s="1">
        <v>45304</v>
      </c>
      <c r="W1108">
        <f>Table1[[#This Row],[customer_purchase count]]+1</f>
        <v>13</v>
      </c>
      <c r="X1108">
        <f>Table1[[#This Row],[customer_purchase count]]*Rules!$B$3</f>
        <v>717.17230769230775</v>
      </c>
      <c r="Y1108" t="str">
        <f>IF(Table1[[#This Row],[customer_subscription]]=1,"Subscribed","Not Subscribed")</f>
        <v>Not Subscribed</v>
      </c>
      <c r="Z1108" t="s">
        <v>194</v>
      </c>
    </row>
    <row r="1109" spans="1:26" x14ac:dyDescent="0.25">
      <c r="A1109">
        <v>1108</v>
      </c>
      <c r="B1109">
        <v>69</v>
      </c>
      <c r="C1109" t="s">
        <v>22</v>
      </c>
      <c r="D1109">
        <v>1108</v>
      </c>
      <c r="E1109" t="s">
        <v>53</v>
      </c>
      <c r="F1109" t="s">
        <v>45</v>
      </c>
      <c r="G1109">
        <v>1108</v>
      </c>
      <c r="H1109">
        <v>1528</v>
      </c>
      <c r="I1109">
        <v>62</v>
      </c>
      <c r="J1109" t="s">
        <v>108</v>
      </c>
      <c r="K1109" t="s">
        <v>47</v>
      </c>
      <c r="L1109" t="s">
        <v>103</v>
      </c>
      <c r="M1109" t="s">
        <v>60</v>
      </c>
      <c r="N1109">
        <v>2.8</v>
      </c>
      <c r="O1109">
        <v>0</v>
      </c>
      <c r="P1109" t="s">
        <v>77</v>
      </c>
      <c r="Q1109" t="s">
        <v>30</v>
      </c>
      <c r="R1109" t="s">
        <v>30</v>
      </c>
      <c r="S1109">
        <v>26</v>
      </c>
      <c r="T1109" t="s">
        <v>78</v>
      </c>
      <c r="U1109" t="s">
        <v>43</v>
      </c>
      <c r="V1109" s="1">
        <v>45570</v>
      </c>
      <c r="W1109">
        <f>Table1[[#This Row],[customer_purchase count]]+1</f>
        <v>27</v>
      </c>
      <c r="X1109">
        <f>Table1[[#This Row],[customer_purchase count]]*Rules!$B$3</f>
        <v>1553.8733333333334</v>
      </c>
      <c r="Y1109" t="str">
        <f>IF(Table1[[#This Row],[customer_subscription]]=1,"Subscribed","Not Subscribed")</f>
        <v>Not Subscribed</v>
      </c>
    </row>
    <row r="1110" spans="1:26" x14ac:dyDescent="0.25">
      <c r="A1110">
        <v>1109</v>
      </c>
      <c r="B1110">
        <v>27</v>
      </c>
      <c r="C1110" t="s">
        <v>22</v>
      </c>
      <c r="D1110">
        <v>1109</v>
      </c>
      <c r="E1110" t="s">
        <v>62</v>
      </c>
      <c r="F1110" t="s">
        <v>24</v>
      </c>
      <c r="G1110">
        <v>1109</v>
      </c>
      <c r="H1110">
        <v>1529</v>
      </c>
      <c r="I1110">
        <v>25</v>
      </c>
      <c r="J1110" t="s">
        <v>148</v>
      </c>
      <c r="K1110" t="s">
        <v>47</v>
      </c>
      <c r="L1110" t="s">
        <v>88</v>
      </c>
      <c r="M1110" t="s">
        <v>60</v>
      </c>
      <c r="N1110">
        <v>2.8</v>
      </c>
      <c r="O1110">
        <v>0</v>
      </c>
      <c r="P1110" t="s">
        <v>57</v>
      </c>
      <c r="Q1110" t="s">
        <v>30</v>
      </c>
      <c r="R1110" t="s">
        <v>30</v>
      </c>
      <c r="S1110">
        <v>50</v>
      </c>
      <c r="T1110" t="s">
        <v>36</v>
      </c>
      <c r="U1110" t="s">
        <v>32</v>
      </c>
      <c r="V1110" s="1">
        <v>45623</v>
      </c>
      <c r="W1110">
        <f>Table1[[#This Row],[customer_purchase count]]+1</f>
        <v>51</v>
      </c>
      <c r="X1110">
        <f>Table1[[#This Row],[customer_purchase count]]*Rules!$B$3</f>
        <v>2988.2179487179487</v>
      </c>
      <c r="Y1110" t="str">
        <f>IF(Table1[[#This Row],[customer_subscription]]=1,"Subscribed","Not Subscribed")</f>
        <v>Not Subscribed</v>
      </c>
    </row>
    <row r="1111" spans="1:26" x14ac:dyDescent="0.25">
      <c r="A1111">
        <v>1110</v>
      </c>
      <c r="B1111">
        <v>66</v>
      </c>
      <c r="C1111" t="s">
        <v>22</v>
      </c>
      <c r="D1111">
        <v>1110</v>
      </c>
      <c r="E1111" t="s">
        <v>107</v>
      </c>
      <c r="F1111" t="s">
        <v>24</v>
      </c>
      <c r="G1111">
        <v>1110</v>
      </c>
      <c r="H1111">
        <v>1531</v>
      </c>
      <c r="I1111">
        <v>97</v>
      </c>
      <c r="J1111" t="s">
        <v>104</v>
      </c>
      <c r="K1111" t="s">
        <v>26</v>
      </c>
      <c r="L1111" t="s">
        <v>86</v>
      </c>
      <c r="M1111" t="s">
        <v>28</v>
      </c>
      <c r="N1111">
        <v>4.9000000000000004</v>
      </c>
      <c r="O1111">
        <v>0</v>
      </c>
      <c r="P1111" t="s">
        <v>48</v>
      </c>
      <c r="Q1111" t="s">
        <v>30</v>
      </c>
      <c r="R1111" t="s">
        <v>30</v>
      </c>
      <c r="S1111">
        <v>2</v>
      </c>
      <c r="T1111" t="s">
        <v>31</v>
      </c>
      <c r="U1111" t="s">
        <v>43</v>
      </c>
      <c r="V1111" s="1">
        <v>45348</v>
      </c>
      <c r="W1111">
        <f>Table1[[#This Row],[customer_purchase count]]+1</f>
        <v>3</v>
      </c>
      <c r="X1111">
        <f>Table1[[#This Row],[customer_purchase count]]*Rules!$B$3</f>
        <v>119.52871794871795</v>
      </c>
      <c r="Y1111" t="str">
        <f>IF(Table1[[#This Row],[customer_subscription]]=1,"Subscribed","Not Subscribed")</f>
        <v>Not Subscribed</v>
      </c>
      <c r="Z1111" t="s">
        <v>194</v>
      </c>
    </row>
    <row r="1112" spans="1:26" x14ac:dyDescent="0.25">
      <c r="A1112">
        <v>1111</v>
      </c>
      <c r="B1112">
        <v>28</v>
      </c>
      <c r="C1112" t="s">
        <v>22</v>
      </c>
      <c r="D1112">
        <v>1111</v>
      </c>
      <c r="E1112" t="s">
        <v>107</v>
      </c>
      <c r="F1112" t="s">
        <v>24</v>
      </c>
      <c r="G1112">
        <v>1111</v>
      </c>
      <c r="H1112">
        <v>1532</v>
      </c>
      <c r="I1112">
        <v>61</v>
      </c>
      <c r="J1112" t="s">
        <v>108</v>
      </c>
      <c r="K1112" t="s">
        <v>26</v>
      </c>
      <c r="L1112" t="s">
        <v>112</v>
      </c>
      <c r="M1112" t="s">
        <v>60</v>
      </c>
      <c r="N1112">
        <v>3</v>
      </c>
      <c r="O1112">
        <v>0</v>
      </c>
      <c r="P1112" t="s">
        <v>57</v>
      </c>
      <c r="Q1112" t="s">
        <v>30</v>
      </c>
      <c r="R1112" t="s">
        <v>30</v>
      </c>
      <c r="S1112">
        <v>31</v>
      </c>
      <c r="T1112" t="s">
        <v>36</v>
      </c>
      <c r="U1112" t="s">
        <v>79</v>
      </c>
      <c r="V1112" s="1">
        <v>45540</v>
      </c>
      <c r="W1112">
        <f>Table1[[#This Row],[customer_purchase count]]+1</f>
        <v>32</v>
      </c>
      <c r="X1112">
        <f>Table1[[#This Row],[customer_purchase count]]*Rules!$B$3</f>
        <v>1852.6951282051282</v>
      </c>
      <c r="Y1112" t="str">
        <f>IF(Table1[[#This Row],[customer_subscription]]=1,"Subscribed","Not Subscribed")</f>
        <v>Not Subscribed</v>
      </c>
    </row>
    <row r="1113" spans="1:26" x14ac:dyDescent="0.25">
      <c r="A1113">
        <v>1112</v>
      </c>
      <c r="B1113">
        <v>22</v>
      </c>
      <c r="C1113" t="s">
        <v>22</v>
      </c>
      <c r="D1113">
        <v>1112</v>
      </c>
      <c r="E1113" t="s">
        <v>74</v>
      </c>
      <c r="F1113" t="s">
        <v>45</v>
      </c>
      <c r="G1113">
        <v>1112</v>
      </c>
      <c r="H1113">
        <v>1533</v>
      </c>
      <c r="I1113">
        <v>66</v>
      </c>
      <c r="J1113" t="s">
        <v>87</v>
      </c>
      <c r="K1113" t="s">
        <v>39</v>
      </c>
      <c r="L1113" t="s">
        <v>81</v>
      </c>
      <c r="M1113" t="s">
        <v>56</v>
      </c>
      <c r="N1113">
        <v>4.0999999999999996</v>
      </c>
      <c r="O1113">
        <v>0</v>
      </c>
      <c r="P1113" t="s">
        <v>48</v>
      </c>
      <c r="Q1113" t="s">
        <v>30</v>
      </c>
      <c r="R1113" t="s">
        <v>30</v>
      </c>
      <c r="S1113">
        <v>4</v>
      </c>
      <c r="T1113" t="s">
        <v>42</v>
      </c>
      <c r="U1113" t="s">
        <v>79</v>
      </c>
      <c r="V1113" s="1">
        <v>45491</v>
      </c>
      <c r="W1113">
        <f>Table1[[#This Row],[customer_purchase count]]+1</f>
        <v>5</v>
      </c>
      <c r="X1113">
        <f>Table1[[#This Row],[customer_purchase count]]*Rules!$B$3</f>
        <v>239.05743589743591</v>
      </c>
      <c r="Y1113" t="str">
        <f>IF(Table1[[#This Row],[customer_subscription]]=1,"Subscribed","Not Subscribed")</f>
        <v>Not Subscribed</v>
      </c>
      <c r="Z1113" t="s">
        <v>194</v>
      </c>
    </row>
    <row r="1114" spans="1:26" x14ac:dyDescent="0.25">
      <c r="A1114">
        <v>1113</v>
      </c>
      <c r="B1114">
        <v>69</v>
      </c>
      <c r="C1114" t="s">
        <v>22</v>
      </c>
      <c r="D1114">
        <v>1113</v>
      </c>
      <c r="E1114" t="s">
        <v>107</v>
      </c>
      <c r="F1114" t="s">
        <v>24</v>
      </c>
      <c r="G1114">
        <v>1113</v>
      </c>
      <c r="H1114">
        <v>1534</v>
      </c>
      <c r="I1114">
        <v>67</v>
      </c>
      <c r="J1114" t="s">
        <v>152</v>
      </c>
      <c r="K1114" t="s">
        <v>95</v>
      </c>
      <c r="L1114" t="s">
        <v>72</v>
      </c>
      <c r="M1114" t="s">
        <v>40</v>
      </c>
      <c r="N1114">
        <v>4.5999999999999996</v>
      </c>
      <c r="O1114">
        <v>0</v>
      </c>
      <c r="P1114" t="s">
        <v>41</v>
      </c>
      <c r="Q1114" t="s">
        <v>30</v>
      </c>
      <c r="R1114" t="s">
        <v>30</v>
      </c>
      <c r="S1114">
        <v>32</v>
      </c>
      <c r="T1114" t="s">
        <v>49</v>
      </c>
      <c r="U1114" t="s">
        <v>61</v>
      </c>
      <c r="V1114" s="1">
        <v>45375</v>
      </c>
      <c r="W1114">
        <f>Table1[[#This Row],[customer_purchase count]]+1</f>
        <v>33</v>
      </c>
      <c r="X1114">
        <f>Table1[[#This Row],[customer_purchase count]]*Rules!$B$3</f>
        <v>1912.4594871794873</v>
      </c>
      <c r="Y1114" t="str">
        <f>IF(Table1[[#This Row],[customer_subscription]]=1,"Subscribed","Not Subscribed")</f>
        <v>Not Subscribed</v>
      </c>
    </row>
    <row r="1115" spans="1:26" x14ac:dyDescent="0.25">
      <c r="A1115">
        <v>1114</v>
      </c>
      <c r="B1115">
        <v>28</v>
      </c>
      <c r="C1115" t="s">
        <v>22</v>
      </c>
      <c r="D1115">
        <v>1114</v>
      </c>
      <c r="E1115" t="s">
        <v>92</v>
      </c>
      <c r="F1115" t="s">
        <v>70</v>
      </c>
      <c r="G1115">
        <v>1114</v>
      </c>
      <c r="H1115">
        <v>1535</v>
      </c>
      <c r="I1115">
        <v>80</v>
      </c>
      <c r="J1115" t="s">
        <v>131</v>
      </c>
      <c r="K1115" t="s">
        <v>47</v>
      </c>
      <c r="L1115" t="s">
        <v>76</v>
      </c>
      <c r="M1115" t="s">
        <v>56</v>
      </c>
      <c r="N1115">
        <v>4.8</v>
      </c>
      <c r="O1115">
        <v>0</v>
      </c>
      <c r="P1115" t="s">
        <v>48</v>
      </c>
      <c r="Q1115" t="s">
        <v>30</v>
      </c>
      <c r="R1115" t="s">
        <v>30</v>
      </c>
      <c r="S1115">
        <v>11</v>
      </c>
      <c r="T1115" t="s">
        <v>49</v>
      </c>
      <c r="U1115" t="s">
        <v>79</v>
      </c>
      <c r="V1115" s="1">
        <v>45454</v>
      </c>
      <c r="W1115">
        <f>Table1[[#This Row],[customer_purchase count]]+1</f>
        <v>12</v>
      </c>
      <c r="X1115">
        <f>Table1[[#This Row],[customer_purchase count]]*Rules!$B$3</f>
        <v>657.40794871794878</v>
      </c>
      <c r="Y1115" t="str">
        <f>IF(Table1[[#This Row],[customer_subscription]]=1,"Subscribed","Not Subscribed")</f>
        <v>Not Subscribed</v>
      </c>
      <c r="Z1115" t="s">
        <v>187</v>
      </c>
    </row>
    <row r="1116" spans="1:26" x14ac:dyDescent="0.25">
      <c r="A1116">
        <v>1115</v>
      </c>
      <c r="B1116">
        <v>55</v>
      </c>
      <c r="C1116" t="s">
        <v>22</v>
      </c>
      <c r="D1116">
        <v>1115</v>
      </c>
      <c r="E1116" t="s">
        <v>90</v>
      </c>
      <c r="F1116" t="s">
        <v>24</v>
      </c>
      <c r="G1116">
        <v>1115</v>
      </c>
      <c r="H1116">
        <v>1537</v>
      </c>
      <c r="I1116">
        <v>25</v>
      </c>
      <c r="J1116" t="s">
        <v>85</v>
      </c>
      <c r="K1116" t="s">
        <v>26</v>
      </c>
      <c r="L1116" t="s">
        <v>86</v>
      </c>
      <c r="M1116" t="s">
        <v>60</v>
      </c>
      <c r="N1116">
        <v>2.6</v>
      </c>
      <c r="O1116">
        <v>0</v>
      </c>
      <c r="P1116" t="s">
        <v>48</v>
      </c>
      <c r="Q1116" t="s">
        <v>30</v>
      </c>
      <c r="R1116" t="s">
        <v>30</v>
      </c>
      <c r="S1116">
        <v>47</v>
      </c>
      <c r="T1116" t="s">
        <v>78</v>
      </c>
      <c r="U1116" t="s">
        <v>100</v>
      </c>
      <c r="V1116" s="1">
        <v>45545</v>
      </c>
      <c r="W1116">
        <f>Table1[[#This Row],[customer_purchase count]]+1</f>
        <v>48</v>
      </c>
      <c r="X1116">
        <f>Table1[[#This Row],[customer_purchase count]]*Rules!$B$3</f>
        <v>2808.9248717948717</v>
      </c>
      <c r="Y1116" t="str">
        <f>IF(Table1[[#This Row],[customer_subscription]]=1,"Subscribed","Not Subscribed")</f>
        <v>Not Subscribed</v>
      </c>
    </row>
    <row r="1117" spans="1:26" x14ac:dyDescent="0.25">
      <c r="A1117">
        <v>1116</v>
      </c>
      <c r="B1117">
        <v>30</v>
      </c>
      <c r="C1117" t="s">
        <v>22</v>
      </c>
      <c r="D1117">
        <v>1116</v>
      </c>
      <c r="E1117" t="s">
        <v>127</v>
      </c>
      <c r="F1117" t="s">
        <v>70</v>
      </c>
      <c r="G1117">
        <v>1116</v>
      </c>
      <c r="H1117">
        <v>1538</v>
      </c>
      <c r="I1117">
        <v>58</v>
      </c>
      <c r="J1117" t="s">
        <v>87</v>
      </c>
      <c r="K1117" t="s">
        <v>39</v>
      </c>
      <c r="L1117" t="s">
        <v>103</v>
      </c>
      <c r="M1117" t="s">
        <v>60</v>
      </c>
      <c r="N1117">
        <v>4</v>
      </c>
      <c r="O1117">
        <v>0</v>
      </c>
      <c r="P1117" t="s">
        <v>73</v>
      </c>
      <c r="Q1117" t="s">
        <v>30</v>
      </c>
      <c r="R1117" t="s">
        <v>30</v>
      </c>
      <c r="S1117">
        <v>37</v>
      </c>
      <c r="T1117" t="s">
        <v>36</v>
      </c>
      <c r="U1117" t="s">
        <v>43</v>
      </c>
      <c r="V1117" s="1">
        <v>45603</v>
      </c>
      <c r="W1117">
        <f>Table1[[#This Row],[customer_purchase count]]+1</f>
        <v>38</v>
      </c>
      <c r="X1117">
        <f>Table1[[#This Row],[customer_purchase count]]*Rules!$B$3</f>
        <v>2211.2812820512822</v>
      </c>
      <c r="Y1117" t="str">
        <f>IF(Table1[[#This Row],[customer_subscription]]=1,"Subscribed","Not Subscribed")</f>
        <v>Not Subscribed</v>
      </c>
    </row>
    <row r="1118" spans="1:26" x14ac:dyDescent="0.25">
      <c r="A1118">
        <v>1117</v>
      </c>
      <c r="B1118">
        <v>67</v>
      </c>
      <c r="C1118" t="s">
        <v>22</v>
      </c>
      <c r="D1118">
        <v>1117</v>
      </c>
      <c r="E1118" t="s">
        <v>135</v>
      </c>
      <c r="F1118" t="s">
        <v>70</v>
      </c>
      <c r="G1118">
        <v>1117</v>
      </c>
      <c r="H1118">
        <v>1539</v>
      </c>
      <c r="I1118">
        <v>96</v>
      </c>
      <c r="J1118" t="s">
        <v>80</v>
      </c>
      <c r="K1118" t="s">
        <v>47</v>
      </c>
      <c r="L1118" t="s">
        <v>64</v>
      </c>
      <c r="M1118" t="s">
        <v>28</v>
      </c>
      <c r="N1118">
        <v>4.2</v>
      </c>
      <c r="O1118">
        <v>0</v>
      </c>
      <c r="P1118" t="s">
        <v>29</v>
      </c>
      <c r="Q1118" t="s">
        <v>30</v>
      </c>
      <c r="R1118" t="s">
        <v>30</v>
      </c>
      <c r="S1118">
        <v>39</v>
      </c>
      <c r="T1118" t="s">
        <v>49</v>
      </c>
      <c r="U1118" t="s">
        <v>32</v>
      </c>
      <c r="V1118" s="1">
        <v>45649</v>
      </c>
      <c r="W1118">
        <f>Table1[[#This Row],[customer_purchase count]]+1</f>
        <v>40</v>
      </c>
      <c r="X1118">
        <f>Table1[[#This Row],[customer_purchase count]]*Rules!$B$3</f>
        <v>2330.81</v>
      </c>
      <c r="Y1118" t="str">
        <f>IF(Table1[[#This Row],[customer_subscription]]=1,"Subscribed","Not Subscribed")</f>
        <v>Not Subscribed</v>
      </c>
    </row>
    <row r="1119" spans="1:26" x14ac:dyDescent="0.25">
      <c r="A1119">
        <v>1118</v>
      </c>
      <c r="B1119">
        <v>25</v>
      </c>
      <c r="C1119" t="s">
        <v>22</v>
      </c>
      <c r="D1119">
        <v>1118</v>
      </c>
      <c r="E1119" t="s">
        <v>92</v>
      </c>
      <c r="F1119" t="s">
        <v>70</v>
      </c>
      <c r="G1119">
        <v>1118</v>
      </c>
      <c r="H1119">
        <v>1540</v>
      </c>
      <c r="I1119">
        <v>77</v>
      </c>
      <c r="J1119" t="s">
        <v>102</v>
      </c>
      <c r="K1119" t="s">
        <v>26</v>
      </c>
      <c r="L1119" t="s">
        <v>96</v>
      </c>
      <c r="M1119" t="s">
        <v>40</v>
      </c>
      <c r="N1119">
        <v>4.5</v>
      </c>
      <c r="O1119">
        <v>0</v>
      </c>
      <c r="P1119" t="s">
        <v>77</v>
      </c>
      <c r="Q1119" t="s">
        <v>30</v>
      </c>
      <c r="R1119" t="s">
        <v>30</v>
      </c>
      <c r="S1119">
        <v>24</v>
      </c>
      <c r="T1119" t="s">
        <v>42</v>
      </c>
      <c r="U1119" t="s">
        <v>91</v>
      </c>
      <c r="V1119" s="1">
        <v>45406</v>
      </c>
      <c r="W1119">
        <f>Table1[[#This Row],[customer_purchase count]]+1</f>
        <v>25</v>
      </c>
      <c r="X1119">
        <f>Table1[[#This Row],[customer_purchase count]]*Rules!$B$3</f>
        <v>1434.3446153846155</v>
      </c>
      <c r="Y1119" t="str">
        <f>IF(Table1[[#This Row],[customer_subscription]]=1,"Subscribed","Not Subscribed")</f>
        <v>Not Subscribed</v>
      </c>
    </row>
    <row r="1120" spans="1:26" x14ac:dyDescent="0.25">
      <c r="A1120">
        <v>1119</v>
      </c>
      <c r="B1120">
        <v>49</v>
      </c>
      <c r="C1120" t="s">
        <v>22</v>
      </c>
      <c r="D1120">
        <v>1119</v>
      </c>
      <c r="E1120" t="s">
        <v>136</v>
      </c>
      <c r="F1120" t="s">
        <v>70</v>
      </c>
      <c r="G1120">
        <v>1119</v>
      </c>
      <c r="H1120">
        <v>1541</v>
      </c>
      <c r="I1120">
        <v>65</v>
      </c>
      <c r="J1120" t="s">
        <v>119</v>
      </c>
      <c r="K1120" t="s">
        <v>47</v>
      </c>
      <c r="L1120" t="s">
        <v>76</v>
      </c>
      <c r="M1120" t="s">
        <v>56</v>
      </c>
      <c r="N1120">
        <v>4.9000000000000004</v>
      </c>
      <c r="O1120">
        <v>0</v>
      </c>
      <c r="P1120" t="s">
        <v>57</v>
      </c>
      <c r="Q1120" t="s">
        <v>30</v>
      </c>
      <c r="R1120" t="s">
        <v>30</v>
      </c>
      <c r="S1120">
        <v>11</v>
      </c>
      <c r="T1120" t="s">
        <v>49</v>
      </c>
      <c r="U1120" t="s">
        <v>100</v>
      </c>
      <c r="V1120" s="1">
        <v>45480</v>
      </c>
      <c r="W1120">
        <f>Table1[[#This Row],[customer_purchase count]]+1</f>
        <v>12</v>
      </c>
      <c r="X1120">
        <f>Table1[[#This Row],[customer_purchase count]]*Rules!$B$3</f>
        <v>657.40794871794878</v>
      </c>
      <c r="Y1120" t="str">
        <f>IF(Table1[[#This Row],[customer_subscription]]=1,"Subscribed","Not Subscribed")</f>
        <v>Not Subscribed</v>
      </c>
      <c r="Z1120" t="s">
        <v>194</v>
      </c>
    </row>
    <row r="1121" spans="1:26" x14ac:dyDescent="0.25">
      <c r="A1121">
        <v>1120</v>
      </c>
      <c r="B1121">
        <v>34</v>
      </c>
      <c r="C1121" t="s">
        <v>22</v>
      </c>
      <c r="D1121">
        <v>1120</v>
      </c>
      <c r="E1121" t="s">
        <v>109</v>
      </c>
      <c r="F1121" t="s">
        <v>70</v>
      </c>
      <c r="G1121">
        <v>1120</v>
      </c>
      <c r="H1121">
        <v>1543</v>
      </c>
      <c r="I1121">
        <v>36</v>
      </c>
      <c r="J1121" t="s">
        <v>63</v>
      </c>
      <c r="K1121" t="s">
        <v>47</v>
      </c>
      <c r="L1121" t="s">
        <v>129</v>
      </c>
      <c r="M1121" t="s">
        <v>40</v>
      </c>
      <c r="N1121">
        <v>3.1</v>
      </c>
      <c r="O1121">
        <v>0</v>
      </c>
      <c r="P1121" t="s">
        <v>57</v>
      </c>
      <c r="Q1121" t="s">
        <v>30</v>
      </c>
      <c r="R1121" t="s">
        <v>30</v>
      </c>
      <c r="S1121">
        <v>36</v>
      </c>
      <c r="T1121" t="s">
        <v>42</v>
      </c>
      <c r="U1121" t="s">
        <v>43</v>
      </c>
      <c r="V1121" s="1">
        <v>45397</v>
      </c>
      <c r="W1121">
        <f>Table1[[#This Row],[customer_purchase count]]+1</f>
        <v>37</v>
      </c>
      <c r="X1121">
        <f>Table1[[#This Row],[customer_purchase count]]*Rules!$B$3</f>
        <v>2151.5169230769234</v>
      </c>
      <c r="Y1121" t="str">
        <f>IF(Table1[[#This Row],[customer_subscription]]=1,"Subscribed","Not Subscribed")</f>
        <v>Not Subscribed</v>
      </c>
    </row>
    <row r="1122" spans="1:26" x14ac:dyDescent="0.25">
      <c r="A1122">
        <v>1121</v>
      </c>
      <c r="B1122">
        <v>22</v>
      </c>
      <c r="C1122" t="s">
        <v>22</v>
      </c>
      <c r="D1122">
        <v>1121</v>
      </c>
      <c r="E1122" t="s">
        <v>53</v>
      </c>
      <c r="F1122" t="s">
        <v>45</v>
      </c>
      <c r="G1122">
        <v>1121</v>
      </c>
      <c r="H1122">
        <v>1544</v>
      </c>
      <c r="I1122">
        <v>84</v>
      </c>
      <c r="J1122" t="s">
        <v>141</v>
      </c>
      <c r="K1122" t="s">
        <v>47</v>
      </c>
      <c r="L1122" t="s">
        <v>139</v>
      </c>
      <c r="M1122" t="s">
        <v>28</v>
      </c>
      <c r="N1122">
        <v>4</v>
      </c>
      <c r="O1122">
        <v>0</v>
      </c>
      <c r="P1122" t="s">
        <v>48</v>
      </c>
      <c r="Q1122" t="s">
        <v>30</v>
      </c>
      <c r="R1122" t="s">
        <v>30</v>
      </c>
      <c r="S1122">
        <v>40</v>
      </c>
      <c r="T1122" t="s">
        <v>89</v>
      </c>
      <c r="U1122" t="s">
        <v>91</v>
      </c>
      <c r="V1122" s="1">
        <v>45631</v>
      </c>
      <c r="W1122">
        <f>Table1[[#This Row],[customer_purchase count]]+1</f>
        <v>41</v>
      </c>
      <c r="X1122">
        <f>Table1[[#This Row],[customer_purchase count]]*Rules!$B$3</f>
        <v>2390.5743589743593</v>
      </c>
      <c r="Y1122" t="str">
        <f>IF(Table1[[#This Row],[customer_subscription]]=1,"Subscribed","Not Subscribed")</f>
        <v>Not Subscribed</v>
      </c>
    </row>
    <row r="1123" spans="1:26" x14ac:dyDescent="0.25">
      <c r="A1123">
        <v>1122</v>
      </c>
      <c r="B1123">
        <v>63</v>
      </c>
      <c r="C1123" t="s">
        <v>22</v>
      </c>
      <c r="D1123">
        <v>1122</v>
      </c>
      <c r="E1123" t="s">
        <v>116</v>
      </c>
      <c r="F1123" t="s">
        <v>24</v>
      </c>
      <c r="G1123">
        <v>1122</v>
      </c>
      <c r="H1123">
        <v>1545</v>
      </c>
      <c r="I1123">
        <v>58</v>
      </c>
      <c r="J1123" t="s">
        <v>106</v>
      </c>
      <c r="K1123" t="s">
        <v>95</v>
      </c>
      <c r="L1123" t="s">
        <v>103</v>
      </c>
      <c r="M1123" t="s">
        <v>60</v>
      </c>
      <c r="N1123">
        <v>3.2</v>
      </c>
      <c r="O1123">
        <v>0</v>
      </c>
      <c r="P1123" t="s">
        <v>29</v>
      </c>
      <c r="Q1123" t="s">
        <v>30</v>
      </c>
      <c r="R1123" t="s">
        <v>30</v>
      </c>
      <c r="S1123">
        <v>25</v>
      </c>
      <c r="T1123" t="s">
        <v>36</v>
      </c>
      <c r="U1123" t="s">
        <v>61</v>
      </c>
      <c r="V1123" s="1">
        <v>45590</v>
      </c>
      <c r="W1123">
        <f>Table1[[#This Row],[customer_purchase count]]+1</f>
        <v>26</v>
      </c>
      <c r="X1123">
        <f>Table1[[#This Row],[customer_purchase count]]*Rules!$B$3</f>
        <v>1494.1089743589744</v>
      </c>
      <c r="Y1123" t="str">
        <f>IF(Table1[[#This Row],[customer_subscription]]=1,"Subscribed","Not Subscribed")</f>
        <v>Not Subscribed</v>
      </c>
    </row>
    <row r="1124" spans="1:26" x14ac:dyDescent="0.25">
      <c r="A1124">
        <v>1123</v>
      </c>
      <c r="B1124">
        <v>70</v>
      </c>
      <c r="C1124" t="s">
        <v>22</v>
      </c>
      <c r="D1124">
        <v>1123</v>
      </c>
      <c r="E1124" t="s">
        <v>69</v>
      </c>
      <c r="F1124" t="s">
        <v>70</v>
      </c>
      <c r="G1124">
        <v>1123</v>
      </c>
      <c r="H1124">
        <v>1546</v>
      </c>
      <c r="I1124">
        <v>62</v>
      </c>
      <c r="J1124" t="s">
        <v>101</v>
      </c>
      <c r="K1124" t="s">
        <v>39</v>
      </c>
      <c r="L1124" t="s">
        <v>64</v>
      </c>
      <c r="M1124" t="s">
        <v>40</v>
      </c>
      <c r="N1124">
        <v>4.3</v>
      </c>
      <c r="O1124">
        <v>0</v>
      </c>
      <c r="P1124" t="s">
        <v>73</v>
      </c>
      <c r="Q1124" t="s">
        <v>30</v>
      </c>
      <c r="R1124" t="s">
        <v>30</v>
      </c>
      <c r="S1124">
        <v>12</v>
      </c>
      <c r="T1124" t="s">
        <v>42</v>
      </c>
      <c r="U1124" t="s">
        <v>52</v>
      </c>
      <c r="V1124" s="1">
        <v>45372</v>
      </c>
      <c r="W1124">
        <f>Table1[[#This Row],[customer_purchase count]]+1</f>
        <v>13</v>
      </c>
      <c r="X1124">
        <f>Table1[[#This Row],[customer_purchase count]]*Rules!$B$3</f>
        <v>717.17230769230775</v>
      </c>
      <c r="Y1124" t="str">
        <f>IF(Table1[[#This Row],[customer_subscription]]=1,"Subscribed","Not Subscribed")</f>
        <v>Not Subscribed</v>
      </c>
      <c r="Z1124" t="s">
        <v>194</v>
      </c>
    </row>
    <row r="1125" spans="1:26" x14ac:dyDescent="0.25">
      <c r="A1125">
        <v>1124</v>
      </c>
      <c r="B1125">
        <v>36</v>
      </c>
      <c r="C1125" t="s">
        <v>22</v>
      </c>
      <c r="D1125">
        <v>1124</v>
      </c>
      <c r="E1125" t="s">
        <v>127</v>
      </c>
      <c r="F1125" t="s">
        <v>70</v>
      </c>
      <c r="G1125">
        <v>1124</v>
      </c>
      <c r="H1125">
        <v>1547</v>
      </c>
      <c r="I1125">
        <v>67</v>
      </c>
      <c r="J1125" t="s">
        <v>38</v>
      </c>
      <c r="K1125" t="s">
        <v>39</v>
      </c>
      <c r="L1125" t="s">
        <v>76</v>
      </c>
      <c r="M1125" t="s">
        <v>60</v>
      </c>
      <c r="N1125">
        <v>2.5</v>
      </c>
      <c r="O1125">
        <v>0</v>
      </c>
      <c r="P1125" t="s">
        <v>77</v>
      </c>
      <c r="Q1125" t="s">
        <v>30</v>
      </c>
      <c r="R1125" t="s">
        <v>30</v>
      </c>
      <c r="S1125">
        <v>38</v>
      </c>
      <c r="T1125" t="s">
        <v>36</v>
      </c>
      <c r="U1125" t="s">
        <v>91</v>
      </c>
      <c r="V1125" s="1">
        <v>45567</v>
      </c>
      <c r="W1125">
        <f>Table1[[#This Row],[customer_purchase count]]+1</f>
        <v>39</v>
      </c>
      <c r="X1125">
        <f>Table1[[#This Row],[customer_purchase count]]*Rules!$B$3</f>
        <v>2271.0456410256411</v>
      </c>
      <c r="Y1125" t="str">
        <f>IF(Table1[[#This Row],[customer_subscription]]=1,"Subscribed","Not Subscribed")</f>
        <v>Not Subscribed</v>
      </c>
    </row>
    <row r="1126" spans="1:26" x14ac:dyDescent="0.25">
      <c r="A1126">
        <v>1125</v>
      </c>
      <c r="B1126">
        <v>42</v>
      </c>
      <c r="C1126" t="s">
        <v>22</v>
      </c>
      <c r="D1126">
        <v>1125</v>
      </c>
      <c r="E1126" t="s">
        <v>33</v>
      </c>
      <c r="F1126" t="s">
        <v>24</v>
      </c>
      <c r="G1126">
        <v>1125</v>
      </c>
      <c r="H1126">
        <v>1549</v>
      </c>
      <c r="I1126">
        <v>20</v>
      </c>
      <c r="J1126" t="s">
        <v>149</v>
      </c>
      <c r="K1126" t="s">
        <v>47</v>
      </c>
      <c r="L1126" t="s">
        <v>124</v>
      </c>
      <c r="M1126" t="s">
        <v>40</v>
      </c>
      <c r="N1126">
        <v>4.9000000000000004</v>
      </c>
      <c r="O1126">
        <v>0</v>
      </c>
      <c r="P1126" t="s">
        <v>29</v>
      </c>
      <c r="Q1126" t="s">
        <v>30</v>
      </c>
      <c r="R1126" t="s">
        <v>30</v>
      </c>
      <c r="S1126">
        <v>40</v>
      </c>
      <c r="T1126" t="s">
        <v>36</v>
      </c>
      <c r="U1126" t="s">
        <v>61</v>
      </c>
      <c r="V1126" s="1">
        <v>45426</v>
      </c>
      <c r="W1126">
        <f>Table1[[#This Row],[customer_purchase count]]+1</f>
        <v>41</v>
      </c>
      <c r="X1126">
        <f>Table1[[#This Row],[customer_purchase count]]*Rules!$B$3</f>
        <v>2390.5743589743593</v>
      </c>
      <c r="Y1126" t="str">
        <f>IF(Table1[[#This Row],[customer_subscription]]=1,"Subscribed","Not Subscribed")</f>
        <v>Not Subscribed</v>
      </c>
    </row>
    <row r="1127" spans="1:26" x14ac:dyDescent="0.25">
      <c r="A1127">
        <v>1126</v>
      </c>
      <c r="B1127">
        <v>27</v>
      </c>
      <c r="C1127" t="s">
        <v>22</v>
      </c>
      <c r="D1127">
        <v>1126</v>
      </c>
      <c r="E1127" t="s">
        <v>44</v>
      </c>
      <c r="F1127" t="s">
        <v>45</v>
      </c>
      <c r="G1127">
        <v>1126</v>
      </c>
      <c r="H1127">
        <v>1550</v>
      </c>
      <c r="I1127">
        <v>90</v>
      </c>
      <c r="J1127" t="s">
        <v>117</v>
      </c>
      <c r="K1127" t="s">
        <v>47</v>
      </c>
      <c r="L1127" t="s">
        <v>96</v>
      </c>
      <c r="M1127" t="s">
        <v>56</v>
      </c>
      <c r="N1127">
        <v>2.7</v>
      </c>
      <c r="O1127">
        <v>0</v>
      </c>
      <c r="P1127" t="s">
        <v>73</v>
      </c>
      <c r="Q1127" t="s">
        <v>30</v>
      </c>
      <c r="R1127" t="s">
        <v>30</v>
      </c>
      <c r="S1127">
        <v>10</v>
      </c>
      <c r="T1127" t="s">
        <v>78</v>
      </c>
      <c r="U1127" t="s">
        <v>43</v>
      </c>
      <c r="V1127" s="1">
        <v>45531</v>
      </c>
      <c r="W1127">
        <f>Table1[[#This Row],[customer_purchase count]]+1</f>
        <v>11</v>
      </c>
      <c r="X1127">
        <f>Table1[[#This Row],[customer_purchase count]]*Rules!$B$3</f>
        <v>597.64358974358981</v>
      </c>
      <c r="Y1127" t="str">
        <f>IF(Table1[[#This Row],[customer_subscription]]=1,"Subscribed","Not Subscribed")</f>
        <v>Not Subscribed</v>
      </c>
      <c r="Z1127" t="s">
        <v>187</v>
      </c>
    </row>
    <row r="1128" spans="1:26" x14ac:dyDescent="0.25">
      <c r="A1128">
        <v>1127</v>
      </c>
      <c r="B1128">
        <v>23</v>
      </c>
      <c r="C1128" t="s">
        <v>22</v>
      </c>
      <c r="D1128">
        <v>1127</v>
      </c>
      <c r="E1128" t="s">
        <v>122</v>
      </c>
      <c r="F1128" t="s">
        <v>70</v>
      </c>
      <c r="G1128">
        <v>1127</v>
      </c>
      <c r="H1128">
        <v>1551</v>
      </c>
      <c r="I1128">
        <v>58</v>
      </c>
      <c r="J1128" t="s">
        <v>149</v>
      </c>
      <c r="K1128" t="s">
        <v>26</v>
      </c>
      <c r="L1128" t="s">
        <v>121</v>
      </c>
      <c r="M1128" t="s">
        <v>28</v>
      </c>
      <c r="N1128">
        <v>3.4</v>
      </c>
      <c r="O1128">
        <v>0</v>
      </c>
      <c r="P1128" t="s">
        <v>57</v>
      </c>
      <c r="Q1128" t="s">
        <v>30</v>
      </c>
      <c r="R1128" t="s">
        <v>30</v>
      </c>
      <c r="S1128">
        <v>47</v>
      </c>
      <c r="T1128" t="s">
        <v>31</v>
      </c>
      <c r="U1128" t="s">
        <v>32</v>
      </c>
      <c r="V1128" s="1">
        <v>45326</v>
      </c>
      <c r="W1128">
        <f>Table1[[#This Row],[customer_purchase count]]+1</f>
        <v>48</v>
      </c>
      <c r="X1128">
        <f>Table1[[#This Row],[customer_purchase count]]*Rules!$B$3</f>
        <v>2808.9248717948717</v>
      </c>
      <c r="Y1128" t="str">
        <f>IF(Table1[[#This Row],[customer_subscription]]=1,"Subscribed","Not Subscribed")</f>
        <v>Not Subscribed</v>
      </c>
    </row>
    <row r="1129" spans="1:26" x14ac:dyDescent="0.25">
      <c r="A1129">
        <v>1128</v>
      </c>
      <c r="B1129">
        <v>50</v>
      </c>
      <c r="C1129" t="s">
        <v>22</v>
      </c>
      <c r="D1129">
        <v>1128</v>
      </c>
      <c r="E1129" t="s">
        <v>58</v>
      </c>
      <c r="F1129" t="s">
        <v>24</v>
      </c>
      <c r="G1129">
        <v>1128</v>
      </c>
      <c r="H1129">
        <v>1552</v>
      </c>
      <c r="I1129">
        <v>53</v>
      </c>
      <c r="J1129" t="s">
        <v>82</v>
      </c>
      <c r="K1129" t="s">
        <v>95</v>
      </c>
      <c r="L1129" t="s">
        <v>35</v>
      </c>
      <c r="M1129" t="s">
        <v>40</v>
      </c>
      <c r="N1129">
        <v>4.8</v>
      </c>
      <c r="O1129">
        <v>0</v>
      </c>
      <c r="P1129" t="s">
        <v>77</v>
      </c>
      <c r="Q1129" t="s">
        <v>30</v>
      </c>
      <c r="R1129" t="s">
        <v>30</v>
      </c>
      <c r="S1129">
        <v>22</v>
      </c>
      <c r="T1129" t="s">
        <v>89</v>
      </c>
      <c r="U1129" t="s">
        <v>91</v>
      </c>
      <c r="V1129" s="1">
        <v>45366</v>
      </c>
      <c r="W1129">
        <f>Table1[[#This Row],[customer_purchase count]]+1</f>
        <v>23</v>
      </c>
      <c r="X1129">
        <f>Table1[[#This Row],[customer_purchase count]]*Rules!$B$3</f>
        <v>1314.8158974358976</v>
      </c>
      <c r="Y1129" t="str">
        <f>IF(Table1[[#This Row],[customer_subscription]]=1,"Subscribed","Not Subscribed")</f>
        <v>Not Subscribed</v>
      </c>
    </row>
    <row r="1130" spans="1:26" x14ac:dyDescent="0.25">
      <c r="A1130">
        <v>1129</v>
      </c>
      <c r="B1130">
        <v>56</v>
      </c>
      <c r="C1130" t="s">
        <v>22</v>
      </c>
      <c r="D1130">
        <v>1129</v>
      </c>
      <c r="E1130" t="s">
        <v>146</v>
      </c>
      <c r="F1130" t="s">
        <v>70</v>
      </c>
      <c r="G1130">
        <v>1129</v>
      </c>
      <c r="H1130">
        <v>1553</v>
      </c>
      <c r="I1130">
        <v>30</v>
      </c>
      <c r="J1130" t="s">
        <v>87</v>
      </c>
      <c r="K1130" t="s">
        <v>26</v>
      </c>
      <c r="L1130" t="s">
        <v>64</v>
      </c>
      <c r="M1130" t="s">
        <v>28</v>
      </c>
      <c r="N1130">
        <v>4.7</v>
      </c>
      <c r="O1130">
        <v>0</v>
      </c>
      <c r="P1130" t="s">
        <v>48</v>
      </c>
      <c r="Q1130" t="s">
        <v>30</v>
      </c>
      <c r="R1130" t="s">
        <v>30</v>
      </c>
      <c r="S1130">
        <v>35</v>
      </c>
      <c r="T1130" t="s">
        <v>89</v>
      </c>
      <c r="U1130" t="s">
        <v>91</v>
      </c>
      <c r="V1130" s="1">
        <v>45631</v>
      </c>
      <c r="W1130">
        <f>Table1[[#This Row],[customer_purchase count]]+1</f>
        <v>36</v>
      </c>
      <c r="X1130">
        <f>Table1[[#This Row],[customer_purchase count]]*Rules!$B$3</f>
        <v>2091.7525641025641</v>
      </c>
      <c r="Y1130" t="str">
        <f>IF(Table1[[#This Row],[customer_subscription]]=1,"Subscribed","Not Subscribed")</f>
        <v>Not Subscribed</v>
      </c>
    </row>
    <row r="1131" spans="1:26" x14ac:dyDescent="0.25">
      <c r="A1131">
        <v>1130</v>
      </c>
      <c r="B1131">
        <v>37</v>
      </c>
      <c r="C1131" t="s">
        <v>22</v>
      </c>
      <c r="D1131">
        <v>1130</v>
      </c>
      <c r="E1131" t="s">
        <v>107</v>
      </c>
      <c r="F1131" t="s">
        <v>24</v>
      </c>
      <c r="G1131">
        <v>1130</v>
      </c>
      <c r="H1131">
        <v>1555</v>
      </c>
      <c r="I1131">
        <v>65</v>
      </c>
      <c r="J1131" t="s">
        <v>85</v>
      </c>
      <c r="K1131" t="s">
        <v>95</v>
      </c>
      <c r="L1131" t="s">
        <v>55</v>
      </c>
      <c r="M1131" t="s">
        <v>28</v>
      </c>
      <c r="N1131">
        <v>4.7</v>
      </c>
      <c r="O1131">
        <v>0</v>
      </c>
      <c r="P1131" t="s">
        <v>29</v>
      </c>
      <c r="Q1131" t="s">
        <v>30</v>
      </c>
      <c r="R1131" t="s">
        <v>30</v>
      </c>
      <c r="S1131">
        <v>46</v>
      </c>
      <c r="T1131" t="s">
        <v>31</v>
      </c>
      <c r="U1131" t="s">
        <v>32</v>
      </c>
      <c r="V1131" s="1">
        <v>45643</v>
      </c>
      <c r="W1131">
        <f>Table1[[#This Row],[customer_purchase count]]+1</f>
        <v>47</v>
      </c>
      <c r="X1131">
        <f>Table1[[#This Row],[customer_purchase count]]*Rules!$B$3</f>
        <v>2749.1605128205128</v>
      </c>
      <c r="Y1131" t="str">
        <f>IF(Table1[[#This Row],[customer_subscription]]=1,"Subscribed","Not Subscribed")</f>
        <v>Not Subscribed</v>
      </c>
    </row>
    <row r="1132" spans="1:26" x14ac:dyDescent="0.25">
      <c r="A1132">
        <v>1131</v>
      </c>
      <c r="B1132">
        <v>67</v>
      </c>
      <c r="C1132" t="s">
        <v>22</v>
      </c>
      <c r="D1132">
        <v>1131</v>
      </c>
      <c r="E1132" t="s">
        <v>109</v>
      </c>
      <c r="F1132" t="s">
        <v>70</v>
      </c>
      <c r="G1132">
        <v>1131</v>
      </c>
      <c r="H1132">
        <v>1556</v>
      </c>
      <c r="I1132">
        <v>41</v>
      </c>
      <c r="J1132" t="s">
        <v>25</v>
      </c>
      <c r="K1132" t="s">
        <v>47</v>
      </c>
      <c r="L1132" t="s">
        <v>96</v>
      </c>
      <c r="M1132" t="s">
        <v>56</v>
      </c>
      <c r="N1132">
        <v>3.9</v>
      </c>
      <c r="O1132">
        <v>0</v>
      </c>
      <c r="P1132" t="s">
        <v>57</v>
      </c>
      <c r="Q1132" t="s">
        <v>30</v>
      </c>
      <c r="R1132" t="s">
        <v>30</v>
      </c>
      <c r="S1132">
        <v>30</v>
      </c>
      <c r="T1132" t="s">
        <v>49</v>
      </c>
      <c r="U1132" t="s">
        <v>79</v>
      </c>
      <c r="V1132" s="1">
        <v>45518</v>
      </c>
      <c r="W1132">
        <f>Table1[[#This Row],[customer_purchase count]]+1</f>
        <v>31</v>
      </c>
      <c r="X1132">
        <f>Table1[[#This Row],[customer_purchase count]]*Rules!$B$3</f>
        <v>1792.9307692307693</v>
      </c>
      <c r="Y1132" t="str">
        <f>IF(Table1[[#This Row],[customer_subscription]]=1,"Subscribed","Not Subscribed")</f>
        <v>Not Subscribed</v>
      </c>
    </row>
    <row r="1133" spans="1:26" x14ac:dyDescent="0.25">
      <c r="A1133">
        <v>1132</v>
      </c>
      <c r="B1133">
        <v>67</v>
      </c>
      <c r="C1133" t="s">
        <v>22</v>
      </c>
      <c r="D1133">
        <v>1132</v>
      </c>
      <c r="E1133" t="s">
        <v>58</v>
      </c>
      <c r="F1133" t="s">
        <v>24</v>
      </c>
      <c r="G1133">
        <v>1132</v>
      </c>
      <c r="H1133">
        <v>1557</v>
      </c>
      <c r="I1133">
        <v>73</v>
      </c>
      <c r="J1133" t="s">
        <v>118</v>
      </c>
      <c r="K1133" t="s">
        <v>47</v>
      </c>
      <c r="L1133" t="s">
        <v>97</v>
      </c>
      <c r="M1133" t="s">
        <v>40</v>
      </c>
      <c r="N1133">
        <v>3.7</v>
      </c>
      <c r="O1133">
        <v>0</v>
      </c>
      <c r="P1133" t="s">
        <v>29</v>
      </c>
      <c r="Q1133" t="s">
        <v>30</v>
      </c>
      <c r="R1133" t="s">
        <v>30</v>
      </c>
      <c r="S1133">
        <v>20</v>
      </c>
      <c r="T1133" t="s">
        <v>78</v>
      </c>
      <c r="U1133" t="s">
        <v>91</v>
      </c>
      <c r="V1133" s="1">
        <v>45353</v>
      </c>
      <c r="W1133">
        <f>Table1[[#This Row],[customer_purchase count]]+1</f>
        <v>21</v>
      </c>
      <c r="X1133">
        <f>Table1[[#This Row],[customer_purchase count]]*Rules!$B$3</f>
        <v>1195.2871794871796</v>
      </c>
      <c r="Y1133" t="str">
        <f>IF(Table1[[#This Row],[customer_subscription]]=1,"Subscribed","Not Subscribed")</f>
        <v>Not Subscribed</v>
      </c>
    </row>
    <row r="1134" spans="1:26" x14ac:dyDescent="0.25">
      <c r="A1134">
        <v>1133</v>
      </c>
      <c r="B1134">
        <v>50</v>
      </c>
      <c r="C1134" t="s">
        <v>22</v>
      </c>
      <c r="D1134">
        <v>1133</v>
      </c>
      <c r="E1134" t="s">
        <v>107</v>
      </c>
      <c r="F1134" t="s">
        <v>24</v>
      </c>
      <c r="G1134">
        <v>1133</v>
      </c>
      <c r="H1134">
        <v>1558</v>
      </c>
      <c r="I1134">
        <v>98</v>
      </c>
      <c r="J1134" t="s">
        <v>101</v>
      </c>
      <c r="K1134" t="s">
        <v>39</v>
      </c>
      <c r="L1134" t="s">
        <v>88</v>
      </c>
      <c r="M1134" t="s">
        <v>40</v>
      </c>
      <c r="N1134">
        <v>4.3</v>
      </c>
      <c r="O1134">
        <v>0</v>
      </c>
      <c r="P1134" t="s">
        <v>77</v>
      </c>
      <c r="Q1134" t="s">
        <v>30</v>
      </c>
      <c r="R1134" t="s">
        <v>30</v>
      </c>
      <c r="S1134">
        <v>25</v>
      </c>
      <c r="T1134" t="s">
        <v>36</v>
      </c>
      <c r="U1134" t="s">
        <v>32</v>
      </c>
      <c r="V1134" s="1">
        <v>45365</v>
      </c>
      <c r="W1134">
        <f>Table1[[#This Row],[customer_purchase count]]+1</f>
        <v>26</v>
      </c>
      <c r="X1134">
        <f>Table1[[#This Row],[customer_purchase count]]*Rules!$B$3</f>
        <v>1494.1089743589744</v>
      </c>
      <c r="Y1134" t="str">
        <f>IF(Table1[[#This Row],[customer_subscription]]=1,"Subscribed","Not Subscribed")</f>
        <v>Not Subscribed</v>
      </c>
    </row>
    <row r="1135" spans="1:26" x14ac:dyDescent="0.25">
      <c r="A1135">
        <v>1134</v>
      </c>
      <c r="B1135">
        <v>36</v>
      </c>
      <c r="C1135" t="s">
        <v>22</v>
      </c>
      <c r="D1135">
        <v>1134</v>
      </c>
      <c r="E1135" t="s">
        <v>74</v>
      </c>
      <c r="F1135" t="s">
        <v>45</v>
      </c>
      <c r="G1135">
        <v>1134</v>
      </c>
      <c r="H1135">
        <v>1559</v>
      </c>
      <c r="I1135">
        <v>36</v>
      </c>
      <c r="J1135" t="s">
        <v>142</v>
      </c>
      <c r="K1135" t="s">
        <v>95</v>
      </c>
      <c r="L1135" t="s">
        <v>139</v>
      </c>
      <c r="M1135" t="s">
        <v>28</v>
      </c>
      <c r="N1135">
        <v>4.0999999999999996</v>
      </c>
      <c r="O1135">
        <v>0</v>
      </c>
      <c r="P1135" t="s">
        <v>73</v>
      </c>
      <c r="Q1135" t="s">
        <v>30</v>
      </c>
      <c r="R1135" t="s">
        <v>30</v>
      </c>
      <c r="S1135">
        <v>29</v>
      </c>
      <c r="T1135" t="s">
        <v>36</v>
      </c>
      <c r="U1135" t="s">
        <v>43</v>
      </c>
      <c r="V1135" s="1">
        <v>45652</v>
      </c>
      <c r="W1135">
        <f>Table1[[#This Row],[customer_purchase count]]+1</f>
        <v>30</v>
      </c>
      <c r="X1135">
        <f>Table1[[#This Row],[customer_purchase count]]*Rules!$B$3</f>
        <v>1733.1664102564102</v>
      </c>
      <c r="Y1135" t="str">
        <f>IF(Table1[[#This Row],[customer_subscription]]=1,"Subscribed","Not Subscribed")</f>
        <v>Not Subscribed</v>
      </c>
    </row>
    <row r="1136" spans="1:26" x14ac:dyDescent="0.25">
      <c r="A1136">
        <v>1135</v>
      </c>
      <c r="B1136">
        <v>62</v>
      </c>
      <c r="C1136" t="s">
        <v>22</v>
      </c>
      <c r="D1136">
        <v>1135</v>
      </c>
      <c r="E1136" t="s">
        <v>116</v>
      </c>
      <c r="F1136" t="s">
        <v>24</v>
      </c>
      <c r="G1136">
        <v>1135</v>
      </c>
      <c r="H1136">
        <v>1561</v>
      </c>
      <c r="I1136">
        <v>81</v>
      </c>
      <c r="J1136" t="s">
        <v>153</v>
      </c>
      <c r="K1136" t="s">
        <v>47</v>
      </c>
      <c r="L1136" t="s">
        <v>113</v>
      </c>
      <c r="M1136" t="s">
        <v>56</v>
      </c>
      <c r="N1136">
        <v>4.5999999999999996</v>
      </c>
      <c r="O1136">
        <v>0</v>
      </c>
      <c r="P1136" t="s">
        <v>29</v>
      </c>
      <c r="Q1136" t="s">
        <v>30</v>
      </c>
      <c r="R1136" t="s">
        <v>30</v>
      </c>
      <c r="S1136">
        <v>2</v>
      </c>
      <c r="T1136" t="s">
        <v>31</v>
      </c>
      <c r="U1136" t="s">
        <v>100</v>
      </c>
      <c r="V1136" s="1">
        <v>45497</v>
      </c>
      <c r="W1136">
        <f>Table1[[#This Row],[customer_purchase count]]+1</f>
        <v>3</v>
      </c>
      <c r="X1136">
        <f>Table1[[#This Row],[customer_purchase count]]*Rules!$B$3</f>
        <v>119.52871794871795</v>
      </c>
      <c r="Y1136" t="str">
        <f>IF(Table1[[#This Row],[customer_subscription]]=1,"Subscribed","Not Subscribed")</f>
        <v>Not Subscribed</v>
      </c>
      <c r="Z1136" t="s">
        <v>194</v>
      </c>
    </row>
    <row r="1137" spans="1:26" x14ac:dyDescent="0.25">
      <c r="A1137">
        <v>1136</v>
      </c>
      <c r="B1137">
        <v>65</v>
      </c>
      <c r="C1137" t="s">
        <v>22</v>
      </c>
      <c r="D1137">
        <v>1136</v>
      </c>
      <c r="E1137" t="s">
        <v>90</v>
      </c>
      <c r="F1137" t="s">
        <v>24</v>
      </c>
      <c r="G1137">
        <v>1136</v>
      </c>
      <c r="H1137">
        <v>1562</v>
      </c>
      <c r="I1137">
        <v>90</v>
      </c>
      <c r="J1137" t="s">
        <v>38</v>
      </c>
      <c r="K1137" t="s">
        <v>26</v>
      </c>
      <c r="L1137" t="s">
        <v>103</v>
      </c>
      <c r="M1137" t="s">
        <v>28</v>
      </c>
      <c r="N1137">
        <v>3.6</v>
      </c>
      <c r="O1137">
        <v>0</v>
      </c>
      <c r="P1137" t="s">
        <v>73</v>
      </c>
      <c r="Q1137" t="s">
        <v>30</v>
      </c>
      <c r="R1137" t="s">
        <v>30</v>
      </c>
      <c r="S1137">
        <v>32</v>
      </c>
      <c r="T1137" t="s">
        <v>78</v>
      </c>
      <c r="U1137" t="s">
        <v>61</v>
      </c>
      <c r="V1137" s="1">
        <v>45639</v>
      </c>
      <c r="W1137">
        <f>Table1[[#This Row],[customer_purchase count]]+1</f>
        <v>33</v>
      </c>
      <c r="X1137">
        <f>Table1[[#This Row],[customer_purchase count]]*Rules!$B$3</f>
        <v>1912.4594871794873</v>
      </c>
      <c r="Y1137" t="str">
        <f>IF(Table1[[#This Row],[customer_subscription]]=1,"Subscribed","Not Subscribed")</f>
        <v>Not Subscribed</v>
      </c>
    </row>
    <row r="1138" spans="1:26" x14ac:dyDescent="0.25">
      <c r="A1138">
        <v>1137</v>
      </c>
      <c r="B1138">
        <v>23</v>
      </c>
      <c r="C1138" t="s">
        <v>22</v>
      </c>
      <c r="D1138">
        <v>1137</v>
      </c>
      <c r="E1138" t="s">
        <v>69</v>
      </c>
      <c r="F1138" t="s">
        <v>70</v>
      </c>
      <c r="G1138">
        <v>1137</v>
      </c>
      <c r="H1138">
        <v>1563</v>
      </c>
      <c r="I1138">
        <v>83</v>
      </c>
      <c r="J1138" t="s">
        <v>118</v>
      </c>
      <c r="K1138" t="s">
        <v>39</v>
      </c>
      <c r="L1138" t="s">
        <v>112</v>
      </c>
      <c r="M1138" t="s">
        <v>56</v>
      </c>
      <c r="N1138">
        <v>4.8</v>
      </c>
      <c r="O1138">
        <v>0</v>
      </c>
      <c r="P1138" t="s">
        <v>41</v>
      </c>
      <c r="Q1138" t="s">
        <v>30</v>
      </c>
      <c r="R1138" t="s">
        <v>30</v>
      </c>
      <c r="S1138">
        <v>37</v>
      </c>
      <c r="T1138" t="s">
        <v>36</v>
      </c>
      <c r="U1138" t="s">
        <v>91</v>
      </c>
      <c r="V1138" s="1">
        <v>45460</v>
      </c>
      <c r="W1138">
        <f>Table1[[#This Row],[customer_purchase count]]+1</f>
        <v>38</v>
      </c>
      <c r="X1138">
        <f>Table1[[#This Row],[customer_purchase count]]*Rules!$B$3</f>
        <v>2211.2812820512822</v>
      </c>
      <c r="Y1138" t="str">
        <f>IF(Table1[[#This Row],[customer_subscription]]=1,"Subscribed","Not Subscribed")</f>
        <v>Not Subscribed</v>
      </c>
    </row>
    <row r="1139" spans="1:26" x14ac:dyDescent="0.25">
      <c r="A1139">
        <v>1138</v>
      </c>
      <c r="B1139">
        <v>46</v>
      </c>
      <c r="C1139" t="s">
        <v>22</v>
      </c>
      <c r="D1139">
        <v>1138</v>
      </c>
      <c r="E1139" t="s">
        <v>58</v>
      </c>
      <c r="F1139" t="s">
        <v>24</v>
      </c>
      <c r="G1139">
        <v>1138</v>
      </c>
      <c r="H1139">
        <v>1564</v>
      </c>
      <c r="I1139">
        <v>91</v>
      </c>
      <c r="J1139" t="s">
        <v>133</v>
      </c>
      <c r="K1139" t="s">
        <v>95</v>
      </c>
      <c r="L1139" t="s">
        <v>72</v>
      </c>
      <c r="M1139" t="s">
        <v>28</v>
      </c>
      <c r="N1139">
        <v>2.8</v>
      </c>
      <c r="O1139">
        <v>0</v>
      </c>
      <c r="P1139" t="s">
        <v>73</v>
      </c>
      <c r="Q1139" t="s">
        <v>30</v>
      </c>
      <c r="R1139" t="s">
        <v>30</v>
      </c>
      <c r="S1139">
        <v>16</v>
      </c>
      <c r="T1139" t="s">
        <v>78</v>
      </c>
      <c r="U1139" t="s">
        <v>100</v>
      </c>
      <c r="V1139" s="1">
        <v>45343</v>
      </c>
      <c r="W1139">
        <f>Table1[[#This Row],[customer_purchase count]]+1</f>
        <v>17</v>
      </c>
      <c r="X1139">
        <f>Table1[[#This Row],[customer_purchase count]]*Rules!$B$3</f>
        <v>956.22974358974363</v>
      </c>
      <c r="Y1139" t="str">
        <f>IF(Table1[[#This Row],[customer_subscription]]=1,"Subscribed","Not Subscribed")</f>
        <v>Not Subscribed</v>
      </c>
      <c r="Z1139" t="s">
        <v>194</v>
      </c>
    </row>
    <row r="1140" spans="1:26" x14ac:dyDescent="0.25">
      <c r="A1140">
        <v>1139</v>
      </c>
      <c r="B1140">
        <v>18</v>
      </c>
      <c r="C1140" t="s">
        <v>22</v>
      </c>
      <c r="D1140">
        <v>1139</v>
      </c>
      <c r="E1140" t="s">
        <v>98</v>
      </c>
      <c r="F1140" t="s">
        <v>24</v>
      </c>
      <c r="G1140">
        <v>1139</v>
      </c>
      <c r="H1140">
        <v>1565</v>
      </c>
      <c r="I1140">
        <v>36</v>
      </c>
      <c r="J1140" t="s">
        <v>149</v>
      </c>
      <c r="K1140" t="s">
        <v>47</v>
      </c>
      <c r="L1140" t="s">
        <v>76</v>
      </c>
      <c r="M1140" t="s">
        <v>56</v>
      </c>
      <c r="N1140">
        <v>4.7</v>
      </c>
      <c r="O1140">
        <v>0</v>
      </c>
      <c r="P1140" t="s">
        <v>29</v>
      </c>
      <c r="Q1140" t="s">
        <v>30</v>
      </c>
      <c r="R1140" t="s">
        <v>30</v>
      </c>
      <c r="S1140">
        <v>32</v>
      </c>
      <c r="T1140" t="s">
        <v>31</v>
      </c>
      <c r="U1140" t="s">
        <v>32</v>
      </c>
      <c r="V1140" s="1">
        <v>45530</v>
      </c>
      <c r="W1140">
        <f>Table1[[#This Row],[customer_purchase count]]+1</f>
        <v>33</v>
      </c>
      <c r="X1140">
        <f>Table1[[#This Row],[customer_purchase count]]*Rules!$B$3</f>
        <v>1912.4594871794873</v>
      </c>
      <c r="Y1140" t="str">
        <f>IF(Table1[[#This Row],[customer_subscription]]=1,"Subscribed","Not Subscribed")</f>
        <v>Not Subscribed</v>
      </c>
    </row>
    <row r="1141" spans="1:26" x14ac:dyDescent="0.25">
      <c r="A1141">
        <v>1140</v>
      </c>
      <c r="B1141">
        <v>58</v>
      </c>
      <c r="C1141" t="s">
        <v>22</v>
      </c>
      <c r="D1141">
        <v>1140</v>
      </c>
      <c r="E1141" t="s">
        <v>65</v>
      </c>
      <c r="F1141" t="s">
        <v>66</v>
      </c>
      <c r="G1141">
        <v>1140</v>
      </c>
      <c r="H1141">
        <v>1567</v>
      </c>
      <c r="I1141">
        <v>53</v>
      </c>
      <c r="J1141" t="s">
        <v>93</v>
      </c>
      <c r="K1141" t="s">
        <v>26</v>
      </c>
      <c r="L1141" t="s">
        <v>76</v>
      </c>
      <c r="M1141" t="s">
        <v>40</v>
      </c>
      <c r="N1141">
        <v>3.9</v>
      </c>
      <c r="O1141">
        <v>0</v>
      </c>
      <c r="P1141" t="s">
        <v>57</v>
      </c>
      <c r="Q1141" t="s">
        <v>30</v>
      </c>
      <c r="R1141" t="s">
        <v>30</v>
      </c>
      <c r="S1141">
        <v>42</v>
      </c>
      <c r="T1141" t="s">
        <v>89</v>
      </c>
      <c r="U1141" t="s">
        <v>79</v>
      </c>
      <c r="V1141" s="1">
        <v>45386</v>
      </c>
      <c r="W1141">
        <f>Table1[[#This Row],[customer_purchase count]]+1</f>
        <v>43</v>
      </c>
      <c r="X1141">
        <f>Table1[[#This Row],[customer_purchase count]]*Rules!$B$3</f>
        <v>2510.103076923077</v>
      </c>
      <c r="Y1141" t="str">
        <f>IF(Table1[[#This Row],[customer_subscription]]=1,"Subscribed","Not Subscribed")</f>
        <v>Not Subscribed</v>
      </c>
    </row>
    <row r="1142" spans="1:26" x14ac:dyDescent="0.25">
      <c r="A1142">
        <v>1141</v>
      </c>
      <c r="B1142">
        <v>31</v>
      </c>
      <c r="C1142" t="s">
        <v>22</v>
      </c>
      <c r="D1142">
        <v>1141</v>
      </c>
      <c r="E1142" t="s">
        <v>37</v>
      </c>
      <c r="F1142" t="s">
        <v>24</v>
      </c>
      <c r="G1142">
        <v>1141</v>
      </c>
      <c r="H1142">
        <v>1568</v>
      </c>
      <c r="I1142">
        <v>39</v>
      </c>
      <c r="J1142" t="s">
        <v>131</v>
      </c>
      <c r="K1142" t="s">
        <v>47</v>
      </c>
      <c r="L1142" t="s">
        <v>55</v>
      </c>
      <c r="M1142" t="s">
        <v>28</v>
      </c>
      <c r="N1142">
        <v>2.6</v>
      </c>
      <c r="O1142">
        <v>0</v>
      </c>
      <c r="P1142" t="s">
        <v>77</v>
      </c>
      <c r="Q1142" t="s">
        <v>30</v>
      </c>
      <c r="R1142" t="s">
        <v>30</v>
      </c>
      <c r="S1142">
        <v>6</v>
      </c>
      <c r="T1142" t="s">
        <v>42</v>
      </c>
      <c r="U1142" t="s">
        <v>100</v>
      </c>
      <c r="V1142" s="1">
        <v>45640</v>
      </c>
      <c r="W1142">
        <f>Table1[[#This Row],[customer_purchase count]]+1</f>
        <v>7</v>
      </c>
      <c r="X1142">
        <f>Table1[[#This Row],[customer_purchase count]]*Rules!$B$3</f>
        <v>358.58615384615388</v>
      </c>
      <c r="Y1142" t="str">
        <f>IF(Table1[[#This Row],[customer_subscription]]=1,"Subscribed","Not Subscribed")</f>
        <v>Not Subscribed</v>
      </c>
      <c r="Z1142" t="s">
        <v>194</v>
      </c>
    </row>
    <row r="1143" spans="1:26" x14ac:dyDescent="0.25">
      <c r="A1143">
        <v>1142</v>
      </c>
      <c r="B1143">
        <v>39</v>
      </c>
      <c r="C1143" t="s">
        <v>22</v>
      </c>
      <c r="D1143">
        <v>1142</v>
      </c>
      <c r="E1143" t="s">
        <v>146</v>
      </c>
      <c r="F1143" t="s">
        <v>70</v>
      </c>
      <c r="G1143">
        <v>1142</v>
      </c>
      <c r="H1143">
        <v>1569</v>
      </c>
      <c r="I1143">
        <v>33</v>
      </c>
      <c r="J1143" t="s">
        <v>126</v>
      </c>
      <c r="K1143" t="s">
        <v>39</v>
      </c>
      <c r="L1143" t="s">
        <v>68</v>
      </c>
      <c r="M1143" t="s">
        <v>28</v>
      </c>
      <c r="N1143">
        <v>4.7</v>
      </c>
      <c r="O1143">
        <v>0</v>
      </c>
      <c r="P1143" t="s">
        <v>48</v>
      </c>
      <c r="Q1143" t="s">
        <v>30</v>
      </c>
      <c r="R1143" t="s">
        <v>30</v>
      </c>
      <c r="S1143">
        <v>23</v>
      </c>
      <c r="T1143" t="s">
        <v>49</v>
      </c>
      <c r="U1143" t="s">
        <v>32</v>
      </c>
      <c r="V1143" s="1">
        <v>45639</v>
      </c>
      <c r="W1143">
        <f>Table1[[#This Row],[customer_purchase count]]+1</f>
        <v>24</v>
      </c>
      <c r="X1143">
        <f>Table1[[#This Row],[customer_purchase count]]*Rules!$B$3</f>
        <v>1374.5802564102564</v>
      </c>
      <c r="Y1143" t="str">
        <f>IF(Table1[[#This Row],[customer_subscription]]=1,"Subscribed","Not Subscribed")</f>
        <v>Not Subscribed</v>
      </c>
    </row>
    <row r="1144" spans="1:26" x14ac:dyDescent="0.25">
      <c r="A1144">
        <v>1143</v>
      </c>
      <c r="B1144">
        <v>69</v>
      </c>
      <c r="C1144" t="s">
        <v>22</v>
      </c>
      <c r="D1144">
        <v>1143</v>
      </c>
      <c r="E1144" t="s">
        <v>116</v>
      </c>
      <c r="F1144" t="s">
        <v>24</v>
      </c>
      <c r="G1144">
        <v>1143</v>
      </c>
      <c r="H1144">
        <v>1570</v>
      </c>
      <c r="I1144">
        <v>76</v>
      </c>
      <c r="J1144" t="s">
        <v>126</v>
      </c>
      <c r="K1144" t="s">
        <v>26</v>
      </c>
      <c r="L1144" t="s">
        <v>99</v>
      </c>
      <c r="M1144" t="s">
        <v>40</v>
      </c>
      <c r="N1144">
        <v>3.5</v>
      </c>
      <c r="O1144">
        <v>0</v>
      </c>
      <c r="P1144" t="s">
        <v>77</v>
      </c>
      <c r="Q1144" t="s">
        <v>30</v>
      </c>
      <c r="R1144" t="s">
        <v>30</v>
      </c>
      <c r="S1144">
        <v>27</v>
      </c>
      <c r="T1144" t="s">
        <v>31</v>
      </c>
      <c r="U1144" t="s">
        <v>79</v>
      </c>
      <c r="V1144" s="1">
        <v>45385</v>
      </c>
      <c r="W1144">
        <f>Table1[[#This Row],[customer_purchase count]]+1</f>
        <v>28</v>
      </c>
      <c r="X1144">
        <f>Table1[[#This Row],[customer_purchase count]]*Rules!$B$3</f>
        <v>1613.6376923076923</v>
      </c>
      <c r="Y1144" t="str">
        <f>IF(Table1[[#This Row],[customer_subscription]]=1,"Subscribed","Not Subscribed")</f>
        <v>Not Subscribed</v>
      </c>
    </row>
    <row r="1145" spans="1:26" x14ac:dyDescent="0.25">
      <c r="A1145">
        <v>1144</v>
      </c>
      <c r="B1145">
        <v>68</v>
      </c>
      <c r="C1145" t="s">
        <v>22</v>
      </c>
      <c r="D1145">
        <v>1144</v>
      </c>
      <c r="E1145" t="s">
        <v>140</v>
      </c>
      <c r="F1145" t="s">
        <v>45</v>
      </c>
      <c r="G1145">
        <v>1144</v>
      </c>
      <c r="H1145">
        <v>1571</v>
      </c>
      <c r="I1145">
        <v>23</v>
      </c>
      <c r="J1145" t="s">
        <v>110</v>
      </c>
      <c r="K1145" t="s">
        <v>26</v>
      </c>
      <c r="L1145" t="s">
        <v>88</v>
      </c>
      <c r="M1145" t="s">
        <v>28</v>
      </c>
      <c r="N1145">
        <v>4.4000000000000004</v>
      </c>
      <c r="O1145">
        <v>0</v>
      </c>
      <c r="P1145" t="s">
        <v>57</v>
      </c>
      <c r="Q1145" t="s">
        <v>30</v>
      </c>
      <c r="R1145" t="s">
        <v>30</v>
      </c>
      <c r="S1145">
        <v>43</v>
      </c>
      <c r="T1145" t="s">
        <v>49</v>
      </c>
      <c r="U1145" t="s">
        <v>61</v>
      </c>
      <c r="V1145" s="1">
        <v>45315</v>
      </c>
      <c r="W1145">
        <f>Table1[[#This Row],[customer_purchase count]]+1</f>
        <v>44</v>
      </c>
      <c r="X1145">
        <f>Table1[[#This Row],[customer_purchase count]]*Rules!$B$3</f>
        <v>2569.8674358974358</v>
      </c>
      <c r="Y1145" t="str">
        <f>IF(Table1[[#This Row],[customer_subscription]]=1,"Subscribed","Not Subscribed")</f>
        <v>Not Subscribed</v>
      </c>
    </row>
    <row r="1146" spans="1:26" x14ac:dyDescent="0.25">
      <c r="A1146">
        <v>1145</v>
      </c>
      <c r="B1146">
        <v>41</v>
      </c>
      <c r="C1146" t="s">
        <v>22</v>
      </c>
      <c r="D1146">
        <v>1145</v>
      </c>
      <c r="E1146" t="s">
        <v>37</v>
      </c>
      <c r="F1146" t="s">
        <v>24</v>
      </c>
      <c r="G1146">
        <v>1145</v>
      </c>
      <c r="H1146">
        <v>1573</v>
      </c>
      <c r="I1146">
        <v>54</v>
      </c>
      <c r="J1146" t="s">
        <v>134</v>
      </c>
      <c r="K1146" t="s">
        <v>39</v>
      </c>
      <c r="L1146" t="s">
        <v>129</v>
      </c>
      <c r="M1146" t="s">
        <v>60</v>
      </c>
      <c r="N1146">
        <v>4.4000000000000004</v>
      </c>
      <c r="O1146">
        <v>0</v>
      </c>
      <c r="P1146" t="s">
        <v>73</v>
      </c>
      <c r="Q1146" t="s">
        <v>30</v>
      </c>
      <c r="R1146" t="s">
        <v>30</v>
      </c>
      <c r="S1146">
        <v>25</v>
      </c>
      <c r="T1146" t="s">
        <v>78</v>
      </c>
      <c r="U1146" t="s">
        <v>32</v>
      </c>
      <c r="V1146" s="1">
        <v>45541</v>
      </c>
      <c r="W1146">
        <f>Table1[[#This Row],[customer_purchase count]]+1</f>
        <v>26</v>
      </c>
      <c r="X1146">
        <f>Table1[[#This Row],[customer_purchase count]]*Rules!$B$3</f>
        <v>1494.1089743589744</v>
      </c>
      <c r="Y1146" t="str">
        <f>IF(Table1[[#This Row],[customer_subscription]]=1,"Subscribed","Not Subscribed")</f>
        <v>Not Subscribed</v>
      </c>
    </row>
    <row r="1147" spans="1:26" x14ac:dyDescent="0.25">
      <c r="A1147">
        <v>1146</v>
      </c>
      <c r="B1147">
        <v>31</v>
      </c>
      <c r="C1147" t="s">
        <v>22</v>
      </c>
      <c r="D1147">
        <v>1146</v>
      </c>
      <c r="E1147" t="s">
        <v>53</v>
      </c>
      <c r="F1147" t="s">
        <v>45</v>
      </c>
      <c r="G1147">
        <v>1146</v>
      </c>
      <c r="H1147">
        <v>1574</v>
      </c>
      <c r="I1147">
        <v>89</v>
      </c>
      <c r="J1147" t="s">
        <v>110</v>
      </c>
      <c r="K1147" t="s">
        <v>26</v>
      </c>
      <c r="L1147" t="s">
        <v>72</v>
      </c>
      <c r="M1147" t="s">
        <v>56</v>
      </c>
      <c r="N1147">
        <v>3</v>
      </c>
      <c r="O1147">
        <v>0</v>
      </c>
      <c r="P1147" t="s">
        <v>29</v>
      </c>
      <c r="Q1147" t="s">
        <v>30</v>
      </c>
      <c r="R1147" t="s">
        <v>30</v>
      </c>
      <c r="S1147">
        <v>30</v>
      </c>
      <c r="T1147" t="s">
        <v>36</v>
      </c>
      <c r="U1147" t="s">
        <v>100</v>
      </c>
      <c r="V1147" s="1">
        <v>45500</v>
      </c>
      <c r="W1147">
        <f>Table1[[#This Row],[customer_purchase count]]+1</f>
        <v>31</v>
      </c>
      <c r="X1147">
        <f>Table1[[#This Row],[customer_purchase count]]*Rules!$B$3</f>
        <v>1792.9307692307693</v>
      </c>
      <c r="Y1147" t="str">
        <f>IF(Table1[[#This Row],[customer_subscription]]=1,"Subscribed","Not Subscribed")</f>
        <v>Not Subscribed</v>
      </c>
    </row>
    <row r="1148" spans="1:26" x14ac:dyDescent="0.25">
      <c r="A1148">
        <v>1147</v>
      </c>
      <c r="B1148">
        <v>48</v>
      </c>
      <c r="C1148" t="s">
        <v>22</v>
      </c>
      <c r="D1148">
        <v>1147</v>
      </c>
      <c r="E1148" t="s">
        <v>53</v>
      </c>
      <c r="F1148" t="s">
        <v>45</v>
      </c>
      <c r="G1148">
        <v>1147</v>
      </c>
      <c r="H1148">
        <v>1575</v>
      </c>
      <c r="I1148">
        <v>38</v>
      </c>
      <c r="J1148" t="s">
        <v>153</v>
      </c>
      <c r="K1148" t="s">
        <v>47</v>
      </c>
      <c r="L1148" t="s">
        <v>129</v>
      </c>
      <c r="M1148" t="s">
        <v>56</v>
      </c>
      <c r="N1148">
        <v>4.2</v>
      </c>
      <c r="O1148">
        <v>0</v>
      </c>
      <c r="P1148" t="s">
        <v>57</v>
      </c>
      <c r="Q1148" t="s">
        <v>30</v>
      </c>
      <c r="R1148" t="s">
        <v>30</v>
      </c>
      <c r="S1148">
        <v>7</v>
      </c>
      <c r="T1148" t="s">
        <v>78</v>
      </c>
      <c r="U1148" t="s">
        <v>100</v>
      </c>
      <c r="V1148" s="1">
        <v>45520</v>
      </c>
      <c r="W1148">
        <f>Table1[[#This Row],[customer_purchase count]]+1</f>
        <v>8</v>
      </c>
      <c r="X1148">
        <f>Table1[[#This Row],[customer_purchase count]]*Rules!$B$3</f>
        <v>418.35051282051285</v>
      </c>
      <c r="Y1148" t="str">
        <f>IF(Table1[[#This Row],[customer_subscription]]=1,"Subscribed","Not Subscribed")</f>
        <v>Not Subscribed</v>
      </c>
      <c r="Z1148" t="s">
        <v>194</v>
      </c>
    </row>
    <row r="1149" spans="1:26" x14ac:dyDescent="0.25">
      <c r="A1149">
        <v>1148</v>
      </c>
      <c r="B1149">
        <v>59</v>
      </c>
      <c r="C1149" t="s">
        <v>22</v>
      </c>
      <c r="D1149">
        <v>1148</v>
      </c>
      <c r="E1149" t="s">
        <v>127</v>
      </c>
      <c r="F1149" t="s">
        <v>70</v>
      </c>
      <c r="G1149">
        <v>1148</v>
      </c>
      <c r="H1149">
        <v>1576</v>
      </c>
      <c r="I1149">
        <v>36</v>
      </c>
      <c r="J1149" t="s">
        <v>125</v>
      </c>
      <c r="K1149" t="s">
        <v>95</v>
      </c>
      <c r="L1149" t="s">
        <v>111</v>
      </c>
      <c r="M1149" t="s">
        <v>28</v>
      </c>
      <c r="N1149">
        <v>4.3</v>
      </c>
      <c r="O1149">
        <v>0</v>
      </c>
      <c r="P1149" t="s">
        <v>48</v>
      </c>
      <c r="Q1149" t="s">
        <v>30</v>
      </c>
      <c r="R1149" t="s">
        <v>30</v>
      </c>
      <c r="S1149">
        <v>17</v>
      </c>
      <c r="T1149" t="s">
        <v>89</v>
      </c>
      <c r="U1149" t="s">
        <v>52</v>
      </c>
      <c r="V1149" s="1">
        <v>45311</v>
      </c>
      <c r="W1149">
        <f>Table1[[#This Row],[customer_purchase count]]+1</f>
        <v>18</v>
      </c>
      <c r="X1149">
        <f>Table1[[#This Row],[customer_purchase count]]*Rules!$B$3</f>
        <v>1015.9941025641026</v>
      </c>
      <c r="Y1149" t="str">
        <f>IF(Table1[[#This Row],[customer_subscription]]=1,"Subscribed","Not Subscribed")</f>
        <v>Not Subscribed</v>
      </c>
      <c r="Z1149" t="s">
        <v>194</v>
      </c>
    </row>
    <row r="1150" spans="1:26" x14ac:dyDescent="0.25">
      <c r="A1150">
        <v>1149</v>
      </c>
      <c r="B1150">
        <v>34</v>
      </c>
      <c r="C1150" t="s">
        <v>22</v>
      </c>
      <c r="D1150">
        <v>1149</v>
      </c>
      <c r="E1150" t="s">
        <v>98</v>
      </c>
      <c r="F1150" t="s">
        <v>24</v>
      </c>
      <c r="G1150">
        <v>1149</v>
      </c>
      <c r="H1150">
        <v>1577</v>
      </c>
      <c r="I1150">
        <v>66</v>
      </c>
      <c r="J1150" t="s">
        <v>106</v>
      </c>
      <c r="K1150" t="s">
        <v>47</v>
      </c>
      <c r="L1150" t="s">
        <v>86</v>
      </c>
      <c r="M1150" t="s">
        <v>40</v>
      </c>
      <c r="N1150">
        <v>2.6</v>
      </c>
      <c r="O1150">
        <v>0</v>
      </c>
      <c r="P1150" t="s">
        <v>77</v>
      </c>
      <c r="Q1150" t="s">
        <v>30</v>
      </c>
      <c r="R1150" t="s">
        <v>30</v>
      </c>
      <c r="S1150">
        <v>10</v>
      </c>
      <c r="T1150" t="s">
        <v>49</v>
      </c>
      <c r="U1150" t="s">
        <v>32</v>
      </c>
      <c r="V1150" s="1">
        <v>45415</v>
      </c>
      <c r="W1150">
        <f>Table1[[#This Row],[customer_purchase count]]+1</f>
        <v>11</v>
      </c>
      <c r="X1150">
        <f>Table1[[#This Row],[customer_purchase count]]*Rules!$B$3</f>
        <v>597.64358974358981</v>
      </c>
      <c r="Y1150" t="str">
        <f>IF(Table1[[#This Row],[customer_subscription]]=1,"Subscribed","Not Subscribed")</f>
        <v>Not Subscribed</v>
      </c>
      <c r="Z1150" t="s">
        <v>194</v>
      </c>
    </row>
    <row r="1151" spans="1:26" x14ac:dyDescent="0.25">
      <c r="A1151">
        <v>1150</v>
      </c>
      <c r="B1151">
        <v>21</v>
      </c>
      <c r="C1151" t="s">
        <v>22</v>
      </c>
      <c r="D1151">
        <v>1150</v>
      </c>
      <c r="E1151" t="s">
        <v>109</v>
      </c>
      <c r="F1151" t="s">
        <v>70</v>
      </c>
      <c r="G1151">
        <v>1150</v>
      </c>
      <c r="H1151">
        <v>1579</v>
      </c>
      <c r="I1151">
        <v>42</v>
      </c>
      <c r="J1151" t="s">
        <v>145</v>
      </c>
      <c r="K1151" t="s">
        <v>26</v>
      </c>
      <c r="L1151" t="s">
        <v>112</v>
      </c>
      <c r="M1151" t="s">
        <v>40</v>
      </c>
      <c r="N1151">
        <v>3.3</v>
      </c>
      <c r="O1151">
        <v>0</v>
      </c>
      <c r="P1151" t="s">
        <v>77</v>
      </c>
      <c r="Q1151" t="s">
        <v>30</v>
      </c>
      <c r="R1151" t="s">
        <v>30</v>
      </c>
      <c r="S1151">
        <v>40</v>
      </c>
      <c r="T1151" t="s">
        <v>31</v>
      </c>
      <c r="U1151" t="s">
        <v>52</v>
      </c>
      <c r="V1151" s="1">
        <v>45369</v>
      </c>
      <c r="W1151">
        <f>Table1[[#This Row],[customer_purchase count]]+1</f>
        <v>41</v>
      </c>
      <c r="X1151">
        <f>Table1[[#This Row],[customer_purchase count]]*Rules!$B$3</f>
        <v>2390.5743589743593</v>
      </c>
      <c r="Y1151" t="str">
        <f>IF(Table1[[#This Row],[customer_subscription]]=1,"Subscribed","Not Subscribed")</f>
        <v>Not Subscribed</v>
      </c>
    </row>
    <row r="1152" spans="1:26" x14ac:dyDescent="0.25">
      <c r="A1152">
        <v>1151</v>
      </c>
      <c r="B1152">
        <v>29</v>
      </c>
      <c r="C1152" t="s">
        <v>22</v>
      </c>
      <c r="D1152">
        <v>1151</v>
      </c>
      <c r="E1152" t="s">
        <v>109</v>
      </c>
      <c r="F1152" t="s">
        <v>70</v>
      </c>
      <c r="G1152">
        <v>1151</v>
      </c>
      <c r="H1152">
        <v>1580</v>
      </c>
      <c r="I1152">
        <v>36</v>
      </c>
      <c r="J1152" t="s">
        <v>25</v>
      </c>
      <c r="K1152" t="s">
        <v>39</v>
      </c>
      <c r="L1152" t="s">
        <v>111</v>
      </c>
      <c r="M1152" t="s">
        <v>28</v>
      </c>
      <c r="N1152">
        <v>2.7</v>
      </c>
      <c r="O1152">
        <v>0</v>
      </c>
      <c r="P1152" t="s">
        <v>48</v>
      </c>
      <c r="Q1152" t="s">
        <v>30</v>
      </c>
      <c r="R1152" t="s">
        <v>30</v>
      </c>
      <c r="S1152">
        <v>50</v>
      </c>
      <c r="T1152" t="s">
        <v>31</v>
      </c>
      <c r="U1152" t="s">
        <v>79</v>
      </c>
      <c r="V1152" s="1">
        <v>45310</v>
      </c>
      <c r="W1152">
        <f>Table1[[#This Row],[customer_purchase count]]+1</f>
        <v>51</v>
      </c>
      <c r="X1152">
        <f>Table1[[#This Row],[customer_purchase count]]*Rules!$B$3</f>
        <v>2988.2179487179487</v>
      </c>
      <c r="Y1152" t="str">
        <f>IF(Table1[[#This Row],[customer_subscription]]=1,"Subscribed","Not Subscribed")</f>
        <v>Not Subscribed</v>
      </c>
    </row>
    <row r="1153" spans="1:26" x14ac:dyDescent="0.25">
      <c r="A1153">
        <v>1152</v>
      </c>
      <c r="B1153">
        <v>41</v>
      </c>
      <c r="C1153" t="s">
        <v>22</v>
      </c>
      <c r="D1153">
        <v>1152</v>
      </c>
      <c r="E1153" t="s">
        <v>23</v>
      </c>
      <c r="F1153" t="s">
        <v>24</v>
      </c>
      <c r="G1153">
        <v>1152</v>
      </c>
      <c r="H1153">
        <v>1581</v>
      </c>
      <c r="I1153">
        <v>86</v>
      </c>
      <c r="J1153" t="s">
        <v>126</v>
      </c>
      <c r="K1153" t="s">
        <v>47</v>
      </c>
      <c r="L1153" t="s">
        <v>27</v>
      </c>
      <c r="M1153" t="s">
        <v>40</v>
      </c>
      <c r="N1153">
        <v>4.2</v>
      </c>
      <c r="O1153">
        <v>0</v>
      </c>
      <c r="P1153" t="s">
        <v>29</v>
      </c>
      <c r="Q1153" t="s">
        <v>30</v>
      </c>
      <c r="R1153" t="s">
        <v>30</v>
      </c>
      <c r="S1153">
        <v>24</v>
      </c>
      <c r="T1153" t="s">
        <v>42</v>
      </c>
      <c r="U1153" t="s">
        <v>43</v>
      </c>
      <c r="V1153" s="1">
        <v>45370</v>
      </c>
      <c r="W1153">
        <f>Table1[[#This Row],[customer_purchase count]]+1</f>
        <v>25</v>
      </c>
      <c r="X1153">
        <f>Table1[[#This Row],[customer_purchase count]]*Rules!$B$3</f>
        <v>1434.3446153846155</v>
      </c>
      <c r="Y1153" t="str">
        <f>IF(Table1[[#This Row],[customer_subscription]]=1,"Subscribed","Not Subscribed")</f>
        <v>Not Subscribed</v>
      </c>
    </row>
    <row r="1154" spans="1:26" x14ac:dyDescent="0.25">
      <c r="A1154">
        <v>1153</v>
      </c>
      <c r="B1154">
        <v>62</v>
      </c>
      <c r="C1154" t="s">
        <v>22</v>
      </c>
      <c r="D1154">
        <v>1153</v>
      </c>
      <c r="E1154" t="s">
        <v>69</v>
      </c>
      <c r="F1154" t="s">
        <v>70</v>
      </c>
      <c r="G1154">
        <v>1153</v>
      </c>
      <c r="H1154">
        <v>1582</v>
      </c>
      <c r="I1154">
        <v>49</v>
      </c>
      <c r="J1154" t="s">
        <v>142</v>
      </c>
      <c r="K1154" t="s">
        <v>47</v>
      </c>
      <c r="L1154" t="s">
        <v>83</v>
      </c>
      <c r="M1154" t="s">
        <v>60</v>
      </c>
      <c r="N1154">
        <v>4</v>
      </c>
      <c r="O1154">
        <v>0</v>
      </c>
      <c r="P1154" t="s">
        <v>57</v>
      </c>
      <c r="Q1154" t="s">
        <v>30</v>
      </c>
      <c r="R1154" t="s">
        <v>30</v>
      </c>
      <c r="S1154">
        <v>8</v>
      </c>
      <c r="T1154" t="s">
        <v>49</v>
      </c>
      <c r="U1154" t="s">
        <v>100</v>
      </c>
      <c r="V1154" s="1">
        <v>45573</v>
      </c>
      <c r="W1154">
        <f>Table1[[#This Row],[customer_purchase count]]+1</f>
        <v>9</v>
      </c>
      <c r="X1154">
        <f>Table1[[#This Row],[customer_purchase count]]*Rules!$B$3</f>
        <v>478.11487179487182</v>
      </c>
      <c r="Y1154" t="str">
        <f>IF(Table1[[#This Row],[customer_subscription]]=1,"Subscribed","Not Subscribed")</f>
        <v>Not Subscribed</v>
      </c>
      <c r="Z1154" t="s">
        <v>194</v>
      </c>
    </row>
    <row r="1155" spans="1:26" x14ac:dyDescent="0.25">
      <c r="A1155">
        <v>1154</v>
      </c>
      <c r="B1155">
        <v>27</v>
      </c>
      <c r="C1155" t="s">
        <v>22</v>
      </c>
      <c r="D1155">
        <v>1154</v>
      </c>
      <c r="E1155" t="s">
        <v>58</v>
      </c>
      <c r="F1155" t="s">
        <v>24</v>
      </c>
      <c r="G1155">
        <v>1154</v>
      </c>
      <c r="H1155">
        <v>1583</v>
      </c>
      <c r="I1155">
        <v>41</v>
      </c>
      <c r="J1155" t="s">
        <v>138</v>
      </c>
      <c r="K1155" t="s">
        <v>47</v>
      </c>
      <c r="L1155" t="s">
        <v>72</v>
      </c>
      <c r="M1155" t="s">
        <v>56</v>
      </c>
      <c r="N1155">
        <v>4</v>
      </c>
      <c r="O1155">
        <v>0</v>
      </c>
      <c r="P1155" t="s">
        <v>41</v>
      </c>
      <c r="Q1155" t="s">
        <v>30</v>
      </c>
      <c r="R1155" t="s">
        <v>30</v>
      </c>
      <c r="S1155">
        <v>6</v>
      </c>
      <c r="T1155" t="s">
        <v>78</v>
      </c>
      <c r="U1155" t="s">
        <v>61</v>
      </c>
      <c r="V1155" s="1">
        <v>45492</v>
      </c>
      <c r="W1155">
        <f>Table1[[#This Row],[customer_purchase count]]+1</f>
        <v>7</v>
      </c>
      <c r="X1155">
        <f>Table1[[#This Row],[customer_purchase count]]*Rules!$B$3</f>
        <v>358.58615384615388</v>
      </c>
      <c r="Y1155" t="str">
        <f>IF(Table1[[#This Row],[customer_subscription]]=1,"Subscribed","Not Subscribed")</f>
        <v>Not Subscribed</v>
      </c>
      <c r="Z1155" t="s">
        <v>194</v>
      </c>
    </row>
    <row r="1156" spans="1:26" x14ac:dyDescent="0.25">
      <c r="A1156">
        <v>1155</v>
      </c>
      <c r="B1156">
        <v>49</v>
      </c>
      <c r="C1156" t="s">
        <v>22</v>
      </c>
      <c r="D1156">
        <v>1155</v>
      </c>
      <c r="E1156" t="s">
        <v>84</v>
      </c>
      <c r="F1156" t="s">
        <v>24</v>
      </c>
      <c r="G1156">
        <v>1155</v>
      </c>
      <c r="H1156">
        <v>1585</v>
      </c>
      <c r="I1156">
        <v>82</v>
      </c>
      <c r="J1156" t="s">
        <v>145</v>
      </c>
      <c r="K1156" t="s">
        <v>26</v>
      </c>
      <c r="L1156" t="s">
        <v>112</v>
      </c>
      <c r="M1156" t="s">
        <v>40</v>
      </c>
      <c r="N1156">
        <v>2.9</v>
      </c>
      <c r="O1156">
        <v>0</v>
      </c>
      <c r="P1156" t="s">
        <v>73</v>
      </c>
      <c r="Q1156" t="s">
        <v>30</v>
      </c>
      <c r="R1156" t="s">
        <v>30</v>
      </c>
      <c r="S1156">
        <v>44</v>
      </c>
      <c r="T1156" t="s">
        <v>42</v>
      </c>
      <c r="U1156" t="s">
        <v>79</v>
      </c>
      <c r="V1156" s="1">
        <v>45389</v>
      </c>
      <c r="W1156">
        <f>Table1[[#This Row],[customer_purchase count]]+1</f>
        <v>45</v>
      </c>
      <c r="X1156">
        <f>Table1[[#This Row],[customer_purchase count]]*Rules!$B$3</f>
        <v>2629.6317948717951</v>
      </c>
      <c r="Y1156" t="str">
        <f>IF(Table1[[#This Row],[customer_subscription]]=1,"Subscribed","Not Subscribed")</f>
        <v>Not Subscribed</v>
      </c>
    </row>
    <row r="1157" spans="1:26" x14ac:dyDescent="0.25">
      <c r="A1157">
        <v>1156</v>
      </c>
      <c r="B1157">
        <v>67</v>
      </c>
      <c r="C1157" t="s">
        <v>22</v>
      </c>
      <c r="D1157">
        <v>1156</v>
      </c>
      <c r="E1157" t="s">
        <v>116</v>
      </c>
      <c r="F1157" t="s">
        <v>24</v>
      </c>
      <c r="G1157">
        <v>1156</v>
      </c>
      <c r="H1157">
        <v>1586</v>
      </c>
      <c r="I1157">
        <v>53</v>
      </c>
      <c r="J1157" t="s">
        <v>125</v>
      </c>
      <c r="K1157" t="s">
        <v>39</v>
      </c>
      <c r="L1157" t="s">
        <v>111</v>
      </c>
      <c r="M1157" t="s">
        <v>60</v>
      </c>
      <c r="N1157">
        <v>2.6</v>
      </c>
      <c r="O1157">
        <v>0</v>
      </c>
      <c r="P1157" t="s">
        <v>29</v>
      </c>
      <c r="Q1157" t="s">
        <v>30</v>
      </c>
      <c r="R1157" t="s">
        <v>30</v>
      </c>
      <c r="S1157">
        <v>47</v>
      </c>
      <c r="T1157" t="s">
        <v>49</v>
      </c>
      <c r="U1157" t="s">
        <v>61</v>
      </c>
      <c r="V1157" s="1">
        <v>45600</v>
      </c>
      <c r="W1157">
        <f>Table1[[#This Row],[customer_purchase count]]+1</f>
        <v>48</v>
      </c>
      <c r="X1157">
        <f>Table1[[#This Row],[customer_purchase count]]*Rules!$B$3</f>
        <v>2808.9248717948717</v>
      </c>
      <c r="Y1157" t="str">
        <f>IF(Table1[[#This Row],[customer_subscription]]=1,"Subscribed","Not Subscribed")</f>
        <v>Not Subscribed</v>
      </c>
    </row>
    <row r="1158" spans="1:26" x14ac:dyDescent="0.25">
      <c r="A1158">
        <v>1157</v>
      </c>
      <c r="B1158">
        <v>20</v>
      </c>
      <c r="C1158" t="s">
        <v>22</v>
      </c>
      <c r="D1158">
        <v>1157</v>
      </c>
      <c r="E1158" t="s">
        <v>74</v>
      </c>
      <c r="F1158" t="s">
        <v>45</v>
      </c>
      <c r="G1158">
        <v>1157</v>
      </c>
      <c r="H1158">
        <v>1587</v>
      </c>
      <c r="I1158">
        <v>21</v>
      </c>
      <c r="J1158" t="s">
        <v>80</v>
      </c>
      <c r="K1158" t="s">
        <v>47</v>
      </c>
      <c r="L1158" t="s">
        <v>83</v>
      </c>
      <c r="M1158" t="s">
        <v>56</v>
      </c>
      <c r="N1158">
        <v>4.8</v>
      </c>
      <c r="O1158">
        <v>0</v>
      </c>
      <c r="P1158" t="s">
        <v>29</v>
      </c>
      <c r="Q1158" t="s">
        <v>30</v>
      </c>
      <c r="R1158" t="s">
        <v>30</v>
      </c>
      <c r="S1158">
        <v>6</v>
      </c>
      <c r="T1158" t="s">
        <v>31</v>
      </c>
      <c r="U1158" t="s">
        <v>100</v>
      </c>
      <c r="V1158" s="1">
        <v>45469</v>
      </c>
      <c r="W1158">
        <f>Table1[[#This Row],[customer_purchase count]]+1</f>
        <v>7</v>
      </c>
      <c r="X1158">
        <f>Table1[[#This Row],[customer_purchase count]]*Rules!$B$3</f>
        <v>358.58615384615388</v>
      </c>
      <c r="Y1158" t="str">
        <f>IF(Table1[[#This Row],[customer_subscription]]=1,"Subscribed","Not Subscribed")</f>
        <v>Not Subscribed</v>
      </c>
      <c r="Z1158" t="s">
        <v>194</v>
      </c>
    </row>
    <row r="1159" spans="1:26" x14ac:dyDescent="0.25">
      <c r="A1159">
        <v>1158</v>
      </c>
      <c r="B1159">
        <v>37</v>
      </c>
      <c r="C1159" t="s">
        <v>22</v>
      </c>
      <c r="D1159">
        <v>1158</v>
      </c>
      <c r="E1159" t="s">
        <v>136</v>
      </c>
      <c r="F1159" t="s">
        <v>70</v>
      </c>
      <c r="G1159">
        <v>1158</v>
      </c>
      <c r="H1159">
        <v>1588</v>
      </c>
      <c r="I1159">
        <v>66</v>
      </c>
      <c r="J1159" t="s">
        <v>131</v>
      </c>
      <c r="K1159" t="s">
        <v>47</v>
      </c>
      <c r="L1159" t="s">
        <v>64</v>
      </c>
      <c r="M1159" t="s">
        <v>60</v>
      </c>
      <c r="N1159">
        <v>4.4000000000000004</v>
      </c>
      <c r="O1159">
        <v>0</v>
      </c>
      <c r="P1159" t="s">
        <v>57</v>
      </c>
      <c r="Q1159" t="s">
        <v>30</v>
      </c>
      <c r="R1159" t="s">
        <v>30</v>
      </c>
      <c r="S1159">
        <v>11</v>
      </c>
      <c r="T1159" t="s">
        <v>36</v>
      </c>
      <c r="U1159" t="s">
        <v>61</v>
      </c>
      <c r="V1159" s="1">
        <v>45584</v>
      </c>
      <c r="W1159">
        <f>Table1[[#This Row],[customer_purchase count]]+1</f>
        <v>12</v>
      </c>
      <c r="X1159">
        <f>Table1[[#This Row],[customer_purchase count]]*Rules!$B$3</f>
        <v>657.40794871794878</v>
      </c>
      <c r="Y1159" t="str">
        <f>IF(Table1[[#This Row],[customer_subscription]]=1,"Subscribed","Not Subscribed")</f>
        <v>Not Subscribed</v>
      </c>
      <c r="Z1159" t="s">
        <v>194</v>
      </c>
    </row>
    <row r="1160" spans="1:26" x14ac:dyDescent="0.25">
      <c r="A1160">
        <v>1159</v>
      </c>
      <c r="B1160">
        <v>69</v>
      </c>
      <c r="C1160" t="s">
        <v>22</v>
      </c>
      <c r="D1160">
        <v>1159</v>
      </c>
      <c r="E1160" t="s">
        <v>136</v>
      </c>
      <c r="F1160" t="s">
        <v>70</v>
      </c>
      <c r="G1160">
        <v>1159</v>
      </c>
      <c r="H1160">
        <v>1589</v>
      </c>
      <c r="I1160">
        <v>89</v>
      </c>
      <c r="J1160" t="s">
        <v>110</v>
      </c>
      <c r="K1160" t="s">
        <v>26</v>
      </c>
      <c r="L1160" t="s">
        <v>124</v>
      </c>
      <c r="M1160" t="s">
        <v>56</v>
      </c>
      <c r="N1160">
        <v>4</v>
      </c>
      <c r="O1160">
        <v>0</v>
      </c>
      <c r="P1160" t="s">
        <v>73</v>
      </c>
      <c r="Q1160" t="s">
        <v>30</v>
      </c>
      <c r="R1160" t="s">
        <v>30</v>
      </c>
      <c r="S1160">
        <v>41</v>
      </c>
      <c r="T1160" t="s">
        <v>78</v>
      </c>
      <c r="U1160" t="s">
        <v>52</v>
      </c>
      <c r="V1160" s="1">
        <v>45516</v>
      </c>
      <c r="W1160">
        <f>Table1[[#This Row],[customer_purchase count]]+1</f>
        <v>42</v>
      </c>
      <c r="X1160">
        <f>Table1[[#This Row],[customer_purchase count]]*Rules!$B$3</f>
        <v>2450.3387179487181</v>
      </c>
      <c r="Y1160" t="str">
        <f>IF(Table1[[#This Row],[customer_subscription]]=1,"Subscribed","Not Subscribed")</f>
        <v>Not Subscribed</v>
      </c>
    </row>
    <row r="1161" spans="1:26" x14ac:dyDescent="0.25">
      <c r="A1161">
        <v>1160</v>
      </c>
      <c r="B1161">
        <v>66</v>
      </c>
      <c r="C1161" t="s">
        <v>22</v>
      </c>
      <c r="D1161">
        <v>1160</v>
      </c>
      <c r="E1161" t="s">
        <v>69</v>
      </c>
      <c r="F1161" t="s">
        <v>70</v>
      </c>
      <c r="G1161">
        <v>1160</v>
      </c>
      <c r="H1161">
        <v>1591</v>
      </c>
      <c r="I1161">
        <v>55</v>
      </c>
      <c r="J1161" t="s">
        <v>85</v>
      </c>
      <c r="K1161" t="s">
        <v>26</v>
      </c>
      <c r="L1161" t="s">
        <v>147</v>
      </c>
      <c r="M1161" t="s">
        <v>60</v>
      </c>
      <c r="N1161">
        <v>3.6</v>
      </c>
      <c r="O1161">
        <v>0</v>
      </c>
      <c r="P1161" t="s">
        <v>73</v>
      </c>
      <c r="Q1161" t="s">
        <v>30</v>
      </c>
      <c r="R1161" t="s">
        <v>30</v>
      </c>
      <c r="S1161">
        <v>46</v>
      </c>
      <c r="T1161" t="s">
        <v>31</v>
      </c>
      <c r="U1161" t="s">
        <v>100</v>
      </c>
      <c r="V1161" s="1">
        <v>45604</v>
      </c>
      <c r="W1161">
        <f>Table1[[#This Row],[customer_purchase count]]+1</f>
        <v>47</v>
      </c>
      <c r="X1161">
        <f>Table1[[#This Row],[customer_purchase count]]*Rules!$B$3</f>
        <v>2749.1605128205128</v>
      </c>
      <c r="Y1161" t="str">
        <f>IF(Table1[[#This Row],[customer_subscription]]=1,"Subscribed","Not Subscribed")</f>
        <v>Not Subscribed</v>
      </c>
    </row>
    <row r="1162" spans="1:26" x14ac:dyDescent="0.25">
      <c r="A1162">
        <v>1161</v>
      </c>
      <c r="B1162">
        <v>37</v>
      </c>
      <c r="C1162" t="s">
        <v>22</v>
      </c>
      <c r="D1162">
        <v>1161</v>
      </c>
      <c r="E1162" t="s">
        <v>122</v>
      </c>
      <c r="F1162" t="s">
        <v>70</v>
      </c>
      <c r="G1162">
        <v>1161</v>
      </c>
      <c r="H1162">
        <v>1592</v>
      </c>
      <c r="I1162">
        <v>42</v>
      </c>
      <c r="J1162" t="s">
        <v>117</v>
      </c>
      <c r="K1162" t="s">
        <v>39</v>
      </c>
      <c r="L1162" t="s">
        <v>147</v>
      </c>
      <c r="M1162" t="s">
        <v>56</v>
      </c>
      <c r="N1162">
        <v>3.2</v>
      </c>
      <c r="O1162">
        <v>0</v>
      </c>
      <c r="P1162" t="s">
        <v>48</v>
      </c>
      <c r="Q1162" t="s">
        <v>30</v>
      </c>
      <c r="R1162" t="s">
        <v>30</v>
      </c>
      <c r="S1162">
        <v>9</v>
      </c>
      <c r="T1162" t="s">
        <v>31</v>
      </c>
      <c r="U1162" t="s">
        <v>79</v>
      </c>
      <c r="V1162" s="1">
        <v>45469</v>
      </c>
      <c r="W1162">
        <f>Table1[[#This Row],[customer_purchase count]]+1</f>
        <v>10</v>
      </c>
      <c r="X1162">
        <f>Table1[[#This Row],[customer_purchase count]]*Rules!$B$3</f>
        <v>537.87923076923084</v>
      </c>
      <c r="Y1162" t="str">
        <f>IF(Table1[[#This Row],[customer_subscription]]=1,"Subscribed","Not Subscribed")</f>
        <v>Not Subscribed</v>
      </c>
      <c r="Z1162" t="s">
        <v>194</v>
      </c>
    </row>
    <row r="1163" spans="1:26" x14ac:dyDescent="0.25">
      <c r="A1163">
        <v>1162</v>
      </c>
      <c r="B1163">
        <v>63</v>
      </c>
      <c r="C1163" t="s">
        <v>22</v>
      </c>
      <c r="D1163">
        <v>1162</v>
      </c>
      <c r="E1163" t="s">
        <v>62</v>
      </c>
      <c r="F1163" t="s">
        <v>24</v>
      </c>
      <c r="G1163">
        <v>1162</v>
      </c>
      <c r="H1163">
        <v>1593</v>
      </c>
      <c r="I1163">
        <v>52</v>
      </c>
      <c r="J1163" t="s">
        <v>104</v>
      </c>
      <c r="K1163" t="s">
        <v>39</v>
      </c>
      <c r="L1163" t="s">
        <v>124</v>
      </c>
      <c r="M1163" t="s">
        <v>60</v>
      </c>
      <c r="N1163">
        <v>3.1</v>
      </c>
      <c r="O1163">
        <v>0</v>
      </c>
      <c r="P1163" t="s">
        <v>73</v>
      </c>
      <c r="Q1163" t="s">
        <v>30</v>
      </c>
      <c r="R1163" t="s">
        <v>30</v>
      </c>
      <c r="S1163">
        <v>37</v>
      </c>
      <c r="T1163" t="s">
        <v>49</v>
      </c>
      <c r="U1163" t="s">
        <v>91</v>
      </c>
      <c r="V1163" s="1">
        <v>45598</v>
      </c>
      <c r="W1163">
        <f>Table1[[#This Row],[customer_purchase count]]+1</f>
        <v>38</v>
      </c>
      <c r="X1163">
        <f>Table1[[#This Row],[customer_purchase count]]*Rules!$B$3</f>
        <v>2211.2812820512822</v>
      </c>
      <c r="Y1163" t="str">
        <f>IF(Table1[[#This Row],[customer_subscription]]=1,"Subscribed","Not Subscribed")</f>
        <v>Not Subscribed</v>
      </c>
    </row>
    <row r="1164" spans="1:26" x14ac:dyDescent="0.25">
      <c r="A1164">
        <v>1163</v>
      </c>
      <c r="B1164">
        <v>47</v>
      </c>
      <c r="C1164" t="s">
        <v>22</v>
      </c>
      <c r="D1164">
        <v>1163</v>
      </c>
      <c r="E1164" t="s">
        <v>44</v>
      </c>
      <c r="F1164" t="s">
        <v>45</v>
      </c>
      <c r="G1164">
        <v>1163</v>
      </c>
      <c r="H1164">
        <v>1594</v>
      </c>
      <c r="I1164">
        <v>92</v>
      </c>
      <c r="J1164" t="s">
        <v>101</v>
      </c>
      <c r="K1164" t="s">
        <v>47</v>
      </c>
      <c r="L1164" t="s">
        <v>147</v>
      </c>
      <c r="M1164" t="s">
        <v>28</v>
      </c>
      <c r="N1164">
        <v>4.2</v>
      </c>
      <c r="O1164">
        <v>0</v>
      </c>
      <c r="P1164" t="s">
        <v>29</v>
      </c>
      <c r="Q1164" t="s">
        <v>30</v>
      </c>
      <c r="R1164" t="s">
        <v>30</v>
      </c>
      <c r="S1164">
        <v>13</v>
      </c>
      <c r="T1164" t="s">
        <v>49</v>
      </c>
      <c r="U1164" t="s">
        <v>43</v>
      </c>
      <c r="V1164" s="1">
        <v>45636</v>
      </c>
      <c r="W1164">
        <f>Table1[[#This Row],[customer_purchase count]]+1</f>
        <v>14</v>
      </c>
      <c r="X1164">
        <f>Table1[[#This Row],[customer_purchase count]]*Rules!$B$3</f>
        <v>776.93666666666672</v>
      </c>
      <c r="Y1164" t="str">
        <f>IF(Table1[[#This Row],[customer_subscription]]=1,"Subscribed","Not Subscribed")</f>
        <v>Not Subscribed</v>
      </c>
      <c r="Z1164" t="s">
        <v>194</v>
      </c>
    </row>
    <row r="1165" spans="1:26" x14ac:dyDescent="0.25">
      <c r="A1165">
        <v>1164</v>
      </c>
      <c r="B1165">
        <v>26</v>
      </c>
      <c r="C1165" t="s">
        <v>22</v>
      </c>
      <c r="D1165">
        <v>1164</v>
      </c>
      <c r="E1165" t="s">
        <v>98</v>
      </c>
      <c r="F1165" t="s">
        <v>24</v>
      </c>
      <c r="G1165">
        <v>1164</v>
      </c>
      <c r="H1165">
        <v>1595</v>
      </c>
      <c r="I1165">
        <v>56</v>
      </c>
      <c r="J1165" t="s">
        <v>125</v>
      </c>
      <c r="K1165" t="s">
        <v>26</v>
      </c>
      <c r="L1165" t="s">
        <v>55</v>
      </c>
      <c r="M1165" t="s">
        <v>56</v>
      </c>
      <c r="N1165">
        <v>3</v>
      </c>
      <c r="O1165">
        <v>0</v>
      </c>
      <c r="P1165" t="s">
        <v>73</v>
      </c>
      <c r="Q1165" t="s">
        <v>30</v>
      </c>
      <c r="R1165" t="s">
        <v>30</v>
      </c>
      <c r="S1165">
        <v>24</v>
      </c>
      <c r="T1165" t="s">
        <v>89</v>
      </c>
      <c r="U1165" t="s">
        <v>91</v>
      </c>
      <c r="V1165" s="1">
        <v>45532</v>
      </c>
      <c r="W1165">
        <f>Table1[[#This Row],[customer_purchase count]]+1</f>
        <v>25</v>
      </c>
      <c r="X1165">
        <f>Table1[[#This Row],[customer_purchase count]]*Rules!$B$3</f>
        <v>1434.3446153846155</v>
      </c>
      <c r="Y1165" t="str">
        <f>IF(Table1[[#This Row],[customer_subscription]]=1,"Subscribed","Not Subscribed")</f>
        <v>Not Subscribed</v>
      </c>
    </row>
    <row r="1166" spans="1:26" x14ac:dyDescent="0.25">
      <c r="A1166">
        <v>1165</v>
      </c>
      <c r="B1166">
        <v>68</v>
      </c>
      <c r="C1166" t="s">
        <v>22</v>
      </c>
      <c r="D1166">
        <v>1165</v>
      </c>
      <c r="E1166" t="s">
        <v>84</v>
      </c>
      <c r="F1166" t="s">
        <v>24</v>
      </c>
      <c r="G1166">
        <v>1165</v>
      </c>
      <c r="H1166">
        <v>1597</v>
      </c>
      <c r="I1166">
        <v>96</v>
      </c>
      <c r="J1166" t="s">
        <v>59</v>
      </c>
      <c r="K1166" t="s">
        <v>47</v>
      </c>
      <c r="L1166" t="s">
        <v>99</v>
      </c>
      <c r="M1166" t="s">
        <v>28</v>
      </c>
      <c r="N1166">
        <v>4.2</v>
      </c>
      <c r="O1166">
        <v>0</v>
      </c>
      <c r="P1166" t="s">
        <v>57</v>
      </c>
      <c r="Q1166" t="s">
        <v>30</v>
      </c>
      <c r="R1166" t="s">
        <v>30</v>
      </c>
      <c r="S1166">
        <v>47</v>
      </c>
      <c r="T1166" t="s">
        <v>49</v>
      </c>
      <c r="U1166" t="s">
        <v>61</v>
      </c>
      <c r="V1166" s="1">
        <v>45646</v>
      </c>
      <c r="W1166">
        <f>Table1[[#This Row],[customer_purchase count]]+1</f>
        <v>48</v>
      </c>
      <c r="X1166">
        <f>Table1[[#This Row],[customer_purchase count]]*Rules!$B$3</f>
        <v>2808.9248717948717</v>
      </c>
      <c r="Y1166" t="str">
        <f>IF(Table1[[#This Row],[customer_subscription]]=1,"Subscribed","Not Subscribed")</f>
        <v>Not Subscribed</v>
      </c>
    </row>
    <row r="1167" spans="1:26" x14ac:dyDescent="0.25">
      <c r="A1167">
        <v>1166</v>
      </c>
      <c r="B1167">
        <v>51</v>
      </c>
      <c r="C1167" t="s">
        <v>22</v>
      </c>
      <c r="D1167">
        <v>1166</v>
      </c>
      <c r="E1167" t="s">
        <v>116</v>
      </c>
      <c r="F1167" t="s">
        <v>24</v>
      </c>
      <c r="G1167">
        <v>1166</v>
      </c>
      <c r="H1167">
        <v>1598</v>
      </c>
      <c r="I1167">
        <v>64</v>
      </c>
      <c r="J1167" t="s">
        <v>153</v>
      </c>
      <c r="K1167" t="s">
        <v>47</v>
      </c>
      <c r="L1167" t="s">
        <v>68</v>
      </c>
      <c r="M1167" t="s">
        <v>28</v>
      </c>
      <c r="N1167">
        <v>2.9</v>
      </c>
      <c r="O1167">
        <v>0</v>
      </c>
      <c r="P1167" t="s">
        <v>48</v>
      </c>
      <c r="Q1167" t="s">
        <v>30</v>
      </c>
      <c r="R1167" t="s">
        <v>30</v>
      </c>
      <c r="S1167">
        <v>21</v>
      </c>
      <c r="T1167" t="s">
        <v>31</v>
      </c>
      <c r="U1167" t="s">
        <v>100</v>
      </c>
      <c r="V1167" s="1">
        <v>45312</v>
      </c>
      <c r="W1167">
        <f>Table1[[#This Row],[customer_purchase count]]+1</f>
        <v>22</v>
      </c>
      <c r="X1167">
        <f>Table1[[#This Row],[customer_purchase count]]*Rules!$B$3</f>
        <v>1255.0515384615385</v>
      </c>
      <c r="Y1167" t="str">
        <f>IF(Table1[[#This Row],[customer_subscription]]=1,"Subscribed","Not Subscribed")</f>
        <v>Not Subscribed</v>
      </c>
    </row>
    <row r="1168" spans="1:26" x14ac:dyDescent="0.25">
      <c r="A1168">
        <v>1167</v>
      </c>
      <c r="B1168">
        <v>48</v>
      </c>
      <c r="C1168" t="s">
        <v>22</v>
      </c>
      <c r="D1168">
        <v>1167</v>
      </c>
      <c r="E1168" t="s">
        <v>84</v>
      </c>
      <c r="F1168" t="s">
        <v>24</v>
      </c>
      <c r="G1168">
        <v>1167</v>
      </c>
      <c r="H1168">
        <v>1599</v>
      </c>
      <c r="I1168">
        <v>48</v>
      </c>
      <c r="J1168" t="s">
        <v>142</v>
      </c>
      <c r="K1168" t="s">
        <v>39</v>
      </c>
      <c r="L1168" t="s">
        <v>96</v>
      </c>
      <c r="M1168" t="s">
        <v>28</v>
      </c>
      <c r="N1168">
        <v>3.7</v>
      </c>
      <c r="O1168">
        <v>0</v>
      </c>
      <c r="P1168" t="s">
        <v>77</v>
      </c>
      <c r="Q1168" t="s">
        <v>30</v>
      </c>
      <c r="R1168" t="s">
        <v>30</v>
      </c>
      <c r="S1168">
        <v>22</v>
      </c>
      <c r="T1168" t="s">
        <v>31</v>
      </c>
      <c r="U1168" t="s">
        <v>32</v>
      </c>
      <c r="V1168" s="1">
        <v>45332</v>
      </c>
      <c r="W1168">
        <f>Table1[[#This Row],[customer_purchase count]]+1</f>
        <v>23</v>
      </c>
      <c r="X1168">
        <f>Table1[[#This Row],[customer_purchase count]]*Rules!$B$3</f>
        <v>1314.8158974358976</v>
      </c>
      <c r="Y1168" t="str">
        <f>IF(Table1[[#This Row],[customer_subscription]]=1,"Subscribed","Not Subscribed")</f>
        <v>Not Subscribed</v>
      </c>
    </row>
    <row r="1169" spans="1:26" x14ac:dyDescent="0.25">
      <c r="A1169">
        <v>1168</v>
      </c>
      <c r="B1169">
        <v>60</v>
      </c>
      <c r="C1169" t="s">
        <v>22</v>
      </c>
      <c r="D1169">
        <v>1168</v>
      </c>
      <c r="E1169" t="s">
        <v>128</v>
      </c>
      <c r="F1169" t="s">
        <v>24</v>
      </c>
      <c r="G1169">
        <v>1168</v>
      </c>
      <c r="H1169">
        <v>1600</v>
      </c>
      <c r="I1169">
        <v>83</v>
      </c>
      <c r="J1169" t="s">
        <v>130</v>
      </c>
      <c r="K1169" t="s">
        <v>95</v>
      </c>
      <c r="L1169" t="s">
        <v>121</v>
      </c>
      <c r="M1169" t="s">
        <v>56</v>
      </c>
      <c r="N1169">
        <v>3.6</v>
      </c>
      <c r="O1169">
        <v>0</v>
      </c>
      <c r="P1169" t="s">
        <v>41</v>
      </c>
      <c r="Q1169" t="s">
        <v>30</v>
      </c>
      <c r="R1169" t="s">
        <v>30</v>
      </c>
      <c r="S1169">
        <v>16</v>
      </c>
      <c r="T1169" t="s">
        <v>49</v>
      </c>
      <c r="U1169" t="s">
        <v>61</v>
      </c>
      <c r="V1169" s="1">
        <v>45457</v>
      </c>
      <c r="W1169">
        <f>Table1[[#This Row],[customer_purchase count]]+1</f>
        <v>17</v>
      </c>
      <c r="X1169">
        <f>Table1[[#This Row],[customer_purchase count]]*Rules!$B$3</f>
        <v>956.22974358974363</v>
      </c>
      <c r="Y1169" t="str">
        <f>IF(Table1[[#This Row],[customer_subscription]]=1,"Subscribed","Not Subscribed")</f>
        <v>Not Subscribed</v>
      </c>
      <c r="Z1169" t="s">
        <v>194</v>
      </c>
    </row>
    <row r="1170" spans="1:26" x14ac:dyDescent="0.25">
      <c r="A1170">
        <v>1169</v>
      </c>
      <c r="B1170">
        <v>68</v>
      </c>
      <c r="C1170" t="s">
        <v>22</v>
      </c>
      <c r="D1170">
        <v>1169</v>
      </c>
      <c r="E1170" t="s">
        <v>122</v>
      </c>
      <c r="F1170" t="s">
        <v>70</v>
      </c>
      <c r="G1170">
        <v>1169</v>
      </c>
      <c r="H1170">
        <v>1601</v>
      </c>
      <c r="I1170">
        <v>91</v>
      </c>
      <c r="J1170" t="s">
        <v>94</v>
      </c>
      <c r="K1170" t="s">
        <v>26</v>
      </c>
      <c r="L1170" t="s">
        <v>86</v>
      </c>
      <c r="M1170" t="s">
        <v>56</v>
      </c>
      <c r="N1170">
        <v>3.6</v>
      </c>
      <c r="O1170">
        <v>0</v>
      </c>
      <c r="P1170" t="s">
        <v>57</v>
      </c>
      <c r="Q1170" t="s">
        <v>30</v>
      </c>
      <c r="R1170" t="s">
        <v>30</v>
      </c>
      <c r="S1170">
        <v>37</v>
      </c>
      <c r="T1170" t="s">
        <v>89</v>
      </c>
      <c r="U1170" t="s">
        <v>32</v>
      </c>
      <c r="V1170" s="1">
        <v>45463</v>
      </c>
      <c r="W1170">
        <f>Table1[[#This Row],[customer_purchase count]]+1</f>
        <v>38</v>
      </c>
      <c r="X1170">
        <f>Table1[[#This Row],[customer_purchase count]]*Rules!$B$3</f>
        <v>2211.2812820512822</v>
      </c>
      <c r="Y1170" t="str">
        <f>IF(Table1[[#This Row],[customer_subscription]]=1,"Subscribed","Not Subscribed")</f>
        <v>Not Subscribed</v>
      </c>
    </row>
    <row r="1171" spans="1:26" x14ac:dyDescent="0.25">
      <c r="A1171">
        <v>1170</v>
      </c>
      <c r="B1171">
        <v>25</v>
      </c>
      <c r="C1171" t="s">
        <v>22</v>
      </c>
      <c r="D1171">
        <v>1170</v>
      </c>
      <c r="E1171" t="s">
        <v>135</v>
      </c>
      <c r="F1171" t="s">
        <v>70</v>
      </c>
      <c r="G1171">
        <v>1170</v>
      </c>
      <c r="H1171">
        <v>1603</v>
      </c>
      <c r="I1171">
        <v>94</v>
      </c>
      <c r="J1171" t="s">
        <v>54</v>
      </c>
      <c r="K1171" t="s">
        <v>39</v>
      </c>
      <c r="L1171" t="s">
        <v>27</v>
      </c>
      <c r="M1171" t="s">
        <v>60</v>
      </c>
      <c r="N1171">
        <v>4.5</v>
      </c>
      <c r="O1171">
        <v>0</v>
      </c>
      <c r="P1171" t="s">
        <v>73</v>
      </c>
      <c r="Q1171" t="s">
        <v>30</v>
      </c>
      <c r="R1171" t="s">
        <v>30</v>
      </c>
      <c r="S1171">
        <v>3</v>
      </c>
      <c r="T1171" t="s">
        <v>36</v>
      </c>
      <c r="U1171" t="s">
        <v>52</v>
      </c>
      <c r="V1171" s="1">
        <v>45550</v>
      </c>
      <c r="W1171">
        <f>Table1[[#This Row],[customer_purchase count]]+1</f>
        <v>4</v>
      </c>
      <c r="X1171">
        <f>Table1[[#This Row],[customer_purchase count]]*Rules!$B$3</f>
        <v>179.29307692307694</v>
      </c>
      <c r="Y1171" t="str">
        <f>IF(Table1[[#This Row],[customer_subscription]]=1,"Subscribed","Not Subscribed")</f>
        <v>Not Subscribed</v>
      </c>
      <c r="Z1171" t="s">
        <v>194</v>
      </c>
    </row>
    <row r="1172" spans="1:26" x14ac:dyDescent="0.25">
      <c r="A1172">
        <v>1171</v>
      </c>
      <c r="B1172">
        <v>57</v>
      </c>
      <c r="C1172" t="s">
        <v>22</v>
      </c>
      <c r="D1172">
        <v>1171</v>
      </c>
      <c r="E1172" t="s">
        <v>90</v>
      </c>
      <c r="F1172" t="s">
        <v>24</v>
      </c>
      <c r="G1172">
        <v>1171</v>
      </c>
      <c r="H1172">
        <v>1604</v>
      </c>
      <c r="I1172">
        <v>62</v>
      </c>
      <c r="J1172" t="s">
        <v>118</v>
      </c>
      <c r="K1172" t="s">
        <v>39</v>
      </c>
      <c r="L1172" t="s">
        <v>111</v>
      </c>
      <c r="M1172" t="s">
        <v>40</v>
      </c>
      <c r="N1172">
        <v>3.2</v>
      </c>
      <c r="O1172">
        <v>0</v>
      </c>
      <c r="P1172" t="s">
        <v>29</v>
      </c>
      <c r="Q1172" t="s">
        <v>30</v>
      </c>
      <c r="R1172" t="s">
        <v>30</v>
      </c>
      <c r="S1172">
        <v>33</v>
      </c>
      <c r="T1172" t="s">
        <v>36</v>
      </c>
      <c r="U1172" t="s">
        <v>79</v>
      </c>
      <c r="V1172" s="1">
        <v>45397</v>
      </c>
      <c r="W1172">
        <f>Table1[[#This Row],[customer_purchase count]]+1</f>
        <v>34</v>
      </c>
      <c r="X1172">
        <f>Table1[[#This Row],[customer_purchase count]]*Rules!$B$3</f>
        <v>1972.2238461538464</v>
      </c>
      <c r="Y1172" t="str">
        <f>IF(Table1[[#This Row],[customer_subscription]]=1,"Subscribed","Not Subscribed")</f>
        <v>Not Subscribed</v>
      </c>
    </row>
    <row r="1173" spans="1:26" x14ac:dyDescent="0.25">
      <c r="A1173">
        <v>1172</v>
      </c>
      <c r="B1173">
        <v>41</v>
      </c>
      <c r="C1173" t="s">
        <v>22</v>
      </c>
      <c r="D1173">
        <v>1172</v>
      </c>
      <c r="E1173" t="s">
        <v>128</v>
      </c>
      <c r="F1173" t="s">
        <v>24</v>
      </c>
      <c r="G1173">
        <v>1172</v>
      </c>
      <c r="H1173">
        <v>1605</v>
      </c>
      <c r="I1173">
        <v>55</v>
      </c>
      <c r="J1173" t="s">
        <v>63</v>
      </c>
      <c r="K1173" t="s">
        <v>47</v>
      </c>
      <c r="L1173" t="s">
        <v>96</v>
      </c>
      <c r="M1173" t="s">
        <v>40</v>
      </c>
      <c r="N1173">
        <v>3.9</v>
      </c>
      <c r="O1173">
        <v>0</v>
      </c>
      <c r="P1173" t="s">
        <v>48</v>
      </c>
      <c r="Q1173" t="s">
        <v>30</v>
      </c>
      <c r="R1173" t="s">
        <v>30</v>
      </c>
      <c r="S1173">
        <v>15</v>
      </c>
      <c r="T1173" t="s">
        <v>89</v>
      </c>
      <c r="U1173" t="s">
        <v>52</v>
      </c>
      <c r="V1173" s="1">
        <v>45417</v>
      </c>
      <c r="W1173">
        <f>Table1[[#This Row],[customer_purchase count]]+1</f>
        <v>16</v>
      </c>
      <c r="X1173">
        <f>Table1[[#This Row],[customer_purchase count]]*Rules!$B$3</f>
        <v>896.46538461538466</v>
      </c>
      <c r="Y1173" t="str">
        <f>IF(Table1[[#This Row],[customer_subscription]]=1,"Subscribed","Not Subscribed")</f>
        <v>Not Subscribed</v>
      </c>
      <c r="Z1173" t="s">
        <v>194</v>
      </c>
    </row>
    <row r="1174" spans="1:26" x14ac:dyDescent="0.25">
      <c r="A1174">
        <v>1173</v>
      </c>
      <c r="B1174">
        <v>59</v>
      </c>
      <c r="C1174" t="s">
        <v>22</v>
      </c>
      <c r="D1174">
        <v>1173</v>
      </c>
      <c r="E1174" t="s">
        <v>65</v>
      </c>
      <c r="F1174" t="s">
        <v>66</v>
      </c>
      <c r="G1174">
        <v>1173</v>
      </c>
      <c r="H1174">
        <v>1606</v>
      </c>
      <c r="I1174">
        <v>68</v>
      </c>
      <c r="J1174" t="s">
        <v>50</v>
      </c>
      <c r="K1174" t="s">
        <v>26</v>
      </c>
      <c r="L1174" t="s">
        <v>103</v>
      </c>
      <c r="M1174" t="s">
        <v>40</v>
      </c>
      <c r="N1174">
        <v>4.5999999999999996</v>
      </c>
      <c r="O1174">
        <v>0</v>
      </c>
      <c r="P1174" t="s">
        <v>77</v>
      </c>
      <c r="Q1174" t="s">
        <v>30</v>
      </c>
      <c r="R1174" t="s">
        <v>30</v>
      </c>
      <c r="S1174">
        <v>42</v>
      </c>
      <c r="T1174" t="s">
        <v>78</v>
      </c>
      <c r="U1174" t="s">
        <v>79</v>
      </c>
      <c r="V1174" s="1">
        <v>45413</v>
      </c>
      <c r="W1174">
        <f>Table1[[#This Row],[customer_purchase count]]+1</f>
        <v>43</v>
      </c>
      <c r="X1174">
        <f>Table1[[#This Row],[customer_purchase count]]*Rules!$B$3</f>
        <v>2510.103076923077</v>
      </c>
      <c r="Y1174" t="str">
        <f>IF(Table1[[#This Row],[customer_subscription]]=1,"Subscribed","Not Subscribed")</f>
        <v>Not Subscribed</v>
      </c>
    </row>
    <row r="1175" spans="1:26" x14ac:dyDescent="0.25">
      <c r="A1175">
        <v>1174</v>
      </c>
      <c r="B1175">
        <v>44</v>
      </c>
      <c r="C1175" t="s">
        <v>22</v>
      </c>
      <c r="D1175">
        <v>1174</v>
      </c>
      <c r="E1175" t="s">
        <v>109</v>
      </c>
      <c r="F1175" t="s">
        <v>70</v>
      </c>
      <c r="G1175">
        <v>1174</v>
      </c>
      <c r="H1175">
        <v>1607</v>
      </c>
      <c r="I1175">
        <v>76</v>
      </c>
      <c r="J1175" t="s">
        <v>150</v>
      </c>
      <c r="K1175" t="s">
        <v>47</v>
      </c>
      <c r="L1175" t="s">
        <v>129</v>
      </c>
      <c r="M1175" t="s">
        <v>28</v>
      </c>
      <c r="N1175">
        <v>2.5</v>
      </c>
      <c r="O1175">
        <v>0</v>
      </c>
      <c r="P1175" t="s">
        <v>29</v>
      </c>
      <c r="Q1175" t="s">
        <v>30</v>
      </c>
      <c r="R1175" t="s">
        <v>30</v>
      </c>
      <c r="S1175">
        <v>42</v>
      </c>
      <c r="T1175" t="s">
        <v>36</v>
      </c>
      <c r="U1175" t="s">
        <v>79</v>
      </c>
      <c r="V1175" s="1">
        <v>45329</v>
      </c>
      <c r="W1175">
        <f>Table1[[#This Row],[customer_purchase count]]+1</f>
        <v>43</v>
      </c>
      <c r="X1175">
        <f>Table1[[#This Row],[customer_purchase count]]*Rules!$B$3</f>
        <v>2510.103076923077</v>
      </c>
      <c r="Y1175" t="str">
        <f>IF(Table1[[#This Row],[customer_subscription]]=1,"Subscribed","Not Subscribed")</f>
        <v>Not Subscribed</v>
      </c>
    </row>
    <row r="1176" spans="1:26" x14ac:dyDescent="0.25">
      <c r="A1176">
        <v>1175</v>
      </c>
      <c r="B1176">
        <v>42</v>
      </c>
      <c r="C1176" t="s">
        <v>22</v>
      </c>
      <c r="D1176">
        <v>1175</v>
      </c>
      <c r="E1176" t="s">
        <v>135</v>
      </c>
      <c r="F1176" t="s">
        <v>70</v>
      </c>
      <c r="G1176">
        <v>1175</v>
      </c>
      <c r="H1176">
        <v>1609</v>
      </c>
      <c r="I1176">
        <v>31</v>
      </c>
      <c r="J1176" t="s">
        <v>154</v>
      </c>
      <c r="K1176" t="s">
        <v>47</v>
      </c>
      <c r="L1176" t="s">
        <v>97</v>
      </c>
      <c r="M1176" t="s">
        <v>28</v>
      </c>
      <c r="N1176">
        <v>4.3</v>
      </c>
      <c r="O1176">
        <v>0</v>
      </c>
      <c r="P1176" t="s">
        <v>29</v>
      </c>
      <c r="Q1176" t="s">
        <v>30</v>
      </c>
      <c r="R1176" t="s">
        <v>30</v>
      </c>
      <c r="S1176">
        <v>19</v>
      </c>
      <c r="T1176" t="s">
        <v>78</v>
      </c>
      <c r="U1176" t="s">
        <v>79</v>
      </c>
      <c r="V1176" s="1">
        <v>45327</v>
      </c>
      <c r="W1176">
        <f>Table1[[#This Row],[customer_purchase count]]+1</f>
        <v>20</v>
      </c>
      <c r="X1176">
        <f>Table1[[#This Row],[customer_purchase count]]*Rules!$B$3</f>
        <v>1135.5228205128205</v>
      </c>
      <c r="Y1176" t="str">
        <f>IF(Table1[[#This Row],[customer_subscription]]=1,"Subscribed","Not Subscribed")</f>
        <v>Not Subscribed</v>
      </c>
    </row>
    <row r="1177" spans="1:26" x14ac:dyDescent="0.25">
      <c r="A1177">
        <v>1176</v>
      </c>
      <c r="B1177">
        <v>35</v>
      </c>
      <c r="C1177" t="s">
        <v>22</v>
      </c>
      <c r="D1177">
        <v>1176</v>
      </c>
      <c r="E1177" t="s">
        <v>136</v>
      </c>
      <c r="F1177" t="s">
        <v>70</v>
      </c>
      <c r="G1177">
        <v>1176</v>
      </c>
      <c r="H1177">
        <v>1610</v>
      </c>
      <c r="I1177">
        <v>81</v>
      </c>
      <c r="J1177" t="s">
        <v>130</v>
      </c>
      <c r="K1177" t="s">
        <v>47</v>
      </c>
      <c r="L1177" t="s">
        <v>121</v>
      </c>
      <c r="M1177" t="s">
        <v>40</v>
      </c>
      <c r="N1177">
        <v>4.0999999999999996</v>
      </c>
      <c r="O1177">
        <v>0</v>
      </c>
      <c r="P1177" t="s">
        <v>77</v>
      </c>
      <c r="Q1177" t="s">
        <v>30</v>
      </c>
      <c r="R1177" t="s">
        <v>30</v>
      </c>
      <c r="S1177">
        <v>26</v>
      </c>
      <c r="T1177" t="s">
        <v>49</v>
      </c>
      <c r="U1177" t="s">
        <v>61</v>
      </c>
      <c r="V1177" s="1">
        <v>45371</v>
      </c>
      <c r="W1177">
        <f>Table1[[#This Row],[customer_purchase count]]+1</f>
        <v>27</v>
      </c>
      <c r="X1177">
        <f>Table1[[#This Row],[customer_purchase count]]*Rules!$B$3</f>
        <v>1553.8733333333334</v>
      </c>
      <c r="Y1177" t="str">
        <f>IF(Table1[[#This Row],[customer_subscription]]=1,"Subscribed","Not Subscribed")</f>
        <v>Not Subscribed</v>
      </c>
    </row>
    <row r="1178" spans="1:26" x14ac:dyDescent="0.25">
      <c r="A1178">
        <v>1177</v>
      </c>
      <c r="B1178">
        <v>36</v>
      </c>
      <c r="C1178" t="s">
        <v>22</v>
      </c>
      <c r="D1178">
        <v>1177</v>
      </c>
      <c r="E1178" t="s">
        <v>84</v>
      </c>
      <c r="F1178" t="s">
        <v>24</v>
      </c>
      <c r="G1178">
        <v>1177</v>
      </c>
      <c r="H1178">
        <v>1611</v>
      </c>
      <c r="I1178">
        <v>83</v>
      </c>
      <c r="J1178" t="s">
        <v>50</v>
      </c>
      <c r="K1178" t="s">
        <v>47</v>
      </c>
      <c r="L1178" t="s">
        <v>111</v>
      </c>
      <c r="M1178" t="s">
        <v>28</v>
      </c>
      <c r="N1178">
        <v>4.5999999999999996</v>
      </c>
      <c r="O1178">
        <v>0</v>
      </c>
      <c r="P1178" t="s">
        <v>41</v>
      </c>
      <c r="Q1178" t="s">
        <v>30</v>
      </c>
      <c r="R1178" t="s">
        <v>30</v>
      </c>
      <c r="S1178">
        <v>39</v>
      </c>
      <c r="T1178" t="s">
        <v>49</v>
      </c>
      <c r="U1178" t="s">
        <v>61</v>
      </c>
      <c r="V1178" s="1">
        <v>45642</v>
      </c>
      <c r="W1178">
        <f>Table1[[#This Row],[customer_purchase count]]+1</f>
        <v>40</v>
      </c>
      <c r="X1178">
        <f>Table1[[#This Row],[customer_purchase count]]*Rules!$B$3</f>
        <v>2330.81</v>
      </c>
      <c r="Y1178" t="str">
        <f>IF(Table1[[#This Row],[customer_subscription]]=1,"Subscribed","Not Subscribed")</f>
        <v>Not Subscribed</v>
      </c>
    </row>
    <row r="1179" spans="1:26" x14ac:dyDescent="0.25">
      <c r="A1179">
        <v>1178</v>
      </c>
      <c r="B1179">
        <v>54</v>
      </c>
      <c r="C1179" t="s">
        <v>22</v>
      </c>
      <c r="D1179">
        <v>1178</v>
      </c>
      <c r="E1179" t="s">
        <v>90</v>
      </c>
      <c r="F1179" t="s">
        <v>24</v>
      </c>
      <c r="G1179">
        <v>1178</v>
      </c>
      <c r="H1179">
        <v>1612</v>
      </c>
      <c r="I1179">
        <v>21</v>
      </c>
      <c r="J1179" t="s">
        <v>149</v>
      </c>
      <c r="K1179" t="s">
        <v>47</v>
      </c>
      <c r="L1179" t="s">
        <v>97</v>
      </c>
      <c r="M1179" t="s">
        <v>40</v>
      </c>
      <c r="N1179">
        <v>4.8</v>
      </c>
      <c r="O1179">
        <v>0</v>
      </c>
      <c r="P1179" t="s">
        <v>57</v>
      </c>
      <c r="Q1179" t="s">
        <v>30</v>
      </c>
      <c r="R1179" t="s">
        <v>30</v>
      </c>
      <c r="S1179">
        <v>24</v>
      </c>
      <c r="T1179" t="s">
        <v>89</v>
      </c>
      <c r="U1179" t="s">
        <v>91</v>
      </c>
      <c r="V1179" s="1">
        <v>45429</v>
      </c>
      <c r="W1179">
        <f>Table1[[#This Row],[customer_purchase count]]+1</f>
        <v>25</v>
      </c>
      <c r="X1179">
        <f>Table1[[#This Row],[customer_purchase count]]*Rules!$B$3</f>
        <v>1434.3446153846155</v>
      </c>
      <c r="Y1179" t="str">
        <f>IF(Table1[[#This Row],[customer_subscription]]=1,"Subscribed","Not Subscribed")</f>
        <v>Not Subscribed</v>
      </c>
    </row>
    <row r="1180" spans="1:26" x14ac:dyDescent="0.25">
      <c r="A1180">
        <v>1179</v>
      </c>
      <c r="B1180">
        <v>37</v>
      </c>
      <c r="C1180" t="s">
        <v>22</v>
      </c>
      <c r="D1180">
        <v>1179</v>
      </c>
      <c r="E1180" t="s">
        <v>84</v>
      </c>
      <c r="F1180" t="s">
        <v>24</v>
      </c>
      <c r="G1180">
        <v>1179</v>
      </c>
      <c r="H1180">
        <v>1613</v>
      </c>
      <c r="I1180">
        <v>22</v>
      </c>
      <c r="J1180" t="s">
        <v>134</v>
      </c>
      <c r="K1180" t="s">
        <v>47</v>
      </c>
      <c r="L1180" t="s">
        <v>88</v>
      </c>
      <c r="M1180" t="s">
        <v>40</v>
      </c>
      <c r="N1180">
        <v>4.9000000000000004</v>
      </c>
      <c r="O1180">
        <v>0</v>
      </c>
      <c r="P1180" t="s">
        <v>29</v>
      </c>
      <c r="Q1180" t="s">
        <v>30</v>
      </c>
      <c r="R1180" t="s">
        <v>30</v>
      </c>
      <c r="S1180">
        <v>23</v>
      </c>
      <c r="T1180" t="s">
        <v>89</v>
      </c>
      <c r="U1180" t="s">
        <v>52</v>
      </c>
      <c r="V1180" s="1">
        <v>45423</v>
      </c>
      <c r="W1180">
        <f>Table1[[#This Row],[customer_purchase count]]+1</f>
        <v>24</v>
      </c>
      <c r="X1180">
        <f>Table1[[#This Row],[customer_purchase count]]*Rules!$B$3</f>
        <v>1374.5802564102564</v>
      </c>
      <c r="Y1180" t="str">
        <f>IF(Table1[[#This Row],[customer_subscription]]=1,"Subscribed","Not Subscribed")</f>
        <v>Not Subscribed</v>
      </c>
    </row>
    <row r="1181" spans="1:26" x14ac:dyDescent="0.25">
      <c r="A1181">
        <v>1180</v>
      </c>
      <c r="B1181">
        <v>20</v>
      </c>
      <c r="C1181" t="s">
        <v>22</v>
      </c>
      <c r="D1181">
        <v>1180</v>
      </c>
      <c r="E1181" t="s">
        <v>116</v>
      </c>
      <c r="F1181" t="s">
        <v>24</v>
      </c>
      <c r="G1181">
        <v>1180</v>
      </c>
      <c r="H1181">
        <v>1615</v>
      </c>
      <c r="I1181">
        <v>33</v>
      </c>
      <c r="J1181" t="s">
        <v>119</v>
      </c>
      <c r="K1181" t="s">
        <v>47</v>
      </c>
      <c r="L1181" t="s">
        <v>147</v>
      </c>
      <c r="M1181" t="s">
        <v>56</v>
      </c>
      <c r="N1181">
        <v>2.8</v>
      </c>
      <c r="O1181">
        <v>0</v>
      </c>
      <c r="P1181" t="s">
        <v>41</v>
      </c>
      <c r="Q1181" t="s">
        <v>30</v>
      </c>
      <c r="R1181" t="s">
        <v>30</v>
      </c>
      <c r="S1181">
        <v>44</v>
      </c>
      <c r="T1181" t="s">
        <v>78</v>
      </c>
      <c r="U1181" t="s">
        <v>52</v>
      </c>
      <c r="V1181" s="1">
        <v>45454</v>
      </c>
      <c r="W1181">
        <f>Table1[[#This Row],[customer_purchase count]]+1</f>
        <v>45</v>
      </c>
      <c r="X1181">
        <f>Table1[[#This Row],[customer_purchase count]]*Rules!$B$3</f>
        <v>2629.6317948717951</v>
      </c>
      <c r="Y1181" t="str">
        <f>IF(Table1[[#This Row],[customer_subscription]]=1,"Subscribed","Not Subscribed")</f>
        <v>Not Subscribed</v>
      </c>
    </row>
    <row r="1182" spans="1:26" x14ac:dyDescent="0.25">
      <c r="A1182">
        <v>1181</v>
      </c>
      <c r="B1182">
        <v>23</v>
      </c>
      <c r="C1182" t="s">
        <v>22</v>
      </c>
      <c r="D1182">
        <v>1181</v>
      </c>
      <c r="E1182" t="s">
        <v>90</v>
      </c>
      <c r="F1182" t="s">
        <v>24</v>
      </c>
      <c r="G1182">
        <v>1181</v>
      </c>
      <c r="H1182">
        <v>1616</v>
      </c>
      <c r="I1182">
        <v>23</v>
      </c>
      <c r="J1182" t="s">
        <v>50</v>
      </c>
      <c r="K1182" t="s">
        <v>39</v>
      </c>
      <c r="L1182" t="s">
        <v>121</v>
      </c>
      <c r="M1182" t="s">
        <v>40</v>
      </c>
      <c r="N1182">
        <v>4.9000000000000004</v>
      </c>
      <c r="O1182">
        <v>0</v>
      </c>
      <c r="P1182" t="s">
        <v>57</v>
      </c>
      <c r="Q1182" t="s">
        <v>30</v>
      </c>
      <c r="R1182" t="s">
        <v>30</v>
      </c>
      <c r="S1182">
        <v>34</v>
      </c>
      <c r="T1182" t="s">
        <v>36</v>
      </c>
      <c r="U1182" t="s">
        <v>91</v>
      </c>
      <c r="V1182" s="1">
        <v>45383</v>
      </c>
      <c r="W1182">
        <f>Table1[[#This Row],[customer_purchase count]]+1</f>
        <v>35</v>
      </c>
      <c r="X1182">
        <f>Table1[[#This Row],[customer_purchase count]]*Rules!$B$3</f>
        <v>2031.9882051282052</v>
      </c>
      <c r="Y1182" t="str">
        <f>IF(Table1[[#This Row],[customer_subscription]]=1,"Subscribed","Not Subscribed")</f>
        <v>Not Subscribed</v>
      </c>
    </row>
    <row r="1183" spans="1:26" x14ac:dyDescent="0.25">
      <c r="A1183">
        <v>1182</v>
      </c>
      <c r="B1183">
        <v>61</v>
      </c>
      <c r="C1183" t="s">
        <v>22</v>
      </c>
      <c r="D1183">
        <v>1182</v>
      </c>
      <c r="E1183" t="s">
        <v>62</v>
      </c>
      <c r="F1183" t="s">
        <v>24</v>
      </c>
      <c r="G1183">
        <v>1182</v>
      </c>
      <c r="H1183">
        <v>1617</v>
      </c>
      <c r="I1183">
        <v>96</v>
      </c>
      <c r="J1183" t="s">
        <v>87</v>
      </c>
      <c r="K1183" t="s">
        <v>26</v>
      </c>
      <c r="L1183" t="s">
        <v>88</v>
      </c>
      <c r="M1183" t="s">
        <v>56</v>
      </c>
      <c r="N1183">
        <v>3.5</v>
      </c>
      <c r="O1183">
        <v>0</v>
      </c>
      <c r="P1183" t="s">
        <v>41</v>
      </c>
      <c r="Q1183" t="s">
        <v>30</v>
      </c>
      <c r="R1183" t="s">
        <v>30</v>
      </c>
      <c r="S1183">
        <v>43</v>
      </c>
      <c r="T1183" t="s">
        <v>78</v>
      </c>
      <c r="U1183" t="s">
        <v>61</v>
      </c>
      <c r="V1183" s="1">
        <v>45492</v>
      </c>
      <c r="W1183">
        <f>Table1[[#This Row],[customer_purchase count]]+1</f>
        <v>44</v>
      </c>
      <c r="X1183">
        <f>Table1[[#This Row],[customer_purchase count]]*Rules!$B$3</f>
        <v>2569.8674358974358</v>
      </c>
      <c r="Y1183" t="str">
        <f>IF(Table1[[#This Row],[customer_subscription]]=1,"Subscribed","Not Subscribed")</f>
        <v>Not Subscribed</v>
      </c>
    </row>
    <row r="1184" spans="1:26" x14ac:dyDescent="0.25">
      <c r="A1184">
        <v>1183</v>
      </c>
      <c r="B1184">
        <v>37</v>
      </c>
      <c r="C1184" t="s">
        <v>22</v>
      </c>
      <c r="D1184">
        <v>1183</v>
      </c>
      <c r="E1184" t="s">
        <v>109</v>
      </c>
      <c r="F1184" t="s">
        <v>70</v>
      </c>
      <c r="G1184">
        <v>1183</v>
      </c>
      <c r="H1184">
        <v>1618</v>
      </c>
      <c r="I1184">
        <v>21</v>
      </c>
      <c r="J1184" t="s">
        <v>133</v>
      </c>
      <c r="K1184" t="s">
        <v>47</v>
      </c>
      <c r="L1184" t="s">
        <v>35</v>
      </c>
      <c r="M1184" t="s">
        <v>40</v>
      </c>
      <c r="N1184">
        <v>3.8</v>
      </c>
      <c r="O1184">
        <v>0</v>
      </c>
      <c r="P1184" t="s">
        <v>29</v>
      </c>
      <c r="Q1184" t="s">
        <v>30</v>
      </c>
      <c r="R1184" t="s">
        <v>30</v>
      </c>
      <c r="S1184">
        <v>45</v>
      </c>
      <c r="T1184" t="s">
        <v>49</v>
      </c>
      <c r="U1184" t="s">
        <v>61</v>
      </c>
      <c r="V1184" s="1">
        <v>45409</v>
      </c>
      <c r="W1184">
        <f>Table1[[#This Row],[customer_purchase count]]+1</f>
        <v>46</v>
      </c>
      <c r="X1184">
        <f>Table1[[#This Row],[customer_purchase count]]*Rules!$B$3</f>
        <v>2689.396153846154</v>
      </c>
      <c r="Y1184" t="str">
        <f>IF(Table1[[#This Row],[customer_subscription]]=1,"Subscribed","Not Subscribed")</f>
        <v>Not Subscribed</v>
      </c>
    </row>
    <row r="1185" spans="1:26" x14ac:dyDescent="0.25">
      <c r="A1185">
        <v>1184</v>
      </c>
      <c r="B1185">
        <v>23</v>
      </c>
      <c r="C1185" t="s">
        <v>22</v>
      </c>
      <c r="D1185">
        <v>1184</v>
      </c>
      <c r="E1185" t="s">
        <v>98</v>
      </c>
      <c r="F1185" t="s">
        <v>24</v>
      </c>
      <c r="G1185">
        <v>1184</v>
      </c>
      <c r="H1185">
        <v>1619</v>
      </c>
      <c r="I1185">
        <v>39</v>
      </c>
      <c r="J1185" t="s">
        <v>63</v>
      </c>
      <c r="K1185" t="s">
        <v>47</v>
      </c>
      <c r="L1185" t="s">
        <v>137</v>
      </c>
      <c r="M1185" t="s">
        <v>40</v>
      </c>
      <c r="N1185">
        <v>4.5</v>
      </c>
      <c r="O1185">
        <v>0</v>
      </c>
      <c r="P1185" t="s">
        <v>73</v>
      </c>
      <c r="Q1185" t="s">
        <v>30</v>
      </c>
      <c r="R1185" t="s">
        <v>30</v>
      </c>
      <c r="S1185">
        <v>4</v>
      </c>
      <c r="T1185" t="s">
        <v>42</v>
      </c>
      <c r="U1185" t="s">
        <v>43</v>
      </c>
      <c r="V1185" s="1">
        <v>45394</v>
      </c>
      <c r="W1185">
        <f>Table1[[#This Row],[customer_purchase count]]+1</f>
        <v>5</v>
      </c>
      <c r="X1185">
        <f>Table1[[#This Row],[customer_purchase count]]*Rules!$B$3</f>
        <v>239.05743589743591</v>
      </c>
      <c r="Y1185" t="str">
        <f>IF(Table1[[#This Row],[customer_subscription]]=1,"Subscribed","Not Subscribed")</f>
        <v>Not Subscribed</v>
      </c>
      <c r="Z1185" t="s">
        <v>194</v>
      </c>
    </row>
    <row r="1186" spans="1:26" x14ac:dyDescent="0.25">
      <c r="A1186">
        <v>1185</v>
      </c>
      <c r="B1186">
        <v>63</v>
      </c>
      <c r="C1186" t="s">
        <v>22</v>
      </c>
      <c r="D1186">
        <v>1185</v>
      </c>
      <c r="E1186" t="s">
        <v>136</v>
      </c>
      <c r="F1186" t="s">
        <v>70</v>
      </c>
      <c r="G1186">
        <v>1185</v>
      </c>
      <c r="H1186">
        <v>1621</v>
      </c>
      <c r="I1186">
        <v>73</v>
      </c>
      <c r="J1186" t="s">
        <v>134</v>
      </c>
      <c r="K1186" t="s">
        <v>39</v>
      </c>
      <c r="L1186" t="s">
        <v>129</v>
      </c>
      <c r="M1186" t="s">
        <v>60</v>
      </c>
      <c r="N1186">
        <v>3.4</v>
      </c>
      <c r="O1186">
        <v>0</v>
      </c>
      <c r="P1186" t="s">
        <v>29</v>
      </c>
      <c r="Q1186" t="s">
        <v>30</v>
      </c>
      <c r="R1186" t="s">
        <v>30</v>
      </c>
      <c r="S1186">
        <v>19</v>
      </c>
      <c r="T1186" t="s">
        <v>42</v>
      </c>
      <c r="U1186" t="s">
        <v>52</v>
      </c>
      <c r="V1186" s="1">
        <v>45570</v>
      </c>
      <c r="W1186">
        <f>Table1[[#This Row],[customer_purchase count]]+1</f>
        <v>20</v>
      </c>
      <c r="X1186">
        <f>Table1[[#This Row],[customer_purchase count]]*Rules!$B$3</f>
        <v>1135.5228205128205</v>
      </c>
      <c r="Y1186" t="str">
        <f>IF(Table1[[#This Row],[customer_subscription]]=1,"Subscribed","Not Subscribed")</f>
        <v>Not Subscribed</v>
      </c>
    </row>
    <row r="1187" spans="1:26" x14ac:dyDescent="0.25">
      <c r="A1187">
        <v>1186</v>
      </c>
      <c r="B1187">
        <v>47</v>
      </c>
      <c r="C1187" t="s">
        <v>22</v>
      </c>
      <c r="D1187">
        <v>1186</v>
      </c>
      <c r="E1187" t="s">
        <v>37</v>
      </c>
      <c r="F1187" t="s">
        <v>24</v>
      </c>
      <c r="G1187">
        <v>1186</v>
      </c>
      <c r="H1187">
        <v>1622</v>
      </c>
      <c r="I1187">
        <v>64</v>
      </c>
      <c r="J1187" t="s">
        <v>34</v>
      </c>
      <c r="K1187" t="s">
        <v>47</v>
      </c>
      <c r="L1187" t="s">
        <v>139</v>
      </c>
      <c r="M1187" t="s">
        <v>40</v>
      </c>
      <c r="N1187">
        <v>3.9</v>
      </c>
      <c r="O1187">
        <v>0</v>
      </c>
      <c r="P1187" t="s">
        <v>57</v>
      </c>
      <c r="Q1187" t="s">
        <v>30</v>
      </c>
      <c r="R1187" t="s">
        <v>30</v>
      </c>
      <c r="S1187">
        <v>29</v>
      </c>
      <c r="T1187" t="s">
        <v>42</v>
      </c>
      <c r="U1187" t="s">
        <v>91</v>
      </c>
      <c r="V1187" s="1">
        <v>45416</v>
      </c>
      <c r="W1187">
        <f>Table1[[#This Row],[customer_purchase count]]+1</f>
        <v>30</v>
      </c>
      <c r="X1187">
        <f>Table1[[#This Row],[customer_purchase count]]*Rules!$B$3</f>
        <v>1733.1664102564102</v>
      </c>
      <c r="Y1187" t="str">
        <f>IF(Table1[[#This Row],[customer_subscription]]=1,"Subscribed","Not Subscribed")</f>
        <v>Not Subscribed</v>
      </c>
    </row>
    <row r="1188" spans="1:26" x14ac:dyDescent="0.25">
      <c r="A1188">
        <v>1187</v>
      </c>
      <c r="B1188">
        <v>63</v>
      </c>
      <c r="C1188" t="s">
        <v>22</v>
      </c>
      <c r="D1188">
        <v>1187</v>
      </c>
      <c r="E1188" t="s">
        <v>37</v>
      </c>
      <c r="F1188" t="s">
        <v>24</v>
      </c>
      <c r="G1188">
        <v>1187</v>
      </c>
      <c r="H1188">
        <v>1623</v>
      </c>
      <c r="I1188">
        <v>68</v>
      </c>
      <c r="J1188" t="s">
        <v>119</v>
      </c>
      <c r="K1188" t="s">
        <v>47</v>
      </c>
      <c r="L1188" t="s">
        <v>121</v>
      </c>
      <c r="M1188" t="s">
        <v>56</v>
      </c>
      <c r="N1188">
        <v>4.0999999999999996</v>
      </c>
      <c r="O1188">
        <v>0</v>
      </c>
      <c r="P1188" t="s">
        <v>73</v>
      </c>
      <c r="Q1188" t="s">
        <v>30</v>
      </c>
      <c r="R1188" t="s">
        <v>30</v>
      </c>
      <c r="S1188">
        <v>27</v>
      </c>
      <c r="T1188" t="s">
        <v>42</v>
      </c>
      <c r="U1188" t="s">
        <v>52</v>
      </c>
      <c r="V1188" s="1">
        <v>45522</v>
      </c>
      <c r="W1188">
        <f>Table1[[#This Row],[customer_purchase count]]+1</f>
        <v>28</v>
      </c>
      <c r="X1188">
        <f>Table1[[#This Row],[customer_purchase count]]*Rules!$B$3</f>
        <v>1613.6376923076923</v>
      </c>
      <c r="Y1188" t="str">
        <f>IF(Table1[[#This Row],[customer_subscription]]=1,"Subscribed","Not Subscribed")</f>
        <v>Not Subscribed</v>
      </c>
    </row>
    <row r="1189" spans="1:26" x14ac:dyDescent="0.25">
      <c r="A1189">
        <v>1188</v>
      </c>
      <c r="B1189">
        <v>56</v>
      </c>
      <c r="C1189" t="s">
        <v>22</v>
      </c>
      <c r="D1189">
        <v>1188</v>
      </c>
      <c r="E1189" t="s">
        <v>127</v>
      </c>
      <c r="F1189" t="s">
        <v>70</v>
      </c>
      <c r="G1189">
        <v>1188</v>
      </c>
      <c r="H1189">
        <v>1624</v>
      </c>
      <c r="I1189">
        <v>89</v>
      </c>
      <c r="J1189" t="s">
        <v>149</v>
      </c>
      <c r="K1189" t="s">
        <v>26</v>
      </c>
      <c r="L1189" t="s">
        <v>35</v>
      </c>
      <c r="M1189" t="s">
        <v>60</v>
      </c>
      <c r="N1189">
        <v>3</v>
      </c>
      <c r="O1189">
        <v>0</v>
      </c>
      <c r="P1189" t="s">
        <v>29</v>
      </c>
      <c r="Q1189" t="s">
        <v>30</v>
      </c>
      <c r="R1189" t="s">
        <v>30</v>
      </c>
      <c r="S1189">
        <v>37</v>
      </c>
      <c r="T1189" t="s">
        <v>42</v>
      </c>
      <c r="U1189" t="s">
        <v>100</v>
      </c>
      <c r="V1189" s="1">
        <v>45556</v>
      </c>
      <c r="W1189">
        <f>Table1[[#This Row],[customer_purchase count]]+1</f>
        <v>38</v>
      </c>
      <c r="X1189">
        <f>Table1[[#This Row],[customer_purchase count]]*Rules!$B$3</f>
        <v>2211.2812820512822</v>
      </c>
      <c r="Y1189" t="str">
        <f>IF(Table1[[#This Row],[customer_subscription]]=1,"Subscribed","Not Subscribed")</f>
        <v>Not Subscribed</v>
      </c>
    </row>
    <row r="1190" spans="1:26" x14ac:dyDescent="0.25">
      <c r="A1190">
        <v>1189</v>
      </c>
      <c r="B1190">
        <v>68</v>
      </c>
      <c r="C1190" t="s">
        <v>22</v>
      </c>
      <c r="D1190">
        <v>1189</v>
      </c>
      <c r="E1190" t="s">
        <v>23</v>
      </c>
      <c r="F1190" t="s">
        <v>24</v>
      </c>
      <c r="G1190">
        <v>1189</v>
      </c>
      <c r="H1190">
        <v>1625</v>
      </c>
      <c r="I1190">
        <v>29</v>
      </c>
      <c r="J1190" t="s">
        <v>94</v>
      </c>
      <c r="K1190" t="s">
        <v>47</v>
      </c>
      <c r="L1190" t="s">
        <v>139</v>
      </c>
      <c r="M1190" t="s">
        <v>56</v>
      </c>
      <c r="N1190">
        <v>3.3</v>
      </c>
      <c r="O1190">
        <v>0</v>
      </c>
      <c r="P1190" t="s">
        <v>48</v>
      </c>
      <c r="Q1190" t="s">
        <v>30</v>
      </c>
      <c r="R1190" t="s">
        <v>30</v>
      </c>
      <c r="S1190">
        <v>11</v>
      </c>
      <c r="T1190" t="s">
        <v>42</v>
      </c>
      <c r="U1190" t="s">
        <v>43</v>
      </c>
      <c r="V1190" s="1">
        <v>45462</v>
      </c>
      <c r="W1190">
        <f>Table1[[#This Row],[customer_purchase count]]+1</f>
        <v>12</v>
      </c>
      <c r="X1190">
        <f>Table1[[#This Row],[customer_purchase count]]*Rules!$B$3</f>
        <v>657.40794871794878</v>
      </c>
      <c r="Y1190" t="str">
        <f>IF(Table1[[#This Row],[customer_subscription]]=1,"Subscribed","Not Subscribed")</f>
        <v>Not Subscribed</v>
      </c>
      <c r="Z1190" t="s">
        <v>194</v>
      </c>
    </row>
    <row r="1191" spans="1:26" x14ac:dyDescent="0.25">
      <c r="A1191">
        <v>1190</v>
      </c>
      <c r="B1191">
        <v>64</v>
      </c>
      <c r="C1191" t="s">
        <v>22</v>
      </c>
      <c r="D1191">
        <v>1190</v>
      </c>
      <c r="E1191" t="s">
        <v>58</v>
      </c>
      <c r="F1191" t="s">
        <v>24</v>
      </c>
      <c r="G1191">
        <v>1190</v>
      </c>
      <c r="H1191">
        <v>1627</v>
      </c>
      <c r="I1191">
        <v>97</v>
      </c>
      <c r="J1191" t="s">
        <v>75</v>
      </c>
      <c r="K1191" t="s">
        <v>95</v>
      </c>
      <c r="L1191" t="s">
        <v>88</v>
      </c>
      <c r="M1191" t="s">
        <v>56</v>
      </c>
      <c r="N1191">
        <v>4.9000000000000004</v>
      </c>
      <c r="O1191">
        <v>0</v>
      </c>
      <c r="P1191" t="s">
        <v>41</v>
      </c>
      <c r="Q1191" t="s">
        <v>30</v>
      </c>
      <c r="R1191" t="s">
        <v>30</v>
      </c>
      <c r="S1191">
        <v>28</v>
      </c>
      <c r="T1191" t="s">
        <v>89</v>
      </c>
      <c r="U1191" t="s">
        <v>52</v>
      </c>
      <c r="V1191" s="1">
        <v>45456</v>
      </c>
      <c r="W1191">
        <f>Table1[[#This Row],[customer_purchase count]]+1</f>
        <v>29</v>
      </c>
      <c r="X1191">
        <f>Table1[[#This Row],[customer_purchase count]]*Rules!$B$3</f>
        <v>1673.4020512820514</v>
      </c>
      <c r="Y1191" t="str">
        <f>IF(Table1[[#This Row],[customer_subscription]]=1,"Subscribed","Not Subscribed")</f>
        <v>Not Subscribed</v>
      </c>
    </row>
    <row r="1192" spans="1:26" x14ac:dyDescent="0.25">
      <c r="A1192">
        <v>1191</v>
      </c>
      <c r="B1192">
        <v>62</v>
      </c>
      <c r="C1192" t="s">
        <v>22</v>
      </c>
      <c r="D1192">
        <v>1191</v>
      </c>
      <c r="E1192" t="s">
        <v>58</v>
      </c>
      <c r="F1192" t="s">
        <v>24</v>
      </c>
      <c r="G1192">
        <v>1191</v>
      </c>
      <c r="H1192">
        <v>1628</v>
      </c>
      <c r="I1192">
        <v>45</v>
      </c>
      <c r="J1192" t="s">
        <v>134</v>
      </c>
      <c r="K1192" t="s">
        <v>47</v>
      </c>
      <c r="L1192" t="s">
        <v>124</v>
      </c>
      <c r="M1192" t="s">
        <v>28</v>
      </c>
      <c r="N1192">
        <v>4.3</v>
      </c>
      <c r="O1192">
        <v>0</v>
      </c>
      <c r="P1192" t="s">
        <v>48</v>
      </c>
      <c r="Q1192" t="s">
        <v>30</v>
      </c>
      <c r="R1192" t="s">
        <v>30</v>
      </c>
      <c r="S1192">
        <v>31</v>
      </c>
      <c r="T1192" t="s">
        <v>42</v>
      </c>
      <c r="U1192" t="s">
        <v>43</v>
      </c>
      <c r="V1192" s="1">
        <v>45304</v>
      </c>
      <c r="W1192">
        <f>Table1[[#This Row],[customer_purchase count]]+1</f>
        <v>32</v>
      </c>
      <c r="X1192">
        <f>Table1[[#This Row],[customer_purchase count]]*Rules!$B$3</f>
        <v>1852.6951282051282</v>
      </c>
      <c r="Y1192" t="str">
        <f>IF(Table1[[#This Row],[customer_subscription]]=1,"Subscribed","Not Subscribed")</f>
        <v>Not Subscribed</v>
      </c>
    </row>
    <row r="1193" spans="1:26" x14ac:dyDescent="0.25">
      <c r="A1193">
        <v>1192</v>
      </c>
      <c r="B1193">
        <v>34</v>
      </c>
      <c r="C1193" t="s">
        <v>22</v>
      </c>
      <c r="D1193">
        <v>1192</v>
      </c>
      <c r="E1193" t="s">
        <v>116</v>
      </c>
      <c r="F1193" t="s">
        <v>24</v>
      </c>
      <c r="G1193">
        <v>1192</v>
      </c>
      <c r="H1193">
        <v>1629</v>
      </c>
      <c r="I1193">
        <v>70</v>
      </c>
      <c r="J1193" t="s">
        <v>119</v>
      </c>
      <c r="K1193" t="s">
        <v>26</v>
      </c>
      <c r="L1193" t="s">
        <v>64</v>
      </c>
      <c r="M1193" t="s">
        <v>28</v>
      </c>
      <c r="N1193">
        <v>4.0999999999999996</v>
      </c>
      <c r="O1193">
        <v>0</v>
      </c>
      <c r="P1193" t="s">
        <v>41</v>
      </c>
      <c r="Q1193" t="s">
        <v>30</v>
      </c>
      <c r="R1193" t="s">
        <v>30</v>
      </c>
      <c r="S1193">
        <v>50</v>
      </c>
      <c r="T1193" t="s">
        <v>31</v>
      </c>
      <c r="U1193" t="s">
        <v>61</v>
      </c>
      <c r="V1193" s="1">
        <v>45304</v>
      </c>
      <c r="W1193">
        <f>Table1[[#This Row],[customer_purchase count]]+1</f>
        <v>51</v>
      </c>
      <c r="X1193">
        <f>Table1[[#This Row],[customer_purchase count]]*Rules!$B$3</f>
        <v>2988.2179487179487</v>
      </c>
      <c r="Y1193" t="str">
        <f>IF(Table1[[#This Row],[customer_subscription]]=1,"Subscribed","Not Subscribed")</f>
        <v>Not Subscribed</v>
      </c>
    </row>
    <row r="1194" spans="1:26" x14ac:dyDescent="0.25">
      <c r="A1194">
        <v>1193</v>
      </c>
      <c r="B1194">
        <v>49</v>
      </c>
      <c r="C1194" t="s">
        <v>22</v>
      </c>
      <c r="D1194">
        <v>1193</v>
      </c>
      <c r="E1194" t="s">
        <v>65</v>
      </c>
      <c r="F1194" t="s">
        <v>66</v>
      </c>
      <c r="G1194">
        <v>1193</v>
      </c>
      <c r="H1194">
        <v>1630</v>
      </c>
      <c r="I1194">
        <v>56</v>
      </c>
      <c r="J1194" t="s">
        <v>106</v>
      </c>
      <c r="K1194" t="s">
        <v>47</v>
      </c>
      <c r="L1194" t="s">
        <v>51</v>
      </c>
      <c r="M1194" t="s">
        <v>56</v>
      </c>
      <c r="N1194">
        <v>4</v>
      </c>
      <c r="O1194">
        <v>0</v>
      </c>
      <c r="P1194" t="s">
        <v>73</v>
      </c>
      <c r="Q1194" t="s">
        <v>30</v>
      </c>
      <c r="R1194" t="s">
        <v>30</v>
      </c>
      <c r="S1194">
        <v>42</v>
      </c>
      <c r="T1194" t="s">
        <v>31</v>
      </c>
      <c r="U1194" t="s">
        <v>61</v>
      </c>
      <c r="V1194" s="1">
        <v>45444</v>
      </c>
      <c r="W1194">
        <f>Table1[[#This Row],[customer_purchase count]]+1</f>
        <v>43</v>
      </c>
      <c r="X1194">
        <f>Table1[[#This Row],[customer_purchase count]]*Rules!$B$3</f>
        <v>2510.103076923077</v>
      </c>
      <c r="Y1194" t="str">
        <f>IF(Table1[[#This Row],[customer_subscription]]=1,"Subscribed","Not Subscribed")</f>
        <v>Not Subscribed</v>
      </c>
    </row>
    <row r="1195" spans="1:26" x14ac:dyDescent="0.25">
      <c r="A1195">
        <v>1194</v>
      </c>
      <c r="B1195">
        <v>40</v>
      </c>
      <c r="C1195" t="s">
        <v>22</v>
      </c>
      <c r="D1195">
        <v>1194</v>
      </c>
      <c r="E1195" t="s">
        <v>105</v>
      </c>
      <c r="F1195" t="s">
        <v>66</v>
      </c>
      <c r="G1195">
        <v>1194</v>
      </c>
      <c r="H1195">
        <v>1631</v>
      </c>
      <c r="I1195">
        <v>55</v>
      </c>
      <c r="J1195" t="s">
        <v>123</v>
      </c>
      <c r="K1195" t="s">
        <v>26</v>
      </c>
      <c r="L1195" t="s">
        <v>72</v>
      </c>
      <c r="M1195" t="s">
        <v>60</v>
      </c>
      <c r="N1195">
        <v>5</v>
      </c>
      <c r="O1195">
        <v>0</v>
      </c>
      <c r="P1195" t="s">
        <v>73</v>
      </c>
      <c r="Q1195" t="s">
        <v>30</v>
      </c>
      <c r="R1195" t="s">
        <v>30</v>
      </c>
      <c r="S1195">
        <v>18</v>
      </c>
      <c r="T1195" t="s">
        <v>42</v>
      </c>
      <c r="U1195" t="s">
        <v>32</v>
      </c>
      <c r="V1195" s="1">
        <v>45538</v>
      </c>
      <c r="W1195">
        <f>Table1[[#This Row],[customer_purchase count]]+1</f>
        <v>19</v>
      </c>
      <c r="X1195">
        <f>Table1[[#This Row],[customer_purchase count]]*Rules!$B$3</f>
        <v>1075.7584615384617</v>
      </c>
      <c r="Y1195" t="str">
        <f>IF(Table1[[#This Row],[customer_subscription]]=1,"Subscribed","Not Subscribed")</f>
        <v>Not Subscribed</v>
      </c>
    </row>
    <row r="1196" spans="1:26" x14ac:dyDescent="0.25">
      <c r="A1196">
        <v>1195</v>
      </c>
      <c r="B1196">
        <v>50</v>
      </c>
      <c r="C1196" t="s">
        <v>22</v>
      </c>
      <c r="D1196">
        <v>1195</v>
      </c>
      <c r="E1196" t="s">
        <v>107</v>
      </c>
      <c r="F1196" t="s">
        <v>24</v>
      </c>
      <c r="G1196">
        <v>1195</v>
      </c>
      <c r="H1196">
        <v>1633</v>
      </c>
      <c r="I1196">
        <v>46</v>
      </c>
      <c r="J1196" t="s">
        <v>87</v>
      </c>
      <c r="K1196" t="s">
        <v>39</v>
      </c>
      <c r="L1196" t="s">
        <v>88</v>
      </c>
      <c r="M1196" t="s">
        <v>28</v>
      </c>
      <c r="N1196">
        <v>3.1</v>
      </c>
      <c r="O1196">
        <v>0</v>
      </c>
      <c r="P1196" t="s">
        <v>73</v>
      </c>
      <c r="Q1196" t="s">
        <v>30</v>
      </c>
      <c r="R1196" t="s">
        <v>30</v>
      </c>
      <c r="S1196">
        <v>6</v>
      </c>
      <c r="T1196" t="s">
        <v>42</v>
      </c>
      <c r="U1196" t="s">
        <v>32</v>
      </c>
      <c r="V1196" s="1">
        <v>45302</v>
      </c>
      <c r="W1196">
        <f>Table1[[#This Row],[customer_purchase count]]+1</f>
        <v>7</v>
      </c>
      <c r="X1196">
        <f>Table1[[#This Row],[customer_purchase count]]*Rules!$B$3</f>
        <v>358.58615384615388</v>
      </c>
      <c r="Y1196" t="str">
        <f>IF(Table1[[#This Row],[customer_subscription]]=1,"Subscribed","Not Subscribed")</f>
        <v>Not Subscribed</v>
      </c>
      <c r="Z1196" t="s">
        <v>194</v>
      </c>
    </row>
    <row r="1197" spans="1:26" x14ac:dyDescent="0.25">
      <c r="A1197">
        <v>1196</v>
      </c>
      <c r="B1197">
        <v>25</v>
      </c>
      <c r="C1197" t="s">
        <v>22</v>
      </c>
      <c r="D1197">
        <v>1196</v>
      </c>
      <c r="E1197" t="s">
        <v>122</v>
      </c>
      <c r="F1197" t="s">
        <v>70</v>
      </c>
      <c r="G1197">
        <v>1196</v>
      </c>
      <c r="H1197">
        <v>1634</v>
      </c>
      <c r="I1197">
        <v>95</v>
      </c>
      <c r="J1197" t="s">
        <v>108</v>
      </c>
      <c r="K1197" t="s">
        <v>47</v>
      </c>
      <c r="L1197" t="s">
        <v>55</v>
      </c>
      <c r="M1197" t="s">
        <v>28</v>
      </c>
      <c r="N1197">
        <v>4</v>
      </c>
      <c r="O1197">
        <v>0</v>
      </c>
      <c r="P1197" t="s">
        <v>73</v>
      </c>
      <c r="Q1197" t="s">
        <v>30</v>
      </c>
      <c r="R1197" t="s">
        <v>30</v>
      </c>
      <c r="S1197">
        <v>33</v>
      </c>
      <c r="T1197" t="s">
        <v>31</v>
      </c>
      <c r="U1197" t="s">
        <v>91</v>
      </c>
      <c r="V1197" s="1">
        <v>45350</v>
      </c>
      <c r="W1197">
        <f>Table1[[#This Row],[customer_purchase count]]+1</f>
        <v>34</v>
      </c>
      <c r="X1197">
        <f>Table1[[#This Row],[customer_purchase count]]*Rules!$B$3</f>
        <v>1972.2238461538464</v>
      </c>
      <c r="Y1197" t="str">
        <f>IF(Table1[[#This Row],[customer_subscription]]=1,"Subscribed","Not Subscribed")</f>
        <v>Not Subscribed</v>
      </c>
    </row>
    <row r="1198" spans="1:26" x14ac:dyDescent="0.25">
      <c r="A1198">
        <v>1197</v>
      </c>
      <c r="B1198">
        <v>30</v>
      </c>
      <c r="C1198" t="s">
        <v>22</v>
      </c>
      <c r="D1198">
        <v>1197</v>
      </c>
      <c r="E1198" t="s">
        <v>136</v>
      </c>
      <c r="F1198" t="s">
        <v>70</v>
      </c>
      <c r="G1198">
        <v>1197</v>
      </c>
      <c r="H1198">
        <v>1635</v>
      </c>
      <c r="I1198">
        <v>88</v>
      </c>
      <c r="J1198" t="s">
        <v>117</v>
      </c>
      <c r="K1198" t="s">
        <v>47</v>
      </c>
      <c r="L1198" t="s">
        <v>35</v>
      </c>
      <c r="M1198" t="s">
        <v>28</v>
      </c>
      <c r="N1198">
        <v>3.2</v>
      </c>
      <c r="O1198">
        <v>0</v>
      </c>
      <c r="P1198" t="s">
        <v>73</v>
      </c>
      <c r="Q1198" t="s">
        <v>30</v>
      </c>
      <c r="R1198" t="s">
        <v>30</v>
      </c>
      <c r="S1198">
        <v>13</v>
      </c>
      <c r="T1198" t="s">
        <v>78</v>
      </c>
      <c r="U1198" t="s">
        <v>79</v>
      </c>
      <c r="V1198" s="1">
        <v>45653</v>
      </c>
      <c r="W1198">
        <f>Table1[[#This Row],[customer_purchase count]]+1</f>
        <v>14</v>
      </c>
      <c r="X1198">
        <f>Table1[[#This Row],[customer_purchase count]]*Rules!$B$3</f>
        <v>776.93666666666672</v>
      </c>
      <c r="Y1198" t="str">
        <f>IF(Table1[[#This Row],[customer_subscription]]=1,"Subscribed","Not Subscribed")</f>
        <v>Not Subscribed</v>
      </c>
      <c r="Z1198" t="s">
        <v>194</v>
      </c>
    </row>
    <row r="1199" spans="1:26" x14ac:dyDescent="0.25">
      <c r="A1199">
        <v>1198</v>
      </c>
      <c r="B1199">
        <v>54</v>
      </c>
      <c r="C1199" t="s">
        <v>22</v>
      </c>
      <c r="D1199">
        <v>1198</v>
      </c>
      <c r="E1199" t="s">
        <v>53</v>
      </c>
      <c r="F1199" t="s">
        <v>45</v>
      </c>
      <c r="G1199">
        <v>1198</v>
      </c>
      <c r="H1199">
        <v>1636</v>
      </c>
      <c r="I1199">
        <v>92</v>
      </c>
      <c r="J1199" t="s">
        <v>132</v>
      </c>
      <c r="K1199" t="s">
        <v>26</v>
      </c>
      <c r="L1199" t="s">
        <v>86</v>
      </c>
      <c r="M1199" t="s">
        <v>60</v>
      </c>
      <c r="N1199">
        <v>3.9</v>
      </c>
      <c r="O1199">
        <v>0</v>
      </c>
      <c r="P1199" t="s">
        <v>57</v>
      </c>
      <c r="Q1199" t="s">
        <v>30</v>
      </c>
      <c r="R1199" t="s">
        <v>30</v>
      </c>
      <c r="S1199">
        <v>26</v>
      </c>
      <c r="T1199" t="s">
        <v>49</v>
      </c>
      <c r="U1199" t="s">
        <v>52</v>
      </c>
      <c r="V1199" s="1">
        <v>45622</v>
      </c>
      <c r="W1199">
        <f>Table1[[#This Row],[customer_purchase count]]+1</f>
        <v>27</v>
      </c>
      <c r="X1199">
        <f>Table1[[#This Row],[customer_purchase count]]*Rules!$B$3</f>
        <v>1553.8733333333334</v>
      </c>
      <c r="Y1199" t="str">
        <f>IF(Table1[[#This Row],[customer_subscription]]=1,"Subscribed","Not Subscribed")</f>
        <v>Not Subscribed</v>
      </c>
    </row>
    <row r="1200" spans="1:26" x14ac:dyDescent="0.25">
      <c r="A1200">
        <v>1199</v>
      </c>
      <c r="B1200">
        <v>40</v>
      </c>
      <c r="C1200" t="s">
        <v>22</v>
      </c>
      <c r="D1200">
        <v>1199</v>
      </c>
      <c r="E1200" t="s">
        <v>128</v>
      </c>
      <c r="F1200" t="s">
        <v>24</v>
      </c>
      <c r="G1200">
        <v>1199</v>
      </c>
      <c r="H1200">
        <v>1637</v>
      </c>
      <c r="I1200">
        <v>49</v>
      </c>
      <c r="J1200" t="s">
        <v>130</v>
      </c>
      <c r="K1200" t="s">
        <v>47</v>
      </c>
      <c r="L1200" t="s">
        <v>113</v>
      </c>
      <c r="M1200" t="s">
        <v>56</v>
      </c>
      <c r="N1200">
        <v>3.9</v>
      </c>
      <c r="O1200">
        <v>0</v>
      </c>
      <c r="P1200" t="s">
        <v>73</v>
      </c>
      <c r="Q1200" t="s">
        <v>30</v>
      </c>
      <c r="R1200" t="s">
        <v>30</v>
      </c>
      <c r="S1200">
        <v>17</v>
      </c>
      <c r="T1200" t="s">
        <v>36</v>
      </c>
      <c r="U1200" t="s">
        <v>52</v>
      </c>
      <c r="V1200" s="1">
        <v>45444</v>
      </c>
      <c r="W1200">
        <f>Table1[[#This Row],[customer_purchase count]]+1</f>
        <v>18</v>
      </c>
      <c r="X1200">
        <f>Table1[[#This Row],[customer_purchase count]]*Rules!$B$3</f>
        <v>1015.9941025641026</v>
      </c>
      <c r="Y1200" t="str">
        <f>IF(Table1[[#This Row],[customer_subscription]]=1,"Subscribed","Not Subscribed")</f>
        <v>Not Subscribed</v>
      </c>
      <c r="Z1200" t="s">
        <v>194</v>
      </c>
    </row>
    <row r="1201" spans="1:26" x14ac:dyDescent="0.25">
      <c r="A1201">
        <v>1200</v>
      </c>
      <c r="B1201">
        <v>49</v>
      </c>
      <c r="C1201" t="s">
        <v>22</v>
      </c>
      <c r="D1201">
        <v>1200</v>
      </c>
      <c r="E1201" t="s">
        <v>44</v>
      </c>
      <c r="F1201" t="s">
        <v>45</v>
      </c>
      <c r="G1201">
        <v>1200</v>
      </c>
      <c r="H1201">
        <v>1639</v>
      </c>
      <c r="I1201">
        <v>89</v>
      </c>
      <c r="J1201" t="s">
        <v>131</v>
      </c>
      <c r="K1201" t="s">
        <v>47</v>
      </c>
      <c r="L1201" t="s">
        <v>129</v>
      </c>
      <c r="M1201" t="s">
        <v>60</v>
      </c>
      <c r="N1201">
        <v>4.5</v>
      </c>
      <c r="O1201">
        <v>0</v>
      </c>
      <c r="P1201" t="s">
        <v>41</v>
      </c>
      <c r="Q1201" t="s">
        <v>30</v>
      </c>
      <c r="R1201" t="s">
        <v>30</v>
      </c>
      <c r="S1201">
        <v>3</v>
      </c>
      <c r="T1201" t="s">
        <v>89</v>
      </c>
      <c r="U1201" t="s">
        <v>43</v>
      </c>
      <c r="V1201" s="1">
        <v>45552</v>
      </c>
      <c r="W1201">
        <f>Table1[[#This Row],[customer_purchase count]]+1</f>
        <v>4</v>
      </c>
      <c r="X1201">
        <f>Table1[[#This Row],[customer_purchase count]]*Rules!$B$3</f>
        <v>179.29307692307694</v>
      </c>
      <c r="Y1201" t="str">
        <f>IF(Table1[[#This Row],[customer_subscription]]=1,"Subscribed","Not Subscribed")</f>
        <v>Not Subscribed</v>
      </c>
      <c r="Z1201" t="s">
        <v>194</v>
      </c>
    </row>
    <row r="1202" spans="1:26" x14ac:dyDescent="0.25">
      <c r="A1202">
        <v>1201</v>
      </c>
      <c r="B1202">
        <v>27</v>
      </c>
      <c r="C1202" t="s">
        <v>22</v>
      </c>
      <c r="D1202">
        <v>1201</v>
      </c>
      <c r="E1202" t="s">
        <v>65</v>
      </c>
      <c r="F1202" t="s">
        <v>66</v>
      </c>
      <c r="G1202">
        <v>1201</v>
      </c>
      <c r="H1202">
        <v>1640</v>
      </c>
      <c r="I1202">
        <v>22</v>
      </c>
      <c r="J1202" t="s">
        <v>142</v>
      </c>
      <c r="K1202" t="s">
        <v>95</v>
      </c>
      <c r="L1202" t="s">
        <v>97</v>
      </c>
      <c r="M1202" t="s">
        <v>28</v>
      </c>
      <c r="N1202">
        <v>4.4000000000000004</v>
      </c>
      <c r="O1202">
        <v>0</v>
      </c>
      <c r="P1202" t="s">
        <v>77</v>
      </c>
      <c r="Q1202" t="s">
        <v>30</v>
      </c>
      <c r="R1202" t="s">
        <v>30</v>
      </c>
      <c r="S1202">
        <v>7</v>
      </c>
      <c r="T1202" t="s">
        <v>49</v>
      </c>
      <c r="U1202" t="s">
        <v>43</v>
      </c>
      <c r="V1202" s="1">
        <v>45295</v>
      </c>
      <c r="W1202">
        <f>Table1[[#This Row],[customer_purchase count]]+1</f>
        <v>8</v>
      </c>
      <c r="X1202">
        <f>Table1[[#This Row],[customer_purchase count]]*Rules!$B$3</f>
        <v>418.35051282051285</v>
      </c>
      <c r="Y1202" t="str">
        <f>IF(Table1[[#This Row],[customer_subscription]]=1,"Subscribed","Not Subscribed")</f>
        <v>Not Subscribed</v>
      </c>
      <c r="Z1202" t="s">
        <v>194</v>
      </c>
    </row>
    <row r="1203" spans="1:26" x14ac:dyDescent="0.25">
      <c r="A1203">
        <v>1202</v>
      </c>
      <c r="B1203">
        <v>27</v>
      </c>
      <c r="C1203" t="s">
        <v>22</v>
      </c>
      <c r="D1203">
        <v>1202</v>
      </c>
      <c r="E1203" t="s">
        <v>74</v>
      </c>
      <c r="F1203" t="s">
        <v>45</v>
      </c>
      <c r="G1203">
        <v>1202</v>
      </c>
      <c r="H1203">
        <v>1641</v>
      </c>
      <c r="I1203">
        <v>61</v>
      </c>
      <c r="J1203" t="s">
        <v>118</v>
      </c>
      <c r="K1203" t="s">
        <v>95</v>
      </c>
      <c r="L1203" t="s">
        <v>97</v>
      </c>
      <c r="M1203" t="s">
        <v>56</v>
      </c>
      <c r="N1203">
        <v>3.1</v>
      </c>
      <c r="O1203">
        <v>0</v>
      </c>
      <c r="P1203" t="s">
        <v>73</v>
      </c>
      <c r="Q1203" t="s">
        <v>30</v>
      </c>
      <c r="R1203" t="s">
        <v>30</v>
      </c>
      <c r="S1203">
        <v>46</v>
      </c>
      <c r="T1203" t="s">
        <v>31</v>
      </c>
      <c r="U1203" t="s">
        <v>32</v>
      </c>
      <c r="V1203" s="1">
        <v>45496</v>
      </c>
      <c r="W1203">
        <f>Table1[[#This Row],[customer_purchase count]]+1</f>
        <v>47</v>
      </c>
      <c r="X1203">
        <f>Table1[[#This Row],[customer_purchase count]]*Rules!$B$3</f>
        <v>2749.1605128205128</v>
      </c>
      <c r="Y1203" t="str">
        <f>IF(Table1[[#This Row],[customer_subscription]]=1,"Subscribed","Not Subscribed")</f>
        <v>Not Subscribed</v>
      </c>
    </row>
    <row r="1204" spans="1:26" x14ac:dyDescent="0.25">
      <c r="A1204">
        <v>1203</v>
      </c>
      <c r="B1204">
        <v>48</v>
      </c>
      <c r="C1204" t="s">
        <v>22</v>
      </c>
      <c r="D1204">
        <v>1203</v>
      </c>
      <c r="E1204" t="s">
        <v>122</v>
      </c>
      <c r="F1204" t="s">
        <v>70</v>
      </c>
      <c r="G1204">
        <v>1203</v>
      </c>
      <c r="H1204">
        <v>1642</v>
      </c>
      <c r="I1204">
        <v>29</v>
      </c>
      <c r="J1204" t="s">
        <v>131</v>
      </c>
      <c r="K1204" t="s">
        <v>39</v>
      </c>
      <c r="L1204" t="s">
        <v>81</v>
      </c>
      <c r="M1204" t="s">
        <v>40</v>
      </c>
      <c r="N1204">
        <v>2.9</v>
      </c>
      <c r="O1204">
        <v>0</v>
      </c>
      <c r="P1204" t="s">
        <v>57</v>
      </c>
      <c r="Q1204" t="s">
        <v>30</v>
      </c>
      <c r="R1204" t="s">
        <v>30</v>
      </c>
      <c r="S1204">
        <v>14</v>
      </c>
      <c r="T1204" t="s">
        <v>31</v>
      </c>
      <c r="U1204" t="s">
        <v>100</v>
      </c>
      <c r="V1204" s="1">
        <v>45421</v>
      </c>
      <c r="W1204">
        <f>Table1[[#This Row],[customer_purchase count]]+1</f>
        <v>15</v>
      </c>
      <c r="X1204">
        <f>Table1[[#This Row],[customer_purchase count]]*Rules!$B$3</f>
        <v>836.70102564102569</v>
      </c>
      <c r="Y1204" t="str">
        <f>IF(Table1[[#This Row],[customer_subscription]]=1,"Subscribed","Not Subscribed")</f>
        <v>Not Subscribed</v>
      </c>
      <c r="Z1204" t="s">
        <v>194</v>
      </c>
    </row>
    <row r="1205" spans="1:26" x14ac:dyDescent="0.25">
      <c r="A1205">
        <v>1204</v>
      </c>
      <c r="B1205">
        <v>40</v>
      </c>
      <c r="C1205" t="s">
        <v>22</v>
      </c>
      <c r="D1205">
        <v>1204</v>
      </c>
      <c r="E1205" t="s">
        <v>53</v>
      </c>
      <c r="F1205" t="s">
        <v>45</v>
      </c>
      <c r="G1205">
        <v>1204</v>
      </c>
      <c r="H1205">
        <v>1643</v>
      </c>
      <c r="I1205">
        <v>82</v>
      </c>
      <c r="J1205" t="s">
        <v>151</v>
      </c>
      <c r="K1205" t="s">
        <v>47</v>
      </c>
      <c r="L1205" t="s">
        <v>124</v>
      </c>
      <c r="M1205" t="s">
        <v>28</v>
      </c>
      <c r="N1205">
        <v>3.7</v>
      </c>
      <c r="O1205">
        <v>0</v>
      </c>
      <c r="P1205" t="s">
        <v>41</v>
      </c>
      <c r="Q1205" t="s">
        <v>30</v>
      </c>
      <c r="R1205" t="s">
        <v>30</v>
      </c>
      <c r="S1205">
        <v>23</v>
      </c>
      <c r="T1205" t="s">
        <v>78</v>
      </c>
      <c r="U1205" t="s">
        <v>52</v>
      </c>
      <c r="V1205" s="1">
        <v>45630</v>
      </c>
      <c r="W1205">
        <f>Table1[[#This Row],[customer_purchase count]]+1</f>
        <v>24</v>
      </c>
      <c r="X1205">
        <f>Table1[[#This Row],[customer_purchase count]]*Rules!$B$3</f>
        <v>1374.5802564102564</v>
      </c>
      <c r="Y1205" t="str">
        <f>IF(Table1[[#This Row],[customer_subscription]]=1,"Subscribed","Not Subscribed")</f>
        <v>Not Subscribed</v>
      </c>
    </row>
    <row r="1206" spans="1:26" x14ac:dyDescent="0.25">
      <c r="A1206">
        <v>1205</v>
      </c>
      <c r="B1206">
        <v>67</v>
      </c>
      <c r="C1206" t="s">
        <v>22</v>
      </c>
      <c r="D1206">
        <v>1205</v>
      </c>
      <c r="E1206" t="s">
        <v>136</v>
      </c>
      <c r="F1206" t="s">
        <v>70</v>
      </c>
      <c r="G1206">
        <v>1205</v>
      </c>
      <c r="H1206">
        <v>1645</v>
      </c>
      <c r="I1206">
        <v>94</v>
      </c>
      <c r="J1206" t="s">
        <v>106</v>
      </c>
      <c r="K1206" t="s">
        <v>47</v>
      </c>
      <c r="L1206" t="s">
        <v>72</v>
      </c>
      <c r="M1206" t="s">
        <v>40</v>
      </c>
      <c r="N1206">
        <v>3.2</v>
      </c>
      <c r="O1206">
        <v>0</v>
      </c>
      <c r="P1206" t="s">
        <v>73</v>
      </c>
      <c r="Q1206" t="s">
        <v>30</v>
      </c>
      <c r="R1206" t="s">
        <v>30</v>
      </c>
      <c r="S1206">
        <v>20</v>
      </c>
      <c r="T1206" t="s">
        <v>42</v>
      </c>
      <c r="U1206" t="s">
        <v>100</v>
      </c>
      <c r="V1206" s="1">
        <v>45401</v>
      </c>
      <c r="W1206">
        <f>Table1[[#This Row],[customer_purchase count]]+1</f>
        <v>21</v>
      </c>
      <c r="X1206">
        <f>Table1[[#This Row],[customer_purchase count]]*Rules!$B$3</f>
        <v>1195.2871794871796</v>
      </c>
      <c r="Y1206" t="str">
        <f>IF(Table1[[#This Row],[customer_subscription]]=1,"Subscribed","Not Subscribed")</f>
        <v>Not Subscribed</v>
      </c>
    </row>
    <row r="1207" spans="1:26" x14ac:dyDescent="0.25">
      <c r="A1207">
        <v>1206</v>
      </c>
      <c r="B1207">
        <v>52</v>
      </c>
      <c r="C1207" t="s">
        <v>22</v>
      </c>
      <c r="D1207">
        <v>1206</v>
      </c>
      <c r="E1207" t="s">
        <v>69</v>
      </c>
      <c r="F1207" t="s">
        <v>70</v>
      </c>
      <c r="G1207">
        <v>1206</v>
      </c>
      <c r="H1207">
        <v>1646</v>
      </c>
      <c r="I1207">
        <v>99</v>
      </c>
      <c r="J1207" t="s">
        <v>102</v>
      </c>
      <c r="K1207" t="s">
        <v>47</v>
      </c>
      <c r="L1207" t="s">
        <v>81</v>
      </c>
      <c r="M1207" t="s">
        <v>40</v>
      </c>
      <c r="N1207">
        <v>3.5</v>
      </c>
      <c r="O1207">
        <v>0</v>
      </c>
      <c r="P1207" t="s">
        <v>57</v>
      </c>
      <c r="Q1207" t="s">
        <v>30</v>
      </c>
      <c r="R1207" t="s">
        <v>30</v>
      </c>
      <c r="S1207">
        <v>38</v>
      </c>
      <c r="T1207" t="s">
        <v>78</v>
      </c>
      <c r="U1207" t="s">
        <v>32</v>
      </c>
      <c r="V1207" s="1">
        <v>45366</v>
      </c>
      <c r="W1207">
        <f>Table1[[#This Row],[customer_purchase count]]+1</f>
        <v>39</v>
      </c>
      <c r="X1207">
        <f>Table1[[#This Row],[customer_purchase count]]*Rules!$B$3</f>
        <v>2271.0456410256411</v>
      </c>
      <c r="Y1207" t="str">
        <f>IF(Table1[[#This Row],[customer_subscription]]=1,"Subscribed","Not Subscribed")</f>
        <v>Not Subscribed</v>
      </c>
    </row>
    <row r="1208" spans="1:26" x14ac:dyDescent="0.25">
      <c r="A1208">
        <v>1207</v>
      </c>
      <c r="B1208">
        <v>22</v>
      </c>
      <c r="C1208" t="s">
        <v>22</v>
      </c>
      <c r="D1208">
        <v>1207</v>
      </c>
      <c r="E1208" t="s">
        <v>69</v>
      </c>
      <c r="F1208" t="s">
        <v>70</v>
      </c>
      <c r="G1208">
        <v>1207</v>
      </c>
      <c r="H1208">
        <v>1647</v>
      </c>
      <c r="I1208">
        <v>59</v>
      </c>
      <c r="J1208" t="s">
        <v>94</v>
      </c>
      <c r="K1208" t="s">
        <v>39</v>
      </c>
      <c r="L1208" t="s">
        <v>112</v>
      </c>
      <c r="M1208" t="s">
        <v>60</v>
      </c>
      <c r="N1208">
        <v>3</v>
      </c>
      <c r="O1208">
        <v>0</v>
      </c>
      <c r="P1208" t="s">
        <v>41</v>
      </c>
      <c r="Q1208" t="s">
        <v>30</v>
      </c>
      <c r="R1208" t="s">
        <v>30</v>
      </c>
      <c r="S1208">
        <v>16</v>
      </c>
      <c r="T1208" t="s">
        <v>31</v>
      </c>
      <c r="U1208" t="s">
        <v>100</v>
      </c>
      <c r="V1208" s="1">
        <v>45545</v>
      </c>
      <c r="W1208">
        <f>Table1[[#This Row],[customer_purchase count]]+1</f>
        <v>17</v>
      </c>
      <c r="X1208">
        <f>Table1[[#This Row],[customer_purchase count]]*Rules!$B$3</f>
        <v>956.22974358974363</v>
      </c>
      <c r="Y1208" t="str">
        <f>IF(Table1[[#This Row],[customer_subscription]]=1,"Subscribed","Not Subscribed")</f>
        <v>Not Subscribed</v>
      </c>
      <c r="Z1208" t="s">
        <v>187</v>
      </c>
    </row>
    <row r="1209" spans="1:26" x14ac:dyDescent="0.25">
      <c r="A1209">
        <v>1208</v>
      </c>
      <c r="B1209">
        <v>62</v>
      </c>
      <c r="C1209" t="s">
        <v>22</v>
      </c>
      <c r="D1209">
        <v>1208</v>
      </c>
      <c r="E1209" t="s">
        <v>140</v>
      </c>
      <c r="F1209" t="s">
        <v>45</v>
      </c>
      <c r="G1209">
        <v>1208</v>
      </c>
      <c r="H1209">
        <v>1648</v>
      </c>
      <c r="I1209">
        <v>90</v>
      </c>
      <c r="J1209" t="s">
        <v>152</v>
      </c>
      <c r="K1209" t="s">
        <v>47</v>
      </c>
      <c r="L1209" t="s">
        <v>55</v>
      </c>
      <c r="M1209" t="s">
        <v>56</v>
      </c>
      <c r="N1209">
        <v>4.0999999999999996</v>
      </c>
      <c r="O1209">
        <v>0</v>
      </c>
      <c r="P1209" t="s">
        <v>48</v>
      </c>
      <c r="Q1209" t="s">
        <v>30</v>
      </c>
      <c r="R1209" t="s">
        <v>30</v>
      </c>
      <c r="S1209">
        <v>48</v>
      </c>
      <c r="T1209" t="s">
        <v>42</v>
      </c>
      <c r="U1209" t="s">
        <v>100</v>
      </c>
      <c r="V1209" s="1">
        <v>45498</v>
      </c>
      <c r="W1209">
        <f>Table1[[#This Row],[customer_purchase count]]+1</f>
        <v>49</v>
      </c>
      <c r="X1209">
        <f>Table1[[#This Row],[customer_purchase count]]*Rules!$B$3</f>
        <v>2868.689230769231</v>
      </c>
      <c r="Y1209" t="str">
        <f>IF(Table1[[#This Row],[customer_subscription]]=1,"Subscribed","Not Subscribed")</f>
        <v>Not Subscribed</v>
      </c>
    </row>
    <row r="1210" spans="1:26" x14ac:dyDescent="0.25">
      <c r="A1210">
        <v>1209</v>
      </c>
      <c r="B1210">
        <v>20</v>
      </c>
      <c r="C1210" t="s">
        <v>22</v>
      </c>
      <c r="D1210">
        <v>1209</v>
      </c>
      <c r="E1210" t="s">
        <v>140</v>
      </c>
      <c r="F1210" t="s">
        <v>45</v>
      </c>
      <c r="G1210">
        <v>1209</v>
      </c>
      <c r="H1210">
        <v>1649</v>
      </c>
      <c r="I1210">
        <v>100</v>
      </c>
      <c r="J1210" t="s">
        <v>153</v>
      </c>
      <c r="K1210" t="s">
        <v>39</v>
      </c>
      <c r="L1210" t="s">
        <v>111</v>
      </c>
      <c r="M1210" t="s">
        <v>28</v>
      </c>
      <c r="N1210">
        <v>2.9</v>
      </c>
      <c r="O1210">
        <v>0</v>
      </c>
      <c r="P1210" t="s">
        <v>73</v>
      </c>
      <c r="Q1210" t="s">
        <v>30</v>
      </c>
      <c r="R1210" t="s">
        <v>30</v>
      </c>
      <c r="S1210">
        <v>8</v>
      </c>
      <c r="T1210" t="s">
        <v>89</v>
      </c>
      <c r="U1210" t="s">
        <v>52</v>
      </c>
      <c r="V1210" s="1">
        <v>45339</v>
      </c>
      <c r="W1210">
        <f>Table1[[#This Row],[customer_purchase count]]+1</f>
        <v>9</v>
      </c>
      <c r="X1210">
        <f>Table1[[#This Row],[customer_purchase count]]*Rules!$B$3</f>
        <v>478.11487179487182</v>
      </c>
      <c r="Y1210" t="str">
        <f>IF(Table1[[#This Row],[customer_subscription]]=1,"Subscribed","Not Subscribed")</f>
        <v>Not Subscribed</v>
      </c>
      <c r="Z1210" t="s">
        <v>194</v>
      </c>
    </row>
    <row r="1211" spans="1:26" x14ac:dyDescent="0.25">
      <c r="A1211">
        <v>1210</v>
      </c>
      <c r="B1211">
        <v>41</v>
      </c>
      <c r="C1211" t="s">
        <v>22</v>
      </c>
      <c r="D1211">
        <v>1210</v>
      </c>
      <c r="E1211" t="s">
        <v>98</v>
      </c>
      <c r="F1211" t="s">
        <v>24</v>
      </c>
      <c r="G1211">
        <v>1210</v>
      </c>
      <c r="H1211">
        <v>1651</v>
      </c>
      <c r="I1211">
        <v>62</v>
      </c>
      <c r="J1211" t="s">
        <v>141</v>
      </c>
      <c r="K1211" t="s">
        <v>47</v>
      </c>
      <c r="L1211" t="s">
        <v>147</v>
      </c>
      <c r="M1211" t="s">
        <v>28</v>
      </c>
      <c r="N1211">
        <v>3.8</v>
      </c>
      <c r="O1211">
        <v>0</v>
      </c>
      <c r="P1211" t="s">
        <v>48</v>
      </c>
      <c r="Q1211" t="s">
        <v>30</v>
      </c>
      <c r="R1211" t="s">
        <v>30</v>
      </c>
      <c r="S1211">
        <v>16</v>
      </c>
      <c r="T1211" t="s">
        <v>78</v>
      </c>
      <c r="U1211" t="s">
        <v>91</v>
      </c>
      <c r="V1211" s="1">
        <v>45631</v>
      </c>
      <c r="W1211">
        <f>Table1[[#This Row],[customer_purchase count]]+1</f>
        <v>17</v>
      </c>
      <c r="X1211">
        <f>Table1[[#This Row],[customer_purchase count]]*Rules!$B$3</f>
        <v>956.22974358974363</v>
      </c>
      <c r="Y1211" t="str">
        <f>IF(Table1[[#This Row],[customer_subscription]]=1,"Subscribed","Not Subscribed")</f>
        <v>Not Subscribed</v>
      </c>
      <c r="Z1211" t="s">
        <v>194</v>
      </c>
    </row>
    <row r="1212" spans="1:26" x14ac:dyDescent="0.25">
      <c r="A1212">
        <v>1211</v>
      </c>
      <c r="B1212">
        <v>34</v>
      </c>
      <c r="C1212" t="s">
        <v>22</v>
      </c>
      <c r="D1212">
        <v>1211</v>
      </c>
      <c r="E1212" t="s">
        <v>92</v>
      </c>
      <c r="F1212" t="s">
        <v>70</v>
      </c>
      <c r="G1212">
        <v>1211</v>
      </c>
      <c r="H1212">
        <v>1652</v>
      </c>
      <c r="I1212">
        <v>78</v>
      </c>
      <c r="J1212" t="s">
        <v>71</v>
      </c>
      <c r="K1212" t="s">
        <v>47</v>
      </c>
      <c r="L1212" t="s">
        <v>81</v>
      </c>
      <c r="M1212" t="s">
        <v>60</v>
      </c>
      <c r="N1212">
        <v>4.0999999999999996</v>
      </c>
      <c r="O1212">
        <v>0</v>
      </c>
      <c r="P1212" t="s">
        <v>48</v>
      </c>
      <c r="Q1212" t="s">
        <v>30</v>
      </c>
      <c r="R1212" t="s">
        <v>30</v>
      </c>
      <c r="S1212">
        <v>5</v>
      </c>
      <c r="T1212" t="s">
        <v>36</v>
      </c>
      <c r="U1212" t="s">
        <v>61</v>
      </c>
      <c r="V1212" s="1">
        <v>45543</v>
      </c>
      <c r="W1212">
        <f>Table1[[#This Row],[customer_purchase count]]+1</f>
        <v>6</v>
      </c>
      <c r="X1212">
        <f>Table1[[#This Row],[customer_purchase count]]*Rules!$B$3</f>
        <v>298.82179487179491</v>
      </c>
      <c r="Y1212" t="str">
        <f>IF(Table1[[#This Row],[customer_subscription]]=1,"Subscribed","Not Subscribed")</f>
        <v>Not Subscribed</v>
      </c>
      <c r="Z1212" t="s">
        <v>194</v>
      </c>
    </row>
    <row r="1213" spans="1:26" x14ac:dyDescent="0.25">
      <c r="A1213">
        <v>1212</v>
      </c>
      <c r="B1213">
        <v>23</v>
      </c>
      <c r="C1213" t="s">
        <v>22</v>
      </c>
      <c r="D1213">
        <v>1212</v>
      </c>
      <c r="E1213" t="s">
        <v>107</v>
      </c>
      <c r="F1213" t="s">
        <v>24</v>
      </c>
      <c r="G1213">
        <v>1212</v>
      </c>
      <c r="H1213">
        <v>1653</v>
      </c>
      <c r="I1213">
        <v>94</v>
      </c>
      <c r="J1213" t="s">
        <v>104</v>
      </c>
      <c r="K1213" t="s">
        <v>47</v>
      </c>
      <c r="L1213" t="s">
        <v>99</v>
      </c>
      <c r="M1213" t="s">
        <v>40</v>
      </c>
      <c r="N1213">
        <v>4.5999999999999996</v>
      </c>
      <c r="O1213">
        <v>0</v>
      </c>
      <c r="P1213" t="s">
        <v>77</v>
      </c>
      <c r="Q1213" t="s">
        <v>30</v>
      </c>
      <c r="R1213" t="s">
        <v>30</v>
      </c>
      <c r="S1213">
        <v>14</v>
      </c>
      <c r="T1213" t="s">
        <v>31</v>
      </c>
      <c r="U1213" t="s">
        <v>100</v>
      </c>
      <c r="V1213" s="1">
        <v>45432</v>
      </c>
      <c r="W1213">
        <f>Table1[[#This Row],[customer_purchase count]]+1</f>
        <v>15</v>
      </c>
      <c r="X1213">
        <f>Table1[[#This Row],[customer_purchase count]]*Rules!$B$3</f>
        <v>836.70102564102569</v>
      </c>
      <c r="Y1213" t="str">
        <f>IF(Table1[[#This Row],[customer_subscription]]=1,"Subscribed","Not Subscribed")</f>
        <v>Not Subscribed</v>
      </c>
      <c r="Z1213" t="s">
        <v>187</v>
      </c>
    </row>
    <row r="1214" spans="1:26" x14ac:dyDescent="0.25">
      <c r="A1214">
        <v>1213</v>
      </c>
      <c r="B1214">
        <v>32</v>
      </c>
      <c r="C1214" t="s">
        <v>22</v>
      </c>
      <c r="D1214">
        <v>1213</v>
      </c>
      <c r="E1214" t="s">
        <v>74</v>
      </c>
      <c r="F1214" t="s">
        <v>45</v>
      </c>
      <c r="G1214">
        <v>1213</v>
      </c>
      <c r="H1214">
        <v>1654</v>
      </c>
      <c r="I1214">
        <v>74</v>
      </c>
      <c r="J1214" t="s">
        <v>141</v>
      </c>
      <c r="K1214" t="s">
        <v>47</v>
      </c>
      <c r="L1214" t="s">
        <v>137</v>
      </c>
      <c r="M1214" t="s">
        <v>56</v>
      </c>
      <c r="N1214">
        <v>2.5</v>
      </c>
      <c r="O1214">
        <v>0</v>
      </c>
      <c r="P1214" t="s">
        <v>41</v>
      </c>
      <c r="Q1214" t="s">
        <v>30</v>
      </c>
      <c r="R1214" t="s">
        <v>30</v>
      </c>
      <c r="S1214">
        <v>18</v>
      </c>
      <c r="T1214" t="s">
        <v>42</v>
      </c>
      <c r="U1214" t="s">
        <v>43</v>
      </c>
      <c r="V1214" s="1">
        <v>45522</v>
      </c>
      <c r="W1214">
        <f>Table1[[#This Row],[customer_purchase count]]+1</f>
        <v>19</v>
      </c>
      <c r="X1214">
        <f>Table1[[#This Row],[customer_purchase count]]*Rules!$B$3</f>
        <v>1075.7584615384617</v>
      </c>
      <c r="Y1214" t="str">
        <f>IF(Table1[[#This Row],[customer_subscription]]=1,"Subscribed","Not Subscribed")</f>
        <v>Not Subscribed</v>
      </c>
    </row>
    <row r="1215" spans="1:26" x14ac:dyDescent="0.25">
      <c r="A1215">
        <v>1214</v>
      </c>
      <c r="B1215">
        <v>68</v>
      </c>
      <c r="C1215" t="s">
        <v>22</v>
      </c>
      <c r="D1215">
        <v>1214</v>
      </c>
      <c r="E1215" t="s">
        <v>69</v>
      </c>
      <c r="F1215" t="s">
        <v>70</v>
      </c>
      <c r="G1215">
        <v>1214</v>
      </c>
      <c r="H1215">
        <v>1655</v>
      </c>
      <c r="I1215">
        <v>52</v>
      </c>
      <c r="J1215" t="s">
        <v>25</v>
      </c>
      <c r="K1215" t="s">
        <v>95</v>
      </c>
      <c r="L1215" t="s">
        <v>97</v>
      </c>
      <c r="M1215" t="s">
        <v>40</v>
      </c>
      <c r="N1215">
        <v>3.7</v>
      </c>
      <c r="O1215">
        <v>0</v>
      </c>
      <c r="P1215" t="s">
        <v>29</v>
      </c>
      <c r="Q1215" t="s">
        <v>30</v>
      </c>
      <c r="R1215" t="s">
        <v>30</v>
      </c>
      <c r="S1215">
        <v>14</v>
      </c>
      <c r="T1215" t="s">
        <v>89</v>
      </c>
      <c r="U1215" t="s">
        <v>100</v>
      </c>
      <c r="V1215" s="1">
        <v>45403</v>
      </c>
      <c r="W1215">
        <f>Table1[[#This Row],[customer_purchase count]]+1</f>
        <v>15</v>
      </c>
      <c r="X1215">
        <f>Table1[[#This Row],[customer_purchase count]]*Rules!$B$3</f>
        <v>836.70102564102569</v>
      </c>
      <c r="Y1215" t="str">
        <f>IF(Table1[[#This Row],[customer_subscription]]=1,"Subscribed","Not Subscribed")</f>
        <v>Not Subscribed</v>
      </c>
      <c r="Z1215" t="s">
        <v>194</v>
      </c>
    </row>
    <row r="1216" spans="1:26" x14ac:dyDescent="0.25">
      <c r="A1216">
        <v>1215</v>
      </c>
      <c r="B1216">
        <v>30</v>
      </c>
      <c r="C1216" t="s">
        <v>22</v>
      </c>
      <c r="D1216">
        <v>1215</v>
      </c>
      <c r="E1216" t="s">
        <v>105</v>
      </c>
      <c r="F1216" t="s">
        <v>66</v>
      </c>
      <c r="G1216">
        <v>1215</v>
      </c>
      <c r="H1216">
        <v>1657</v>
      </c>
      <c r="I1216">
        <v>81</v>
      </c>
      <c r="J1216" t="s">
        <v>132</v>
      </c>
      <c r="K1216" t="s">
        <v>47</v>
      </c>
      <c r="L1216" t="s">
        <v>147</v>
      </c>
      <c r="M1216" t="s">
        <v>60</v>
      </c>
      <c r="N1216">
        <v>3.8</v>
      </c>
      <c r="O1216">
        <v>0</v>
      </c>
      <c r="P1216" t="s">
        <v>41</v>
      </c>
      <c r="Q1216" t="s">
        <v>30</v>
      </c>
      <c r="R1216" t="s">
        <v>30</v>
      </c>
      <c r="S1216">
        <v>5</v>
      </c>
      <c r="T1216" t="s">
        <v>36</v>
      </c>
      <c r="U1216" t="s">
        <v>100</v>
      </c>
      <c r="V1216" s="1">
        <v>45613</v>
      </c>
      <c r="W1216">
        <f>Table1[[#This Row],[customer_purchase count]]+1</f>
        <v>6</v>
      </c>
      <c r="X1216">
        <f>Table1[[#This Row],[customer_purchase count]]*Rules!$B$3</f>
        <v>298.82179487179491</v>
      </c>
      <c r="Y1216" t="str">
        <f>IF(Table1[[#This Row],[customer_subscription]]=1,"Subscribed","Not Subscribed")</f>
        <v>Not Subscribed</v>
      </c>
      <c r="Z1216" t="s">
        <v>194</v>
      </c>
    </row>
    <row r="1217" spans="1:26" x14ac:dyDescent="0.25">
      <c r="A1217">
        <v>1216</v>
      </c>
      <c r="B1217">
        <v>66</v>
      </c>
      <c r="C1217" t="s">
        <v>22</v>
      </c>
      <c r="D1217">
        <v>1216</v>
      </c>
      <c r="E1217" t="s">
        <v>23</v>
      </c>
      <c r="F1217" t="s">
        <v>24</v>
      </c>
      <c r="G1217">
        <v>1216</v>
      </c>
      <c r="H1217">
        <v>1658</v>
      </c>
      <c r="I1217">
        <v>20</v>
      </c>
      <c r="J1217" t="s">
        <v>50</v>
      </c>
      <c r="K1217" t="s">
        <v>26</v>
      </c>
      <c r="L1217" t="s">
        <v>72</v>
      </c>
      <c r="M1217" t="s">
        <v>28</v>
      </c>
      <c r="N1217">
        <v>2.6</v>
      </c>
      <c r="O1217">
        <v>0</v>
      </c>
      <c r="P1217" t="s">
        <v>73</v>
      </c>
      <c r="Q1217" t="s">
        <v>30</v>
      </c>
      <c r="R1217" t="s">
        <v>30</v>
      </c>
      <c r="S1217">
        <v>15</v>
      </c>
      <c r="T1217" t="s">
        <v>42</v>
      </c>
      <c r="U1217" t="s">
        <v>100</v>
      </c>
      <c r="V1217" s="1">
        <v>45341</v>
      </c>
      <c r="W1217">
        <f>Table1[[#This Row],[customer_purchase count]]+1</f>
        <v>16</v>
      </c>
      <c r="X1217">
        <f>Table1[[#This Row],[customer_purchase count]]*Rules!$B$3</f>
        <v>896.46538461538466</v>
      </c>
      <c r="Y1217" t="str">
        <f>IF(Table1[[#This Row],[customer_subscription]]=1,"Subscribed","Not Subscribed")</f>
        <v>Not Subscribed</v>
      </c>
      <c r="Z1217" t="s">
        <v>194</v>
      </c>
    </row>
    <row r="1218" spans="1:26" x14ac:dyDescent="0.25">
      <c r="A1218">
        <v>1217</v>
      </c>
      <c r="B1218">
        <v>62</v>
      </c>
      <c r="C1218" t="s">
        <v>22</v>
      </c>
      <c r="D1218">
        <v>1217</v>
      </c>
      <c r="E1218" t="s">
        <v>98</v>
      </c>
      <c r="F1218" t="s">
        <v>24</v>
      </c>
      <c r="G1218">
        <v>1217</v>
      </c>
      <c r="H1218">
        <v>1659</v>
      </c>
      <c r="I1218">
        <v>32</v>
      </c>
      <c r="J1218" t="s">
        <v>143</v>
      </c>
      <c r="K1218" t="s">
        <v>95</v>
      </c>
      <c r="L1218" t="s">
        <v>96</v>
      </c>
      <c r="M1218" t="s">
        <v>56</v>
      </c>
      <c r="N1218">
        <v>3.7</v>
      </c>
      <c r="O1218">
        <v>0</v>
      </c>
      <c r="P1218" t="s">
        <v>41</v>
      </c>
      <c r="Q1218" t="s">
        <v>30</v>
      </c>
      <c r="R1218" t="s">
        <v>30</v>
      </c>
      <c r="S1218">
        <v>3</v>
      </c>
      <c r="T1218" t="s">
        <v>31</v>
      </c>
      <c r="U1218" t="s">
        <v>100</v>
      </c>
      <c r="V1218" s="1">
        <v>45512</v>
      </c>
      <c r="W1218">
        <f>Table1[[#This Row],[customer_purchase count]]+1</f>
        <v>4</v>
      </c>
      <c r="X1218">
        <f>Table1[[#This Row],[customer_purchase count]]*Rules!$B$3</f>
        <v>179.29307692307694</v>
      </c>
      <c r="Y1218" t="str">
        <f>IF(Table1[[#This Row],[customer_subscription]]=1,"Subscribed","Not Subscribed")</f>
        <v>Not Subscribed</v>
      </c>
      <c r="Z1218" t="s">
        <v>194</v>
      </c>
    </row>
    <row r="1219" spans="1:26" x14ac:dyDescent="0.25">
      <c r="A1219">
        <v>1218</v>
      </c>
      <c r="B1219">
        <v>50</v>
      </c>
      <c r="C1219" t="s">
        <v>22</v>
      </c>
      <c r="D1219">
        <v>1218</v>
      </c>
      <c r="E1219" t="s">
        <v>140</v>
      </c>
      <c r="F1219" t="s">
        <v>45</v>
      </c>
      <c r="G1219">
        <v>1218</v>
      </c>
      <c r="H1219">
        <v>1660</v>
      </c>
      <c r="I1219">
        <v>63</v>
      </c>
      <c r="J1219" t="s">
        <v>148</v>
      </c>
      <c r="K1219" t="s">
        <v>95</v>
      </c>
      <c r="L1219" t="s">
        <v>112</v>
      </c>
      <c r="M1219" t="s">
        <v>60</v>
      </c>
      <c r="N1219">
        <v>2.6</v>
      </c>
      <c r="O1219">
        <v>0</v>
      </c>
      <c r="P1219" t="s">
        <v>41</v>
      </c>
      <c r="Q1219" t="s">
        <v>30</v>
      </c>
      <c r="R1219" t="s">
        <v>30</v>
      </c>
      <c r="S1219">
        <v>12</v>
      </c>
      <c r="T1219" t="s">
        <v>36</v>
      </c>
      <c r="U1219" t="s">
        <v>100</v>
      </c>
      <c r="V1219" s="1">
        <v>45620</v>
      </c>
      <c r="W1219">
        <f>Table1[[#This Row],[customer_purchase count]]+1</f>
        <v>13</v>
      </c>
      <c r="X1219">
        <f>Table1[[#This Row],[customer_purchase count]]*Rules!$B$3</f>
        <v>717.17230769230775</v>
      </c>
      <c r="Y1219" t="str">
        <f>IF(Table1[[#This Row],[customer_subscription]]=1,"Subscribed","Not Subscribed")</f>
        <v>Not Subscribed</v>
      </c>
      <c r="Z1219" t="s">
        <v>194</v>
      </c>
    </row>
    <row r="1220" spans="1:26" x14ac:dyDescent="0.25">
      <c r="A1220">
        <v>1219</v>
      </c>
      <c r="B1220">
        <v>55</v>
      </c>
      <c r="C1220" t="s">
        <v>22</v>
      </c>
      <c r="D1220">
        <v>1219</v>
      </c>
      <c r="E1220" t="s">
        <v>140</v>
      </c>
      <c r="F1220" t="s">
        <v>45</v>
      </c>
      <c r="G1220">
        <v>1219</v>
      </c>
      <c r="H1220">
        <v>1661</v>
      </c>
      <c r="I1220">
        <v>79</v>
      </c>
      <c r="J1220" t="s">
        <v>141</v>
      </c>
      <c r="K1220" t="s">
        <v>47</v>
      </c>
      <c r="L1220" t="s">
        <v>112</v>
      </c>
      <c r="M1220" t="s">
        <v>40</v>
      </c>
      <c r="N1220">
        <v>3.1</v>
      </c>
      <c r="O1220">
        <v>0</v>
      </c>
      <c r="P1220" t="s">
        <v>77</v>
      </c>
      <c r="Q1220" t="s">
        <v>30</v>
      </c>
      <c r="R1220" t="s">
        <v>30</v>
      </c>
      <c r="S1220">
        <v>43</v>
      </c>
      <c r="T1220" t="s">
        <v>36</v>
      </c>
      <c r="U1220" t="s">
        <v>100</v>
      </c>
      <c r="V1220" s="1">
        <v>45361</v>
      </c>
      <c r="W1220">
        <f>Table1[[#This Row],[customer_purchase count]]+1</f>
        <v>44</v>
      </c>
      <c r="X1220">
        <f>Table1[[#This Row],[customer_purchase count]]*Rules!$B$3</f>
        <v>2569.8674358974358</v>
      </c>
      <c r="Y1220" t="str">
        <f>IF(Table1[[#This Row],[customer_subscription]]=1,"Subscribed","Not Subscribed")</f>
        <v>Not Subscribed</v>
      </c>
    </row>
    <row r="1221" spans="1:26" x14ac:dyDescent="0.25">
      <c r="A1221">
        <v>1220</v>
      </c>
      <c r="B1221">
        <v>19</v>
      </c>
      <c r="C1221" t="s">
        <v>22</v>
      </c>
      <c r="D1221">
        <v>1220</v>
      </c>
      <c r="E1221" t="s">
        <v>33</v>
      </c>
      <c r="F1221" t="s">
        <v>24</v>
      </c>
      <c r="G1221">
        <v>1220</v>
      </c>
      <c r="H1221">
        <v>1663</v>
      </c>
      <c r="I1221">
        <v>23</v>
      </c>
      <c r="J1221" t="s">
        <v>132</v>
      </c>
      <c r="K1221" t="s">
        <v>47</v>
      </c>
      <c r="L1221" t="s">
        <v>83</v>
      </c>
      <c r="M1221" t="s">
        <v>28</v>
      </c>
      <c r="N1221">
        <v>2.5</v>
      </c>
      <c r="O1221">
        <v>0</v>
      </c>
      <c r="P1221" t="s">
        <v>48</v>
      </c>
      <c r="Q1221" t="s">
        <v>30</v>
      </c>
      <c r="R1221" t="s">
        <v>30</v>
      </c>
      <c r="S1221">
        <v>35</v>
      </c>
      <c r="T1221" t="s">
        <v>42</v>
      </c>
      <c r="U1221" t="s">
        <v>79</v>
      </c>
      <c r="V1221" s="1">
        <v>45302</v>
      </c>
      <c r="W1221">
        <f>Table1[[#This Row],[customer_purchase count]]+1</f>
        <v>36</v>
      </c>
      <c r="X1221">
        <f>Table1[[#This Row],[customer_purchase count]]*Rules!$B$3</f>
        <v>2091.7525641025641</v>
      </c>
      <c r="Y1221" t="str">
        <f>IF(Table1[[#This Row],[customer_subscription]]=1,"Subscribed","Not Subscribed")</f>
        <v>Not Subscribed</v>
      </c>
    </row>
    <row r="1222" spans="1:26" x14ac:dyDescent="0.25">
      <c r="A1222">
        <v>1221</v>
      </c>
      <c r="B1222">
        <v>67</v>
      </c>
      <c r="C1222" t="s">
        <v>22</v>
      </c>
      <c r="D1222">
        <v>1221</v>
      </c>
      <c r="E1222" t="s">
        <v>146</v>
      </c>
      <c r="F1222" t="s">
        <v>70</v>
      </c>
      <c r="G1222">
        <v>1221</v>
      </c>
      <c r="H1222">
        <v>1664</v>
      </c>
      <c r="I1222">
        <v>64</v>
      </c>
      <c r="J1222" t="s">
        <v>25</v>
      </c>
      <c r="K1222" t="s">
        <v>47</v>
      </c>
      <c r="L1222" t="s">
        <v>99</v>
      </c>
      <c r="M1222" t="s">
        <v>28</v>
      </c>
      <c r="N1222">
        <v>4.9000000000000004</v>
      </c>
      <c r="O1222">
        <v>0</v>
      </c>
      <c r="P1222" t="s">
        <v>29</v>
      </c>
      <c r="Q1222" t="s">
        <v>30</v>
      </c>
      <c r="R1222" t="s">
        <v>30</v>
      </c>
      <c r="S1222">
        <v>36</v>
      </c>
      <c r="T1222" t="s">
        <v>78</v>
      </c>
      <c r="U1222" t="s">
        <v>61</v>
      </c>
      <c r="V1222" s="1">
        <v>45631</v>
      </c>
      <c r="W1222">
        <f>Table1[[#This Row],[customer_purchase count]]+1</f>
        <v>37</v>
      </c>
      <c r="X1222">
        <f>Table1[[#This Row],[customer_purchase count]]*Rules!$B$3</f>
        <v>2151.5169230769234</v>
      </c>
      <c r="Y1222" t="str">
        <f>IF(Table1[[#This Row],[customer_subscription]]=1,"Subscribed","Not Subscribed")</f>
        <v>Not Subscribed</v>
      </c>
    </row>
    <row r="1223" spans="1:26" x14ac:dyDescent="0.25">
      <c r="A1223">
        <v>1222</v>
      </c>
      <c r="B1223">
        <v>18</v>
      </c>
      <c r="C1223" t="s">
        <v>22</v>
      </c>
      <c r="D1223">
        <v>1222</v>
      </c>
      <c r="E1223" t="s">
        <v>128</v>
      </c>
      <c r="F1223" t="s">
        <v>24</v>
      </c>
      <c r="G1223">
        <v>1222</v>
      </c>
      <c r="H1223">
        <v>1665</v>
      </c>
      <c r="I1223">
        <v>69</v>
      </c>
      <c r="J1223" t="s">
        <v>149</v>
      </c>
      <c r="K1223" t="s">
        <v>47</v>
      </c>
      <c r="L1223" t="s">
        <v>111</v>
      </c>
      <c r="M1223" t="s">
        <v>28</v>
      </c>
      <c r="N1223">
        <v>4.5</v>
      </c>
      <c r="O1223">
        <v>0</v>
      </c>
      <c r="P1223" t="s">
        <v>57</v>
      </c>
      <c r="Q1223" t="s">
        <v>30</v>
      </c>
      <c r="R1223" t="s">
        <v>30</v>
      </c>
      <c r="S1223">
        <v>3</v>
      </c>
      <c r="T1223" t="s">
        <v>36</v>
      </c>
      <c r="U1223" t="s">
        <v>61</v>
      </c>
      <c r="V1223" s="1">
        <v>45633</v>
      </c>
      <c r="W1223">
        <f>Table1[[#This Row],[customer_purchase count]]+1</f>
        <v>4</v>
      </c>
      <c r="X1223">
        <f>Table1[[#This Row],[customer_purchase count]]*Rules!$B$3</f>
        <v>179.29307692307694</v>
      </c>
      <c r="Y1223" t="str">
        <f>IF(Table1[[#This Row],[customer_subscription]]=1,"Subscribed","Not Subscribed")</f>
        <v>Not Subscribed</v>
      </c>
      <c r="Z1223" t="s">
        <v>194</v>
      </c>
    </row>
    <row r="1224" spans="1:26" x14ac:dyDescent="0.25">
      <c r="A1224">
        <v>1223</v>
      </c>
      <c r="B1224">
        <v>58</v>
      </c>
      <c r="C1224" t="s">
        <v>22</v>
      </c>
      <c r="D1224">
        <v>1223</v>
      </c>
      <c r="E1224" t="s">
        <v>37</v>
      </c>
      <c r="F1224" t="s">
        <v>24</v>
      </c>
      <c r="G1224">
        <v>1223</v>
      </c>
      <c r="H1224">
        <v>1666</v>
      </c>
      <c r="I1224">
        <v>69</v>
      </c>
      <c r="J1224" t="s">
        <v>119</v>
      </c>
      <c r="K1224" t="s">
        <v>26</v>
      </c>
      <c r="L1224" t="s">
        <v>139</v>
      </c>
      <c r="M1224" t="s">
        <v>60</v>
      </c>
      <c r="N1224">
        <v>3.4</v>
      </c>
      <c r="O1224">
        <v>0</v>
      </c>
      <c r="P1224" t="s">
        <v>77</v>
      </c>
      <c r="Q1224" t="s">
        <v>30</v>
      </c>
      <c r="R1224" t="s">
        <v>30</v>
      </c>
      <c r="S1224">
        <v>27</v>
      </c>
      <c r="T1224" t="s">
        <v>78</v>
      </c>
      <c r="U1224" t="s">
        <v>52</v>
      </c>
      <c r="V1224" s="1">
        <v>45592</v>
      </c>
      <c r="W1224">
        <f>Table1[[#This Row],[customer_purchase count]]+1</f>
        <v>28</v>
      </c>
      <c r="X1224">
        <f>Table1[[#This Row],[customer_purchase count]]*Rules!$B$3</f>
        <v>1613.6376923076923</v>
      </c>
      <c r="Y1224" t="str">
        <f>IF(Table1[[#This Row],[customer_subscription]]=1,"Subscribed","Not Subscribed")</f>
        <v>Not Subscribed</v>
      </c>
    </row>
    <row r="1225" spans="1:26" x14ac:dyDescent="0.25">
      <c r="A1225">
        <v>1224</v>
      </c>
      <c r="B1225">
        <v>69</v>
      </c>
      <c r="C1225" t="s">
        <v>22</v>
      </c>
      <c r="D1225">
        <v>1224</v>
      </c>
      <c r="E1225" t="s">
        <v>98</v>
      </c>
      <c r="F1225" t="s">
        <v>24</v>
      </c>
      <c r="G1225">
        <v>1224</v>
      </c>
      <c r="H1225">
        <v>1667</v>
      </c>
      <c r="I1225">
        <v>24</v>
      </c>
      <c r="J1225" t="s">
        <v>114</v>
      </c>
      <c r="K1225" t="s">
        <v>26</v>
      </c>
      <c r="L1225" t="s">
        <v>111</v>
      </c>
      <c r="M1225" t="s">
        <v>28</v>
      </c>
      <c r="N1225">
        <v>3.9</v>
      </c>
      <c r="O1225">
        <v>0</v>
      </c>
      <c r="P1225" t="s">
        <v>41</v>
      </c>
      <c r="Q1225" t="s">
        <v>30</v>
      </c>
      <c r="R1225" t="s">
        <v>30</v>
      </c>
      <c r="S1225">
        <v>21</v>
      </c>
      <c r="T1225" t="s">
        <v>78</v>
      </c>
      <c r="U1225" t="s">
        <v>43</v>
      </c>
      <c r="V1225" s="1">
        <v>45636</v>
      </c>
      <c r="W1225">
        <f>Table1[[#This Row],[customer_purchase count]]+1</f>
        <v>22</v>
      </c>
      <c r="X1225">
        <f>Table1[[#This Row],[customer_purchase count]]*Rules!$B$3</f>
        <v>1255.0515384615385</v>
      </c>
      <c r="Y1225" t="str">
        <f>IF(Table1[[#This Row],[customer_subscription]]=1,"Subscribed","Not Subscribed")</f>
        <v>Not Subscribed</v>
      </c>
    </row>
    <row r="1226" spans="1:26" x14ac:dyDescent="0.25">
      <c r="A1226">
        <v>1225</v>
      </c>
      <c r="B1226">
        <v>62</v>
      </c>
      <c r="C1226" t="s">
        <v>22</v>
      </c>
      <c r="D1226">
        <v>1225</v>
      </c>
      <c r="E1226" t="s">
        <v>62</v>
      </c>
      <c r="F1226" t="s">
        <v>24</v>
      </c>
      <c r="G1226">
        <v>1225</v>
      </c>
      <c r="H1226">
        <v>1669</v>
      </c>
      <c r="I1226">
        <v>50</v>
      </c>
      <c r="J1226" t="s">
        <v>118</v>
      </c>
      <c r="K1226" t="s">
        <v>47</v>
      </c>
      <c r="L1226" t="s">
        <v>137</v>
      </c>
      <c r="M1226" t="s">
        <v>56</v>
      </c>
      <c r="N1226">
        <v>3.7</v>
      </c>
      <c r="O1226">
        <v>0</v>
      </c>
      <c r="P1226" t="s">
        <v>77</v>
      </c>
      <c r="Q1226" t="s">
        <v>30</v>
      </c>
      <c r="R1226" t="s">
        <v>30</v>
      </c>
      <c r="S1226">
        <v>18</v>
      </c>
      <c r="T1226" t="s">
        <v>31</v>
      </c>
      <c r="U1226" t="s">
        <v>43</v>
      </c>
      <c r="V1226" s="1">
        <v>45521</v>
      </c>
      <c r="W1226">
        <f>Table1[[#This Row],[customer_purchase count]]+1</f>
        <v>19</v>
      </c>
      <c r="X1226">
        <f>Table1[[#This Row],[customer_purchase count]]*Rules!$B$3</f>
        <v>1075.7584615384617</v>
      </c>
      <c r="Y1226" t="str">
        <f>IF(Table1[[#This Row],[customer_subscription]]=1,"Subscribed","Not Subscribed")</f>
        <v>Not Subscribed</v>
      </c>
    </row>
    <row r="1227" spans="1:26" x14ac:dyDescent="0.25">
      <c r="A1227">
        <v>1226</v>
      </c>
      <c r="B1227">
        <v>28</v>
      </c>
      <c r="C1227" t="s">
        <v>22</v>
      </c>
      <c r="D1227">
        <v>1226</v>
      </c>
      <c r="E1227" t="s">
        <v>146</v>
      </c>
      <c r="F1227" t="s">
        <v>70</v>
      </c>
      <c r="G1227">
        <v>1226</v>
      </c>
      <c r="H1227">
        <v>1670</v>
      </c>
      <c r="I1227">
        <v>97</v>
      </c>
      <c r="J1227" t="s">
        <v>101</v>
      </c>
      <c r="K1227" t="s">
        <v>39</v>
      </c>
      <c r="L1227" t="s">
        <v>51</v>
      </c>
      <c r="M1227" t="s">
        <v>60</v>
      </c>
      <c r="N1227">
        <v>2.6</v>
      </c>
      <c r="O1227">
        <v>0</v>
      </c>
      <c r="P1227" t="s">
        <v>41</v>
      </c>
      <c r="Q1227" t="s">
        <v>30</v>
      </c>
      <c r="R1227" t="s">
        <v>30</v>
      </c>
      <c r="S1227">
        <v>16</v>
      </c>
      <c r="T1227" t="s">
        <v>89</v>
      </c>
      <c r="U1227" t="s">
        <v>43</v>
      </c>
      <c r="V1227" s="1">
        <v>45608</v>
      </c>
      <c r="W1227">
        <f>Table1[[#This Row],[customer_purchase count]]+1</f>
        <v>17</v>
      </c>
      <c r="X1227">
        <f>Table1[[#This Row],[customer_purchase count]]*Rules!$B$3</f>
        <v>956.22974358974363</v>
      </c>
      <c r="Y1227" t="str">
        <f>IF(Table1[[#This Row],[customer_subscription]]=1,"Subscribed","Not Subscribed")</f>
        <v>Not Subscribed</v>
      </c>
      <c r="Z1227" t="s">
        <v>187</v>
      </c>
    </row>
    <row r="1228" spans="1:26" x14ac:dyDescent="0.25">
      <c r="A1228">
        <v>1227</v>
      </c>
      <c r="B1228">
        <v>53</v>
      </c>
      <c r="C1228" t="s">
        <v>22</v>
      </c>
      <c r="D1228">
        <v>1227</v>
      </c>
      <c r="E1228" t="s">
        <v>44</v>
      </c>
      <c r="F1228" t="s">
        <v>45</v>
      </c>
      <c r="G1228">
        <v>1227</v>
      </c>
      <c r="H1228">
        <v>1671</v>
      </c>
      <c r="I1228">
        <v>91</v>
      </c>
      <c r="J1228" t="s">
        <v>126</v>
      </c>
      <c r="K1228" t="s">
        <v>39</v>
      </c>
      <c r="L1228" t="s">
        <v>112</v>
      </c>
      <c r="M1228" t="s">
        <v>60</v>
      </c>
      <c r="N1228">
        <v>3.4</v>
      </c>
      <c r="O1228">
        <v>0</v>
      </c>
      <c r="P1228" t="s">
        <v>77</v>
      </c>
      <c r="Q1228" t="s">
        <v>30</v>
      </c>
      <c r="R1228" t="s">
        <v>30</v>
      </c>
      <c r="S1228">
        <v>18</v>
      </c>
      <c r="T1228" t="s">
        <v>31</v>
      </c>
      <c r="U1228" t="s">
        <v>79</v>
      </c>
      <c r="V1228" s="1">
        <v>45590</v>
      </c>
      <c r="W1228">
        <f>Table1[[#This Row],[customer_purchase count]]+1</f>
        <v>19</v>
      </c>
      <c r="X1228">
        <f>Table1[[#This Row],[customer_purchase count]]*Rules!$B$3</f>
        <v>1075.7584615384617</v>
      </c>
      <c r="Y1228" t="str">
        <f>IF(Table1[[#This Row],[customer_subscription]]=1,"Subscribed","Not Subscribed")</f>
        <v>Not Subscribed</v>
      </c>
    </row>
    <row r="1229" spans="1:26" x14ac:dyDescent="0.25">
      <c r="A1229">
        <v>1228</v>
      </c>
      <c r="B1229">
        <v>27</v>
      </c>
      <c r="C1229" t="s">
        <v>22</v>
      </c>
      <c r="D1229">
        <v>1228</v>
      </c>
      <c r="E1229" t="s">
        <v>23</v>
      </c>
      <c r="F1229" t="s">
        <v>24</v>
      </c>
      <c r="G1229">
        <v>1228</v>
      </c>
      <c r="H1229">
        <v>1672</v>
      </c>
      <c r="I1229">
        <v>37</v>
      </c>
      <c r="J1229" t="s">
        <v>118</v>
      </c>
      <c r="K1229" t="s">
        <v>26</v>
      </c>
      <c r="L1229" t="s">
        <v>137</v>
      </c>
      <c r="M1229" t="s">
        <v>40</v>
      </c>
      <c r="N1229">
        <v>4.9000000000000004</v>
      </c>
      <c r="O1229">
        <v>0</v>
      </c>
      <c r="P1229" t="s">
        <v>77</v>
      </c>
      <c r="Q1229" t="s">
        <v>30</v>
      </c>
      <c r="R1229" t="s">
        <v>30</v>
      </c>
      <c r="S1229">
        <v>19</v>
      </c>
      <c r="T1229" t="s">
        <v>78</v>
      </c>
      <c r="U1229" t="s">
        <v>79</v>
      </c>
      <c r="V1229" s="1">
        <v>45401</v>
      </c>
      <c r="W1229">
        <f>Table1[[#This Row],[customer_purchase count]]+1</f>
        <v>20</v>
      </c>
      <c r="X1229">
        <f>Table1[[#This Row],[customer_purchase count]]*Rules!$B$3</f>
        <v>1135.5228205128205</v>
      </c>
      <c r="Y1229" t="str">
        <f>IF(Table1[[#This Row],[customer_subscription]]=1,"Subscribed","Not Subscribed")</f>
        <v>Not Subscribed</v>
      </c>
    </row>
    <row r="1230" spans="1:26" x14ac:dyDescent="0.25">
      <c r="A1230">
        <v>1229</v>
      </c>
      <c r="B1230">
        <v>55</v>
      </c>
      <c r="C1230" t="s">
        <v>22</v>
      </c>
      <c r="D1230">
        <v>1229</v>
      </c>
      <c r="E1230" t="s">
        <v>105</v>
      </c>
      <c r="F1230" t="s">
        <v>66</v>
      </c>
      <c r="G1230">
        <v>1229</v>
      </c>
      <c r="H1230">
        <v>1673</v>
      </c>
      <c r="I1230">
        <v>55</v>
      </c>
      <c r="J1230" t="s">
        <v>119</v>
      </c>
      <c r="K1230" t="s">
        <v>39</v>
      </c>
      <c r="L1230" t="s">
        <v>137</v>
      </c>
      <c r="M1230" t="s">
        <v>28</v>
      </c>
      <c r="N1230">
        <v>3.9</v>
      </c>
      <c r="O1230">
        <v>0</v>
      </c>
      <c r="P1230" t="s">
        <v>29</v>
      </c>
      <c r="Q1230" t="s">
        <v>30</v>
      </c>
      <c r="R1230" t="s">
        <v>30</v>
      </c>
      <c r="S1230">
        <v>1</v>
      </c>
      <c r="T1230" t="s">
        <v>36</v>
      </c>
      <c r="U1230" t="s">
        <v>52</v>
      </c>
      <c r="V1230" s="1">
        <v>45314</v>
      </c>
      <c r="W1230">
        <f>Table1[[#This Row],[customer_purchase count]]+1</f>
        <v>2</v>
      </c>
      <c r="X1230">
        <f>Table1[[#This Row],[customer_purchase count]]*Rules!$B$3</f>
        <v>59.764358974358977</v>
      </c>
      <c r="Y1230" t="str">
        <f>IF(Table1[[#This Row],[customer_subscription]]=1,"Subscribed","Not Subscribed")</f>
        <v>Not Subscribed</v>
      </c>
      <c r="Z1230" t="s">
        <v>194</v>
      </c>
    </row>
    <row r="1231" spans="1:26" x14ac:dyDescent="0.25">
      <c r="A1231">
        <v>1230</v>
      </c>
      <c r="B1231">
        <v>34</v>
      </c>
      <c r="C1231" t="s">
        <v>22</v>
      </c>
      <c r="D1231">
        <v>1230</v>
      </c>
      <c r="E1231" t="s">
        <v>109</v>
      </c>
      <c r="F1231" t="s">
        <v>70</v>
      </c>
      <c r="G1231">
        <v>1230</v>
      </c>
      <c r="H1231">
        <v>1675</v>
      </c>
      <c r="I1231">
        <v>52</v>
      </c>
      <c r="J1231" t="s">
        <v>114</v>
      </c>
      <c r="K1231" t="s">
        <v>95</v>
      </c>
      <c r="L1231" t="s">
        <v>35</v>
      </c>
      <c r="M1231" t="s">
        <v>28</v>
      </c>
      <c r="N1231">
        <v>3.6</v>
      </c>
      <c r="O1231">
        <v>0</v>
      </c>
      <c r="P1231" t="s">
        <v>29</v>
      </c>
      <c r="Q1231" t="s">
        <v>30</v>
      </c>
      <c r="R1231" t="s">
        <v>30</v>
      </c>
      <c r="S1231">
        <v>39</v>
      </c>
      <c r="T1231" t="s">
        <v>78</v>
      </c>
      <c r="U1231" t="s">
        <v>52</v>
      </c>
      <c r="V1231" s="1">
        <v>45316</v>
      </c>
      <c r="W1231">
        <f>Table1[[#This Row],[customer_purchase count]]+1</f>
        <v>40</v>
      </c>
      <c r="X1231">
        <f>Table1[[#This Row],[customer_purchase count]]*Rules!$B$3</f>
        <v>2330.81</v>
      </c>
      <c r="Y1231" t="str">
        <f>IF(Table1[[#This Row],[customer_subscription]]=1,"Subscribed","Not Subscribed")</f>
        <v>Not Subscribed</v>
      </c>
    </row>
    <row r="1232" spans="1:26" x14ac:dyDescent="0.25">
      <c r="A1232">
        <v>1231</v>
      </c>
      <c r="B1232">
        <v>25</v>
      </c>
      <c r="C1232" t="s">
        <v>22</v>
      </c>
      <c r="D1232">
        <v>1231</v>
      </c>
      <c r="E1232" t="s">
        <v>127</v>
      </c>
      <c r="F1232" t="s">
        <v>70</v>
      </c>
      <c r="G1232">
        <v>1231</v>
      </c>
      <c r="H1232">
        <v>1676</v>
      </c>
      <c r="I1232">
        <v>80</v>
      </c>
      <c r="J1232" t="s">
        <v>118</v>
      </c>
      <c r="K1232" t="s">
        <v>26</v>
      </c>
      <c r="L1232" t="s">
        <v>113</v>
      </c>
      <c r="M1232" t="s">
        <v>40</v>
      </c>
      <c r="N1232">
        <v>4.5999999999999996</v>
      </c>
      <c r="O1232">
        <v>0</v>
      </c>
      <c r="P1232" t="s">
        <v>57</v>
      </c>
      <c r="Q1232" t="s">
        <v>30</v>
      </c>
      <c r="R1232" t="s">
        <v>30</v>
      </c>
      <c r="S1232">
        <v>49</v>
      </c>
      <c r="T1232" t="s">
        <v>31</v>
      </c>
      <c r="U1232" t="s">
        <v>91</v>
      </c>
      <c r="V1232" s="1">
        <v>45364</v>
      </c>
      <c r="W1232">
        <f>Table1[[#This Row],[customer_purchase count]]+1</f>
        <v>50</v>
      </c>
      <c r="X1232">
        <f>Table1[[#This Row],[customer_purchase count]]*Rules!$B$3</f>
        <v>2928.4535897435899</v>
      </c>
      <c r="Y1232" t="str">
        <f>IF(Table1[[#This Row],[customer_subscription]]=1,"Subscribed","Not Subscribed")</f>
        <v>Not Subscribed</v>
      </c>
    </row>
    <row r="1233" spans="1:26" x14ac:dyDescent="0.25">
      <c r="A1233">
        <v>1232</v>
      </c>
      <c r="B1233">
        <v>66</v>
      </c>
      <c r="C1233" t="s">
        <v>22</v>
      </c>
      <c r="D1233">
        <v>1232</v>
      </c>
      <c r="E1233" t="s">
        <v>128</v>
      </c>
      <c r="F1233" t="s">
        <v>24</v>
      </c>
      <c r="G1233">
        <v>1232</v>
      </c>
      <c r="H1233">
        <v>1677</v>
      </c>
      <c r="I1233">
        <v>79</v>
      </c>
      <c r="J1233" t="s">
        <v>141</v>
      </c>
      <c r="K1233" t="s">
        <v>47</v>
      </c>
      <c r="L1233" t="s">
        <v>83</v>
      </c>
      <c r="M1233" t="s">
        <v>40</v>
      </c>
      <c r="N1233">
        <v>4</v>
      </c>
      <c r="O1233">
        <v>0</v>
      </c>
      <c r="P1233" t="s">
        <v>73</v>
      </c>
      <c r="Q1233" t="s">
        <v>30</v>
      </c>
      <c r="R1233" t="s">
        <v>30</v>
      </c>
      <c r="S1233">
        <v>43</v>
      </c>
      <c r="T1233" t="s">
        <v>42</v>
      </c>
      <c r="U1233" t="s">
        <v>32</v>
      </c>
      <c r="V1233" s="1">
        <v>45384</v>
      </c>
      <c r="W1233">
        <f>Table1[[#This Row],[customer_purchase count]]+1</f>
        <v>44</v>
      </c>
      <c r="X1233">
        <f>Table1[[#This Row],[customer_purchase count]]*Rules!$B$3</f>
        <v>2569.8674358974358</v>
      </c>
      <c r="Y1233" t="str">
        <f>IF(Table1[[#This Row],[customer_subscription]]=1,"Subscribed","Not Subscribed")</f>
        <v>Not Subscribed</v>
      </c>
    </row>
    <row r="1234" spans="1:26" x14ac:dyDescent="0.25">
      <c r="A1234">
        <v>1233</v>
      </c>
      <c r="B1234">
        <v>57</v>
      </c>
      <c r="C1234" t="s">
        <v>22</v>
      </c>
      <c r="D1234">
        <v>1233</v>
      </c>
      <c r="E1234" t="s">
        <v>69</v>
      </c>
      <c r="F1234" t="s">
        <v>70</v>
      </c>
      <c r="G1234">
        <v>1233</v>
      </c>
      <c r="H1234">
        <v>1678</v>
      </c>
      <c r="I1234">
        <v>23</v>
      </c>
      <c r="J1234" t="s">
        <v>87</v>
      </c>
      <c r="K1234" t="s">
        <v>47</v>
      </c>
      <c r="L1234" t="s">
        <v>64</v>
      </c>
      <c r="M1234" t="s">
        <v>56</v>
      </c>
      <c r="N1234">
        <v>3.6</v>
      </c>
      <c r="O1234">
        <v>0</v>
      </c>
      <c r="P1234" t="s">
        <v>41</v>
      </c>
      <c r="Q1234" t="s">
        <v>30</v>
      </c>
      <c r="R1234" t="s">
        <v>30</v>
      </c>
      <c r="S1234">
        <v>31</v>
      </c>
      <c r="T1234" t="s">
        <v>89</v>
      </c>
      <c r="U1234" t="s">
        <v>100</v>
      </c>
      <c r="V1234" s="1">
        <v>45505</v>
      </c>
      <c r="W1234">
        <f>Table1[[#This Row],[customer_purchase count]]+1</f>
        <v>32</v>
      </c>
      <c r="X1234">
        <f>Table1[[#This Row],[customer_purchase count]]*Rules!$B$3</f>
        <v>1852.6951282051282</v>
      </c>
      <c r="Y1234" t="str">
        <f>IF(Table1[[#This Row],[customer_subscription]]=1,"Subscribed","Not Subscribed")</f>
        <v>Not Subscribed</v>
      </c>
    </row>
    <row r="1235" spans="1:26" x14ac:dyDescent="0.25">
      <c r="A1235">
        <v>1234</v>
      </c>
      <c r="B1235">
        <v>46</v>
      </c>
      <c r="C1235" t="s">
        <v>22</v>
      </c>
      <c r="D1235">
        <v>1234</v>
      </c>
      <c r="E1235" t="s">
        <v>98</v>
      </c>
      <c r="F1235" t="s">
        <v>24</v>
      </c>
      <c r="G1235">
        <v>1234</v>
      </c>
      <c r="H1235">
        <v>1679</v>
      </c>
      <c r="I1235">
        <v>73</v>
      </c>
      <c r="J1235" t="s">
        <v>143</v>
      </c>
      <c r="K1235" t="s">
        <v>26</v>
      </c>
      <c r="L1235" t="s">
        <v>121</v>
      </c>
      <c r="M1235" t="s">
        <v>28</v>
      </c>
      <c r="N1235">
        <v>3.5</v>
      </c>
      <c r="O1235">
        <v>0</v>
      </c>
      <c r="P1235" t="s">
        <v>48</v>
      </c>
      <c r="Q1235" t="s">
        <v>30</v>
      </c>
      <c r="R1235" t="s">
        <v>30</v>
      </c>
      <c r="S1235">
        <v>40</v>
      </c>
      <c r="T1235" t="s">
        <v>31</v>
      </c>
      <c r="U1235" t="s">
        <v>100</v>
      </c>
      <c r="V1235" s="1">
        <v>45329</v>
      </c>
      <c r="W1235">
        <f>Table1[[#This Row],[customer_purchase count]]+1</f>
        <v>41</v>
      </c>
      <c r="X1235">
        <f>Table1[[#This Row],[customer_purchase count]]*Rules!$B$3</f>
        <v>2390.5743589743593</v>
      </c>
      <c r="Y1235" t="str">
        <f>IF(Table1[[#This Row],[customer_subscription]]=1,"Subscribed","Not Subscribed")</f>
        <v>Not Subscribed</v>
      </c>
    </row>
    <row r="1236" spans="1:26" x14ac:dyDescent="0.25">
      <c r="A1236">
        <v>1235</v>
      </c>
      <c r="B1236">
        <v>38</v>
      </c>
      <c r="C1236" t="s">
        <v>22</v>
      </c>
      <c r="D1236">
        <v>1235</v>
      </c>
      <c r="E1236" t="s">
        <v>146</v>
      </c>
      <c r="F1236" t="s">
        <v>70</v>
      </c>
      <c r="G1236">
        <v>1235</v>
      </c>
      <c r="H1236">
        <v>1681</v>
      </c>
      <c r="I1236">
        <v>99</v>
      </c>
      <c r="J1236" t="s">
        <v>130</v>
      </c>
      <c r="K1236" t="s">
        <v>47</v>
      </c>
      <c r="L1236" t="s">
        <v>129</v>
      </c>
      <c r="M1236" t="s">
        <v>60</v>
      </c>
      <c r="N1236">
        <v>4.0999999999999996</v>
      </c>
      <c r="O1236">
        <v>0</v>
      </c>
      <c r="P1236" t="s">
        <v>77</v>
      </c>
      <c r="Q1236" t="s">
        <v>30</v>
      </c>
      <c r="R1236" t="s">
        <v>30</v>
      </c>
      <c r="S1236">
        <v>2</v>
      </c>
      <c r="T1236" t="s">
        <v>78</v>
      </c>
      <c r="U1236" t="s">
        <v>79</v>
      </c>
      <c r="V1236" s="1">
        <v>45593</v>
      </c>
      <c r="W1236">
        <f>Table1[[#This Row],[customer_purchase count]]+1</f>
        <v>3</v>
      </c>
      <c r="X1236">
        <f>Table1[[#This Row],[customer_purchase count]]*Rules!$B$3</f>
        <v>119.52871794871795</v>
      </c>
      <c r="Y1236" t="str">
        <f>IF(Table1[[#This Row],[customer_subscription]]=1,"Subscribed","Not Subscribed")</f>
        <v>Not Subscribed</v>
      </c>
      <c r="Z1236" t="s">
        <v>194</v>
      </c>
    </row>
    <row r="1237" spans="1:26" x14ac:dyDescent="0.25">
      <c r="A1237">
        <v>1236</v>
      </c>
      <c r="B1237">
        <v>23</v>
      </c>
      <c r="C1237" t="s">
        <v>22</v>
      </c>
      <c r="D1237">
        <v>1236</v>
      </c>
      <c r="E1237" t="s">
        <v>33</v>
      </c>
      <c r="F1237" t="s">
        <v>24</v>
      </c>
      <c r="G1237">
        <v>1236</v>
      </c>
      <c r="H1237">
        <v>1682</v>
      </c>
      <c r="I1237">
        <v>22</v>
      </c>
      <c r="J1237" t="s">
        <v>138</v>
      </c>
      <c r="K1237" t="s">
        <v>47</v>
      </c>
      <c r="L1237" t="s">
        <v>111</v>
      </c>
      <c r="M1237" t="s">
        <v>40</v>
      </c>
      <c r="N1237">
        <v>3</v>
      </c>
      <c r="O1237">
        <v>0</v>
      </c>
      <c r="P1237" t="s">
        <v>77</v>
      </c>
      <c r="Q1237" t="s">
        <v>30</v>
      </c>
      <c r="R1237" t="s">
        <v>30</v>
      </c>
      <c r="S1237">
        <v>46</v>
      </c>
      <c r="T1237" t="s">
        <v>49</v>
      </c>
      <c r="U1237" t="s">
        <v>100</v>
      </c>
      <c r="V1237" s="1">
        <v>45424</v>
      </c>
      <c r="W1237">
        <f>Table1[[#This Row],[customer_purchase count]]+1</f>
        <v>47</v>
      </c>
      <c r="X1237">
        <f>Table1[[#This Row],[customer_purchase count]]*Rules!$B$3</f>
        <v>2749.1605128205128</v>
      </c>
      <c r="Y1237" t="str">
        <f>IF(Table1[[#This Row],[customer_subscription]]=1,"Subscribed","Not Subscribed")</f>
        <v>Not Subscribed</v>
      </c>
    </row>
    <row r="1238" spans="1:26" x14ac:dyDescent="0.25">
      <c r="A1238">
        <v>1237</v>
      </c>
      <c r="B1238">
        <v>42</v>
      </c>
      <c r="C1238" t="s">
        <v>22</v>
      </c>
      <c r="D1238">
        <v>1237</v>
      </c>
      <c r="E1238" t="s">
        <v>127</v>
      </c>
      <c r="F1238" t="s">
        <v>70</v>
      </c>
      <c r="G1238">
        <v>1237</v>
      </c>
      <c r="H1238">
        <v>1683</v>
      </c>
      <c r="I1238">
        <v>68</v>
      </c>
      <c r="J1238" t="s">
        <v>133</v>
      </c>
      <c r="K1238" t="s">
        <v>47</v>
      </c>
      <c r="L1238" t="s">
        <v>55</v>
      </c>
      <c r="M1238" t="s">
        <v>56</v>
      </c>
      <c r="N1238">
        <v>4.4000000000000004</v>
      </c>
      <c r="O1238">
        <v>0</v>
      </c>
      <c r="P1238" t="s">
        <v>77</v>
      </c>
      <c r="Q1238" t="s">
        <v>30</v>
      </c>
      <c r="R1238" t="s">
        <v>30</v>
      </c>
      <c r="S1238">
        <v>35</v>
      </c>
      <c r="T1238" t="s">
        <v>89</v>
      </c>
      <c r="U1238" t="s">
        <v>100</v>
      </c>
      <c r="V1238" s="1">
        <v>45498</v>
      </c>
      <c r="W1238">
        <f>Table1[[#This Row],[customer_purchase count]]+1</f>
        <v>36</v>
      </c>
      <c r="X1238">
        <f>Table1[[#This Row],[customer_purchase count]]*Rules!$B$3</f>
        <v>2091.7525641025641</v>
      </c>
      <c r="Y1238" t="str">
        <f>IF(Table1[[#This Row],[customer_subscription]]=1,"Subscribed","Not Subscribed")</f>
        <v>Not Subscribed</v>
      </c>
    </row>
    <row r="1239" spans="1:26" x14ac:dyDescent="0.25">
      <c r="A1239">
        <v>1238</v>
      </c>
      <c r="B1239">
        <v>25</v>
      </c>
      <c r="C1239" t="s">
        <v>22</v>
      </c>
      <c r="D1239">
        <v>1238</v>
      </c>
      <c r="E1239" t="s">
        <v>84</v>
      </c>
      <c r="F1239" t="s">
        <v>24</v>
      </c>
      <c r="G1239">
        <v>1238</v>
      </c>
      <c r="H1239">
        <v>1684</v>
      </c>
      <c r="I1239">
        <v>92</v>
      </c>
      <c r="J1239" t="s">
        <v>154</v>
      </c>
      <c r="K1239" t="s">
        <v>39</v>
      </c>
      <c r="L1239" t="s">
        <v>64</v>
      </c>
      <c r="M1239" t="s">
        <v>40</v>
      </c>
      <c r="N1239">
        <v>4.4000000000000004</v>
      </c>
      <c r="O1239">
        <v>0</v>
      </c>
      <c r="P1239" t="s">
        <v>73</v>
      </c>
      <c r="Q1239" t="s">
        <v>30</v>
      </c>
      <c r="R1239" t="s">
        <v>30</v>
      </c>
      <c r="S1239">
        <v>42</v>
      </c>
      <c r="T1239" t="s">
        <v>42</v>
      </c>
      <c r="U1239" t="s">
        <v>61</v>
      </c>
      <c r="V1239" s="1">
        <v>45360</v>
      </c>
      <c r="W1239">
        <f>Table1[[#This Row],[customer_purchase count]]+1</f>
        <v>43</v>
      </c>
      <c r="X1239">
        <f>Table1[[#This Row],[customer_purchase count]]*Rules!$B$3</f>
        <v>2510.103076923077</v>
      </c>
      <c r="Y1239" t="str">
        <f>IF(Table1[[#This Row],[customer_subscription]]=1,"Subscribed","Not Subscribed")</f>
        <v>Not Subscribed</v>
      </c>
    </row>
    <row r="1240" spans="1:26" x14ac:dyDescent="0.25">
      <c r="A1240">
        <v>1239</v>
      </c>
      <c r="B1240">
        <v>55</v>
      </c>
      <c r="C1240" t="s">
        <v>22</v>
      </c>
      <c r="D1240">
        <v>1239</v>
      </c>
      <c r="E1240" t="s">
        <v>98</v>
      </c>
      <c r="F1240" t="s">
        <v>24</v>
      </c>
      <c r="G1240">
        <v>1239</v>
      </c>
      <c r="H1240">
        <v>1685</v>
      </c>
      <c r="I1240">
        <v>77</v>
      </c>
      <c r="J1240" t="s">
        <v>54</v>
      </c>
      <c r="K1240" t="s">
        <v>47</v>
      </c>
      <c r="L1240" t="s">
        <v>86</v>
      </c>
      <c r="M1240" t="s">
        <v>28</v>
      </c>
      <c r="N1240">
        <v>3.7</v>
      </c>
      <c r="O1240">
        <v>0</v>
      </c>
      <c r="P1240" t="s">
        <v>29</v>
      </c>
      <c r="Q1240" t="s">
        <v>30</v>
      </c>
      <c r="R1240" t="s">
        <v>30</v>
      </c>
      <c r="S1240">
        <v>3</v>
      </c>
      <c r="T1240" t="s">
        <v>31</v>
      </c>
      <c r="U1240" t="s">
        <v>32</v>
      </c>
      <c r="V1240" s="1">
        <v>45633</v>
      </c>
      <c r="W1240">
        <f>Table1[[#This Row],[customer_purchase count]]+1</f>
        <v>4</v>
      </c>
      <c r="X1240">
        <f>Table1[[#This Row],[customer_purchase count]]*Rules!$B$3</f>
        <v>179.29307692307694</v>
      </c>
      <c r="Y1240" t="str">
        <f>IF(Table1[[#This Row],[customer_subscription]]=1,"Subscribed","Not Subscribed")</f>
        <v>Not Subscribed</v>
      </c>
      <c r="Z1240" t="s">
        <v>194</v>
      </c>
    </row>
    <row r="1241" spans="1:26" x14ac:dyDescent="0.25">
      <c r="A1241">
        <v>1240</v>
      </c>
      <c r="B1241">
        <v>62</v>
      </c>
      <c r="C1241" t="s">
        <v>22</v>
      </c>
      <c r="D1241">
        <v>1240</v>
      </c>
      <c r="E1241" t="s">
        <v>65</v>
      </c>
      <c r="F1241" t="s">
        <v>66</v>
      </c>
      <c r="G1241">
        <v>1240</v>
      </c>
      <c r="H1241">
        <v>1687</v>
      </c>
      <c r="I1241">
        <v>37</v>
      </c>
      <c r="J1241" t="s">
        <v>130</v>
      </c>
      <c r="K1241" t="s">
        <v>95</v>
      </c>
      <c r="L1241" t="s">
        <v>139</v>
      </c>
      <c r="M1241" t="s">
        <v>40</v>
      </c>
      <c r="N1241">
        <v>4.8</v>
      </c>
      <c r="O1241">
        <v>0</v>
      </c>
      <c r="P1241" t="s">
        <v>57</v>
      </c>
      <c r="Q1241" t="s">
        <v>30</v>
      </c>
      <c r="R1241" t="s">
        <v>30</v>
      </c>
      <c r="S1241">
        <v>32</v>
      </c>
      <c r="T1241" t="s">
        <v>89</v>
      </c>
      <c r="U1241" t="s">
        <v>100</v>
      </c>
      <c r="V1241" s="1">
        <v>45364</v>
      </c>
      <c r="W1241">
        <f>Table1[[#This Row],[customer_purchase count]]+1</f>
        <v>33</v>
      </c>
      <c r="X1241">
        <f>Table1[[#This Row],[customer_purchase count]]*Rules!$B$3</f>
        <v>1912.4594871794873</v>
      </c>
      <c r="Y1241" t="str">
        <f>IF(Table1[[#This Row],[customer_subscription]]=1,"Subscribed","Not Subscribed")</f>
        <v>Not Subscribed</v>
      </c>
    </row>
    <row r="1242" spans="1:26" x14ac:dyDescent="0.25">
      <c r="A1242">
        <v>1241</v>
      </c>
      <c r="B1242">
        <v>41</v>
      </c>
      <c r="C1242" t="s">
        <v>22</v>
      </c>
      <c r="D1242">
        <v>1241</v>
      </c>
      <c r="E1242" t="s">
        <v>122</v>
      </c>
      <c r="F1242" t="s">
        <v>70</v>
      </c>
      <c r="G1242">
        <v>1241</v>
      </c>
      <c r="H1242">
        <v>1688</v>
      </c>
      <c r="I1242">
        <v>79</v>
      </c>
      <c r="J1242" t="s">
        <v>130</v>
      </c>
      <c r="K1242" t="s">
        <v>26</v>
      </c>
      <c r="L1242" t="s">
        <v>55</v>
      </c>
      <c r="M1242" t="s">
        <v>28</v>
      </c>
      <c r="N1242">
        <v>2.9</v>
      </c>
      <c r="O1242">
        <v>0</v>
      </c>
      <c r="P1242" t="s">
        <v>77</v>
      </c>
      <c r="Q1242" t="s">
        <v>30</v>
      </c>
      <c r="R1242" t="s">
        <v>30</v>
      </c>
      <c r="S1242">
        <v>48</v>
      </c>
      <c r="T1242" t="s">
        <v>89</v>
      </c>
      <c r="U1242" t="s">
        <v>52</v>
      </c>
      <c r="V1242" s="1">
        <v>45641</v>
      </c>
      <c r="W1242">
        <f>Table1[[#This Row],[customer_purchase count]]+1</f>
        <v>49</v>
      </c>
      <c r="X1242">
        <f>Table1[[#This Row],[customer_purchase count]]*Rules!$B$3</f>
        <v>2868.689230769231</v>
      </c>
      <c r="Y1242" t="str">
        <f>IF(Table1[[#This Row],[customer_subscription]]=1,"Subscribed","Not Subscribed")</f>
        <v>Not Subscribed</v>
      </c>
    </row>
    <row r="1243" spans="1:26" x14ac:dyDescent="0.25">
      <c r="A1243">
        <v>1242</v>
      </c>
      <c r="B1243">
        <v>58</v>
      </c>
      <c r="C1243" t="s">
        <v>22</v>
      </c>
      <c r="D1243">
        <v>1242</v>
      </c>
      <c r="E1243" t="s">
        <v>107</v>
      </c>
      <c r="F1243" t="s">
        <v>24</v>
      </c>
      <c r="G1243">
        <v>1242</v>
      </c>
      <c r="H1243">
        <v>1689</v>
      </c>
      <c r="I1243">
        <v>51</v>
      </c>
      <c r="J1243" t="s">
        <v>80</v>
      </c>
      <c r="K1243" t="s">
        <v>95</v>
      </c>
      <c r="L1243" t="s">
        <v>72</v>
      </c>
      <c r="M1243" t="s">
        <v>28</v>
      </c>
      <c r="N1243">
        <v>3.1</v>
      </c>
      <c r="O1243">
        <v>0</v>
      </c>
      <c r="P1243" t="s">
        <v>29</v>
      </c>
      <c r="Q1243" t="s">
        <v>30</v>
      </c>
      <c r="R1243" t="s">
        <v>30</v>
      </c>
      <c r="S1243">
        <v>34</v>
      </c>
      <c r="T1243" t="s">
        <v>42</v>
      </c>
      <c r="U1243" t="s">
        <v>43</v>
      </c>
      <c r="V1243" s="1">
        <v>45633</v>
      </c>
      <c r="W1243">
        <f>Table1[[#This Row],[customer_purchase count]]+1</f>
        <v>35</v>
      </c>
      <c r="X1243">
        <f>Table1[[#This Row],[customer_purchase count]]*Rules!$B$3</f>
        <v>2031.9882051282052</v>
      </c>
      <c r="Y1243" t="str">
        <f>IF(Table1[[#This Row],[customer_subscription]]=1,"Subscribed","Not Subscribed")</f>
        <v>Not Subscribed</v>
      </c>
    </row>
    <row r="1244" spans="1:26" x14ac:dyDescent="0.25">
      <c r="A1244">
        <v>1243</v>
      </c>
      <c r="B1244">
        <v>56</v>
      </c>
      <c r="C1244" t="s">
        <v>22</v>
      </c>
      <c r="D1244">
        <v>1243</v>
      </c>
      <c r="E1244" t="s">
        <v>128</v>
      </c>
      <c r="F1244" t="s">
        <v>24</v>
      </c>
      <c r="G1244">
        <v>1243</v>
      </c>
      <c r="H1244">
        <v>1690</v>
      </c>
      <c r="I1244">
        <v>27</v>
      </c>
      <c r="J1244" t="s">
        <v>110</v>
      </c>
      <c r="K1244" t="s">
        <v>47</v>
      </c>
      <c r="L1244" t="s">
        <v>96</v>
      </c>
      <c r="M1244" t="s">
        <v>56</v>
      </c>
      <c r="N1244">
        <v>4</v>
      </c>
      <c r="O1244">
        <v>0</v>
      </c>
      <c r="P1244" t="s">
        <v>48</v>
      </c>
      <c r="Q1244" t="s">
        <v>30</v>
      </c>
      <c r="R1244" t="s">
        <v>30</v>
      </c>
      <c r="S1244">
        <v>15</v>
      </c>
      <c r="T1244" t="s">
        <v>78</v>
      </c>
      <c r="U1244" t="s">
        <v>61</v>
      </c>
      <c r="V1244" s="1">
        <v>45500</v>
      </c>
      <c r="W1244">
        <f>Table1[[#This Row],[customer_purchase count]]+1</f>
        <v>16</v>
      </c>
      <c r="X1244">
        <f>Table1[[#This Row],[customer_purchase count]]*Rules!$B$3</f>
        <v>896.46538461538466</v>
      </c>
      <c r="Y1244" t="str">
        <f>IF(Table1[[#This Row],[customer_subscription]]=1,"Subscribed","Not Subscribed")</f>
        <v>Not Subscribed</v>
      </c>
      <c r="Z1244" t="s">
        <v>194</v>
      </c>
    </row>
    <row r="1245" spans="1:26" x14ac:dyDescent="0.25">
      <c r="A1245">
        <v>1244</v>
      </c>
      <c r="B1245">
        <v>25</v>
      </c>
      <c r="C1245" t="s">
        <v>22</v>
      </c>
      <c r="D1245">
        <v>1244</v>
      </c>
      <c r="E1245" t="s">
        <v>23</v>
      </c>
      <c r="F1245" t="s">
        <v>24</v>
      </c>
      <c r="G1245">
        <v>1244</v>
      </c>
      <c r="H1245">
        <v>1691</v>
      </c>
      <c r="I1245">
        <v>23</v>
      </c>
      <c r="J1245" t="s">
        <v>85</v>
      </c>
      <c r="K1245" t="s">
        <v>39</v>
      </c>
      <c r="L1245" t="s">
        <v>72</v>
      </c>
      <c r="M1245" t="s">
        <v>40</v>
      </c>
      <c r="N1245">
        <v>3</v>
      </c>
      <c r="O1245">
        <v>0</v>
      </c>
      <c r="P1245" t="s">
        <v>77</v>
      </c>
      <c r="Q1245" t="s">
        <v>30</v>
      </c>
      <c r="R1245" t="s">
        <v>30</v>
      </c>
      <c r="S1245">
        <v>22</v>
      </c>
      <c r="T1245" t="s">
        <v>89</v>
      </c>
      <c r="U1245" t="s">
        <v>52</v>
      </c>
      <c r="V1245" s="1">
        <v>45390</v>
      </c>
      <c r="W1245">
        <f>Table1[[#This Row],[customer_purchase count]]+1</f>
        <v>23</v>
      </c>
      <c r="X1245">
        <f>Table1[[#This Row],[customer_purchase count]]*Rules!$B$3</f>
        <v>1314.8158974358976</v>
      </c>
      <c r="Y1245" t="str">
        <f>IF(Table1[[#This Row],[customer_subscription]]=1,"Subscribed","Not Subscribed")</f>
        <v>Not Subscribed</v>
      </c>
    </row>
    <row r="1246" spans="1:26" x14ac:dyDescent="0.25">
      <c r="A1246">
        <v>1245</v>
      </c>
      <c r="B1246">
        <v>70</v>
      </c>
      <c r="C1246" t="s">
        <v>22</v>
      </c>
      <c r="D1246">
        <v>1245</v>
      </c>
      <c r="E1246" t="s">
        <v>128</v>
      </c>
      <c r="F1246" t="s">
        <v>24</v>
      </c>
      <c r="G1246">
        <v>1245</v>
      </c>
      <c r="H1246">
        <v>1693</v>
      </c>
      <c r="I1246">
        <v>76</v>
      </c>
      <c r="J1246" t="s">
        <v>119</v>
      </c>
      <c r="K1246" t="s">
        <v>39</v>
      </c>
      <c r="L1246" t="s">
        <v>68</v>
      </c>
      <c r="M1246" t="s">
        <v>56</v>
      </c>
      <c r="N1246">
        <v>3.9</v>
      </c>
      <c r="O1246">
        <v>0</v>
      </c>
      <c r="P1246" t="s">
        <v>73</v>
      </c>
      <c r="Q1246" t="s">
        <v>30</v>
      </c>
      <c r="R1246" t="s">
        <v>30</v>
      </c>
      <c r="S1246">
        <v>2</v>
      </c>
      <c r="T1246" t="s">
        <v>36</v>
      </c>
      <c r="U1246" t="s">
        <v>91</v>
      </c>
      <c r="V1246" s="1">
        <v>45495</v>
      </c>
      <c r="W1246">
        <f>Table1[[#This Row],[customer_purchase count]]+1</f>
        <v>3</v>
      </c>
      <c r="X1246">
        <f>Table1[[#This Row],[customer_purchase count]]*Rules!$B$3</f>
        <v>119.52871794871795</v>
      </c>
      <c r="Y1246" t="str">
        <f>IF(Table1[[#This Row],[customer_subscription]]=1,"Subscribed","Not Subscribed")</f>
        <v>Not Subscribed</v>
      </c>
      <c r="Z1246" t="s">
        <v>194</v>
      </c>
    </row>
    <row r="1247" spans="1:26" x14ac:dyDescent="0.25">
      <c r="A1247">
        <v>1246</v>
      </c>
      <c r="B1247">
        <v>42</v>
      </c>
      <c r="C1247" t="s">
        <v>22</v>
      </c>
      <c r="D1247">
        <v>1246</v>
      </c>
      <c r="E1247" t="s">
        <v>84</v>
      </c>
      <c r="F1247" t="s">
        <v>24</v>
      </c>
      <c r="G1247">
        <v>1246</v>
      </c>
      <c r="H1247">
        <v>1694</v>
      </c>
      <c r="I1247">
        <v>31</v>
      </c>
      <c r="J1247" t="s">
        <v>87</v>
      </c>
      <c r="K1247" t="s">
        <v>47</v>
      </c>
      <c r="L1247" t="s">
        <v>86</v>
      </c>
      <c r="M1247" t="s">
        <v>60</v>
      </c>
      <c r="N1247">
        <v>3.4</v>
      </c>
      <c r="O1247">
        <v>0</v>
      </c>
      <c r="P1247" t="s">
        <v>57</v>
      </c>
      <c r="Q1247" t="s">
        <v>30</v>
      </c>
      <c r="R1247" t="s">
        <v>30</v>
      </c>
      <c r="S1247">
        <v>30</v>
      </c>
      <c r="T1247" t="s">
        <v>78</v>
      </c>
      <c r="U1247" t="s">
        <v>43</v>
      </c>
      <c r="V1247" s="1">
        <v>45548</v>
      </c>
      <c r="W1247">
        <f>Table1[[#This Row],[customer_purchase count]]+1</f>
        <v>31</v>
      </c>
      <c r="X1247">
        <f>Table1[[#This Row],[customer_purchase count]]*Rules!$B$3</f>
        <v>1792.9307692307693</v>
      </c>
      <c r="Y1247" t="str">
        <f>IF(Table1[[#This Row],[customer_subscription]]=1,"Subscribed","Not Subscribed")</f>
        <v>Not Subscribed</v>
      </c>
    </row>
    <row r="1248" spans="1:26" x14ac:dyDescent="0.25">
      <c r="A1248">
        <v>1247</v>
      </c>
      <c r="B1248">
        <v>27</v>
      </c>
      <c r="C1248" t="s">
        <v>22</v>
      </c>
      <c r="D1248">
        <v>1247</v>
      </c>
      <c r="E1248" t="s">
        <v>107</v>
      </c>
      <c r="F1248" t="s">
        <v>24</v>
      </c>
      <c r="G1248">
        <v>1247</v>
      </c>
      <c r="H1248">
        <v>1695</v>
      </c>
      <c r="I1248">
        <v>60</v>
      </c>
      <c r="J1248" t="s">
        <v>63</v>
      </c>
      <c r="K1248" t="s">
        <v>47</v>
      </c>
      <c r="L1248" t="s">
        <v>64</v>
      </c>
      <c r="M1248" t="s">
        <v>28</v>
      </c>
      <c r="N1248">
        <v>2.7</v>
      </c>
      <c r="O1248">
        <v>0</v>
      </c>
      <c r="P1248" t="s">
        <v>57</v>
      </c>
      <c r="Q1248" t="s">
        <v>30</v>
      </c>
      <c r="R1248" t="s">
        <v>30</v>
      </c>
      <c r="S1248">
        <v>27</v>
      </c>
      <c r="T1248" t="s">
        <v>36</v>
      </c>
      <c r="U1248" t="s">
        <v>91</v>
      </c>
      <c r="V1248" s="1">
        <v>45331</v>
      </c>
      <c r="W1248">
        <f>Table1[[#This Row],[customer_purchase count]]+1</f>
        <v>28</v>
      </c>
      <c r="X1248">
        <f>Table1[[#This Row],[customer_purchase count]]*Rules!$B$3</f>
        <v>1613.6376923076923</v>
      </c>
      <c r="Y1248" t="str">
        <f>IF(Table1[[#This Row],[customer_subscription]]=1,"Subscribed","Not Subscribed")</f>
        <v>Not Subscribed</v>
      </c>
    </row>
    <row r="1249" spans="1:26" x14ac:dyDescent="0.25">
      <c r="A1249">
        <v>1248</v>
      </c>
      <c r="B1249">
        <v>65</v>
      </c>
      <c r="C1249" t="s">
        <v>22</v>
      </c>
      <c r="D1249">
        <v>1248</v>
      </c>
      <c r="E1249" t="s">
        <v>116</v>
      </c>
      <c r="F1249" t="s">
        <v>24</v>
      </c>
      <c r="G1249">
        <v>1248</v>
      </c>
      <c r="H1249">
        <v>1696</v>
      </c>
      <c r="I1249">
        <v>99</v>
      </c>
      <c r="J1249" t="s">
        <v>144</v>
      </c>
      <c r="K1249" t="s">
        <v>47</v>
      </c>
      <c r="L1249" t="s">
        <v>64</v>
      </c>
      <c r="M1249" t="s">
        <v>40</v>
      </c>
      <c r="N1249">
        <v>3.5</v>
      </c>
      <c r="O1249">
        <v>0</v>
      </c>
      <c r="P1249" t="s">
        <v>29</v>
      </c>
      <c r="Q1249" t="s">
        <v>30</v>
      </c>
      <c r="R1249" t="s">
        <v>30</v>
      </c>
      <c r="S1249">
        <v>18</v>
      </c>
      <c r="T1249" t="s">
        <v>31</v>
      </c>
      <c r="U1249" t="s">
        <v>79</v>
      </c>
      <c r="V1249" s="1">
        <v>45426</v>
      </c>
      <c r="W1249">
        <f>Table1[[#This Row],[customer_purchase count]]+1</f>
        <v>19</v>
      </c>
      <c r="X1249">
        <f>Table1[[#This Row],[customer_purchase count]]*Rules!$B$3</f>
        <v>1075.7584615384617</v>
      </c>
      <c r="Y1249" t="str">
        <f>IF(Table1[[#This Row],[customer_subscription]]=1,"Subscribed","Not Subscribed")</f>
        <v>Not Subscribed</v>
      </c>
    </row>
    <row r="1250" spans="1:26" x14ac:dyDescent="0.25">
      <c r="A1250">
        <v>1249</v>
      </c>
      <c r="B1250">
        <v>62</v>
      </c>
      <c r="C1250" t="s">
        <v>22</v>
      </c>
      <c r="D1250">
        <v>1249</v>
      </c>
      <c r="E1250" t="s">
        <v>127</v>
      </c>
      <c r="F1250" t="s">
        <v>70</v>
      </c>
      <c r="G1250">
        <v>1249</v>
      </c>
      <c r="H1250">
        <v>1697</v>
      </c>
      <c r="I1250">
        <v>37</v>
      </c>
      <c r="J1250" t="s">
        <v>153</v>
      </c>
      <c r="K1250" t="s">
        <v>95</v>
      </c>
      <c r="L1250" t="s">
        <v>111</v>
      </c>
      <c r="M1250" t="s">
        <v>28</v>
      </c>
      <c r="N1250">
        <v>3</v>
      </c>
      <c r="O1250">
        <v>0</v>
      </c>
      <c r="P1250" t="s">
        <v>41</v>
      </c>
      <c r="Q1250" t="s">
        <v>30</v>
      </c>
      <c r="R1250" t="s">
        <v>30</v>
      </c>
      <c r="S1250">
        <v>8</v>
      </c>
      <c r="T1250" t="s">
        <v>42</v>
      </c>
      <c r="U1250" t="s">
        <v>52</v>
      </c>
      <c r="V1250" s="1">
        <v>45324</v>
      </c>
      <c r="W1250">
        <f>Table1[[#This Row],[customer_purchase count]]+1</f>
        <v>9</v>
      </c>
      <c r="X1250">
        <f>Table1[[#This Row],[customer_purchase count]]*Rules!$B$3</f>
        <v>478.11487179487182</v>
      </c>
      <c r="Y1250" t="str">
        <f>IF(Table1[[#This Row],[customer_subscription]]=1,"Subscribed","Not Subscribed")</f>
        <v>Not Subscribed</v>
      </c>
      <c r="Z1250" t="s">
        <v>194</v>
      </c>
    </row>
    <row r="1251" spans="1:26" x14ac:dyDescent="0.25">
      <c r="A1251">
        <v>1250</v>
      </c>
      <c r="B1251">
        <v>62</v>
      </c>
      <c r="C1251" t="s">
        <v>22</v>
      </c>
      <c r="D1251">
        <v>1250</v>
      </c>
      <c r="E1251" t="s">
        <v>140</v>
      </c>
      <c r="F1251" t="s">
        <v>45</v>
      </c>
      <c r="G1251">
        <v>1250</v>
      </c>
      <c r="H1251">
        <v>1699</v>
      </c>
      <c r="I1251">
        <v>50</v>
      </c>
      <c r="J1251" t="s">
        <v>50</v>
      </c>
      <c r="K1251" t="s">
        <v>47</v>
      </c>
      <c r="L1251" t="s">
        <v>103</v>
      </c>
      <c r="M1251" t="s">
        <v>28</v>
      </c>
      <c r="N1251">
        <v>4.5</v>
      </c>
      <c r="O1251">
        <v>0</v>
      </c>
      <c r="P1251" t="s">
        <v>29</v>
      </c>
      <c r="Q1251" t="s">
        <v>30</v>
      </c>
      <c r="R1251" t="s">
        <v>30</v>
      </c>
      <c r="S1251">
        <v>48</v>
      </c>
      <c r="T1251" t="s">
        <v>31</v>
      </c>
      <c r="U1251" t="s">
        <v>32</v>
      </c>
      <c r="V1251" s="1">
        <v>45336</v>
      </c>
      <c r="W1251">
        <f>Table1[[#This Row],[customer_purchase count]]+1</f>
        <v>49</v>
      </c>
      <c r="X1251">
        <f>Table1[[#This Row],[customer_purchase count]]*Rules!$B$3</f>
        <v>2868.689230769231</v>
      </c>
      <c r="Y1251" t="str">
        <f>IF(Table1[[#This Row],[customer_subscription]]=1,"Subscribed","Not Subscribed")</f>
        <v>Not Subscribed</v>
      </c>
    </row>
    <row r="1252" spans="1:26" x14ac:dyDescent="0.25">
      <c r="A1252">
        <v>1251</v>
      </c>
      <c r="B1252">
        <v>52</v>
      </c>
      <c r="C1252" t="s">
        <v>22</v>
      </c>
      <c r="D1252">
        <v>1251</v>
      </c>
      <c r="E1252" t="s">
        <v>37</v>
      </c>
      <c r="F1252" t="s">
        <v>24</v>
      </c>
      <c r="G1252">
        <v>1251</v>
      </c>
      <c r="H1252">
        <v>1700</v>
      </c>
      <c r="I1252">
        <v>26</v>
      </c>
      <c r="J1252" t="s">
        <v>85</v>
      </c>
      <c r="K1252" t="s">
        <v>95</v>
      </c>
      <c r="L1252" t="s">
        <v>76</v>
      </c>
      <c r="M1252" t="s">
        <v>28</v>
      </c>
      <c r="N1252">
        <v>4.0999999999999996</v>
      </c>
      <c r="O1252">
        <v>0</v>
      </c>
      <c r="P1252" t="s">
        <v>41</v>
      </c>
      <c r="Q1252" t="s">
        <v>30</v>
      </c>
      <c r="R1252" t="s">
        <v>30</v>
      </c>
      <c r="S1252">
        <v>24</v>
      </c>
      <c r="T1252" t="s">
        <v>36</v>
      </c>
      <c r="U1252" t="s">
        <v>91</v>
      </c>
      <c r="V1252" s="1">
        <v>45628</v>
      </c>
      <c r="W1252">
        <f>Table1[[#This Row],[customer_purchase count]]+1</f>
        <v>25</v>
      </c>
      <c r="X1252">
        <f>Table1[[#This Row],[customer_purchase count]]*Rules!$B$3</f>
        <v>1434.3446153846155</v>
      </c>
      <c r="Y1252" t="str">
        <f>IF(Table1[[#This Row],[customer_subscription]]=1,"Subscribed","Not Subscribed")</f>
        <v>Not Subscribed</v>
      </c>
    </row>
    <row r="1253" spans="1:26" x14ac:dyDescent="0.25">
      <c r="A1253">
        <v>1252</v>
      </c>
      <c r="B1253">
        <v>56</v>
      </c>
      <c r="C1253" t="s">
        <v>22</v>
      </c>
      <c r="D1253">
        <v>1252</v>
      </c>
      <c r="E1253" t="s">
        <v>62</v>
      </c>
      <c r="F1253" t="s">
        <v>24</v>
      </c>
      <c r="G1253">
        <v>1252</v>
      </c>
      <c r="H1253">
        <v>1701</v>
      </c>
      <c r="I1253">
        <v>86</v>
      </c>
      <c r="J1253" t="s">
        <v>119</v>
      </c>
      <c r="K1253" t="s">
        <v>95</v>
      </c>
      <c r="L1253" t="s">
        <v>124</v>
      </c>
      <c r="M1253" t="s">
        <v>40</v>
      </c>
      <c r="N1253">
        <v>5</v>
      </c>
      <c r="O1253">
        <v>0</v>
      </c>
      <c r="P1253" t="s">
        <v>48</v>
      </c>
      <c r="Q1253" t="s">
        <v>30</v>
      </c>
      <c r="R1253" t="s">
        <v>30</v>
      </c>
      <c r="S1253">
        <v>43</v>
      </c>
      <c r="T1253" t="s">
        <v>42</v>
      </c>
      <c r="U1253" t="s">
        <v>91</v>
      </c>
      <c r="V1253" s="1">
        <v>45389</v>
      </c>
      <c r="W1253">
        <f>Table1[[#This Row],[customer_purchase count]]+1</f>
        <v>44</v>
      </c>
      <c r="X1253">
        <f>Table1[[#This Row],[customer_purchase count]]*Rules!$B$3</f>
        <v>2569.8674358974358</v>
      </c>
      <c r="Y1253" t="str">
        <f>IF(Table1[[#This Row],[customer_subscription]]=1,"Subscribed","Not Subscribed")</f>
        <v>Not Subscribed</v>
      </c>
    </row>
    <row r="1254" spans="1:26" x14ac:dyDescent="0.25">
      <c r="A1254">
        <v>1253</v>
      </c>
      <c r="B1254">
        <v>28</v>
      </c>
      <c r="C1254" t="s">
        <v>22</v>
      </c>
      <c r="D1254">
        <v>1253</v>
      </c>
      <c r="E1254" t="s">
        <v>44</v>
      </c>
      <c r="F1254" t="s">
        <v>45</v>
      </c>
      <c r="G1254">
        <v>1253</v>
      </c>
      <c r="H1254">
        <v>1702</v>
      </c>
      <c r="I1254">
        <v>41</v>
      </c>
      <c r="J1254" t="s">
        <v>38</v>
      </c>
      <c r="K1254" t="s">
        <v>26</v>
      </c>
      <c r="L1254" t="s">
        <v>139</v>
      </c>
      <c r="M1254" t="s">
        <v>60</v>
      </c>
      <c r="N1254">
        <v>4</v>
      </c>
      <c r="O1254">
        <v>0</v>
      </c>
      <c r="P1254" t="s">
        <v>57</v>
      </c>
      <c r="Q1254" t="s">
        <v>30</v>
      </c>
      <c r="R1254" t="s">
        <v>30</v>
      </c>
      <c r="S1254">
        <v>8</v>
      </c>
      <c r="T1254" t="s">
        <v>36</v>
      </c>
      <c r="U1254" t="s">
        <v>61</v>
      </c>
      <c r="V1254" s="1">
        <v>45551</v>
      </c>
      <c r="W1254">
        <f>Table1[[#This Row],[customer_purchase count]]+1</f>
        <v>9</v>
      </c>
      <c r="X1254">
        <f>Table1[[#This Row],[customer_purchase count]]*Rules!$B$3</f>
        <v>478.11487179487182</v>
      </c>
      <c r="Y1254" t="str">
        <f>IF(Table1[[#This Row],[customer_subscription]]=1,"Subscribed","Not Subscribed")</f>
        <v>Not Subscribed</v>
      </c>
      <c r="Z1254" t="s">
        <v>194</v>
      </c>
    </row>
    <row r="1255" spans="1:26" x14ac:dyDescent="0.25">
      <c r="A1255">
        <v>1254</v>
      </c>
      <c r="B1255">
        <v>39</v>
      </c>
      <c r="C1255" t="s">
        <v>22</v>
      </c>
      <c r="D1255">
        <v>1254</v>
      </c>
      <c r="E1255" t="s">
        <v>44</v>
      </c>
      <c r="F1255" t="s">
        <v>45</v>
      </c>
      <c r="G1255">
        <v>1254</v>
      </c>
      <c r="H1255">
        <v>1703</v>
      </c>
      <c r="I1255">
        <v>23</v>
      </c>
      <c r="J1255" t="s">
        <v>59</v>
      </c>
      <c r="K1255" t="s">
        <v>95</v>
      </c>
      <c r="L1255" t="s">
        <v>111</v>
      </c>
      <c r="M1255" t="s">
        <v>28</v>
      </c>
      <c r="N1255">
        <v>4.9000000000000004</v>
      </c>
      <c r="O1255">
        <v>0</v>
      </c>
      <c r="P1255" t="s">
        <v>29</v>
      </c>
      <c r="Q1255" t="s">
        <v>30</v>
      </c>
      <c r="R1255" t="s">
        <v>30</v>
      </c>
      <c r="S1255">
        <v>49</v>
      </c>
      <c r="T1255" t="s">
        <v>49</v>
      </c>
      <c r="U1255" t="s">
        <v>52</v>
      </c>
      <c r="V1255" s="1">
        <v>45338</v>
      </c>
      <c r="W1255">
        <f>Table1[[#This Row],[customer_purchase count]]+1</f>
        <v>50</v>
      </c>
      <c r="X1255">
        <f>Table1[[#This Row],[customer_purchase count]]*Rules!$B$3</f>
        <v>2928.4535897435899</v>
      </c>
      <c r="Y1255" t="str">
        <f>IF(Table1[[#This Row],[customer_subscription]]=1,"Subscribed","Not Subscribed")</f>
        <v>Not Subscribed</v>
      </c>
    </row>
    <row r="1256" spans="1:26" x14ac:dyDescent="0.25">
      <c r="A1256">
        <v>1255</v>
      </c>
      <c r="B1256">
        <v>54</v>
      </c>
      <c r="C1256" t="s">
        <v>22</v>
      </c>
      <c r="D1256">
        <v>1255</v>
      </c>
      <c r="E1256" t="s">
        <v>53</v>
      </c>
      <c r="F1256" t="s">
        <v>45</v>
      </c>
      <c r="G1256">
        <v>1255</v>
      </c>
      <c r="H1256">
        <v>1705</v>
      </c>
      <c r="I1256">
        <v>56</v>
      </c>
      <c r="J1256" t="s">
        <v>102</v>
      </c>
      <c r="K1256" t="s">
        <v>95</v>
      </c>
      <c r="L1256" t="s">
        <v>97</v>
      </c>
      <c r="M1256" t="s">
        <v>40</v>
      </c>
      <c r="N1256">
        <v>3.3</v>
      </c>
      <c r="O1256">
        <v>0</v>
      </c>
      <c r="P1256" t="s">
        <v>73</v>
      </c>
      <c r="Q1256" t="s">
        <v>30</v>
      </c>
      <c r="R1256" t="s">
        <v>30</v>
      </c>
      <c r="S1256">
        <v>2</v>
      </c>
      <c r="T1256" t="s">
        <v>42</v>
      </c>
      <c r="U1256" t="s">
        <v>79</v>
      </c>
      <c r="V1256" s="1">
        <v>45393</v>
      </c>
      <c r="W1256">
        <f>Table1[[#This Row],[customer_purchase count]]+1</f>
        <v>3</v>
      </c>
      <c r="X1256">
        <f>Table1[[#This Row],[customer_purchase count]]*Rules!$B$3</f>
        <v>119.52871794871795</v>
      </c>
      <c r="Y1256" t="str">
        <f>IF(Table1[[#This Row],[customer_subscription]]=1,"Subscribed","Not Subscribed")</f>
        <v>Not Subscribed</v>
      </c>
      <c r="Z1256" t="s">
        <v>194</v>
      </c>
    </row>
    <row r="1257" spans="1:26" x14ac:dyDescent="0.25">
      <c r="A1257">
        <v>1256</v>
      </c>
      <c r="B1257">
        <v>30</v>
      </c>
      <c r="C1257" t="s">
        <v>22</v>
      </c>
      <c r="D1257">
        <v>1256</v>
      </c>
      <c r="E1257" t="s">
        <v>127</v>
      </c>
      <c r="F1257" t="s">
        <v>70</v>
      </c>
      <c r="G1257">
        <v>1256</v>
      </c>
      <c r="H1257">
        <v>1706</v>
      </c>
      <c r="I1257">
        <v>68</v>
      </c>
      <c r="J1257" t="s">
        <v>119</v>
      </c>
      <c r="K1257" t="s">
        <v>47</v>
      </c>
      <c r="L1257" t="s">
        <v>103</v>
      </c>
      <c r="M1257" t="s">
        <v>60</v>
      </c>
      <c r="N1257">
        <v>4.0999999999999996</v>
      </c>
      <c r="O1257">
        <v>0</v>
      </c>
      <c r="P1257" t="s">
        <v>57</v>
      </c>
      <c r="Q1257" t="s">
        <v>30</v>
      </c>
      <c r="R1257" t="s">
        <v>30</v>
      </c>
      <c r="S1257">
        <v>38</v>
      </c>
      <c r="T1257" t="s">
        <v>36</v>
      </c>
      <c r="U1257" t="s">
        <v>32</v>
      </c>
      <c r="V1257" s="1">
        <v>45585</v>
      </c>
      <c r="W1257">
        <f>Table1[[#This Row],[customer_purchase count]]+1</f>
        <v>39</v>
      </c>
      <c r="X1257">
        <f>Table1[[#This Row],[customer_purchase count]]*Rules!$B$3</f>
        <v>2271.0456410256411</v>
      </c>
      <c r="Y1257" t="str">
        <f>IF(Table1[[#This Row],[customer_subscription]]=1,"Subscribed","Not Subscribed")</f>
        <v>Not Subscribed</v>
      </c>
    </row>
    <row r="1258" spans="1:26" x14ac:dyDescent="0.25">
      <c r="A1258">
        <v>1257</v>
      </c>
      <c r="B1258">
        <v>45</v>
      </c>
      <c r="C1258" t="s">
        <v>22</v>
      </c>
      <c r="D1258">
        <v>1257</v>
      </c>
      <c r="E1258" t="s">
        <v>65</v>
      </c>
      <c r="F1258" t="s">
        <v>66</v>
      </c>
      <c r="G1258">
        <v>1257</v>
      </c>
      <c r="H1258">
        <v>1707</v>
      </c>
      <c r="I1258">
        <v>48</v>
      </c>
      <c r="J1258" t="s">
        <v>67</v>
      </c>
      <c r="K1258" t="s">
        <v>39</v>
      </c>
      <c r="L1258" t="s">
        <v>81</v>
      </c>
      <c r="M1258" t="s">
        <v>28</v>
      </c>
      <c r="N1258">
        <v>3.6</v>
      </c>
      <c r="O1258">
        <v>0</v>
      </c>
      <c r="P1258" t="s">
        <v>29</v>
      </c>
      <c r="Q1258" t="s">
        <v>30</v>
      </c>
      <c r="R1258" t="s">
        <v>30</v>
      </c>
      <c r="S1258">
        <v>4</v>
      </c>
      <c r="T1258" t="s">
        <v>36</v>
      </c>
      <c r="U1258" t="s">
        <v>32</v>
      </c>
      <c r="V1258" s="1">
        <v>45316</v>
      </c>
      <c r="W1258">
        <f>Table1[[#This Row],[customer_purchase count]]+1</f>
        <v>5</v>
      </c>
      <c r="X1258">
        <f>Table1[[#This Row],[customer_purchase count]]*Rules!$B$3</f>
        <v>239.05743589743591</v>
      </c>
      <c r="Y1258" t="str">
        <f>IF(Table1[[#This Row],[customer_subscription]]=1,"Subscribed","Not Subscribed")</f>
        <v>Not Subscribed</v>
      </c>
      <c r="Z1258" t="s">
        <v>194</v>
      </c>
    </row>
    <row r="1259" spans="1:26" x14ac:dyDescent="0.25">
      <c r="A1259">
        <v>1258</v>
      </c>
      <c r="B1259">
        <v>68</v>
      </c>
      <c r="C1259" t="s">
        <v>22</v>
      </c>
      <c r="D1259">
        <v>1258</v>
      </c>
      <c r="E1259" t="s">
        <v>84</v>
      </c>
      <c r="F1259" t="s">
        <v>24</v>
      </c>
      <c r="G1259">
        <v>1258</v>
      </c>
      <c r="H1259">
        <v>1708</v>
      </c>
      <c r="I1259">
        <v>67</v>
      </c>
      <c r="J1259" t="s">
        <v>151</v>
      </c>
      <c r="K1259" t="s">
        <v>26</v>
      </c>
      <c r="L1259" t="s">
        <v>83</v>
      </c>
      <c r="M1259" t="s">
        <v>40</v>
      </c>
      <c r="N1259">
        <v>3</v>
      </c>
      <c r="O1259">
        <v>0</v>
      </c>
      <c r="P1259" t="s">
        <v>41</v>
      </c>
      <c r="Q1259" t="s">
        <v>30</v>
      </c>
      <c r="R1259" t="s">
        <v>30</v>
      </c>
      <c r="S1259">
        <v>31</v>
      </c>
      <c r="T1259" t="s">
        <v>36</v>
      </c>
      <c r="U1259" t="s">
        <v>100</v>
      </c>
      <c r="V1259" s="1">
        <v>45440</v>
      </c>
      <c r="W1259">
        <f>Table1[[#This Row],[customer_purchase count]]+1</f>
        <v>32</v>
      </c>
      <c r="X1259">
        <f>Table1[[#This Row],[customer_purchase count]]*Rules!$B$3</f>
        <v>1852.6951282051282</v>
      </c>
      <c r="Y1259" t="str">
        <f>IF(Table1[[#This Row],[customer_subscription]]=1,"Subscribed","Not Subscribed")</f>
        <v>Not Subscribed</v>
      </c>
    </row>
    <row r="1260" spans="1:26" x14ac:dyDescent="0.25">
      <c r="A1260">
        <v>1259</v>
      </c>
      <c r="B1260">
        <v>47</v>
      </c>
      <c r="C1260" t="s">
        <v>22</v>
      </c>
      <c r="D1260">
        <v>1259</v>
      </c>
      <c r="E1260" t="s">
        <v>140</v>
      </c>
      <c r="F1260" t="s">
        <v>45</v>
      </c>
      <c r="G1260">
        <v>1259</v>
      </c>
      <c r="H1260">
        <v>1709</v>
      </c>
      <c r="I1260">
        <v>87</v>
      </c>
      <c r="J1260" t="s">
        <v>126</v>
      </c>
      <c r="K1260" t="s">
        <v>95</v>
      </c>
      <c r="L1260" t="s">
        <v>83</v>
      </c>
      <c r="M1260" t="s">
        <v>40</v>
      </c>
      <c r="N1260">
        <v>4.0999999999999996</v>
      </c>
      <c r="O1260">
        <v>0</v>
      </c>
      <c r="P1260" t="s">
        <v>73</v>
      </c>
      <c r="Q1260" t="s">
        <v>30</v>
      </c>
      <c r="R1260" t="s">
        <v>30</v>
      </c>
      <c r="S1260">
        <v>34</v>
      </c>
      <c r="T1260" t="s">
        <v>89</v>
      </c>
      <c r="U1260" t="s">
        <v>100</v>
      </c>
      <c r="V1260" s="1">
        <v>45395</v>
      </c>
      <c r="W1260">
        <f>Table1[[#This Row],[customer_purchase count]]+1</f>
        <v>35</v>
      </c>
      <c r="X1260">
        <f>Table1[[#This Row],[customer_purchase count]]*Rules!$B$3</f>
        <v>2031.9882051282052</v>
      </c>
      <c r="Y1260" t="str">
        <f>IF(Table1[[#This Row],[customer_subscription]]=1,"Subscribed","Not Subscribed")</f>
        <v>Not Subscribed</v>
      </c>
    </row>
    <row r="1261" spans="1:26" x14ac:dyDescent="0.25">
      <c r="A1261">
        <v>1260</v>
      </c>
      <c r="B1261">
        <v>68</v>
      </c>
      <c r="C1261" t="s">
        <v>22</v>
      </c>
      <c r="D1261">
        <v>1260</v>
      </c>
      <c r="E1261" t="s">
        <v>90</v>
      </c>
      <c r="F1261" t="s">
        <v>24</v>
      </c>
      <c r="G1261">
        <v>1260</v>
      </c>
      <c r="H1261">
        <v>1711</v>
      </c>
      <c r="I1261">
        <v>64</v>
      </c>
      <c r="J1261" t="s">
        <v>151</v>
      </c>
      <c r="K1261" t="s">
        <v>47</v>
      </c>
      <c r="L1261" t="s">
        <v>51</v>
      </c>
      <c r="M1261" t="s">
        <v>60</v>
      </c>
      <c r="N1261">
        <v>3.9</v>
      </c>
      <c r="O1261">
        <v>0</v>
      </c>
      <c r="P1261" t="s">
        <v>57</v>
      </c>
      <c r="Q1261" t="s">
        <v>30</v>
      </c>
      <c r="R1261" t="s">
        <v>30</v>
      </c>
      <c r="S1261">
        <v>45</v>
      </c>
      <c r="T1261" t="s">
        <v>42</v>
      </c>
      <c r="U1261" t="s">
        <v>91</v>
      </c>
      <c r="V1261" s="1">
        <v>45607</v>
      </c>
      <c r="W1261">
        <f>Table1[[#This Row],[customer_purchase count]]+1</f>
        <v>46</v>
      </c>
      <c r="X1261">
        <f>Table1[[#This Row],[customer_purchase count]]*Rules!$B$3</f>
        <v>2689.396153846154</v>
      </c>
      <c r="Y1261" t="str">
        <f>IF(Table1[[#This Row],[customer_subscription]]=1,"Subscribed","Not Subscribed")</f>
        <v>Not Subscribed</v>
      </c>
    </row>
    <row r="1262" spans="1:26" x14ac:dyDescent="0.25">
      <c r="A1262">
        <v>1261</v>
      </c>
      <c r="B1262">
        <v>63</v>
      </c>
      <c r="C1262" t="s">
        <v>22</v>
      </c>
      <c r="D1262">
        <v>1261</v>
      </c>
      <c r="E1262" t="s">
        <v>58</v>
      </c>
      <c r="F1262" t="s">
        <v>24</v>
      </c>
      <c r="G1262">
        <v>1261</v>
      </c>
      <c r="H1262">
        <v>1712</v>
      </c>
      <c r="I1262">
        <v>93</v>
      </c>
      <c r="J1262" t="s">
        <v>144</v>
      </c>
      <c r="K1262" t="s">
        <v>95</v>
      </c>
      <c r="L1262" t="s">
        <v>99</v>
      </c>
      <c r="M1262" t="s">
        <v>40</v>
      </c>
      <c r="N1262">
        <v>4.0999999999999996</v>
      </c>
      <c r="O1262">
        <v>0</v>
      </c>
      <c r="P1262" t="s">
        <v>77</v>
      </c>
      <c r="Q1262" t="s">
        <v>30</v>
      </c>
      <c r="R1262" t="s">
        <v>30</v>
      </c>
      <c r="S1262">
        <v>30</v>
      </c>
      <c r="T1262" t="s">
        <v>89</v>
      </c>
      <c r="U1262" t="s">
        <v>61</v>
      </c>
      <c r="V1262" s="1">
        <v>45391</v>
      </c>
      <c r="W1262">
        <f>Table1[[#This Row],[customer_purchase count]]+1</f>
        <v>31</v>
      </c>
      <c r="X1262">
        <f>Table1[[#This Row],[customer_purchase count]]*Rules!$B$3</f>
        <v>1792.9307692307693</v>
      </c>
      <c r="Y1262" t="str">
        <f>IF(Table1[[#This Row],[customer_subscription]]=1,"Subscribed","Not Subscribed")</f>
        <v>Not Subscribed</v>
      </c>
    </row>
    <row r="1263" spans="1:26" x14ac:dyDescent="0.25">
      <c r="A1263">
        <v>1262</v>
      </c>
      <c r="B1263">
        <v>20</v>
      </c>
      <c r="C1263" t="s">
        <v>22</v>
      </c>
      <c r="D1263">
        <v>1262</v>
      </c>
      <c r="E1263" t="s">
        <v>58</v>
      </c>
      <c r="F1263" t="s">
        <v>24</v>
      </c>
      <c r="G1263">
        <v>1262</v>
      </c>
      <c r="H1263">
        <v>1713</v>
      </c>
      <c r="I1263">
        <v>29</v>
      </c>
      <c r="J1263" t="s">
        <v>142</v>
      </c>
      <c r="K1263" t="s">
        <v>26</v>
      </c>
      <c r="L1263" t="s">
        <v>35</v>
      </c>
      <c r="M1263" t="s">
        <v>56</v>
      </c>
      <c r="N1263">
        <v>2.8</v>
      </c>
      <c r="O1263">
        <v>0</v>
      </c>
      <c r="P1263" t="s">
        <v>48</v>
      </c>
      <c r="Q1263" t="s">
        <v>30</v>
      </c>
      <c r="R1263" t="s">
        <v>30</v>
      </c>
      <c r="S1263">
        <v>2</v>
      </c>
      <c r="T1263" t="s">
        <v>42</v>
      </c>
      <c r="U1263" t="s">
        <v>32</v>
      </c>
      <c r="V1263" s="1">
        <v>45498</v>
      </c>
      <c r="W1263">
        <f>Table1[[#This Row],[customer_purchase count]]+1</f>
        <v>3</v>
      </c>
      <c r="X1263">
        <f>Table1[[#This Row],[customer_purchase count]]*Rules!$B$3</f>
        <v>119.52871794871795</v>
      </c>
      <c r="Y1263" t="str">
        <f>IF(Table1[[#This Row],[customer_subscription]]=1,"Subscribed","Not Subscribed")</f>
        <v>Not Subscribed</v>
      </c>
      <c r="Z1263" t="s">
        <v>194</v>
      </c>
    </row>
    <row r="1264" spans="1:26" x14ac:dyDescent="0.25">
      <c r="A1264">
        <v>1263</v>
      </c>
      <c r="B1264">
        <v>29</v>
      </c>
      <c r="C1264" t="s">
        <v>22</v>
      </c>
      <c r="D1264">
        <v>1263</v>
      </c>
      <c r="E1264" t="s">
        <v>140</v>
      </c>
      <c r="F1264" t="s">
        <v>45</v>
      </c>
      <c r="G1264">
        <v>1263</v>
      </c>
      <c r="H1264">
        <v>1714</v>
      </c>
      <c r="I1264">
        <v>62</v>
      </c>
      <c r="J1264" t="s">
        <v>125</v>
      </c>
      <c r="K1264" t="s">
        <v>26</v>
      </c>
      <c r="L1264" t="s">
        <v>113</v>
      </c>
      <c r="M1264" t="s">
        <v>28</v>
      </c>
      <c r="N1264">
        <v>4.8</v>
      </c>
      <c r="O1264">
        <v>0</v>
      </c>
      <c r="P1264" t="s">
        <v>77</v>
      </c>
      <c r="Q1264" t="s">
        <v>30</v>
      </c>
      <c r="R1264" t="s">
        <v>30</v>
      </c>
      <c r="S1264">
        <v>44</v>
      </c>
      <c r="T1264" t="s">
        <v>31</v>
      </c>
      <c r="U1264" t="s">
        <v>91</v>
      </c>
      <c r="V1264" s="1">
        <v>45654</v>
      </c>
      <c r="W1264">
        <f>Table1[[#This Row],[customer_purchase count]]+1</f>
        <v>45</v>
      </c>
      <c r="X1264">
        <f>Table1[[#This Row],[customer_purchase count]]*Rules!$B$3</f>
        <v>2629.6317948717951</v>
      </c>
      <c r="Y1264" t="str">
        <f>IF(Table1[[#This Row],[customer_subscription]]=1,"Subscribed","Not Subscribed")</f>
        <v>Not Subscribed</v>
      </c>
    </row>
    <row r="1265" spans="1:26" x14ac:dyDescent="0.25">
      <c r="A1265">
        <v>1264</v>
      </c>
      <c r="B1265">
        <v>41</v>
      </c>
      <c r="C1265" t="s">
        <v>22</v>
      </c>
      <c r="D1265">
        <v>1264</v>
      </c>
      <c r="E1265" t="s">
        <v>107</v>
      </c>
      <c r="F1265" t="s">
        <v>24</v>
      </c>
      <c r="G1265">
        <v>1264</v>
      </c>
      <c r="H1265">
        <v>1715</v>
      </c>
      <c r="I1265">
        <v>70</v>
      </c>
      <c r="J1265" t="s">
        <v>82</v>
      </c>
      <c r="K1265" t="s">
        <v>26</v>
      </c>
      <c r="L1265" t="s">
        <v>113</v>
      </c>
      <c r="M1265" t="s">
        <v>28</v>
      </c>
      <c r="N1265">
        <v>4.5999999999999996</v>
      </c>
      <c r="O1265">
        <v>0</v>
      </c>
      <c r="P1265" t="s">
        <v>73</v>
      </c>
      <c r="Q1265" t="s">
        <v>30</v>
      </c>
      <c r="R1265" t="s">
        <v>30</v>
      </c>
      <c r="S1265">
        <v>1</v>
      </c>
      <c r="T1265" t="s">
        <v>42</v>
      </c>
      <c r="U1265" t="s">
        <v>79</v>
      </c>
      <c r="V1265" s="1">
        <v>45305</v>
      </c>
      <c r="W1265">
        <f>Table1[[#This Row],[customer_purchase count]]+1</f>
        <v>2</v>
      </c>
      <c r="X1265">
        <f>Table1[[#This Row],[customer_purchase count]]*Rules!$B$3</f>
        <v>59.764358974358977</v>
      </c>
      <c r="Y1265" t="str">
        <f>IF(Table1[[#This Row],[customer_subscription]]=1,"Subscribed","Not Subscribed")</f>
        <v>Not Subscribed</v>
      </c>
      <c r="Z1265" t="s">
        <v>194</v>
      </c>
    </row>
    <row r="1266" spans="1:26" x14ac:dyDescent="0.25">
      <c r="A1266">
        <v>1265</v>
      </c>
      <c r="B1266">
        <v>52</v>
      </c>
      <c r="C1266" t="s">
        <v>22</v>
      </c>
      <c r="D1266">
        <v>1265</v>
      </c>
      <c r="E1266" t="s">
        <v>33</v>
      </c>
      <c r="F1266" t="s">
        <v>24</v>
      </c>
      <c r="G1266">
        <v>1265</v>
      </c>
      <c r="H1266">
        <v>1717</v>
      </c>
      <c r="I1266">
        <v>92</v>
      </c>
      <c r="J1266" t="s">
        <v>132</v>
      </c>
      <c r="K1266" t="s">
        <v>39</v>
      </c>
      <c r="L1266" t="s">
        <v>147</v>
      </c>
      <c r="M1266" t="s">
        <v>28</v>
      </c>
      <c r="N1266">
        <v>2.5</v>
      </c>
      <c r="O1266">
        <v>0</v>
      </c>
      <c r="P1266" t="s">
        <v>48</v>
      </c>
      <c r="Q1266" t="s">
        <v>30</v>
      </c>
      <c r="R1266" t="s">
        <v>30</v>
      </c>
      <c r="S1266">
        <v>1</v>
      </c>
      <c r="T1266" t="s">
        <v>31</v>
      </c>
      <c r="U1266" t="s">
        <v>79</v>
      </c>
      <c r="V1266" s="1">
        <v>45301</v>
      </c>
      <c r="W1266">
        <f>Table1[[#This Row],[customer_purchase count]]+1</f>
        <v>2</v>
      </c>
      <c r="X1266">
        <f>Table1[[#This Row],[customer_purchase count]]*Rules!$B$3</f>
        <v>59.764358974358977</v>
      </c>
      <c r="Y1266" t="str">
        <f>IF(Table1[[#This Row],[customer_subscription]]=1,"Subscribed","Not Subscribed")</f>
        <v>Not Subscribed</v>
      </c>
      <c r="Z1266" t="s">
        <v>194</v>
      </c>
    </row>
    <row r="1267" spans="1:26" x14ac:dyDescent="0.25">
      <c r="A1267">
        <v>1266</v>
      </c>
      <c r="B1267">
        <v>32</v>
      </c>
      <c r="C1267" t="s">
        <v>22</v>
      </c>
      <c r="D1267">
        <v>1266</v>
      </c>
      <c r="E1267" t="s">
        <v>58</v>
      </c>
      <c r="F1267" t="s">
        <v>24</v>
      </c>
      <c r="G1267">
        <v>1266</v>
      </c>
      <c r="H1267">
        <v>1718</v>
      </c>
      <c r="I1267">
        <v>79</v>
      </c>
      <c r="J1267" t="s">
        <v>63</v>
      </c>
      <c r="K1267" t="s">
        <v>47</v>
      </c>
      <c r="L1267" t="s">
        <v>96</v>
      </c>
      <c r="M1267" t="s">
        <v>40</v>
      </c>
      <c r="N1267">
        <v>2.7</v>
      </c>
      <c r="O1267">
        <v>0</v>
      </c>
      <c r="P1267" t="s">
        <v>48</v>
      </c>
      <c r="Q1267" t="s">
        <v>30</v>
      </c>
      <c r="R1267" t="s">
        <v>30</v>
      </c>
      <c r="S1267">
        <v>27</v>
      </c>
      <c r="T1267" t="s">
        <v>78</v>
      </c>
      <c r="U1267" t="s">
        <v>43</v>
      </c>
      <c r="V1267" s="1">
        <v>45416</v>
      </c>
      <c r="W1267">
        <f>Table1[[#This Row],[customer_purchase count]]+1</f>
        <v>28</v>
      </c>
      <c r="X1267">
        <f>Table1[[#This Row],[customer_purchase count]]*Rules!$B$3</f>
        <v>1613.6376923076923</v>
      </c>
      <c r="Y1267" t="str">
        <f>IF(Table1[[#This Row],[customer_subscription]]=1,"Subscribed","Not Subscribed")</f>
        <v>Not Subscribed</v>
      </c>
    </row>
    <row r="1268" spans="1:26" x14ac:dyDescent="0.25">
      <c r="A1268">
        <v>1267</v>
      </c>
      <c r="B1268">
        <v>20</v>
      </c>
      <c r="C1268" t="s">
        <v>22</v>
      </c>
      <c r="D1268">
        <v>1267</v>
      </c>
      <c r="E1268" t="s">
        <v>23</v>
      </c>
      <c r="F1268" t="s">
        <v>24</v>
      </c>
      <c r="G1268">
        <v>1267</v>
      </c>
      <c r="H1268">
        <v>1719</v>
      </c>
      <c r="I1268">
        <v>31</v>
      </c>
      <c r="J1268" t="s">
        <v>117</v>
      </c>
      <c r="K1268" t="s">
        <v>47</v>
      </c>
      <c r="L1268" t="s">
        <v>103</v>
      </c>
      <c r="M1268" t="s">
        <v>60</v>
      </c>
      <c r="N1268">
        <v>4</v>
      </c>
      <c r="O1268">
        <v>0</v>
      </c>
      <c r="P1268" t="s">
        <v>57</v>
      </c>
      <c r="Q1268" t="s">
        <v>30</v>
      </c>
      <c r="R1268" t="s">
        <v>30</v>
      </c>
      <c r="S1268">
        <v>14</v>
      </c>
      <c r="T1268" t="s">
        <v>89</v>
      </c>
      <c r="U1268" t="s">
        <v>100</v>
      </c>
      <c r="V1268" s="1">
        <v>45582</v>
      </c>
      <c r="W1268">
        <f>Table1[[#This Row],[customer_purchase count]]+1</f>
        <v>15</v>
      </c>
      <c r="X1268">
        <f>Table1[[#This Row],[customer_purchase count]]*Rules!$B$3</f>
        <v>836.70102564102569</v>
      </c>
      <c r="Y1268" t="str">
        <f>IF(Table1[[#This Row],[customer_subscription]]=1,"Subscribed","Not Subscribed")</f>
        <v>Not Subscribed</v>
      </c>
      <c r="Z1268" t="s">
        <v>187</v>
      </c>
    </row>
    <row r="1269" spans="1:26" x14ac:dyDescent="0.25">
      <c r="A1269">
        <v>1268</v>
      </c>
      <c r="B1269">
        <v>47</v>
      </c>
      <c r="C1269" t="s">
        <v>22</v>
      </c>
      <c r="D1269">
        <v>1268</v>
      </c>
      <c r="E1269" t="s">
        <v>116</v>
      </c>
      <c r="F1269" t="s">
        <v>24</v>
      </c>
      <c r="G1269">
        <v>1268</v>
      </c>
      <c r="H1269">
        <v>1720</v>
      </c>
      <c r="I1269">
        <v>83</v>
      </c>
      <c r="J1269" t="s">
        <v>50</v>
      </c>
      <c r="K1269" t="s">
        <v>39</v>
      </c>
      <c r="L1269" t="s">
        <v>27</v>
      </c>
      <c r="M1269" t="s">
        <v>40</v>
      </c>
      <c r="N1269">
        <v>2.7</v>
      </c>
      <c r="O1269">
        <v>0</v>
      </c>
      <c r="P1269" t="s">
        <v>57</v>
      </c>
      <c r="Q1269" t="s">
        <v>30</v>
      </c>
      <c r="R1269" t="s">
        <v>30</v>
      </c>
      <c r="S1269">
        <v>41</v>
      </c>
      <c r="T1269" t="s">
        <v>36</v>
      </c>
      <c r="U1269" t="s">
        <v>43</v>
      </c>
      <c r="V1269" s="1">
        <v>45394</v>
      </c>
      <c r="W1269">
        <f>Table1[[#This Row],[customer_purchase count]]+1</f>
        <v>42</v>
      </c>
      <c r="X1269">
        <f>Table1[[#This Row],[customer_purchase count]]*Rules!$B$3</f>
        <v>2450.3387179487181</v>
      </c>
      <c r="Y1269" t="str">
        <f>IF(Table1[[#This Row],[customer_subscription]]=1,"Subscribed","Not Subscribed")</f>
        <v>Not Subscribed</v>
      </c>
    </row>
    <row r="1270" spans="1:26" x14ac:dyDescent="0.25">
      <c r="A1270">
        <v>1269</v>
      </c>
      <c r="B1270">
        <v>23</v>
      </c>
      <c r="C1270" t="s">
        <v>22</v>
      </c>
      <c r="D1270">
        <v>1269</v>
      </c>
      <c r="E1270" t="s">
        <v>105</v>
      </c>
      <c r="F1270" t="s">
        <v>66</v>
      </c>
      <c r="G1270">
        <v>1269</v>
      </c>
      <c r="H1270">
        <v>1721</v>
      </c>
      <c r="I1270">
        <v>88</v>
      </c>
      <c r="J1270" t="s">
        <v>138</v>
      </c>
      <c r="K1270" t="s">
        <v>95</v>
      </c>
      <c r="L1270" t="s">
        <v>64</v>
      </c>
      <c r="M1270" t="s">
        <v>28</v>
      </c>
      <c r="N1270">
        <v>2.9</v>
      </c>
      <c r="O1270">
        <v>0</v>
      </c>
      <c r="P1270" t="s">
        <v>48</v>
      </c>
      <c r="Q1270" t="s">
        <v>30</v>
      </c>
      <c r="R1270" t="s">
        <v>30</v>
      </c>
      <c r="S1270">
        <v>25</v>
      </c>
      <c r="T1270" t="s">
        <v>89</v>
      </c>
      <c r="U1270" t="s">
        <v>79</v>
      </c>
      <c r="V1270" s="1">
        <v>45630</v>
      </c>
      <c r="W1270">
        <f>Table1[[#This Row],[customer_purchase count]]+1</f>
        <v>26</v>
      </c>
      <c r="X1270">
        <f>Table1[[#This Row],[customer_purchase count]]*Rules!$B$3</f>
        <v>1494.1089743589744</v>
      </c>
      <c r="Y1270" t="str">
        <f>IF(Table1[[#This Row],[customer_subscription]]=1,"Subscribed","Not Subscribed")</f>
        <v>Not Subscribed</v>
      </c>
    </row>
    <row r="1271" spans="1:26" x14ac:dyDescent="0.25">
      <c r="A1271">
        <v>1270</v>
      </c>
      <c r="B1271">
        <v>43</v>
      </c>
      <c r="C1271" t="s">
        <v>22</v>
      </c>
      <c r="D1271">
        <v>1270</v>
      </c>
      <c r="E1271" t="s">
        <v>109</v>
      </c>
      <c r="F1271" t="s">
        <v>70</v>
      </c>
      <c r="G1271">
        <v>1270</v>
      </c>
      <c r="H1271">
        <v>1723</v>
      </c>
      <c r="I1271">
        <v>53</v>
      </c>
      <c r="J1271" t="s">
        <v>132</v>
      </c>
      <c r="K1271" t="s">
        <v>47</v>
      </c>
      <c r="L1271" t="s">
        <v>96</v>
      </c>
      <c r="M1271" t="s">
        <v>40</v>
      </c>
      <c r="N1271">
        <v>3</v>
      </c>
      <c r="O1271">
        <v>0</v>
      </c>
      <c r="P1271" t="s">
        <v>57</v>
      </c>
      <c r="Q1271" t="s">
        <v>30</v>
      </c>
      <c r="R1271" t="s">
        <v>30</v>
      </c>
      <c r="S1271">
        <v>47</v>
      </c>
      <c r="T1271" t="s">
        <v>49</v>
      </c>
      <c r="U1271" t="s">
        <v>61</v>
      </c>
      <c r="V1271" s="1">
        <v>45402</v>
      </c>
      <c r="W1271">
        <f>Table1[[#This Row],[customer_purchase count]]+1</f>
        <v>48</v>
      </c>
      <c r="X1271">
        <f>Table1[[#This Row],[customer_purchase count]]*Rules!$B$3</f>
        <v>2808.9248717948717</v>
      </c>
      <c r="Y1271" t="str">
        <f>IF(Table1[[#This Row],[customer_subscription]]=1,"Subscribed","Not Subscribed")</f>
        <v>Not Subscribed</v>
      </c>
    </row>
    <row r="1272" spans="1:26" x14ac:dyDescent="0.25">
      <c r="A1272">
        <v>1271</v>
      </c>
      <c r="B1272">
        <v>67</v>
      </c>
      <c r="C1272" t="s">
        <v>22</v>
      </c>
      <c r="D1272">
        <v>1271</v>
      </c>
      <c r="E1272" t="s">
        <v>107</v>
      </c>
      <c r="F1272" t="s">
        <v>24</v>
      </c>
      <c r="G1272">
        <v>1271</v>
      </c>
      <c r="H1272">
        <v>1724</v>
      </c>
      <c r="I1272">
        <v>98</v>
      </c>
      <c r="J1272" t="s">
        <v>67</v>
      </c>
      <c r="K1272" t="s">
        <v>47</v>
      </c>
      <c r="L1272" t="s">
        <v>99</v>
      </c>
      <c r="M1272" t="s">
        <v>60</v>
      </c>
      <c r="N1272">
        <v>3.3</v>
      </c>
      <c r="O1272">
        <v>0</v>
      </c>
      <c r="P1272" t="s">
        <v>57</v>
      </c>
      <c r="Q1272" t="s">
        <v>30</v>
      </c>
      <c r="R1272" t="s">
        <v>30</v>
      </c>
      <c r="S1272">
        <v>20</v>
      </c>
      <c r="T1272" t="s">
        <v>36</v>
      </c>
      <c r="U1272" t="s">
        <v>52</v>
      </c>
      <c r="V1272" s="1">
        <v>45610</v>
      </c>
      <c r="W1272">
        <f>Table1[[#This Row],[customer_purchase count]]+1</f>
        <v>21</v>
      </c>
      <c r="X1272">
        <f>Table1[[#This Row],[customer_purchase count]]*Rules!$B$3</f>
        <v>1195.2871794871796</v>
      </c>
      <c r="Y1272" t="str">
        <f>IF(Table1[[#This Row],[customer_subscription]]=1,"Subscribed","Not Subscribed")</f>
        <v>Not Subscribed</v>
      </c>
    </row>
    <row r="1273" spans="1:26" x14ac:dyDescent="0.25">
      <c r="A1273">
        <v>1272</v>
      </c>
      <c r="B1273">
        <v>70</v>
      </c>
      <c r="C1273" t="s">
        <v>22</v>
      </c>
      <c r="D1273">
        <v>1272</v>
      </c>
      <c r="E1273" t="s">
        <v>109</v>
      </c>
      <c r="F1273" t="s">
        <v>70</v>
      </c>
      <c r="G1273">
        <v>1272</v>
      </c>
      <c r="H1273">
        <v>1725</v>
      </c>
      <c r="I1273">
        <v>57</v>
      </c>
      <c r="J1273" t="s">
        <v>25</v>
      </c>
      <c r="K1273" t="s">
        <v>39</v>
      </c>
      <c r="L1273" t="s">
        <v>27</v>
      </c>
      <c r="M1273" t="s">
        <v>40</v>
      </c>
      <c r="N1273">
        <v>4.3</v>
      </c>
      <c r="O1273">
        <v>0</v>
      </c>
      <c r="P1273" t="s">
        <v>77</v>
      </c>
      <c r="Q1273" t="s">
        <v>30</v>
      </c>
      <c r="R1273" t="s">
        <v>30</v>
      </c>
      <c r="S1273">
        <v>42</v>
      </c>
      <c r="T1273" t="s">
        <v>49</v>
      </c>
      <c r="U1273" t="s">
        <v>52</v>
      </c>
      <c r="V1273" s="1">
        <v>45383</v>
      </c>
      <c r="W1273">
        <f>Table1[[#This Row],[customer_purchase count]]+1</f>
        <v>43</v>
      </c>
      <c r="X1273">
        <f>Table1[[#This Row],[customer_purchase count]]*Rules!$B$3</f>
        <v>2510.103076923077</v>
      </c>
      <c r="Y1273" t="str">
        <f>IF(Table1[[#This Row],[customer_subscription]]=1,"Subscribed","Not Subscribed")</f>
        <v>Not Subscribed</v>
      </c>
    </row>
    <row r="1274" spans="1:26" x14ac:dyDescent="0.25">
      <c r="A1274">
        <v>1273</v>
      </c>
      <c r="B1274">
        <v>35</v>
      </c>
      <c r="C1274" t="s">
        <v>22</v>
      </c>
      <c r="D1274">
        <v>1273</v>
      </c>
      <c r="E1274" t="s">
        <v>44</v>
      </c>
      <c r="F1274" t="s">
        <v>45</v>
      </c>
      <c r="G1274">
        <v>1273</v>
      </c>
      <c r="H1274">
        <v>1726</v>
      </c>
      <c r="I1274">
        <v>80</v>
      </c>
      <c r="J1274" t="s">
        <v>153</v>
      </c>
      <c r="K1274" t="s">
        <v>47</v>
      </c>
      <c r="L1274" t="s">
        <v>124</v>
      </c>
      <c r="M1274" t="s">
        <v>28</v>
      </c>
      <c r="N1274">
        <v>4.4000000000000004</v>
      </c>
      <c r="O1274">
        <v>0</v>
      </c>
      <c r="P1274" t="s">
        <v>29</v>
      </c>
      <c r="Q1274" t="s">
        <v>30</v>
      </c>
      <c r="R1274" t="s">
        <v>30</v>
      </c>
      <c r="S1274">
        <v>16</v>
      </c>
      <c r="T1274" t="s">
        <v>78</v>
      </c>
      <c r="U1274" t="s">
        <v>91</v>
      </c>
      <c r="V1274" s="1">
        <v>45635</v>
      </c>
      <c r="W1274">
        <f>Table1[[#This Row],[customer_purchase count]]+1</f>
        <v>17</v>
      </c>
      <c r="X1274">
        <f>Table1[[#This Row],[customer_purchase count]]*Rules!$B$3</f>
        <v>956.22974358974363</v>
      </c>
      <c r="Y1274" t="str">
        <f>IF(Table1[[#This Row],[customer_subscription]]=1,"Subscribed","Not Subscribed")</f>
        <v>Not Subscribed</v>
      </c>
      <c r="Z1274" t="s">
        <v>194</v>
      </c>
    </row>
    <row r="1275" spans="1:26" x14ac:dyDescent="0.25">
      <c r="A1275">
        <v>1274</v>
      </c>
      <c r="B1275">
        <v>41</v>
      </c>
      <c r="C1275" t="s">
        <v>22</v>
      </c>
      <c r="D1275">
        <v>1274</v>
      </c>
      <c r="E1275" t="s">
        <v>37</v>
      </c>
      <c r="F1275" t="s">
        <v>24</v>
      </c>
      <c r="G1275">
        <v>1274</v>
      </c>
      <c r="H1275">
        <v>1727</v>
      </c>
      <c r="I1275">
        <v>29</v>
      </c>
      <c r="J1275" t="s">
        <v>94</v>
      </c>
      <c r="K1275" t="s">
        <v>26</v>
      </c>
      <c r="L1275" t="s">
        <v>68</v>
      </c>
      <c r="M1275" t="s">
        <v>40</v>
      </c>
      <c r="N1275">
        <v>4.0999999999999996</v>
      </c>
      <c r="O1275">
        <v>0</v>
      </c>
      <c r="P1275" t="s">
        <v>48</v>
      </c>
      <c r="Q1275" t="s">
        <v>30</v>
      </c>
      <c r="R1275" t="s">
        <v>30</v>
      </c>
      <c r="S1275">
        <v>32</v>
      </c>
      <c r="T1275" t="s">
        <v>42</v>
      </c>
      <c r="U1275" t="s">
        <v>100</v>
      </c>
      <c r="V1275" s="1">
        <v>45398</v>
      </c>
      <c r="W1275">
        <f>Table1[[#This Row],[customer_purchase count]]+1</f>
        <v>33</v>
      </c>
      <c r="X1275">
        <f>Table1[[#This Row],[customer_purchase count]]*Rules!$B$3</f>
        <v>1912.4594871794873</v>
      </c>
      <c r="Y1275" t="str">
        <f>IF(Table1[[#This Row],[customer_subscription]]=1,"Subscribed","Not Subscribed")</f>
        <v>Not Subscribed</v>
      </c>
    </row>
    <row r="1276" spans="1:26" x14ac:dyDescent="0.25">
      <c r="A1276">
        <v>1275</v>
      </c>
      <c r="B1276">
        <v>54</v>
      </c>
      <c r="C1276" t="s">
        <v>22</v>
      </c>
      <c r="D1276">
        <v>1275</v>
      </c>
      <c r="E1276" t="s">
        <v>127</v>
      </c>
      <c r="F1276" t="s">
        <v>70</v>
      </c>
      <c r="G1276">
        <v>1275</v>
      </c>
      <c r="H1276">
        <v>1729</v>
      </c>
      <c r="I1276">
        <v>73</v>
      </c>
      <c r="J1276" t="s">
        <v>71</v>
      </c>
      <c r="K1276" t="s">
        <v>47</v>
      </c>
      <c r="L1276" t="s">
        <v>81</v>
      </c>
      <c r="M1276" t="s">
        <v>40</v>
      </c>
      <c r="N1276">
        <v>3.1</v>
      </c>
      <c r="O1276">
        <v>0</v>
      </c>
      <c r="P1276" t="s">
        <v>73</v>
      </c>
      <c r="Q1276" t="s">
        <v>30</v>
      </c>
      <c r="R1276" t="s">
        <v>30</v>
      </c>
      <c r="S1276">
        <v>37</v>
      </c>
      <c r="T1276" t="s">
        <v>49</v>
      </c>
      <c r="U1276" t="s">
        <v>61</v>
      </c>
      <c r="V1276" s="1">
        <v>45376</v>
      </c>
      <c r="W1276">
        <f>Table1[[#This Row],[customer_purchase count]]+1</f>
        <v>38</v>
      </c>
      <c r="X1276">
        <f>Table1[[#This Row],[customer_purchase count]]*Rules!$B$3</f>
        <v>2211.2812820512822</v>
      </c>
      <c r="Y1276" t="str">
        <f>IF(Table1[[#This Row],[customer_subscription]]=1,"Subscribed","Not Subscribed")</f>
        <v>Not Subscribed</v>
      </c>
    </row>
    <row r="1277" spans="1:26" x14ac:dyDescent="0.25">
      <c r="A1277">
        <v>1276</v>
      </c>
      <c r="B1277">
        <v>55</v>
      </c>
      <c r="C1277" t="s">
        <v>22</v>
      </c>
      <c r="D1277">
        <v>1276</v>
      </c>
      <c r="E1277" t="s">
        <v>33</v>
      </c>
      <c r="F1277" t="s">
        <v>24</v>
      </c>
      <c r="G1277">
        <v>1276</v>
      </c>
      <c r="H1277">
        <v>1730</v>
      </c>
      <c r="I1277">
        <v>32</v>
      </c>
      <c r="J1277" t="s">
        <v>75</v>
      </c>
      <c r="K1277" t="s">
        <v>39</v>
      </c>
      <c r="L1277" t="s">
        <v>51</v>
      </c>
      <c r="M1277" t="s">
        <v>60</v>
      </c>
      <c r="N1277">
        <v>4.5</v>
      </c>
      <c r="O1277">
        <v>0</v>
      </c>
      <c r="P1277" t="s">
        <v>57</v>
      </c>
      <c r="Q1277" t="s">
        <v>30</v>
      </c>
      <c r="R1277" t="s">
        <v>30</v>
      </c>
      <c r="S1277">
        <v>1</v>
      </c>
      <c r="T1277" t="s">
        <v>49</v>
      </c>
      <c r="U1277" t="s">
        <v>91</v>
      </c>
      <c r="V1277" s="1">
        <v>45616</v>
      </c>
      <c r="W1277">
        <f>Table1[[#This Row],[customer_purchase count]]+1</f>
        <v>2</v>
      </c>
      <c r="X1277">
        <f>Table1[[#This Row],[customer_purchase count]]*Rules!$B$3</f>
        <v>59.764358974358977</v>
      </c>
      <c r="Y1277" t="str">
        <f>IF(Table1[[#This Row],[customer_subscription]]=1,"Subscribed","Not Subscribed")</f>
        <v>Not Subscribed</v>
      </c>
      <c r="Z1277" t="s">
        <v>194</v>
      </c>
    </row>
    <row r="1278" spans="1:26" x14ac:dyDescent="0.25">
      <c r="A1278">
        <v>1277</v>
      </c>
      <c r="B1278">
        <v>51</v>
      </c>
      <c r="C1278" t="s">
        <v>22</v>
      </c>
      <c r="D1278">
        <v>1277</v>
      </c>
      <c r="E1278" t="s">
        <v>140</v>
      </c>
      <c r="F1278" t="s">
        <v>45</v>
      </c>
      <c r="G1278">
        <v>1277</v>
      </c>
      <c r="H1278">
        <v>1731</v>
      </c>
      <c r="I1278">
        <v>68</v>
      </c>
      <c r="J1278" t="s">
        <v>54</v>
      </c>
      <c r="K1278" t="s">
        <v>26</v>
      </c>
      <c r="L1278" t="s">
        <v>51</v>
      </c>
      <c r="M1278" t="s">
        <v>40</v>
      </c>
      <c r="N1278">
        <v>4.8</v>
      </c>
      <c r="O1278">
        <v>0</v>
      </c>
      <c r="P1278" t="s">
        <v>48</v>
      </c>
      <c r="Q1278" t="s">
        <v>30</v>
      </c>
      <c r="R1278" t="s">
        <v>30</v>
      </c>
      <c r="S1278">
        <v>37</v>
      </c>
      <c r="T1278" t="s">
        <v>78</v>
      </c>
      <c r="U1278" t="s">
        <v>43</v>
      </c>
      <c r="V1278" s="1">
        <v>45426</v>
      </c>
      <c r="W1278">
        <f>Table1[[#This Row],[customer_purchase count]]+1</f>
        <v>38</v>
      </c>
      <c r="X1278">
        <f>Table1[[#This Row],[customer_purchase count]]*Rules!$B$3</f>
        <v>2211.2812820512822</v>
      </c>
      <c r="Y1278" t="str">
        <f>IF(Table1[[#This Row],[customer_subscription]]=1,"Subscribed","Not Subscribed")</f>
        <v>Not Subscribed</v>
      </c>
    </row>
    <row r="1279" spans="1:26" x14ac:dyDescent="0.25">
      <c r="A1279">
        <v>1278</v>
      </c>
      <c r="B1279">
        <v>19</v>
      </c>
      <c r="C1279" t="s">
        <v>22</v>
      </c>
      <c r="D1279">
        <v>1278</v>
      </c>
      <c r="E1279" t="s">
        <v>23</v>
      </c>
      <c r="F1279" t="s">
        <v>24</v>
      </c>
      <c r="G1279">
        <v>1278</v>
      </c>
      <c r="H1279">
        <v>1732</v>
      </c>
      <c r="I1279">
        <v>97</v>
      </c>
      <c r="J1279" t="s">
        <v>46</v>
      </c>
      <c r="K1279" t="s">
        <v>26</v>
      </c>
      <c r="L1279" t="s">
        <v>99</v>
      </c>
      <c r="M1279" t="s">
        <v>40</v>
      </c>
      <c r="N1279">
        <v>5</v>
      </c>
      <c r="O1279">
        <v>0</v>
      </c>
      <c r="P1279" t="s">
        <v>29</v>
      </c>
      <c r="Q1279" t="s">
        <v>30</v>
      </c>
      <c r="R1279" t="s">
        <v>30</v>
      </c>
      <c r="S1279">
        <v>5</v>
      </c>
      <c r="T1279" t="s">
        <v>31</v>
      </c>
      <c r="U1279" t="s">
        <v>61</v>
      </c>
      <c r="V1279" s="1">
        <v>45437</v>
      </c>
      <c r="W1279">
        <f>Table1[[#This Row],[customer_purchase count]]+1</f>
        <v>6</v>
      </c>
      <c r="X1279">
        <f>Table1[[#This Row],[customer_purchase count]]*Rules!$B$3</f>
        <v>298.82179487179491</v>
      </c>
      <c r="Y1279" t="str">
        <f>IF(Table1[[#This Row],[customer_subscription]]=1,"Subscribed","Not Subscribed")</f>
        <v>Not Subscribed</v>
      </c>
      <c r="Z1279" t="s">
        <v>194</v>
      </c>
    </row>
    <row r="1280" spans="1:26" x14ac:dyDescent="0.25">
      <c r="A1280">
        <v>1279</v>
      </c>
      <c r="B1280">
        <v>28</v>
      </c>
      <c r="C1280" t="s">
        <v>22</v>
      </c>
      <c r="D1280">
        <v>1279</v>
      </c>
      <c r="E1280" t="s">
        <v>62</v>
      </c>
      <c r="F1280" t="s">
        <v>24</v>
      </c>
      <c r="G1280">
        <v>1279</v>
      </c>
      <c r="H1280">
        <v>1733</v>
      </c>
      <c r="I1280">
        <v>98</v>
      </c>
      <c r="J1280" t="s">
        <v>143</v>
      </c>
      <c r="K1280" t="s">
        <v>47</v>
      </c>
      <c r="L1280" t="s">
        <v>86</v>
      </c>
      <c r="M1280" t="s">
        <v>60</v>
      </c>
      <c r="N1280">
        <v>2.8</v>
      </c>
      <c r="O1280">
        <v>0</v>
      </c>
      <c r="P1280" t="s">
        <v>48</v>
      </c>
      <c r="Q1280" t="s">
        <v>30</v>
      </c>
      <c r="R1280" t="s">
        <v>30</v>
      </c>
      <c r="S1280">
        <v>31</v>
      </c>
      <c r="T1280" t="s">
        <v>31</v>
      </c>
      <c r="U1280" t="s">
        <v>32</v>
      </c>
      <c r="V1280" s="1">
        <v>45568</v>
      </c>
      <c r="W1280">
        <f>Table1[[#This Row],[customer_purchase count]]+1</f>
        <v>32</v>
      </c>
      <c r="X1280">
        <f>Table1[[#This Row],[customer_purchase count]]*Rules!$B$3</f>
        <v>1852.6951282051282</v>
      </c>
      <c r="Y1280" t="str">
        <f>IF(Table1[[#This Row],[customer_subscription]]=1,"Subscribed","Not Subscribed")</f>
        <v>Not Subscribed</v>
      </c>
    </row>
    <row r="1281" spans="1:26" x14ac:dyDescent="0.25">
      <c r="A1281">
        <v>1280</v>
      </c>
      <c r="B1281">
        <v>63</v>
      </c>
      <c r="C1281" t="s">
        <v>22</v>
      </c>
      <c r="D1281">
        <v>1280</v>
      </c>
      <c r="E1281" t="s">
        <v>107</v>
      </c>
      <c r="F1281" t="s">
        <v>24</v>
      </c>
      <c r="G1281">
        <v>1280</v>
      </c>
      <c r="H1281">
        <v>1735</v>
      </c>
      <c r="I1281">
        <v>56</v>
      </c>
      <c r="J1281" t="s">
        <v>131</v>
      </c>
      <c r="K1281" t="s">
        <v>26</v>
      </c>
      <c r="L1281" t="s">
        <v>64</v>
      </c>
      <c r="M1281" t="s">
        <v>60</v>
      </c>
      <c r="N1281">
        <v>3.7</v>
      </c>
      <c r="O1281">
        <v>0</v>
      </c>
      <c r="P1281" t="s">
        <v>29</v>
      </c>
      <c r="Q1281" t="s">
        <v>30</v>
      </c>
      <c r="R1281" t="s">
        <v>30</v>
      </c>
      <c r="S1281">
        <v>18</v>
      </c>
      <c r="T1281" t="s">
        <v>89</v>
      </c>
      <c r="U1281" t="s">
        <v>52</v>
      </c>
      <c r="V1281" s="1">
        <v>45557</v>
      </c>
      <c r="W1281">
        <f>Table1[[#This Row],[customer_purchase count]]+1</f>
        <v>19</v>
      </c>
      <c r="X1281">
        <f>Table1[[#This Row],[customer_purchase count]]*Rules!$B$3</f>
        <v>1075.7584615384617</v>
      </c>
      <c r="Y1281" t="str">
        <f>IF(Table1[[#This Row],[customer_subscription]]=1,"Subscribed","Not Subscribed")</f>
        <v>Not Subscribed</v>
      </c>
    </row>
    <row r="1282" spans="1:26" x14ac:dyDescent="0.25">
      <c r="A1282">
        <v>1281</v>
      </c>
      <c r="B1282">
        <v>30</v>
      </c>
      <c r="C1282" t="s">
        <v>22</v>
      </c>
      <c r="D1282">
        <v>1281</v>
      </c>
      <c r="E1282" t="s">
        <v>98</v>
      </c>
      <c r="F1282" t="s">
        <v>24</v>
      </c>
      <c r="G1282">
        <v>1281</v>
      </c>
      <c r="H1282">
        <v>1736</v>
      </c>
      <c r="I1282">
        <v>78</v>
      </c>
      <c r="J1282" t="s">
        <v>145</v>
      </c>
      <c r="K1282" t="s">
        <v>26</v>
      </c>
      <c r="L1282" t="s">
        <v>55</v>
      </c>
      <c r="M1282" t="s">
        <v>28</v>
      </c>
      <c r="N1282">
        <v>4.4000000000000004</v>
      </c>
      <c r="O1282">
        <v>0</v>
      </c>
      <c r="P1282" t="s">
        <v>73</v>
      </c>
      <c r="Q1282" t="s">
        <v>30</v>
      </c>
      <c r="R1282" t="s">
        <v>30</v>
      </c>
      <c r="S1282">
        <v>39</v>
      </c>
      <c r="T1282" t="s">
        <v>31</v>
      </c>
      <c r="U1282" t="s">
        <v>100</v>
      </c>
      <c r="V1282" s="1">
        <v>45637</v>
      </c>
      <c r="W1282">
        <f>Table1[[#This Row],[customer_purchase count]]+1</f>
        <v>40</v>
      </c>
      <c r="X1282">
        <f>Table1[[#This Row],[customer_purchase count]]*Rules!$B$3</f>
        <v>2330.81</v>
      </c>
      <c r="Y1282" t="str">
        <f>IF(Table1[[#This Row],[customer_subscription]]=1,"Subscribed","Not Subscribed")</f>
        <v>Not Subscribed</v>
      </c>
    </row>
    <row r="1283" spans="1:26" x14ac:dyDescent="0.25">
      <c r="A1283">
        <v>1282</v>
      </c>
      <c r="B1283">
        <v>29</v>
      </c>
      <c r="C1283" t="s">
        <v>22</v>
      </c>
      <c r="D1283">
        <v>1282</v>
      </c>
      <c r="E1283" t="s">
        <v>136</v>
      </c>
      <c r="F1283" t="s">
        <v>70</v>
      </c>
      <c r="G1283">
        <v>1282</v>
      </c>
      <c r="H1283">
        <v>1737</v>
      </c>
      <c r="I1283">
        <v>81</v>
      </c>
      <c r="J1283" t="s">
        <v>130</v>
      </c>
      <c r="K1283" t="s">
        <v>47</v>
      </c>
      <c r="L1283" t="s">
        <v>81</v>
      </c>
      <c r="M1283" t="s">
        <v>40</v>
      </c>
      <c r="N1283">
        <v>4.5</v>
      </c>
      <c r="O1283">
        <v>0</v>
      </c>
      <c r="P1283" t="s">
        <v>77</v>
      </c>
      <c r="Q1283" t="s">
        <v>30</v>
      </c>
      <c r="R1283" t="s">
        <v>30</v>
      </c>
      <c r="S1283">
        <v>8</v>
      </c>
      <c r="T1283" t="s">
        <v>31</v>
      </c>
      <c r="U1283" t="s">
        <v>79</v>
      </c>
      <c r="V1283" s="1">
        <v>45408</v>
      </c>
      <c r="W1283">
        <f>Table1[[#This Row],[customer_purchase count]]+1</f>
        <v>9</v>
      </c>
      <c r="X1283">
        <f>Table1[[#This Row],[customer_purchase count]]*Rules!$B$3</f>
        <v>478.11487179487182</v>
      </c>
      <c r="Y1283" t="str">
        <f>IF(Table1[[#This Row],[customer_subscription]]=1,"Subscribed","Not Subscribed")</f>
        <v>Not Subscribed</v>
      </c>
      <c r="Z1283" t="s">
        <v>194</v>
      </c>
    </row>
    <row r="1284" spans="1:26" x14ac:dyDescent="0.25">
      <c r="A1284">
        <v>1283</v>
      </c>
      <c r="B1284">
        <v>24</v>
      </c>
      <c r="C1284" t="s">
        <v>22</v>
      </c>
      <c r="D1284">
        <v>1283</v>
      </c>
      <c r="E1284" t="s">
        <v>58</v>
      </c>
      <c r="F1284" t="s">
        <v>24</v>
      </c>
      <c r="G1284">
        <v>1283</v>
      </c>
      <c r="H1284">
        <v>1738</v>
      </c>
      <c r="I1284">
        <v>68</v>
      </c>
      <c r="J1284" t="s">
        <v>85</v>
      </c>
      <c r="K1284" t="s">
        <v>26</v>
      </c>
      <c r="L1284" t="s">
        <v>86</v>
      </c>
      <c r="M1284" t="s">
        <v>28</v>
      </c>
      <c r="N1284">
        <v>3</v>
      </c>
      <c r="O1284">
        <v>0</v>
      </c>
      <c r="P1284" t="s">
        <v>41</v>
      </c>
      <c r="Q1284" t="s">
        <v>30</v>
      </c>
      <c r="R1284" t="s">
        <v>30</v>
      </c>
      <c r="S1284">
        <v>20</v>
      </c>
      <c r="T1284" t="s">
        <v>31</v>
      </c>
      <c r="U1284" t="s">
        <v>91</v>
      </c>
      <c r="V1284" s="1">
        <v>45313</v>
      </c>
      <c r="W1284">
        <f>Table1[[#This Row],[customer_purchase count]]+1</f>
        <v>21</v>
      </c>
      <c r="X1284">
        <f>Table1[[#This Row],[customer_purchase count]]*Rules!$B$3</f>
        <v>1195.2871794871796</v>
      </c>
      <c r="Y1284" t="str">
        <f>IF(Table1[[#This Row],[customer_subscription]]=1,"Subscribed","Not Subscribed")</f>
        <v>Not Subscribed</v>
      </c>
    </row>
    <row r="1285" spans="1:26" x14ac:dyDescent="0.25">
      <c r="A1285">
        <v>1284</v>
      </c>
      <c r="B1285">
        <v>69</v>
      </c>
      <c r="C1285" t="s">
        <v>22</v>
      </c>
      <c r="D1285">
        <v>1284</v>
      </c>
      <c r="E1285" t="s">
        <v>58</v>
      </c>
      <c r="F1285" t="s">
        <v>24</v>
      </c>
      <c r="G1285">
        <v>1284</v>
      </c>
      <c r="H1285">
        <v>1739</v>
      </c>
      <c r="I1285">
        <v>94</v>
      </c>
      <c r="J1285" t="s">
        <v>50</v>
      </c>
      <c r="K1285" t="s">
        <v>47</v>
      </c>
      <c r="L1285" t="s">
        <v>86</v>
      </c>
      <c r="M1285" t="s">
        <v>28</v>
      </c>
      <c r="N1285">
        <v>3.9</v>
      </c>
      <c r="O1285">
        <v>0</v>
      </c>
      <c r="P1285" t="s">
        <v>73</v>
      </c>
      <c r="Q1285" t="s">
        <v>30</v>
      </c>
      <c r="R1285" t="s">
        <v>30</v>
      </c>
      <c r="S1285">
        <v>23</v>
      </c>
      <c r="T1285" t="s">
        <v>89</v>
      </c>
      <c r="U1285" t="s">
        <v>100</v>
      </c>
      <c r="V1285" s="1">
        <v>45640</v>
      </c>
      <c r="W1285">
        <f>Table1[[#This Row],[customer_purchase count]]+1</f>
        <v>24</v>
      </c>
      <c r="X1285">
        <f>Table1[[#This Row],[customer_purchase count]]*Rules!$B$3</f>
        <v>1374.5802564102564</v>
      </c>
      <c r="Y1285" t="str">
        <f>IF(Table1[[#This Row],[customer_subscription]]=1,"Subscribed","Not Subscribed")</f>
        <v>Not Subscribed</v>
      </c>
    </row>
    <row r="1286" spans="1:26" x14ac:dyDescent="0.25">
      <c r="A1286">
        <v>1285</v>
      </c>
      <c r="B1286">
        <v>65</v>
      </c>
      <c r="C1286" t="s">
        <v>22</v>
      </c>
      <c r="D1286">
        <v>1285</v>
      </c>
      <c r="E1286" t="s">
        <v>84</v>
      </c>
      <c r="F1286" t="s">
        <v>24</v>
      </c>
      <c r="G1286">
        <v>1285</v>
      </c>
      <c r="H1286">
        <v>1741</v>
      </c>
      <c r="I1286">
        <v>93</v>
      </c>
      <c r="J1286" t="s">
        <v>75</v>
      </c>
      <c r="K1286" t="s">
        <v>47</v>
      </c>
      <c r="L1286" t="s">
        <v>97</v>
      </c>
      <c r="M1286" t="s">
        <v>40</v>
      </c>
      <c r="N1286">
        <v>3.9</v>
      </c>
      <c r="O1286">
        <v>0</v>
      </c>
      <c r="P1286" t="s">
        <v>29</v>
      </c>
      <c r="Q1286" t="s">
        <v>30</v>
      </c>
      <c r="R1286" t="s">
        <v>30</v>
      </c>
      <c r="S1286">
        <v>38</v>
      </c>
      <c r="T1286" t="s">
        <v>49</v>
      </c>
      <c r="U1286" t="s">
        <v>32</v>
      </c>
      <c r="V1286" s="1">
        <v>45360</v>
      </c>
      <c r="W1286">
        <f>Table1[[#This Row],[customer_purchase count]]+1</f>
        <v>39</v>
      </c>
      <c r="X1286">
        <f>Table1[[#This Row],[customer_purchase count]]*Rules!$B$3</f>
        <v>2271.0456410256411</v>
      </c>
      <c r="Y1286" t="str">
        <f>IF(Table1[[#This Row],[customer_subscription]]=1,"Subscribed","Not Subscribed")</f>
        <v>Not Subscribed</v>
      </c>
    </row>
    <row r="1287" spans="1:26" x14ac:dyDescent="0.25">
      <c r="A1287">
        <v>1286</v>
      </c>
      <c r="B1287">
        <v>64</v>
      </c>
      <c r="C1287" t="s">
        <v>22</v>
      </c>
      <c r="D1287">
        <v>1286</v>
      </c>
      <c r="E1287" t="s">
        <v>146</v>
      </c>
      <c r="F1287" t="s">
        <v>70</v>
      </c>
      <c r="G1287">
        <v>1286</v>
      </c>
      <c r="H1287">
        <v>1742</v>
      </c>
      <c r="I1287">
        <v>99</v>
      </c>
      <c r="J1287" t="s">
        <v>101</v>
      </c>
      <c r="K1287" t="s">
        <v>47</v>
      </c>
      <c r="L1287" t="s">
        <v>64</v>
      </c>
      <c r="M1287" t="s">
        <v>60</v>
      </c>
      <c r="N1287">
        <v>3.5</v>
      </c>
      <c r="O1287">
        <v>0</v>
      </c>
      <c r="P1287" t="s">
        <v>48</v>
      </c>
      <c r="Q1287" t="s">
        <v>30</v>
      </c>
      <c r="R1287" t="s">
        <v>30</v>
      </c>
      <c r="S1287">
        <v>45</v>
      </c>
      <c r="T1287" t="s">
        <v>78</v>
      </c>
      <c r="U1287" t="s">
        <v>32</v>
      </c>
      <c r="V1287" s="1">
        <v>45536</v>
      </c>
      <c r="W1287">
        <f>Table1[[#This Row],[customer_purchase count]]+1</f>
        <v>46</v>
      </c>
      <c r="X1287">
        <f>Table1[[#This Row],[customer_purchase count]]*Rules!$B$3</f>
        <v>2689.396153846154</v>
      </c>
      <c r="Y1287" t="str">
        <f>IF(Table1[[#This Row],[customer_subscription]]=1,"Subscribed","Not Subscribed")</f>
        <v>Not Subscribed</v>
      </c>
    </row>
    <row r="1288" spans="1:26" x14ac:dyDescent="0.25">
      <c r="A1288">
        <v>1287</v>
      </c>
      <c r="B1288">
        <v>40</v>
      </c>
      <c r="C1288" t="s">
        <v>22</v>
      </c>
      <c r="D1288">
        <v>1287</v>
      </c>
      <c r="E1288" t="s">
        <v>146</v>
      </c>
      <c r="F1288" t="s">
        <v>70</v>
      </c>
      <c r="G1288">
        <v>1287</v>
      </c>
      <c r="H1288">
        <v>1743</v>
      </c>
      <c r="I1288">
        <v>49</v>
      </c>
      <c r="J1288" t="s">
        <v>67</v>
      </c>
      <c r="K1288" t="s">
        <v>26</v>
      </c>
      <c r="L1288" t="s">
        <v>137</v>
      </c>
      <c r="M1288" t="s">
        <v>28</v>
      </c>
      <c r="N1288">
        <v>4.9000000000000004</v>
      </c>
      <c r="O1288">
        <v>0</v>
      </c>
      <c r="P1288" t="s">
        <v>48</v>
      </c>
      <c r="Q1288" t="s">
        <v>30</v>
      </c>
      <c r="R1288" t="s">
        <v>30</v>
      </c>
      <c r="S1288">
        <v>44</v>
      </c>
      <c r="T1288" t="s">
        <v>89</v>
      </c>
      <c r="U1288" t="s">
        <v>32</v>
      </c>
      <c r="V1288" s="1">
        <v>45338</v>
      </c>
      <c r="W1288">
        <f>Table1[[#This Row],[customer_purchase count]]+1</f>
        <v>45</v>
      </c>
      <c r="X1288">
        <f>Table1[[#This Row],[customer_purchase count]]*Rules!$B$3</f>
        <v>2629.6317948717951</v>
      </c>
      <c r="Y1288" t="str">
        <f>IF(Table1[[#This Row],[customer_subscription]]=1,"Subscribed","Not Subscribed")</f>
        <v>Not Subscribed</v>
      </c>
    </row>
    <row r="1289" spans="1:26" x14ac:dyDescent="0.25">
      <c r="A1289">
        <v>1288</v>
      </c>
      <c r="B1289">
        <v>24</v>
      </c>
      <c r="C1289" t="s">
        <v>22</v>
      </c>
      <c r="D1289">
        <v>1288</v>
      </c>
      <c r="E1289" t="s">
        <v>37</v>
      </c>
      <c r="F1289" t="s">
        <v>24</v>
      </c>
      <c r="G1289">
        <v>1288</v>
      </c>
      <c r="H1289">
        <v>1744</v>
      </c>
      <c r="I1289">
        <v>28</v>
      </c>
      <c r="J1289" t="s">
        <v>143</v>
      </c>
      <c r="K1289" t="s">
        <v>95</v>
      </c>
      <c r="L1289" t="s">
        <v>147</v>
      </c>
      <c r="M1289" t="s">
        <v>28</v>
      </c>
      <c r="N1289">
        <v>3.4</v>
      </c>
      <c r="O1289">
        <v>0</v>
      </c>
      <c r="P1289" t="s">
        <v>57</v>
      </c>
      <c r="Q1289" t="s">
        <v>30</v>
      </c>
      <c r="R1289" t="s">
        <v>30</v>
      </c>
      <c r="S1289">
        <v>20</v>
      </c>
      <c r="T1289" t="s">
        <v>49</v>
      </c>
      <c r="U1289" t="s">
        <v>91</v>
      </c>
      <c r="V1289" s="1">
        <v>45333</v>
      </c>
      <c r="W1289">
        <f>Table1[[#This Row],[customer_purchase count]]+1</f>
        <v>21</v>
      </c>
      <c r="X1289">
        <f>Table1[[#This Row],[customer_purchase count]]*Rules!$B$3</f>
        <v>1195.2871794871796</v>
      </c>
      <c r="Y1289" t="str">
        <f>IF(Table1[[#This Row],[customer_subscription]]=1,"Subscribed","Not Subscribed")</f>
        <v>Not Subscribed</v>
      </c>
    </row>
    <row r="1290" spans="1:26" x14ac:dyDescent="0.25">
      <c r="A1290">
        <v>1289</v>
      </c>
      <c r="B1290">
        <v>66</v>
      </c>
      <c r="C1290" t="s">
        <v>22</v>
      </c>
      <c r="D1290">
        <v>1289</v>
      </c>
      <c r="E1290" t="s">
        <v>136</v>
      </c>
      <c r="F1290" t="s">
        <v>70</v>
      </c>
      <c r="G1290">
        <v>1289</v>
      </c>
      <c r="H1290">
        <v>1745</v>
      </c>
      <c r="I1290">
        <v>93</v>
      </c>
      <c r="J1290" t="s">
        <v>150</v>
      </c>
      <c r="K1290" t="s">
        <v>95</v>
      </c>
      <c r="L1290" t="s">
        <v>64</v>
      </c>
      <c r="M1290" t="s">
        <v>28</v>
      </c>
      <c r="N1290">
        <v>4.0999999999999996</v>
      </c>
      <c r="O1290">
        <v>0</v>
      </c>
      <c r="P1290" t="s">
        <v>57</v>
      </c>
      <c r="Q1290" t="s">
        <v>30</v>
      </c>
      <c r="R1290" t="s">
        <v>30</v>
      </c>
      <c r="S1290">
        <v>34</v>
      </c>
      <c r="T1290" t="s">
        <v>49</v>
      </c>
      <c r="U1290" t="s">
        <v>79</v>
      </c>
      <c r="V1290" s="1">
        <v>45345</v>
      </c>
      <c r="W1290">
        <f>Table1[[#This Row],[customer_purchase count]]+1</f>
        <v>35</v>
      </c>
      <c r="X1290">
        <f>Table1[[#This Row],[customer_purchase count]]*Rules!$B$3</f>
        <v>2031.9882051282052</v>
      </c>
      <c r="Y1290" t="str">
        <f>IF(Table1[[#This Row],[customer_subscription]]=1,"Subscribed","Not Subscribed")</f>
        <v>Not Subscribed</v>
      </c>
    </row>
    <row r="1291" spans="1:26" x14ac:dyDescent="0.25">
      <c r="A1291">
        <v>1290</v>
      </c>
      <c r="B1291">
        <v>35</v>
      </c>
      <c r="C1291" t="s">
        <v>22</v>
      </c>
      <c r="D1291">
        <v>1290</v>
      </c>
      <c r="E1291" t="s">
        <v>105</v>
      </c>
      <c r="F1291" t="s">
        <v>66</v>
      </c>
      <c r="G1291">
        <v>1290</v>
      </c>
      <c r="H1291">
        <v>1747</v>
      </c>
      <c r="I1291">
        <v>24</v>
      </c>
      <c r="J1291" t="s">
        <v>85</v>
      </c>
      <c r="K1291" t="s">
        <v>47</v>
      </c>
      <c r="L1291" t="s">
        <v>111</v>
      </c>
      <c r="M1291" t="s">
        <v>60</v>
      </c>
      <c r="N1291">
        <v>2.9</v>
      </c>
      <c r="O1291">
        <v>0</v>
      </c>
      <c r="P1291" t="s">
        <v>48</v>
      </c>
      <c r="Q1291" t="s">
        <v>30</v>
      </c>
      <c r="R1291" t="s">
        <v>30</v>
      </c>
      <c r="S1291">
        <v>10</v>
      </c>
      <c r="T1291" t="s">
        <v>49</v>
      </c>
      <c r="U1291" t="s">
        <v>43</v>
      </c>
      <c r="V1291" s="1">
        <v>45555</v>
      </c>
      <c r="W1291">
        <f>Table1[[#This Row],[customer_purchase count]]+1</f>
        <v>11</v>
      </c>
      <c r="X1291">
        <f>Table1[[#This Row],[customer_purchase count]]*Rules!$B$3</f>
        <v>597.64358974358981</v>
      </c>
      <c r="Y1291" t="str">
        <f>IF(Table1[[#This Row],[customer_subscription]]=1,"Subscribed","Not Subscribed")</f>
        <v>Not Subscribed</v>
      </c>
      <c r="Z1291" t="s">
        <v>194</v>
      </c>
    </row>
    <row r="1292" spans="1:26" x14ac:dyDescent="0.25">
      <c r="A1292">
        <v>1291</v>
      </c>
      <c r="B1292">
        <v>67</v>
      </c>
      <c r="C1292" t="s">
        <v>22</v>
      </c>
      <c r="D1292">
        <v>1291</v>
      </c>
      <c r="E1292" t="s">
        <v>90</v>
      </c>
      <c r="F1292" t="s">
        <v>24</v>
      </c>
      <c r="G1292">
        <v>1291</v>
      </c>
      <c r="H1292">
        <v>1748</v>
      </c>
      <c r="I1292">
        <v>35</v>
      </c>
      <c r="J1292" t="s">
        <v>131</v>
      </c>
      <c r="K1292" t="s">
        <v>47</v>
      </c>
      <c r="L1292" t="s">
        <v>129</v>
      </c>
      <c r="M1292" t="s">
        <v>40</v>
      </c>
      <c r="N1292">
        <v>3.4</v>
      </c>
      <c r="O1292">
        <v>0</v>
      </c>
      <c r="P1292" t="s">
        <v>41</v>
      </c>
      <c r="Q1292" t="s">
        <v>30</v>
      </c>
      <c r="R1292" t="s">
        <v>30</v>
      </c>
      <c r="S1292">
        <v>3</v>
      </c>
      <c r="T1292" t="s">
        <v>49</v>
      </c>
      <c r="U1292" t="s">
        <v>52</v>
      </c>
      <c r="V1292" s="1">
        <v>45388</v>
      </c>
      <c r="W1292">
        <f>Table1[[#This Row],[customer_purchase count]]+1</f>
        <v>4</v>
      </c>
      <c r="X1292">
        <f>Table1[[#This Row],[customer_purchase count]]*Rules!$B$3</f>
        <v>179.29307692307694</v>
      </c>
      <c r="Y1292" t="str">
        <f>IF(Table1[[#This Row],[customer_subscription]]=1,"Subscribed","Not Subscribed")</f>
        <v>Not Subscribed</v>
      </c>
      <c r="Z1292" t="s">
        <v>194</v>
      </c>
    </row>
    <row r="1293" spans="1:26" x14ac:dyDescent="0.25">
      <c r="A1293">
        <v>1292</v>
      </c>
      <c r="B1293">
        <v>69</v>
      </c>
      <c r="C1293" t="s">
        <v>22</v>
      </c>
      <c r="D1293">
        <v>1292</v>
      </c>
      <c r="E1293" t="s">
        <v>44</v>
      </c>
      <c r="F1293" t="s">
        <v>45</v>
      </c>
      <c r="G1293">
        <v>1292</v>
      </c>
      <c r="H1293">
        <v>1749</v>
      </c>
      <c r="I1293">
        <v>68</v>
      </c>
      <c r="J1293" t="s">
        <v>150</v>
      </c>
      <c r="K1293" t="s">
        <v>39</v>
      </c>
      <c r="L1293" t="s">
        <v>121</v>
      </c>
      <c r="M1293" t="s">
        <v>40</v>
      </c>
      <c r="N1293">
        <v>3.2</v>
      </c>
      <c r="O1293">
        <v>0</v>
      </c>
      <c r="P1293" t="s">
        <v>73</v>
      </c>
      <c r="Q1293" t="s">
        <v>30</v>
      </c>
      <c r="R1293" t="s">
        <v>30</v>
      </c>
      <c r="S1293">
        <v>23</v>
      </c>
      <c r="T1293" t="s">
        <v>89</v>
      </c>
      <c r="U1293" t="s">
        <v>32</v>
      </c>
      <c r="V1293" s="1">
        <v>45367</v>
      </c>
      <c r="W1293">
        <f>Table1[[#This Row],[customer_purchase count]]+1</f>
        <v>24</v>
      </c>
      <c r="X1293">
        <f>Table1[[#This Row],[customer_purchase count]]*Rules!$B$3</f>
        <v>1374.5802564102564</v>
      </c>
      <c r="Y1293" t="str">
        <f>IF(Table1[[#This Row],[customer_subscription]]=1,"Subscribed","Not Subscribed")</f>
        <v>Not Subscribed</v>
      </c>
    </row>
    <row r="1294" spans="1:26" x14ac:dyDescent="0.25">
      <c r="A1294">
        <v>1293</v>
      </c>
      <c r="B1294">
        <v>26</v>
      </c>
      <c r="C1294" t="s">
        <v>22</v>
      </c>
      <c r="D1294">
        <v>1293</v>
      </c>
      <c r="E1294" t="s">
        <v>136</v>
      </c>
      <c r="F1294" t="s">
        <v>70</v>
      </c>
      <c r="G1294">
        <v>1293</v>
      </c>
      <c r="H1294">
        <v>1750</v>
      </c>
      <c r="I1294">
        <v>61</v>
      </c>
      <c r="J1294" t="s">
        <v>25</v>
      </c>
      <c r="K1294" t="s">
        <v>47</v>
      </c>
      <c r="L1294" t="s">
        <v>35</v>
      </c>
      <c r="M1294" t="s">
        <v>56</v>
      </c>
      <c r="N1294">
        <v>3.9</v>
      </c>
      <c r="O1294">
        <v>0</v>
      </c>
      <c r="P1294" t="s">
        <v>41</v>
      </c>
      <c r="Q1294" t="s">
        <v>30</v>
      </c>
      <c r="R1294" t="s">
        <v>30</v>
      </c>
      <c r="S1294">
        <v>42</v>
      </c>
      <c r="T1294" t="s">
        <v>78</v>
      </c>
      <c r="U1294" t="s">
        <v>52</v>
      </c>
      <c r="V1294" s="1">
        <v>45463</v>
      </c>
      <c r="W1294">
        <f>Table1[[#This Row],[customer_purchase count]]+1</f>
        <v>43</v>
      </c>
      <c r="X1294">
        <f>Table1[[#This Row],[customer_purchase count]]*Rules!$B$3</f>
        <v>2510.103076923077</v>
      </c>
      <c r="Y1294" t="str">
        <f>IF(Table1[[#This Row],[customer_subscription]]=1,"Subscribed","Not Subscribed")</f>
        <v>Not Subscribed</v>
      </c>
    </row>
    <row r="1295" spans="1:26" x14ac:dyDescent="0.25">
      <c r="A1295">
        <v>1294</v>
      </c>
      <c r="B1295">
        <v>23</v>
      </c>
      <c r="C1295" t="s">
        <v>22</v>
      </c>
      <c r="D1295">
        <v>1294</v>
      </c>
      <c r="E1295" t="s">
        <v>33</v>
      </c>
      <c r="F1295" t="s">
        <v>24</v>
      </c>
      <c r="G1295">
        <v>1294</v>
      </c>
      <c r="H1295">
        <v>1751</v>
      </c>
      <c r="I1295">
        <v>74</v>
      </c>
      <c r="J1295" t="s">
        <v>106</v>
      </c>
      <c r="K1295" t="s">
        <v>95</v>
      </c>
      <c r="L1295" t="s">
        <v>137</v>
      </c>
      <c r="M1295" t="s">
        <v>60</v>
      </c>
      <c r="N1295">
        <v>4.0999999999999996</v>
      </c>
      <c r="O1295">
        <v>0</v>
      </c>
      <c r="P1295" t="s">
        <v>57</v>
      </c>
      <c r="Q1295" t="s">
        <v>30</v>
      </c>
      <c r="R1295" t="s">
        <v>30</v>
      </c>
      <c r="S1295">
        <v>30</v>
      </c>
      <c r="T1295" t="s">
        <v>89</v>
      </c>
      <c r="U1295" t="s">
        <v>52</v>
      </c>
      <c r="V1295" s="1">
        <v>45599</v>
      </c>
      <c r="W1295">
        <f>Table1[[#This Row],[customer_purchase count]]+1</f>
        <v>31</v>
      </c>
      <c r="X1295">
        <f>Table1[[#This Row],[customer_purchase count]]*Rules!$B$3</f>
        <v>1792.9307692307693</v>
      </c>
      <c r="Y1295" t="str">
        <f>IF(Table1[[#This Row],[customer_subscription]]=1,"Subscribed","Not Subscribed")</f>
        <v>Not Subscribed</v>
      </c>
    </row>
    <row r="1296" spans="1:26" x14ac:dyDescent="0.25">
      <c r="A1296">
        <v>1295</v>
      </c>
      <c r="B1296">
        <v>27</v>
      </c>
      <c r="C1296" t="s">
        <v>22</v>
      </c>
      <c r="D1296">
        <v>1295</v>
      </c>
      <c r="E1296" t="s">
        <v>58</v>
      </c>
      <c r="F1296" t="s">
        <v>24</v>
      </c>
      <c r="G1296">
        <v>1295</v>
      </c>
      <c r="H1296">
        <v>1753</v>
      </c>
      <c r="I1296">
        <v>64</v>
      </c>
      <c r="J1296" t="s">
        <v>108</v>
      </c>
      <c r="K1296" t="s">
        <v>47</v>
      </c>
      <c r="L1296" t="s">
        <v>68</v>
      </c>
      <c r="M1296" t="s">
        <v>56</v>
      </c>
      <c r="N1296">
        <v>4.5</v>
      </c>
      <c r="O1296">
        <v>0</v>
      </c>
      <c r="P1296" t="s">
        <v>57</v>
      </c>
      <c r="Q1296" t="s">
        <v>30</v>
      </c>
      <c r="R1296" t="s">
        <v>30</v>
      </c>
      <c r="S1296">
        <v>21</v>
      </c>
      <c r="T1296" t="s">
        <v>36</v>
      </c>
      <c r="U1296" t="s">
        <v>100</v>
      </c>
      <c r="V1296" s="1">
        <v>45510</v>
      </c>
      <c r="W1296">
        <f>Table1[[#This Row],[customer_purchase count]]+1</f>
        <v>22</v>
      </c>
      <c r="X1296">
        <f>Table1[[#This Row],[customer_purchase count]]*Rules!$B$3</f>
        <v>1255.0515384615385</v>
      </c>
      <c r="Y1296" t="str">
        <f>IF(Table1[[#This Row],[customer_subscription]]=1,"Subscribed","Not Subscribed")</f>
        <v>Not Subscribed</v>
      </c>
    </row>
    <row r="1297" spans="1:26" x14ac:dyDescent="0.25">
      <c r="A1297">
        <v>1296</v>
      </c>
      <c r="B1297">
        <v>30</v>
      </c>
      <c r="C1297" t="s">
        <v>22</v>
      </c>
      <c r="D1297">
        <v>1296</v>
      </c>
      <c r="E1297" t="s">
        <v>53</v>
      </c>
      <c r="F1297" t="s">
        <v>45</v>
      </c>
      <c r="G1297">
        <v>1296</v>
      </c>
      <c r="H1297">
        <v>1754</v>
      </c>
      <c r="I1297">
        <v>60</v>
      </c>
      <c r="J1297" t="s">
        <v>133</v>
      </c>
      <c r="K1297" t="s">
        <v>47</v>
      </c>
      <c r="L1297" t="s">
        <v>81</v>
      </c>
      <c r="M1297" t="s">
        <v>60</v>
      </c>
      <c r="N1297">
        <v>2.8</v>
      </c>
      <c r="O1297">
        <v>0</v>
      </c>
      <c r="P1297" t="s">
        <v>57</v>
      </c>
      <c r="Q1297" t="s">
        <v>30</v>
      </c>
      <c r="R1297" t="s">
        <v>30</v>
      </c>
      <c r="S1297">
        <v>50</v>
      </c>
      <c r="T1297" t="s">
        <v>49</v>
      </c>
      <c r="U1297" t="s">
        <v>43</v>
      </c>
      <c r="V1297" s="1">
        <v>45585</v>
      </c>
      <c r="W1297">
        <f>Table1[[#This Row],[customer_purchase count]]+1</f>
        <v>51</v>
      </c>
      <c r="X1297">
        <f>Table1[[#This Row],[customer_purchase count]]*Rules!$B$3</f>
        <v>2988.2179487179487</v>
      </c>
      <c r="Y1297" t="str">
        <f>IF(Table1[[#This Row],[customer_subscription]]=1,"Subscribed","Not Subscribed")</f>
        <v>Not Subscribed</v>
      </c>
    </row>
    <row r="1298" spans="1:26" x14ac:dyDescent="0.25">
      <c r="A1298">
        <v>1297</v>
      </c>
      <c r="B1298">
        <v>48</v>
      </c>
      <c r="C1298" t="s">
        <v>22</v>
      </c>
      <c r="D1298">
        <v>1297</v>
      </c>
      <c r="E1298" t="s">
        <v>37</v>
      </c>
      <c r="F1298" t="s">
        <v>24</v>
      </c>
      <c r="G1298">
        <v>1297</v>
      </c>
      <c r="H1298">
        <v>1755</v>
      </c>
      <c r="I1298">
        <v>29</v>
      </c>
      <c r="J1298" t="s">
        <v>150</v>
      </c>
      <c r="K1298" t="s">
        <v>39</v>
      </c>
      <c r="L1298" t="s">
        <v>88</v>
      </c>
      <c r="M1298" t="s">
        <v>40</v>
      </c>
      <c r="N1298">
        <v>2.8</v>
      </c>
      <c r="O1298">
        <v>0</v>
      </c>
      <c r="P1298" t="s">
        <v>29</v>
      </c>
      <c r="Q1298" t="s">
        <v>30</v>
      </c>
      <c r="R1298" t="s">
        <v>30</v>
      </c>
      <c r="S1298">
        <v>16</v>
      </c>
      <c r="T1298" t="s">
        <v>36</v>
      </c>
      <c r="U1298" t="s">
        <v>79</v>
      </c>
      <c r="V1298" s="1">
        <v>45408</v>
      </c>
      <c r="W1298">
        <f>Table1[[#This Row],[customer_purchase count]]+1</f>
        <v>17</v>
      </c>
      <c r="X1298">
        <f>Table1[[#This Row],[customer_purchase count]]*Rules!$B$3</f>
        <v>956.22974358974363</v>
      </c>
      <c r="Y1298" t="str">
        <f>IF(Table1[[#This Row],[customer_subscription]]=1,"Subscribed","Not Subscribed")</f>
        <v>Not Subscribed</v>
      </c>
      <c r="Z1298" t="s">
        <v>194</v>
      </c>
    </row>
    <row r="1299" spans="1:26" x14ac:dyDescent="0.25">
      <c r="A1299">
        <v>1298</v>
      </c>
      <c r="B1299">
        <v>44</v>
      </c>
      <c r="C1299" t="s">
        <v>22</v>
      </c>
      <c r="D1299">
        <v>1298</v>
      </c>
      <c r="E1299" t="s">
        <v>44</v>
      </c>
      <c r="F1299" t="s">
        <v>45</v>
      </c>
      <c r="G1299">
        <v>1298</v>
      </c>
      <c r="H1299">
        <v>1756</v>
      </c>
      <c r="I1299">
        <v>85</v>
      </c>
      <c r="J1299" t="s">
        <v>130</v>
      </c>
      <c r="K1299" t="s">
        <v>47</v>
      </c>
      <c r="L1299" t="s">
        <v>68</v>
      </c>
      <c r="M1299" t="s">
        <v>56</v>
      </c>
      <c r="N1299">
        <v>4.5999999999999996</v>
      </c>
      <c r="O1299">
        <v>0</v>
      </c>
      <c r="P1299" t="s">
        <v>57</v>
      </c>
      <c r="Q1299" t="s">
        <v>30</v>
      </c>
      <c r="R1299" t="s">
        <v>30</v>
      </c>
      <c r="S1299">
        <v>32</v>
      </c>
      <c r="T1299" t="s">
        <v>31</v>
      </c>
      <c r="U1299" t="s">
        <v>52</v>
      </c>
      <c r="V1299" s="1">
        <v>45532</v>
      </c>
      <c r="W1299">
        <f>Table1[[#This Row],[customer_purchase count]]+1</f>
        <v>33</v>
      </c>
      <c r="X1299">
        <f>Table1[[#This Row],[customer_purchase count]]*Rules!$B$3</f>
        <v>1912.4594871794873</v>
      </c>
      <c r="Y1299" t="str">
        <f>IF(Table1[[#This Row],[customer_subscription]]=1,"Subscribed","Not Subscribed")</f>
        <v>Not Subscribed</v>
      </c>
    </row>
    <row r="1300" spans="1:26" x14ac:dyDescent="0.25">
      <c r="A1300">
        <v>1299</v>
      </c>
      <c r="B1300">
        <v>29</v>
      </c>
      <c r="C1300" t="s">
        <v>22</v>
      </c>
      <c r="D1300">
        <v>1299</v>
      </c>
      <c r="E1300" t="s">
        <v>98</v>
      </c>
      <c r="F1300" t="s">
        <v>24</v>
      </c>
      <c r="G1300">
        <v>1299</v>
      </c>
      <c r="H1300">
        <v>1757</v>
      </c>
      <c r="I1300">
        <v>81</v>
      </c>
      <c r="J1300" t="s">
        <v>119</v>
      </c>
      <c r="K1300" t="s">
        <v>39</v>
      </c>
      <c r="L1300" t="s">
        <v>129</v>
      </c>
      <c r="M1300" t="s">
        <v>56</v>
      </c>
      <c r="N1300">
        <v>3</v>
      </c>
      <c r="O1300">
        <v>0</v>
      </c>
      <c r="P1300" t="s">
        <v>41</v>
      </c>
      <c r="Q1300" t="s">
        <v>30</v>
      </c>
      <c r="R1300" t="s">
        <v>30</v>
      </c>
      <c r="S1300">
        <v>14</v>
      </c>
      <c r="T1300" t="s">
        <v>78</v>
      </c>
      <c r="U1300" t="s">
        <v>32</v>
      </c>
      <c r="V1300" s="1">
        <v>45492</v>
      </c>
      <c r="W1300">
        <f>Table1[[#This Row],[customer_purchase count]]+1</f>
        <v>15</v>
      </c>
      <c r="X1300">
        <f>Table1[[#This Row],[customer_purchase count]]*Rules!$B$3</f>
        <v>836.70102564102569</v>
      </c>
      <c r="Y1300" t="str">
        <f>IF(Table1[[#This Row],[customer_subscription]]=1,"Subscribed","Not Subscribed")</f>
        <v>Not Subscribed</v>
      </c>
      <c r="Z1300" t="s">
        <v>187</v>
      </c>
    </row>
    <row r="1301" spans="1:26" x14ac:dyDescent="0.25">
      <c r="A1301">
        <v>1300</v>
      </c>
      <c r="B1301">
        <v>29</v>
      </c>
      <c r="C1301" t="s">
        <v>22</v>
      </c>
      <c r="D1301">
        <v>1300</v>
      </c>
      <c r="E1301" t="s">
        <v>136</v>
      </c>
      <c r="F1301" t="s">
        <v>70</v>
      </c>
      <c r="G1301">
        <v>1300</v>
      </c>
      <c r="H1301">
        <v>1759</v>
      </c>
      <c r="I1301">
        <v>23</v>
      </c>
      <c r="J1301" t="s">
        <v>63</v>
      </c>
      <c r="K1301" t="s">
        <v>26</v>
      </c>
      <c r="L1301" t="s">
        <v>88</v>
      </c>
      <c r="M1301" t="s">
        <v>60</v>
      </c>
      <c r="N1301">
        <v>3.6</v>
      </c>
      <c r="O1301">
        <v>0</v>
      </c>
      <c r="P1301" t="s">
        <v>73</v>
      </c>
      <c r="Q1301" t="s">
        <v>30</v>
      </c>
      <c r="R1301" t="s">
        <v>30</v>
      </c>
      <c r="S1301">
        <v>42</v>
      </c>
      <c r="T1301" t="s">
        <v>31</v>
      </c>
      <c r="U1301" t="s">
        <v>79</v>
      </c>
      <c r="V1301" s="1">
        <v>45582</v>
      </c>
      <c r="W1301">
        <f>Table1[[#This Row],[customer_purchase count]]+1</f>
        <v>43</v>
      </c>
      <c r="X1301">
        <f>Table1[[#This Row],[customer_purchase count]]*Rules!$B$3</f>
        <v>2510.103076923077</v>
      </c>
      <c r="Y1301" t="str">
        <f>IF(Table1[[#This Row],[customer_subscription]]=1,"Subscribed","Not Subscribed")</f>
        <v>Not Subscribed</v>
      </c>
    </row>
    <row r="1302" spans="1:26" x14ac:dyDescent="0.25">
      <c r="A1302">
        <v>1301</v>
      </c>
      <c r="B1302">
        <v>67</v>
      </c>
      <c r="C1302" t="s">
        <v>22</v>
      </c>
      <c r="D1302">
        <v>1301</v>
      </c>
      <c r="E1302" t="s">
        <v>116</v>
      </c>
      <c r="F1302" t="s">
        <v>24</v>
      </c>
      <c r="G1302">
        <v>1301</v>
      </c>
      <c r="H1302">
        <v>1760</v>
      </c>
      <c r="I1302">
        <v>100</v>
      </c>
      <c r="J1302" t="s">
        <v>67</v>
      </c>
      <c r="K1302" t="s">
        <v>47</v>
      </c>
      <c r="L1302" t="s">
        <v>64</v>
      </c>
      <c r="M1302" t="s">
        <v>40</v>
      </c>
      <c r="N1302">
        <v>4.5</v>
      </c>
      <c r="O1302">
        <v>0</v>
      </c>
      <c r="P1302" t="s">
        <v>48</v>
      </c>
      <c r="Q1302" t="s">
        <v>30</v>
      </c>
      <c r="R1302" t="s">
        <v>30</v>
      </c>
      <c r="S1302">
        <v>47</v>
      </c>
      <c r="T1302" t="s">
        <v>42</v>
      </c>
      <c r="U1302" t="s">
        <v>100</v>
      </c>
      <c r="V1302" s="1">
        <v>45360</v>
      </c>
      <c r="W1302">
        <f>Table1[[#This Row],[customer_purchase count]]+1</f>
        <v>48</v>
      </c>
      <c r="X1302">
        <f>Table1[[#This Row],[customer_purchase count]]*Rules!$B$3</f>
        <v>2808.9248717948717</v>
      </c>
      <c r="Y1302" t="str">
        <f>IF(Table1[[#This Row],[customer_subscription]]=1,"Subscribed","Not Subscribed")</f>
        <v>Not Subscribed</v>
      </c>
    </row>
    <row r="1303" spans="1:26" x14ac:dyDescent="0.25">
      <c r="A1303">
        <v>1302</v>
      </c>
      <c r="B1303">
        <v>42</v>
      </c>
      <c r="C1303" t="s">
        <v>22</v>
      </c>
      <c r="D1303">
        <v>1302</v>
      </c>
      <c r="E1303" t="s">
        <v>58</v>
      </c>
      <c r="F1303" t="s">
        <v>24</v>
      </c>
      <c r="G1303">
        <v>1302</v>
      </c>
      <c r="H1303">
        <v>1761</v>
      </c>
      <c r="I1303">
        <v>54</v>
      </c>
      <c r="J1303" t="s">
        <v>34</v>
      </c>
      <c r="K1303" t="s">
        <v>47</v>
      </c>
      <c r="L1303" t="s">
        <v>124</v>
      </c>
      <c r="M1303" t="s">
        <v>60</v>
      </c>
      <c r="N1303">
        <v>5</v>
      </c>
      <c r="O1303">
        <v>0</v>
      </c>
      <c r="P1303" t="s">
        <v>29</v>
      </c>
      <c r="Q1303" t="s">
        <v>30</v>
      </c>
      <c r="R1303" t="s">
        <v>30</v>
      </c>
      <c r="S1303">
        <v>21</v>
      </c>
      <c r="T1303" t="s">
        <v>89</v>
      </c>
      <c r="U1303" t="s">
        <v>43</v>
      </c>
      <c r="V1303" s="1">
        <v>45617</v>
      </c>
      <c r="W1303">
        <f>Table1[[#This Row],[customer_purchase count]]+1</f>
        <v>22</v>
      </c>
      <c r="X1303">
        <f>Table1[[#This Row],[customer_purchase count]]*Rules!$B$3</f>
        <v>1255.0515384615385</v>
      </c>
      <c r="Y1303" t="str">
        <f>IF(Table1[[#This Row],[customer_subscription]]=1,"Subscribed","Not Subscribed")</f>
        <v>Not Subscribed</v>
      </c>
    </row>
    <row r="1304" spans="1:26" x14ac:dyDescent="0.25">
      <c r="A1304">
        <v>1303</v>
      </c>
      <c r="B1304">
        <v>23</v>
      </c>
      <c r="C1304" t="s">
        <v>22</v>
      </c>
      <c r="D1304">
        <v>1303</v>
      </c>
      <c r="E1304" t="s">
        <v>53</v>
      </c>
      <c r="F1304" t="s">
        <v>45</v>
      </c>
      <c r="G1304">
        <v>1303</v>
      </c>
      <c r="H1304">
        <v>1762</v>
      </c>
      <c r="I1304">
        <v>25</v>
      </c>
      <c r="J1304" t="s">
        <v>138</v>
      </c>
      <c r="K1304" t="s">
        <v>47</v>
      </c>
      <c r="L1304" t="s">
        <v>83</v>
      </c>
      <c r="M1304" t="s">
        <v>60</v>
      </c>
      <c r="N1304">
        <v>2.9</v>
      </c>
      <c r="O1304">
        <v>0</v>
      </c>
      <c r="P1304" t="s">
        <v>48</v>
      </c>
      <c r="Q1304" t="s">
        <v>30</v>
      </c>
      <c r="R1304" t="s">
        <v>30</v>
      </c>
      <c r="S1304">
        <v>37</v>
      </c>
      <c r="T1304" t="s">
        <v>42</v>
      </c>
      <c r="U1304" t="s">
        <v>91</v>
      </c>
      <c r="V1304" s="1">
        <v>45560</v>
      </c>
      <c r="W1304">
        <f>Table1[[#This Row],[customer_purchase count]]+1</f>
        <v>38</v>
      </c>
      <c r="X1304">
        <f>Table1[[#This Row],[customer_purchase count]]*Rules!$B$3</f>
        <v>2211.2812820512822</v>
      </c>
      <c r="Y1304" t="str">
        <f>IF(Table1[[#This Row],[customer_subscription]]=1,"Subscribed","Not Subscribed")</f>
        <v>Not Subscribed</v>
      </c>
    </row>
    <row r="1305" spans="1:26" x14ac:dyDescent="0.25">
      <c r="A1305">
        <v>1304</v>
      </c>
      <c r="B1305">
        <v>34</v>
      </c>
      <c r="C1305" t="s">
        <v>22</v>
      </c>
      <c r="D1305">
        <v>1304</v>
      </c>
      <c r="E1305" t="s">
        <v>23</v>
      </c>
      <c r="F1305" t="s">
        <v>24</v>
      </c>
      <c r="G1305">
        <v>1304</v>
      </c>
      <c r="H1305">
        <v>1763</v>
      </c>
      <c r="I1305">
        <v>32</v>
      </c>
      <c r="J1305" t="s">
        <v>87</v>
      </c>
      <c r="K1305" t="s">
        <v>26</v>
      </c>
      <c r="L1305" t="s">
        <v>68</v>
      </c>
      <c r="M1305" t="s">
        <v>56</v>
      </c>
      <c r="N1305">
        <v>3.1</v>
      </c>
      <c r="O1305">
        <v>0</v>
      </c>
      <c r="P1305" t="s">
        <v>48</v>
      </c>
      <c r="Q1305" t="s">
        <v>30</v>
      </c>
      <c r="R1305" t="s">
        <v>30</v>
      </c>
      <c r="S1305">
        <v>10</v>
      </c>
      <c r="T1305" t="s">
        <v>42</v>
      </c>
      <c r="U1305" t="s">
        <v>52</v>
      </c>
      <c r="V1305" s="1">
        <v>45490</v>
      </c>
      <c r="W1305">
        <f>Table1[[#This Row],[customer_purchase count]]+1</f>
        <v>11</v>
      </c>
      <c r="X1305">
        <f>Table1[[#This Row],[customer_purchase count]]*Rules!$B$3</f>
        <v>597.64358974358981</v>
      </c>
      <c r="Y1305" t="str">
        <f>IF(Table1[[#This Row],[customer_subscription]]=1,"Subscribed","Not Subscribed")</f>
        <v>Not Subscribed</v>
      </c>
      <c r="Z1305" t="s">
        <v>194</v>
      </c>
    </row>
    <row r="1306" spans="1:26" x14ac:dyDescent="0.25">
      <c r="A1306">
        <v>1305</v>
      </c>
      <c r="B1306">
        <v>64</v>
      </c>
      <c r="C1306" t="s">
        <v>22</v>
      </c>
      <c r="D1306">
        <v>1305</v>
      </c>
      <c r="E1306" t="s">
        <v>135</v>
      </c>
      <c r="F1306" t="s">
        <v>70</v>
      </c>
      <c r="G1306">
        <v>1305</v>
      </c>
      <c r="H1306">
        <v>1765</v>
      </c>
      <c r="I1306">
        <v>63</v>
      </c>
      <c r="J1306" t="s">
        <v>59</v>
      </c>
      <c r="K1306" t="s">
        <v>39</v>
      </c>
      <c r="L1306" t="s">
        <v>124</v>
      </c>
      <c r="M1306" t="s">
        <v>40</v>
      </c>
      <c r="N1306">
        <v>4</v>
      </c>
      <c r="O1306">
        <v>0</v>
      </c>
      <c r="P1306" t="s">
        <v>73</v>
      </c>
      <c r="Q1306" t="s">
        <v>30</v>
      </c>
      <c r="R1306" t="s">
        <v>30</v>
      </c>
      <c r="S1306">
        <v>18</v>
      </c>
      <c r="T1306" t="s">
        <v>49</v>
      </c>
      <c r="U1306" t="s">
        <v>100</v>
      </c>
      <c r="V1306" s="1">
        <v>45434</v>
      </c>
      <c r="W1306">
        <f>Table1[[#This Row],[customer_purchase count]]+1</f>
        <v>19</v>
      </c>
      <c r="X1306">
        <f>Table1[[#This Row],[customer_purchase count]]*Rules!$B$3</f>
        <v>1075.7584615384617</v>
      </c>
      <c r="Y1306" t="str">
        <f>IF(Table1[[#This Row],[customer_subscription]]=1,"Subscribed","Not Subscribed")</f>
        <v>Not Subscribed</v>
      </c>
    </row>
    <row r="1307" spans="1:26" x14ac:dyDescent="0.25">
      <c r="A1307">
        <v>1306</v>
      </c>
      <c r="B1307">
        <v>31</v>
      </c>
      <c r="C1307" t="s">
        <v>22</v>
      </c>
      <c r="D1307">
        <v>1306</v>
      </c>
      <c r="E1307" t="s">
        <v>98</v>
      </c>
      <c r="F1307" t="s">
        <v>24</v>
      </c>
      <c r="G1307">
        <v>1306</v>
      </c>
      <c r="H1307">
        <v>1766</v>
      </c>
      <c r="I1307">
        <v>56</v>
      </c>
      <c r="J1307" t="s">
        <v>94</v>
      </c>
      <c r="K1307" t="s">
        <v>95</v>
      </c>
      <c r="L1307" t="s">
        <v>103</v>
      </c>
      <c r="M1307" t="s">
        <v>40</v>
      </c>
      <c r="N1307">
        <v>4.5</v>
      </c>
      <c r="O1307">
        <v>0</v>
      </c>
      <c r="P1307" t="s">
        <v>29</v>
      </c>
      <c r="Q1307" t="s">
        <v>30</v>
      </c>
      <c r="R1307" t="s">
        <v>30</v>
      </c>
      <c r="S1307">
        <v>2</v>
      </c>
      <c r="T1307" t="s">
        <v>49</v>
      </c>
      <c r="U1307" t="s">
        <v>100</v>
      </c>
      <c r="V1307" s="1">
        <v>45367</v>
      </c>
      <c r="W1307">
        <f>Table1[[#This Row],[customer_purchase count]]+1</f>
        <v>3</v>
      </c>
      <c r="X1307">
        <f>Table1[[#This Row],[customer_purchase count]]*Rules!$B$3</f>
        <v>119.52871794871795</v>
      </c>
      <c r="Y1307" t="str">
        <f>IF(Table1[[#This Row],[customer_subscription]]=1,"Subscribed","Not Subscribed")</f>
        <v>Not Subscribed</v>
      </c>
      <c r="Z1307" t="s">
        <v>194</v>
      </c>
    </row>
    <row r="1308" spans="1:26" x14ac:dyDescent="0.25">
      <c r="A1308">
        <v>1307</v>
      </c>
      <c r="B1308">
        <v>54</v>
      </c>
      <c r="C1308" t="s">
        <v>22</v>
      </c>
      <c r="D1308">
        <v>1307</v>
      </c>
      <c r="E1308" t="s">
        <v>33</v>
      </c>
      <c r="F1308" t="s">
        <v>24</v>
      </c>
      <c r="G1308">
        <v>1307</v>
      </c>
      <c r="H1308">
        <v>1767</v>
      </c>
      <c r="I1308">
        <v>33</v>
      </c>
      <c r="J1308" t="s">
        <v>123</v>
      </c>
      <c r="K1308" t="s">
        <v>26</v>
      </c>
      <c r="L1308" t="s">
        <v>113</v>
      </c>
      <c r="M1308" t="s">
        <v>28</v>
      </c>
      <c r="N1308">
        <v>4.5</v>
      </c>
      <c r="O1308">
        <v>0</v>
      </c>
      <c r="P1308" t="s">
        <v>48</v>
      </c>
      <c r="Q1308" t="s">
        <v>30</v>
      </c>
      <c r="R1308" t="s">
        <v>30</v>
      </c>
      <c r="S1308">
        <v>40</v>
      </c>
      <c r="T1308" t="s">
        <v>49</v>
      </c>
      <c r="U1308" t="s">
        <v>52</v>
      </c>
      <c r="V1308" s="1">
        <v>45342</v>
      </c>
      <c r="W1308">
        <f>Table1[[#This Row],[customer_purchase count]]+1</f>
        <v>41</v>
      </c>
      <c r="X1308">
        <f>Table1[[#This Row],[customer_purchase count]]*Rules!$B$3</f>
        <v>2390.5743589743593</v>
      </c>
      <c r="Y1308" t="str">
        <f>IF(Table1[[#This Row],[customer_subscription]]=1,"Subscribed","Not Subscribed")</f>
        <v>Not Subscribed</v>
      </c>
    </row>
    <row r="1309" spans="1:26" x14ac:dyDescent="0.25">
      <c r="A1309">
        <v>1308</v>
      </c>
      <c r="B1309">
        <v>23</v>
      </c>
      <c r="C1309" t="s">
        <v>22</v>
      </c>
      <c r="D1309">
        <v>1308</v>
      </c>
      <c r="E1309" t="s">
        <v>65</v>
      </c>
      <c r="F1309" t="s">
        <v>66</v>
      </c>
      <c r="G1309">
        <v>1308</v>
      </c>
      <c r="H1309">
        <v>1768</v>
      </c>
      <c r="I1309">
        <v>32</v>
      </c>
      <c r="J1309" t="s">
        <v>71</v>
      </c>
      <c r="K1309" t="s">
        <v>26</v>
      </c>
      <c r="L1309" t="s">
        <v>97</v>
      </c>
      <c r="M1309" t="s">
        <v>56</v>
      </c>
      <c r="N1309">
        <v>3.1</v>
      </c>
      <c r="O1309">
        <v>0</v>
      </c>
      <c r="P1309" t="s">
        <v>29</v>
      </c>
      <c r="Q1309" t="s">
        <v>30</v>
      </c>
      <c r="R1309" t="s">
        <v>30</v>
      </c>
      <c r="S1309">
        <v>43</v>
      </c>
      <c r="T1309" t="s">
        <v>49</v>
      </c>
      <c r="U1309" t="s">
        <v>52</v>
      </c>
      <c r="V1309" s="1">
        <v>45493</v>
      </c>
      <c r="W1309">
        <f>Table1[[#This Row],[customer_purchase count]]+1</f>
        <v>44</v>
      </c>
      <c r="X1309">
        <f>Table1[[#This Row],[customer_purchase count]]*Rules!$B$3</f>
        <v>2569.8674358974358</v>
      </c>
      <c r="Y1309" t="str">
        <f>IF(Table1[[#This Row],[customer_subscription]]=1,"Subscribed","Not Subscribed")</f>
        <v>Not Subscribed</v>
      </c>
    </row>
    <row r="1310" spans="1:26" x14ac:dyDescent="0.25">
      <c r="A1310">
        <v>1309</v>
      </c>
      <c r="B1310">
        <v>59</v>
      </c>
      <c r="C1310" t="s">
        <v>22</v>
      </c>
      <c r="D1310">
        <v>1309</v>
      </c>
      <c r="E1310" t="s">
        <v>84</v>
      </c>
      <c r="F1310" t="s">
        <v>24</v>
      </c>
      <c r="G1310">
        <v>1309</v>
      </c>
      <c r="H1310">
        <v>1769</v>
      </c>
      <c r="I1310">
        <v>38</v>
      </c>
      <c r="J1310" t="s">
        <v>46</v>
      </c>
      <c r="K1310" t="s">
        <v>26</v>
      </c>
      <c r="L1310" t="s">
        <v>111</v>
      </c>
      <c r="M1310" t="s">
        <v>56</v>
      </c>
      <c r="N1310">
        <v>4.4000000000000004</v>
      </c>
      <c r="O1310">
        <v>0</v>
      </c>
      <c r="P1310" t="s">
        <v>48</v>
      </c>
      <c r="Q1310" t="s">
        <v>30</v>
      </c>
      <c r="R1310" t="s">
        <v>30</v>
      </c>
      <c r="S1310">
        <v>14</v>
      </c>
      <c r="T1310" t="s">
        <v>42</v>
      </c>
      <c r="U1310" t="s">
        <v>100</v>
      </c>
      <c r="V1310" s="1">
        <v>45489</v>
      </c>
      <c r="W1310">
        <f>Table1[[#This Row],[customer_purchase count]]+1</f>
        <v>15</v>
      </c>
      <c r="X1310">
        <f>Table1[[#This Row],[customer_purchase count]]*Rules!$B$3</f>
        <v>836.70102564102569</v>
      </c>
      <c r="Y1310" t="str">
        <f>IF(Table1[[#This Row],[customer_subscription]]=1,"Subscribed","Not Subscribed")</f>
        <v>Not Subscribed</v>
      </c>
      <c r="Z1310" t="s">
        <v>194</v>
      </c>
    </row>
    <row r="1311" spans="1:26" x14ac:dyDescent="0.25">
      <c r="A1311">
        <v>1310</v>
      </c>
      <c r="B1311">
        <v>32</v>
      </c>
      <c r="C1311" t="s">
        <v>22</v>
      </c>
      <c r="D1311">
        <v>1310</v>
      </c>
      <c r="E1311" t="s">
        <v>23</v>
      </c>
      <c r="F1311" t="s">
        <v>24</v>
      </c>
      <c r="G1311">
        <v>1310</v>
      </c>
      <c r="H1311">
        <v>1771</v>
      </c>
      <c r="I1311">
        <v>21</v>
      </c>
      <c r="J1311" t="s">
        <v>80</v>
      </c>
      <c r="K1311" t="s">
        <v>26</v>
      </c>
      <c r="L1311" t="s">
        <v>96</v>
      </c>
      <c r="M1311" t="s">
        <v>56</v>
      </c>
      <c r="N1311">
        <v>4.7</v>
      </c>
      <c r="O1311">
        <v>0</v>
      </c>
      <c r="P1311" t="s">
        <v>77</v>
      </c>
      <c r="Q1311" t="s">
        <v>30</v>
      </c>
      <c r="R1311" t="s">
        <v>30</v>
      </c>
      <c r="S1311">
        <v>41</v>
      </c>
      <c r="T1311" t="s">
        <v>36</v>
      </c>
      <c r="U1311" t="s">
        <v>61</v>
      </c>
      <c r="V1311" s="1">
        <v>45498</v>
      </c>
      <c r="W1311">
        <f>Table1[[#This Row],[customer_purchase count]]+1</f>
        <v>42</v>
      </c>
      <c r="X1311">
        <f>Table1[[#This Row],[customer_purchase count]]*Rules!$B$3</f>
        <v>2450.3387179487181</v>
      </c>
      <c r="Y1311" t="str">
        <f>IF(Table1[[#This Row],[customer_subscription]]=1,"Subscribed","Not Subscribed")</f>
        <v>Not Subscribed</v>
      </c>
    </row>
    <row r="1312" spans="1:26" x14ac:dyDescent="0.25">
      <c r="A1312">
        <v>1311</v>
      </c>
      <c r="B1312">
        <v>43</v>
      </c>
      <c r="C1312" t="s">
        <v>22</v>
      </c>
      <c r="D1312">
        <v>1311</v>
      </c>
      <c r="E1312" t="s">
        <v>107</v>
      </c>
      <c r="F1312" t="s">
        <v>24</v>
      </c>
      <c r="G1312">
        <v>1311</v>
      </c>
      <c r="H1312">
        <v>1772</v>
      </c>
      <c r="I1312">
        <v>59</v>
      </c>
      <c r="J1312" t="s">
        <v>134</v>
      </c>
      <c r="K1312" t="s">
        <v>26</v>
      </c>
      <c r="L1312" t="s">
        <v>113</v>
      </c>
      <c r="M1312" t="s">
        <v>28</v>
      </c>
      <c r="N1312">
        <v>3.1</v>
      </c>
      <c r="O1312">
        <v>0</v>
      </c>
      <c r="P1312" t="s">
        <v>77</v>
      </c>
      <c r="Q1312" t="s">
        <v>30</v>
      </c>
      <c r="R1312" t="s">
        <v>30</v>
      </c>
      <c r="S1312">
        <v>38</v>
      </c>
      <c r="T1312" t="s">
        <v>42</v>
      </c>
      <c r="U1312" t="s">
        <v>100</v>
      </c>
      <c r="V1312" s="1">
        <v>45349</v>
      </c>
      <c r="W1312">
        <f>Table1[[#This Row],[customer_purchase count]]+1</f>
        <v>39</v>
      </c>
      <c r="X1312">
        <f>Table1[[#This Row],[customer_purchase count]]*Rules!$B$3</f>
        <v>2271.0456410256411</v>
      </c>
      <c r="Y1312" t="str">
        <f>IF(Table1[[#This Row],[customer_subscription]]=1,"Subscribed","Not Subscribed")</f>
        <v>Not Subscribed</v>
      </c>
    </row>
    <row r="1313" spans="1:26" x14ac:dyDescent="0.25">
      <c r="A1313">
        <v>1312</v>
      </c>
      <c r="B1313">
        <v>32</v>
      </c>
      <c r="C1313" t="s">
        <v>22</v>
      </c>
      <c r="D1313">
        <v>1312</v>
      </c>
      <c r="E1313" t="s">
        <v>74</v>
      </c>
      <c r="F1313" t="s">
        <v>45</v>
      </c>
      <c r="G1313">
        <v>1312</v>
      </c>
      <c r="H1313">
        <v>1773</v>
      </c>
      <c r="I1313">
        <v>87</v>
      </c>
      <c r="J1313" t="s">
        <v>125</v>
      </c>
      <c r="K1313" t="s">
        <v>47</v>
      </c>
      <c r="L1313" t="s">
        <v>35</v>
      </c>
      <c r="M1313" t="s">
        <v>60</v>
      </c>
      <c r="N1313">
        <v>4.2</v>
      </c>
      <c r="O1313">
        <v>0</v>
      </c>
      <c r="P1313" t="s">
        <v>29</v>
      </c>
      <c r="Q1313" t="s">
        <v>30</v>
      </c>
      <c r="R1313" t="s">
        <v>30</v>
      </c>
      <c r="S1313">
        <v>12</v>
      </c>
      <c r="T1313" t="s">
        <v>31</v>
      </c>
      <c r="U1313" t="s">
        <v>52</v>
      </c>
      <c r="V1313" s="1">
        <v>45604</v>
      </c>
      <c r="W1313">
        <f>Table1[[#This Row],[customer_purchase count]]+1</f>
        <v>13</v>
      </c>
      <c r="X1313">
        <f>Table1[[#This Row],[customer_purchase count]]*Rules!$B$3</f>
        <v>717.17230769230775</v>
      </c>
      <c r="Y1313" t="str">
        <f>IF(Table1[[#This Row],[customer_subscription]]=1,"Subscribed","Not Subscribed")</f>
        <v>Not Subscribed</v>
      </c>
      <c r="Z1313" t="s">
        <v>194</v>
      </c>
    </row>
    <row r="1314" spans="1:26" x14ac:dyDescent="0.25">
      <c r="A1314">
        <v>1313</v>
      </c>
      <c r="B1314">
        <v>66</v>
      </c>
      <c r="C1314" t="s">
        <v>22</v>
      </c>
      <c r="D1314">
        <v>1313</v>
      </c>
      <c r="E1314" t="s">
        <v>116</v>
      </c>
      <c r="F1314" t="s">
        <v>24</v>
      </c>
      <c r="G1314">
        <v>1313</v>
      </c>
      <c r="H1314">
        <v>1774</v>
      </c>
      <c r="I1314">
        <v>79</v>
      </c>
      <c r="J1314" t="s">
        <v>71</v>
      </c>
      <c r="K1314" t="s">
        <v>47</v>
      </c>
      <c r="L1314" t="s">
        <v>86</v>
      </c>
      <c r="M1314" t="s">
        <v>28</v>
      </c>
      <c r="N1314">
        <v>3</v>
      </c>
      <c r="O1314">
        <v>0</v>
      </c>
      <c r="P1314" t="s">
        <v>77</v>
      </c>
      <c r="Q1314" t="s">
        <v>30</v>
      </c>
      <c r="R1314" t="s">
        <v>30</v>
      </c>
      <c r="S1314">
        <v>19</v>
      </c>
      <c r="T1314" t="s">
        <v>78</v>
      </c>
      <c r="U1314" t="s">
        <v>91</v>
      </c>
      <c r="V1314" s="1">
        <v>45296</v>
      </c>
      <c r="W1314">
        <f>Table1[[#This Row],[customer_purchase count]]+1</f>
        <v>20</v>
      </c>
      <c r="X1314">
        <f>Table1[[#This Row],[customer_purchase count]]*Rules!$B$3</f>
        <v>1135.5228205128205</v>
      </c>
      <c r="Y1314" t="str">
        <f>IF(Table1[[#This Row],[customer_subscription]]=1,"Subscribed","Not Subscribed")</f>
        <v>Not Subscribed</v>
      </c>
    </row>
    <row r="1315" spans="1:26" x14ac:dyDescent="0.25">
      <c r="A1315">
        <v>1314</v>
      </c>
      <c r="B1315">
        <v>70</v>
      </c>
      <c r="C1315" t="s">
        <v>22</v>
      </c>
      <c r="D1315">
        <v>1314</v>
      </c>
      <c r="E1315" t="s">
        <v>74</v>
      </c>
      <c r="F1315" t="s">
        <v>45</v>
      </c>
      <c r="G1315">
        <v>1314</v>
      </c>
      <c r="H1315">
        <v>1775</v>
      </c>
      <c r="I1315">
        <v>28</v>
      </c>
      <c r="J1315" t="s">
        <v>71</v>
      </c>
      <c r="K1315" t="s">
        <v>47</v>
      </c>
      <c r="L1315" t="s">
        <v>96</v>
      </c>
      <c r="M1315" t="s">
        <v>56</v>
      </c>
      <c r="N1315">
        <v>2.6</v>
      </c>
      <c r="O1315">
        <v>0</v>
      </c>
      <c r="P1315" t="s">
        <v>41</v>
      </c>
      <c r="Q1315" t="s">
        <v>30</v>
      </c>
      <c r="R1315" t="s">
        <v>30</v>
      </c>
      <c r="S1315">
        <v>23</v>
      </c>
      <c r="T1315" t="s">
        <v>42</v>
      </c>
      <c r="U1315" t="s">
        <v>79</v>
      </c>
      <c r="V1315" s="1">
        <v>45459</v>
      </c>
      <c r="W1315">
        <f>Table1[[#This Row],[customer_purchase count]]+1</f>
        <v>24</v>
      </c>
      <c r="X1315">
        <f>Table1[[#This Row],[customer_purchase count]]*Rules!$B$3</f>
        <v>1374.5802564102564</v>
      </c>
      <c r="Y1315" t="str">
        <f>IF(Table1[[#This Row],[customer_subscription]]=1,"Subscribed","Not Subscribed")</f>
        <v>Not Subscribed</v>
      </c>
    </row>
    <row r="1316" spans="1:26" x14ac:dyDescent="0.25">
      <c r="A1316">
        <v>1315</v>
      </c>
      <c r="B1316">
        <v>42</v>
      </c>
      <c r="C1316" t="s">
        <v>22</v>
      </c>
      <c r="D1316">
        <v>1315</v>
      </c>
      <c r="E1316" t="s">
        <v>140</v>
      </c>
      <c r="F1316" t="s">
        <v>45</v>
      </c>
      <c r="G1316">
        <v>1315</v>
      </c>
      <c r="H1316">
        <v>1777</v>
      </c>
      <c r="I1316">
        <v>67</v>
      </c>
      <c r="J1316" t="s">
        <v>71</v>
      </c>
      <c r="K1316" t="s">
        <v>39</v>
      </c>
      <c r="L1316" t="s">
        <v>139</v>
      </c>
      <c r="M1316" t="s">
        <v>56</v>
      </c>
      <c r="N1316">
        <v>3.4</v>
      </c>
      <c r="O1316">
        <v>0</v>
      </c>
      <c r="P1316" t="s">
        <v>41</v>
      </c>
      <c r="Q1316" t="s">
        <v>30</v>
      </c>
      <c r="R1316" t="s">
        <v>30</v>
      </c>
      <c r="S1316">
        <v>49</v>
      </c>
      <c r="T1316" t="s">
        <v>89</v>
      </c>
      <c r="U1316" t="s">
        <v>52</v>
      </c>
      <c r="V1316" s="1">
        <v>45522</v>
      </c>
      <c r="W1316">
        <f>Table1[[#This Row],[customer_purchase count]]+1</f>
        <v>50</v>
      </c>
      <c r="X1316">
        <f>Table1[[#This Row],[customer_purchase count]]*Rules!$B$3</f>
        <v>2928.4535897435899</v>
      </c>
      <c r="Y1316" t="str">
        <f>IF(Table1[[#This Row],[customer_subscription]]=1,"Subscribed","Not Subscribed")</f>
        <v>Not Subscribed</v>
      </c>
    </row>
    <row r="1317" spans="1:26" x14ac:dyDescent="0.25">
      <c r="A1317">
        <v>1316</v>
      </c>
      <c r="B1317">
        <v>56</v>
      </c>
      <c r="C1317" t="s">
        <v>22</v>
      </c>
      <c r="D1317">
        <v>1316</v>
      </c>
      <c r="E1317" t="s">
        <v>62</v>
      </c>
      <c r="F1317" t="s">
        <v>24</v>
      </c>
      <c r="G1317">
        <v>1316</v>
      </c>
      <c r="H1317">
        <v>1778</v>
      </c>
      <c r="I1317">
        <v>75</v>
      </c>
      <c r="J1317" t="s">
        <v>94</v>
      </c>
      <c r="K1317" t="s">
        <v>26</v>
      </c>
      <c r="L1317" t="s">
        <v>99</v>
      </c>
      <c r="M1317" t="s">
        <v>40</v>
      </c>
      <c r="N1317">
        <v>4.2</v>
      </c>
      <c r="O1317">
        <v>0</v>
      </c>
      <c r="P1317" t="s">
        <v>73</v>
      </c>
      <c r="Q1317" t="s">
        <v>30</v>
      </c>
      <c r="R1317" t="s">
        <v>30</v>
      </c>
      <c r="S1317">
        <v>29</v>
      </c>
      <c r="T1317" t="s">
        <v>89</v>
      </c>
      <c r="U1317" t="s">
        <v>61</v>
      </c>
      <c r="V1317" s="1">
        <v>45410</v>
      </c>
      <c r="W1317">
        <f>Table1[[#This Row],[customer_purchase count]]+1</f>
        <v>30</v>
      </c>
      <c r="X1317">
        <f>Table1[[#This Row],[customer_purchase count]]*Rules!$B$3</f>
        <v>1733.1664102564102</v>
      </c>
      <c r="Y1317" t="str">
        <f>IF(Table1[[#This Row],[customer_subscription]]=1,"Subscribed","Not Subscribed")</f>
        <v>Not Subscribed</v>
      </c>
    </row>
    <row r="1318" spans="1:26" x14ac:dyDescent="0.25">
      <c r="A1318">
        <v>1317</v>
      </c>
      <c r="B1318">
        <v>28</v>
      </c>
      <c r="C1318" t="s">
        <v>22</v>
      </c>
      <c r="D1318">
        <v>1317</v>
      </c>
      <c r="E1318" t="s">
        <v>136</v>
      </c>
      <c r="F1318" t="s">
        <v>70</v>
      </c>
      <c r="G1318">
        <v>1317</v>
      </c>
      <c r="H1318">
        <v>1779</v>
      </c>
      <c r="I1318">
        <v>32</v>
      </c>
      <c r="J1318" t="s">
        <v>75</v>
      </c>
      <c r="K1318" t="s">
        <v>39</v>
      </c>
      <c r="L1318" t="s">
        <v>96</v>
      </c>
      <c r="M1318" t="s">
        <v>40</v>
      </c>
      <c r="N1318">
        <v>4.5999999999999996</v>
      </c>
      <c r="O1318">
        <v>0</v>
      </c>
      <c r="P1318" t="s">
        <v>57</v>
      </c>
      <c r="Q1318" t="s">
        <v>30</v>
      </c>
      <c r="R1318" t="s">
        <v>30</v>
      </c>
      <c r="S1318">
        <v>14</v>
      </c>
      <c r="T1318" t="s">
        <v>89</v>
      </c>
      <c r="U1318" t="s">
        <v>79</v>
      </c>
      <c r="V1318" s="1">
        <v>45421</v>
      </c>
      <c r="W1318">
        <f>Table1[[#This Row],[customer_purchase count]]+1</f>
        <v>15</v>
      </c>
      <c r="X1318">
        <f>Table1[[#This Row],[customer_purchase count]]*Rules!$B$3</f>
        <v>836.70102564102569</v>
      </c>
      <c r="Y1318" t="str">
        <f>IF(Table1[[#This Row],[customer_subscription]]=1,"Subscribed","Not Subscribed")</f>
        <v>Not Subscribed</v>
      </c>
      <c r="Z1318" t="s">
        <v>187</v>
      </c>
    </row>
    <row r="1319" spans="1:26" x14ac:dyDescent="0.25">
      <c r="A1319">
        <v>1318</v>
      </c>
      <c r="B1319">
        <v>28</v>
      </c>
      <c r="C1319" t="s">
        <v>22</v>
      </c>
      <c r="D1319">
        <v>1318</v>
      </c>
      <c r="E1319" t="s">
        <v>98</v>
      </c>
      <c r="F1319" t="s">
        <v>24</v>
      </c>
      <c r="G1319">
        <v>1318</v>
      </c>
      <c r="H1319">
        <v>1780</v>
      </c>
      <c r="I1319">
        <v>43</v>
      </c>
      <c r="J1319" t="s">
        <v>25</v>
      </c>
      <c r="K1319" t="s">
        <v>47</v>
      </c>
      <c r="L1319" t="s">
        <v>99</v>
      </c>
      <c r="M1319" t="s">
        <v>40</v>
      </c>
      <c r="N1319">
        <v>2.8</v>
      </c>
      <c r="O1319">
        <v>0</v>
      </c>
      <c r="P1319" t="s">
        <v>41</v>
      </c>
      <c r="Q1319" t="s">
        <v>30</v>
      </c>
      <c r="R1319" t="s">
        <v>30</v>
      </c>
      <c r="S1319">
        <v>19</v>
      </c>
      <c r="T1319" t="s">
        <v>36</v>
      </c>
      <c r="U1319" t="s">
        <v>91</v>
      </c>
      <c r="V1319" s="1">
        <v>45427</v>
      </c>
      <c r="W1319">
        <f>Table1[[#This Row],[customer_purchase count]]+1</f>
        <v>20</v>
      </c>
      <c r="X1319">
        <f>Table1[[#This Row],[customer_purchase count]]*Rules!$B$3</f>
        <v>1135.5228205128205</v>
      </c>
      <c r="Y1319" t="str">
        <f>IF(Table1[[#This Row],[customer_subscription]]=1,"Subscribed","Not Subscribed")</f>
        <v>Not Subscribed</v>
      </c>
    </row>
    <row r="1320" spans="1:26" x14ac:dyDescent="0.25">
      <c r="A1320">
        <v>1319</v>
      </c>
      <c r="B1320">
        <v>52</v>
      </c>
      <c r="C1320" t="s">
        <v>22</v>
      </c>
      <c r="D1320">
        <v>1319</v>
      </c>
      <c r="E1320" t="s">
        <v>62</v>
      </c>
      <c r="F1320" t="s">
        <v>24</v>
      </c>
      <c r="G1320">
        <v>1319</v>
      </c>
      <c r="H1320">
        <v>1781</v>
      </c>
      <c r="I1320">
        <v>93</v>
      </c>
      <c r="J1320" t="s">
        <v>142</v>
      </c>
      <c r="K1320" t="s">
        <v>47</v>
      </c>
      <c r="L1320" t="s">
        <v>35</v>
      </c>
      <c r="M1320" t="s">
        <v>40</v>
      </c>
      <c r="N1320">
        <v>2.7</v>
      </c>
      <c r="O1320">
        <v>0</v>
      </c>
      <c r="P1320" t="s">
        <v>29</v>
      </c>
      <c r="Q1320" t="s">
        <v>30</v>
      </c>
      <c r="R1320" t="s">
        <v>30</v>
      </c>
      <c r="S1320">
        <v>19</v>
      </c>
      <c r="T1320" t="s">
        <v>42</v>
      </c>
      <c r="U1320" t="s">
        <v>79</v>
      </c>
      <c r="V1320" s="1">
        <v>45399</v>
      </c>
      <c r="W1320">
        <f>Table1[[#This Row],[customer_purchase count]]+1</f>
        <v>20</v>
      </c>
      <c r="X1320">
        <f>Table1[[#This Row],[customer_purchase count]]*Rules!$B$3</f>
        <v>1135.5228205128205</v>
      </c>
      <c r="Y1320" t="str">
        <f>IF(Table1[[#This Row],[customer_subscription]]=1,"Subscribed","Not Subscribed")</f>
        <v>Not Subscribed</v>
      </c>
    </row>
    <row r="1321" spans="1:26" x14ac:dyDescent="0.25">
      <c r="A1321">
        <v>1320</v>
      </c>
      <c r="B1321">
        <v>65</v>
      </c>
      <c r="C1321" t="s">
        <v>22</v>
      </c>
      <c r="D1321">
        <v>1320</v>
      </c>
      <c r="E1321" t="s">
        <v>92</v>
      </c>
      <c r="F1321" t="s">
        <v>70</v>
      </c>
      <c r="G1321">
        <v>1320</v>
      </c>
      <c r="H1321">
        <v>1783</v>
      </c>
      <c r="I1321">
        <v>24</v>
      </c>
      <c r="J1321" t="s">
        <v>104</v>
      </c>
      <c r="K1321" t="s">
        <v>47</v>
      </c>
      <c r="L1321" t="s">
        <v>139</v>
      </c>
      <c r="M1321" t="s">
        <v>40</v>
      </c>
      <c r="N1321">
        <v>4</v>
      </c>
      <c r="O1321">
        <v>0</v>
      </c>
      <c r="P1321" t="s">
        <v>57</v>
      </c>
      <c r="Q1321" t="s">
        <v>30</v>
      </c>
      <c r="R1321" t="s">
        <v>30</v>
      </c>
      <c r="S1321">
        <v>48</v>
      </c>
      <c r="T1321" t="s">
        <v>78</v>
      </c>
      <c r="U1321" t="s">
        <v>43</v>
      </c>
      <c r="V1321" s="1">
        <v>45387</v>
      </c>
      <c r="W1321">
        <f>Table1[[#This Row],[customer_purchase count]]+1</f>
        <v>49</v>
      </c>
      <c r="X1321">
        <f>Table1[[#This Row],[customer_purchase count]]*Rules!$B$3</f>
        <v>2868.689230769231</v>
      </c>
      <c r="Y1321" t="str">
        <f>IF(Table1[[#This Row],[customer_subscription]]=1,"Subscribed","Not Subscribed")</f>
        <v>Not Subscribed</v>
      </c>
    </row>
    <row r="1322" spans="1:26" x14ac:dyDescent="0.25">
      <c r="A1322">
        <v>1321</v>
      </c>
      <c r="B1322">
        <v>56</v>
      </c>
      <c r="C1322" t="s">
        <v>22</v>
      </c>
      <c r="D1322">
        <v>1321</v>
      </c>
      <c r="E1322" t="s">
        <v>127</v>
      </c>
      <c r="F1322" t="s">
        <v>70</v>
      </c>
      <c r="G1322">
        <v>1321</v>
      </c>
      <c r="H1322">
        <v>1784</v>
      </c>
      <c r="I1322">
        <v>31</v>
      </c>
      <c r="J1322" t="s">
        <v>102</v>
      </c>
      <c r="K1322" t="s">
        <v>95</v>
      </c>
      <c r="L1322" t="s">
        <v>88</v>
      </c>
      <c r="M1322" t="s">
        <v>60</v>
      </c>
      <c r="N1322">
        <v>3.1</v>
      </c>
      <c r="O1322">
        <v>0</v>
      </c>
      <c r="P1322" t="s">
        <v>41</v>
      </c>
      <c r="Q1322" t="s">
        <v>30</v>
      </c>
      <c r="R1322" t="s">
        <v>30</v>
      </c>
      <c r="S1322">
        <v>19</v>
      </c>
      <c r="T1322" t="s">
        <v>89</v>
      </c>
      <c r="U1322" t="s">
        <v>52</v>
      </c>
      <c r="V1322" s="1">
        <v>45554</v>
      </c>
      <c r="W1322">
        <f>Table1[[#This Row],[customer_purchase count]]+1</f>
        <v>20</v>
      </c>
      <c r="X1322">
        <f>Table1[[#This Row],[customer_purchase count]]*Rules!$B$3</f>
        <v>1135.5228205128205</v>
      </c>
      <c r="Y1322" t="str">
        <f>IF(Table1[[#This Row],[customer_subscription]]=1,"Subscribed","Not Subscribed")</f>
        <v>Not Subscribed</v>
      </c>
    </row>
    <row r="1323" spans="1:26" x14ac:dyDescent="0.25">
      <c r="A1323">
        <v>1322</v>
      </c>
      <c r="B1323">
        <v>59</v>
      </c>
      <c r="C1323" t="s">
        <v>22</v>
      </c>
      <c r="D1323">
        <v>1322</v>
      </c>
      <c r="E1323" t="s">
        <v>116</v>
      </c>
      <c r="F1323" t="s">
        <v>24</v>
      </c>
      <c r="G1323">
        <v>1322</v>
      </c>
      <c r="H1323">
        <v>1785</v>
      </c>
      <c r="I1323">
        <v>84</v>
      </c>
      <c r="J1323" t="s">
        <v>71</v>
      </c>
      <c r="K1323" t="s">
        <v>26</v>
      </c>
      <c r="L1323" t="s">
        <v>124</v>
      </c>
      <c r="M1323" t="s">
        <v>28</v>
      </c>
      <c r="N1323">
        <v>3.7</v>
      </c>
      <c r="O1323">
        <v>0</v>
      </c>
      <c r="P1323" t="s">
        <v>29</v>
      </c>
      <c r="Q1323" t="s">
        <v>30</v>
      </c>
      <c r="R1323" t="s">
        <v>30</v>
      </c>
      <c r="S1323">
        <v>45</v>
      </c>
      <c r="T1323" t="s">
        <v>78</v>
      </c>
      <c r="U1323" t="s">
        <v>100</v>
      </c>
      <c r="V1323" s="1">
        <v>45640</v>
      </c>
      <c r="W1323">
        <f>Table1[[#This Row],[customer_purchase count]]+1</f>
        <v>46</v>
      </c>
      <c r="X1323">
        <f>Table1[[#This Row],[customer_purchase count]]*Rules!$B$3</f>
        <v>2689.396153846154</v>
      </c>
      <c r="Y1323" t="str">
        <f>IF(Table1[[#This Row],[customer_subscription]]=1,"Subscribed","Not Subscribed")</f>
        <v>Not Subscribed</v>
      </c>
    </row>
    <row r="1324" spans="1:26" x14ac:dyDescent="0.25">
      <c r="A1324">
        <v>1323</v>
      </c>
      <c r="B1324">
        <v>23</v>
      </c>
      <c r="C1324" t="s">
        <v>22</v>
      </c>
      <c r="D1324">
        <v>1323</v>
      </c>
      <c r="E1324" t="s">
        <v>98</v>
      </c>
      <c r="F1324" t="s">
        <v>24</v>
      </c>
      <c r="G1324">
        <v>1323</v>
      </c>
      <c r="H1324">
        <v>1786</v>
      </c>
      <c r="I1324">
        <v>74</v>
      </c>
      <c r="J1324" t="s">
        <v>152</v>
      </c>
      <c r="K1324" t="s">
        <v>47</v>
      </c>
      <c r="L1324" t="s">
        <v>86</v>
      </c>
      <c r="M1324" t="s">
        <v>28</v>
      </c>
      <c r="N1324">
        <v>4</v>
      </c>
      <c r="O1324">
        <v>0</v>
      </c>
      <c r="P1324" t="s">
        <v>48</v>
      </c>
      <c r="Q1324" t="s">
        <v>30</v>
      </c>
      <c r="R1324" t="s">
        <v>30</v>
      </c>
      <c r="S1324">
        <v>17</v>
      </c>
      <c r="T1324" t="s">
        <v>78</v>
      </c>
      <c r="U1324" t="s">
        <v>61</v>
      </c>
      <c r="V1324" s="1">
        <v>45651</v>
      </c>
      <c r="W1324">
        <f>Table1[[#This Row],[customer_purchase count]]+1</f>
        <v>18</v>
      </c>
      <c r="X1324">
        <f>Table1[[#This Row],[customer_purchase count]]*Rules!$B$3</f>
        <v>1015.9941025641026</v>
      </c>
      <c r="Y1324" t="str">
        <f>IF(Table1[[#This Row],[customer_subscription]]=1,"Subscribed","Not Subscribed")</f>
        <v>Not Subscribed</v>
      </c>
      <c r="Z1324" t="s">
        <v>187</v>
      </c>
    </row>
    <row r="1325" spans="1:26" x14ac:dyDescent="0.25">
      <c r="A1325">
        <v>1324</v>
      </c>
      <c r="B1325">
        <v>58</v>
      </c>
      <c r="C1325" t="s">
        <v>22</v>
      </c>
      <c r="D1325">
        <v>1324</v>
      </c>
      <c r="E1325" t="s">
        <v>62</v>
      </c>
      <c r="F1325" t="s">
        <v>24</v>
      </c>
      <c r="G1325">
        <v>1324</v>
      </c>
      <c r="H1325">
        <v>1787</v>
      </c>
      <c r="I1325">
        <v>62</v>
      </c>
      <c r="J1325" t="s">
        <v>87</v>
      </c>
      <c r="K1325" t="s">
        <v>47</v>
      </c>
      <c r="L1325" t="s">
        <v>137</v>
      </c>
      <c r="M1325" t="s">
        <v>40</v>
      </c>
      <c r="N1325">
        <v>4.5999999999999996</v>
      </c>
      <c r="O1325">
        <v>0</v>
      </c>
      <c r="P1325" t="s">
        <v>57</v>
      </c>
      <c r="Q1325" t="s">
        <v>30</v>
      </c>
      <c r="R1325" t="s">
        <v>30</v>
      </c>
      <c r="S1325">
        <v>15</v>
      </c>
      <c r="T1325" t="s">
        <v>89</v>
      </c>
      <c r="U1325" t="s">
        <v>100</v>
      </c>
      <c r="V1325" s="1">
        <v>45366</v>
      </c>
      <c r="W1325">
        <f>Table1[[#This Row],[customer_purchase count]]+1</f>
        <v>16</v>
      </c>
      <c r="X1325">
        <f>Table1[[#This Row],[customer_purchase count]]*Rules!$B$3</f>
        <v>896.46538461538466</v>
      </c>
      <c r="Y1325" t="str">
        <f>IF(Table1[[#This Row],[customer_subscription]]=1,"Subscribed","Not Subscribed")</f>
        <v>Not Subscribed</v>
      </c>
      <c r="Z1325" t="s">
        <v>194</v>
      </c>
    </row>
    <row r="1326" spans="1:26" x14ac:dyDescent="0.25">
      <c r="A1326">
        <v>1325</v>
      </c>
      <c r="B1326">
        <v>39</v>
      </c>
      <c r="C1326" t="s">
        <v>22</v>
      </c>
      <c r="D1326">
        <v>1325</v>
      </c>
      <c r="E1326" t="s">
        <v>109</v>
      </c>
      <c r="F1326" t="s">
        <v>70</v>
      </c>
      <c r="G1326">
        <v>1325</v>
      </c>
      <c r="H1326">
        <v>1789</v>
      </c>
      <c r="I1326">
        <v>77</v>
      </c>
      <c r="J1326" t="s">
        <v>119</v>
      </c>
      <c r="K1326" t="s">
        <v>39</v>
      </c>
      <c r="L1326" t="s">
        <v>124</v>
      </c>
      <c r="M1326" t="s">
        <v>56</v>
      </c>
      <c r="N1326">
        <v>3.8</v>
      </c>
      <c r="O1326">
        <v>0</v>
      </c>
      <c r="P1326" t="s">
        <v>41</v>
      </c>
      <c r="Q1326" t="s">
        <v>30</v>
      </c>
      <c r="R1326" t="s">
        <v>30</v>
      </c>
      <c r="S1326">
        <v>11</v>
      </c>
      <c r="T1326" t="s">
        <v>42</v>
      </c>
      <c r="U1326" t="s">
        <v>32</v>
      </c>
      <c r="V1326" s="1">
        <v>45520</v>
      </c>
      <c r="W1326">
        <f>Table1[[#This Row],[customer_purchase count]]+1</f>
        <v>12</v>
      </c>
      <c r="X1326">
        <f>Table1[[#This Row],[customer_purchase count]]*Rules!$B$3</f>
        <v>657.40794871794878</v>
      </c>
      <c r="Y1326" t="str">
        <f>IF(Table1[[#This Row],[customer_subscription]]=1,"Subscribed","Not Subscribed")</f>
        <v>Not Subscribed</v>
      </c>
      <c r="Z1326" t="s">
        <v>194</v>
      </c>
    </row>
    <row r="1327" spans="1:26" x14ac:dyDescent="0.25">
      <c r="A1327">
        <v>1326</v>
      </c>
      <c r="B1327">
        <v>28</v>
      </c>
      <c r="C1327" t="s">
        <v>22</v>
      </c>
      <c r="D1327">
        <v>1326</v>
      </c>
      <c r="E1327" t="s">
        <v>135</v>
      </c>
      <c r="F1327" t="s">
        <v>70</v>
      </c>
      <c r="G1327">
        <v>1326</v>
      </c>
      <c r="H1327">
        <v>1790</v>
      </c>
      <c r="I1327">
        <v>73</v>
      </c>
      <c r="J1327" t="s">
        <v>50</v>
      </c>
      <c r="K1327" t="s">
        <v>26</v>
      </c>
      <c r="L1327" t="s">
        <v>83</v>
      </c>
      <c r="M1327" t="s">
        <v>56</v>
      </c>
      <c r="N1327">
        <v>3.5</v>
      </c>
      <c r="O1327">
        <v>0</v>
      </c>
      <c r="P1327" t="s">
        <v>29</v>
      </c>
      <c r="Q1327" t="s">
        <v>30</v>
      </c>
      <c r="R1327" t="s">
        <v>30</v>
      </c>
      <c r="S1327">
        <v>1</v>
      </c>
      <c r="T1327" t="s">
        <v>36</v>
      </c>
      <c r="U1327" t="s">
        <v>91</v>
      </c>
      <c r="V1327" s="1">
        <v>45459</v>
      </c>
      <c r="W1327">
        <f>Table1[[#This Row],[customer_purchase count]]+1</f>
        <v>2</v>
      </c>
      <c r="X1327">
        <f>Table1[[#This Row],[customer_purchase count]]*Rules!$B$3</f>
        <v>59.764358974358977</v>
      </c>
      <c r="Y1327" t="str">
        <f>IF(Table1[[#This Row],[customer_subscription]]=1,"Subscribed","Not Subscribed")</f>
        <v>Not Subscribed</v>
      </c>
      <c r="Z1327" t="s">
        <v>194</v>
      </c>
    </row>
    <row r="1328" spans="1:26" x14ac:dyDescent="0.25">
      <c r="A1328">
        <v>1327</v>
      </c>
      <c r="B1328">
        <v>40</v>
      </c>
      <c r="C1328" t="s">
        <v>22</v>
      </c>
      <c r="D1328">
        <v>1327</v>
      </c>
      <c r="E1328" t="s">
        <v>74</v>
      </c>
      <c r="F1328" t="s">
        <v>45</v>
      </c>
      <c r="G1328">
        <v>1327</v>
      </c>
      <c r="H1328">
        <v>1791</v>
      </c>
      <c r="I1328">
        <v>50</v>
      </c>
      <c r="J1328" t="s">
        <v>108</v>
      </c>
      <c r="K1328" t="s">
        <v>47</v>
      </c>
      <c r="L1328" t="s">
        <v>129</v>
      </c>
      <c r="M1328" t="s">
        <v>40</v>
      </c>
      <c r="N1328">
        <v>4.5999999999999996</v>
      </c>
      <c r="O1328">
        <v>0</v>
      </c>
      <c r="P1328" t="s">
        <v>41</v>
      </c>
      <c r="Q1328" t="s">
        <v>30</v>
      </c>
      <c r="R1328" t="s">
        <v>30</v>
      </c>
      <c r="S1328">
        <v>17</v>
      </c>
      <c r="T1328" t="s">
        <v>36</v>
      </c>
      <c r="U1328" t="s">
        <v>91</v>
      </c>
      <c r="V1328" s="1">
        <v>45357</v>
      </c>
      <c r="W1328">
        <f>Table1[[#This Row],[customer_purchase count]]+1</f>
        <v>18</v>
      </c>
      <c r="X1328">
        <f>Table1[[#This Row],[customer_purchase count]]*Rules!$B$3</f>
        <v>1015.9941025641026</v>
      </c>
      <c r="Y1328" t="str">
        <f>IF(Table1[[#This Row],[customer_subscription]]=1,"Subscribed","Not Subscribed")</f>
        <v>Not Subscribed</v>
      </c>
      <c r="Z1328" t="s">
        <v>194</v>
      </c>
    </row>
    <row r="1329" spans="1:26" x14ac:dyDescent="0.25">
      <c r="A1329">
        <v>1328</v>
      </c>
      <c r="B1329">
        <v>52</v>
      </c>
      <c r="C1329" t="s">
        <v>22</v>
      </c>
      <c r="D1329">
        <v>1328</v>
      </c>
      <c r="E1329" t="s">
        <v>65</v>
      </c>
      <c r="F1329" t="s">
        <v>66</v>
      </c>
      <c r="G1329">
        <v>1328</v>
      </c>
      <c r="H1329">
        <v>1792</v>
      </c>
      <c r="I1329">
        <v>40</v>
      </c>
      <c r="J1329" t="s">
        <v>106</v>
      </c>
      <c r="K1329" t="s">
        <v>47</v>
      </c>
      <c r="L1329" t="s">
        <v>51</v>
      </c>
      <c r="M1329" t="s">
        <v>28</v>
      </c>
      <c r="N1329">
        <v>2.8</v>
      </c>
      <c r="O1329">
        <v>0</v>
      </c>
      <c r="P1329" t="s">
        <v>57</v>
      </c>
      <c r="Q1329" t="s">
        <v>30</v>
      </c>
      <c r="R1329" t="s">
        <v>30</v>
      </c>
      <c r="S1329">
        <v>37</v>
      </c>
      <c r="T1329" t="s">
        <v>36</v>
      </c>
      <c r="U1329" t="s">
        <v>43</v>
      </c>
      <c r="V1329" s="1">
        <v>45643</v>
      </c>
      <c r="W1329">
        <f>Table1[[#This Row],[customer_purchase count]]+1</f>
        <v>38</v>
      </c>
      <c r="X1329">
        <f>Table1[[#This Row],[customer_purchase count]]*Rules!$B$3</f>
        <v>2211.2812820512822</v>
      </c>
      <c r="Y1329" t="str">
        <f>IF(Table1[[#This Row],[customer_subscription]]=1,"Subscribed","Not Subscribed")</f>
        <v>Not Subscribed</v>
      </c>
    </row>
    <row r="1330" spans="1:26" x14ac:dyDescent="0.25">
      <c r="A1330">
        <v>1329</v>
      </c>
      <c r="B1330">
        <v>37</v>
      </c>
      <c r="C1330" t="s">
        <v>22</v>
      </c>
      <c r="D1330">
        <v>1329</v>
      </c>
      <c r="E1330" t="s">
        <v>33</v>
      </c>
      <c r="F1330" t="s">
        <v>24</v>
      </c>
      <c r="G1330">
        <v>1329</v>
      </c>
      <c r="H1330">
        <v>1793</v>
      </c>
      <c r="I1330">
        <v>97</v>
      </c>
      <c r="J1330" t="s">
        <v>46</v>
      </c>
      <c r="K1330" t="s">
        <v>47</v>
      </c>
      <c r="L1330" t="s">
        <v>124</v>
      </c>
      <c r="M1330" t="s">
        <v>28</v>
      </c>
      <c r="N1330">
        <v>3.7</v>
      </c>
      <c r="O1330">
        <v>0</v>
      </c>
      <c r="P1330" t="s">
        <v>57</v>
      </c>
      <c r="Q1330" t="s">
        <v>30</v>
      </c>
      <c r="R1330" t="s">
        <v>30</v>
      </c>
      <c r="S1330">
        <v>40</v>
      </c>
      <c r="T1330" t="s">
        <v>78</v>
      </c>
      <c r="U1330" t="s">
        <v>43</v>
      </c>
      <c r="V1330" s="1">
        <v>45629</v>
      </c>
      <c r="W1330">
        <f>Table1[[#This Row],[customer_purchase count]]+1</f>
        <v>41</v>
      </c>
      <c r="X1330">
        <f>Table1[[#This Row],[customer_purchase count]]*Rules!$B$3</f>
        <v>2390.5743589743593</v>
      </c>
      <c r="Y1330" t="str">
        <f>IF(Table1[[#This Row],[customer_subscription]]=1,"Subscribed","Not Subscribed")</f>
        <v>Not Subscribed</v>
      </c>
    </row>
    <row r="1331" spans="1:26" x14ac:dyDescent="0.25">
      <c r="A1331">
        <v>1330</v>
      </c>
      <c r="B1331">
        <v>70</v>
      </c>
      <c r="C1331" t="s">
        <v>22</v>
      </c>
      <c r="D1331">
        <v>1330</v>
      </c>
      <c r="E1331" t="s">
        <v>146</v>
      </c>
      <c r="F1331" t="s">
        <v>70</v>
      </c>
      <c r="G1331">
        <v>1330</v>
      </c>
      <c r="H1331">
        <v>1795</v>
      </c>
      <c r="I1331">
        <v>63</v>
      </c>
      <c r="J1331" t="s">
        <v>108</v>
      </c>
      <c r="K1331" t="s">
        <v>47</v>
      </c>
      <c r="L1331" t="s">
        <v>129</v>
      </c>
      <c r="M1331" t="s">
        <v>60</v>
      </c>
      <c r="N1331">
        <v>3.3</v>
      </c>
      <c r="O1331">
        <v>0</v>
      </c>
      <c r="P1331" t="s">
        <v>29</v>
      </c>
      <c r="Q1331" t="s">
        <v>30</v>
      </c>
      <c r="R1331" t="s">
        <v>30</v>
      </c>
      <c r="S1331">
        <v>50</v>
      </c>
      <c r="T1331" t="s">
        <v>49</v>
      </c>
      <c r="U1331" t="s">
        <v>100</v>
      </c>
      <c r="V1331" s="1">
        <v>45592</v>
      </c>
      <c r="W1331">
        <f>Table1[[#This Row],[customer_purchase count]]+1</f>
        <v>51</v>
      </c>
      <c r="X1331">
        <f>Table1[[#This Row],[customer_purchase count]]*Rules!$B$3</f>
        <v>2988.2179487179487</v>
      </c>
      <c r="Y1331" t="str">
        <f>IF(Table1[[#This Row],[customer_subscription]]=1,"Subscribed","Not Subscribed")</f>
        <v>Not Subscribed</v>
      </c>
    </row>
    <row r="1332" spans="1:26" x14ac:dyDescent="0.25">
      <c r="A1332">
        <v>1331</v>
      </c>
      <c r="B1332">
        <v>30</v>
      </c>
      <c r="C1332" t="s">
        <v>22</v>
      </c>
      <c r="D1332">
        <v>1331</v>
      </c>
      <c r="E1332" t="s">
        <v>69</v>
      </c>
      <c r="F1332" t="s">
        <v>70</v>
      </c>
      <c r="G1332">
        <v>1331</v>
      </c>
      <c r="H1332">
        <v>1796</v>
      </c>
      <c r="I1332">
        <v>65</v>
      </c>
      <c r="J1332" t="s">
        <v>132</v>
      </c>
      <c r="K1332" t="s">
        <v>47</v>
      </c>
      <c r="L1332" t="s">
        <v>64</v>
      </c>
      <c r="M1332" t="s">
        <v>60</v>
      </c>
      <c r="N1332">
        <v>2.9</v>
      </c>
      <c r="O1332">
        <v>0</v>
      </c>
      <c r="P1332" t="s">
        <v>57</v>
      </c>
      <c r="Q1332" t="s">
        <v>30</v>
      </c>
      <c r="R1332" t="s">
        <v>30</v>
      </c>
      <c r="S1332">
        <v>20</v>
      </c>
      <c r="T1332" t="s">
        <v>49</v>
      </c>
      <c r="U1332" t="s">
        <v>79</v>
      </c>
      <c r="V1332" s="1">
        <v>45587</v>
      </c>
      <c r="W1332">
        <f>Table1[[#This Row],[customer_purchase count]]+1</f>
        <v>21</v>
      </c>
      <c r="X1332">
        <f>Table1[[#This Row],[customer_purchase count]]*Rules!$B$3</f>
        <v>1195.2871794871796</v>
      </c>
      <c r="Y1332" t="str">
        <f>IF(Table1[[#This Row],[customer_subscription]]=1,"Subscribed","Not Subscribed")</f>
        <v>Not Subscribed</v>
      </c>
    </row>
    <row r="1333" spans="1:26" x14ac:dyDescent="0.25">
      <c r="A1333">
        <v>1332</v>
      </c>
      <c r="B1333">
        <v>38</v>
      </c>
      <c r="C1333" t="s">
        <v>22</v>
      </c>
      <c r="D1333">
        <v>1332</v>
      </c>
      <c r="E1333" t="s">
        <v>128</v>
      </c>
      <c r="F1333" t="s">
        <v>24</v>
      </c>
      <c r="G1333">
        <v>1332</v>
      </c>
      <c r="H1333">
        <v>1797</v>
      </c>
      <c r="I1333">
        <v>91</v>
      </c>
      <c r="J1333" t="s">
        <v>131</v>
      </c>
      <c r="K1333" t="s">
        <v>47</v>
      </c>
      <c r="L1333" t="s">
        <v>96</v>
      </c>
      <c r="M1333" t="s">
        <v>40</v>
      </c>
      <c r="N1333">
        <v>3.2</v>
      </c>
      <c r="O1333">
        <v>0</v>
      </c>
      <c r="P1333" t="s">
        <v>57</v>
      </c>
      <c r="Q1333" t="s">
        <v>30</v>
      </c>
      <c r="R1333" t="s">
        <v>30</v>
      </c>
      <c r="S1333">
        <v>8</v>
      </c>
      <c r="T1333" t="s">
        <v>49</v>
      </c>
      <c r="U1333" t="s">
        <v>79</v>
      </c>
      <c r="V1333" s="1">
        <v>45377</v>
      </c>
      <c r="W1333">
        <f>Table1[[#This Row],[customer_purchase count]]+1</f>
        <v>9</v>
      </c>
      <c r="X1333">
        <f>Table1[[#This Row],[customer_purchase count]]*Rules!$B$3</f>
        <v>478.11487179487182</v>
      </c>
      <c r="Y1333" t="str">
        <f>IF(Table1[[#This Row],[customer_subscription]]=1,"Subscribed","Not Subscribed")</f>
        <v>Not Subscribed</v>
      </c>
      <c r="Z1333" t="s">
        <v>194</v>
      </c>
    </row>
    <row r="1334" spans="1:26" x14ac:dyDescent="0.25">
      <c r="A1334">
        <v>1333</v>
      </c>
      <c r="B1334">
        <v>66</v>
      </c>
      <c r="C1334" t="s">
        <v>22</v>
      </c>
      <c r="D1334">
        <v>1333</v>
      </c>
      <c r="E1334" t="s">
        <v>107</v>
      </c>
      <c r="F1334" t="s">
        <v>24</v>
      </c>
      <c r="G1334">
        <v>1333</v>
      </c>
      <c r="H1334">
        <v>1798</v>
      </c>
      <c r="I1334">
        <v>60</v>
      </c>
      <c r="J1334" t="s">
        <v>123</v>
      </c>
      <c r="K1334" t="s">
        <v>39</v>
      </c>
      <c r="L1334" t="s">
        <v>83</v>
      </c>
      <c r="M1334" t="s">
        <v>40</v>
      </c>
      <c r="N1334">
        <v>4.3</v>
      </c>
      <c r="O1334">
        <v>0</v>
      </c>
      <c r="P1334" t="s">
        <v>77</v>
      </c>
      <c r="Q1334" t="s">
        <v>30</v>
      </c>
      <c r="R1334" t="s">
        <v>30</v>
      </c>
      <c r="S1334">
        <v>16</v>
      </c>
      <c r="T1334" t="s">
        <v>78</v>
      </c>
      <c r="U1334" t="s">
        <v>61</v>
      </c>
      <c r="V1334" s="1">
        <v>45384</v>
      </c>
      <c r="W1334">
        <f>Table1[[#This Row],[customer_purchase count]]+1</f>
        <v>17</v>
      </c>
      <c r="X1334">
        <f>Table1[[#This Row],[customer_purchase count]]*Rules!$B$3</f>
        <v>956.22974358974363</v>
      </c>
      <c r="Y1334" t="str">
        <f>IF(Table1[[#This Row],[customer_subscription]]=1,"Subscribed","Not Subscribed")</f>
        <v>Not Subscribed</v>
      </c>
      <c r="Z1334" t="s">
        <v>194</v>
      </c>
    </row>
    <row r="1335" spans="1:26" x14ac:dyDescent="0.25">
      <c r="A1335">
        <v>1334</v>
      </c>
      <c r="B1335">
        <v>29</v>
      </c>
      <c r="C1335" t="s">
        <v>22</v>
      </c>
      <c r="D1335">
        <v>1334</v>
      </c>
      <c r="E1335" t="s">
        <v>98</v>
      </c>
      <c r="F1335" t="s">
        <v>24</v>
      </c>
      <c r="G1335">
        <v>1334</v>
      </c>
      <c r="H1335">
        <v>1799</v>
      </c>
      <c r="I1335">
        <v>69</v>
      </c>
      <c r="J1335" t="s">
        <v>138</v>
      </c>
      <c r="K1335" t="s">
        <v>47</v>
      </c>
      <c r="L1335" t="s">
        <v>96</v>
      </c>
      <c r="M1335" t="s">
        <v>28</v>
      </c>
      <c r="N1335">
        <v>2.7</v>
      </c>
      <c r="O1335">
        <v>0</v>
      </c>
      <c r="P1335" t="s">
        <v>48</v>
      </c>
      <c r="Q1335" t="s">
        <v>30</v>
      </c>
      <c r="R1335" t="s">
        <v>30</v>
      </c>
      <c r="S1335">
        <v>9</v>
      </c>
      <c r="T1335" t="s">
        <v>78</v>
      </c>
      <c r="U1335" t="s">
        <v>61</v>
      </c>
      <c r="V1335" s="1">
        <v>45304</v>
      </c>
      <c r="W1335">
        <f>Table1[[#This Row],[customer_purchase count]]+1</f>
        <v>10</v>
      </c>
      <c r="X1335">
        <f>Table1[[#This Row],[customer_purchase count]]*Rules!$B$3</f>
        <v>537.87923076923084</v>
      </c>
      <c r="Y1335" t="str">
        <f>IF(Table1[[#This Row],[customer_subscription]]=1,"Subscribed","Not Subscribed")</f>
        <v>Not Subscribed</v>
      </c>
      <c r="Z1335" t="s">
        <v>187</v>
      </c>
    </row>
    <row r="1336" spans="1:26" x14ac:dyDescent="0.25">
      <c r="A1336">
        <v>1335</v>
      </c>
      <c r="B1336">
        <v>46</v>
      </c>
      <c r="C1336" t="s">
        <v>22</v>
      </c>
      <c r="D1336">
        <v>1335</v>
      </c>
      <c r="E1336" t="s">
        <v>65</v>
      </c>
      <c r="F1336" t="s">
        <v>66</v>
      </c>
      <c r="G1336">
        <v>1335</v>
      </c>
      <c r="H1336">
        <v>1801</v>
      </c>
      <c r="I1336">
        <v>52</v>
      </c>
      <c r="J1336" t="s">
        <v>67</v>
      </c>
      <c r="K1336" t="s">
        <v>39</v>
      </c>
      <c r="L1336" t="s">
        <v>55</v>
      </c>
      <c r="M1336" t="s">
        <v>40</v>
      </c>
      <c r="N1336">
        <v>4.2</v>
      </c>
      <c r="O1336">
        <v>0</v>
      </c>
      <c r="P1336" t="s">
        <v>77</v>
      </c>
      <c r="Q1336" t="s">
        <v>30</v>
      </c>
      <c r="R1336" t="s">
        <v>30</v>
      </c>
      <c r="S1336">
        <v>12</v>
      </c>
      <c r="T1336" t="s">
        <v>31</v>
      </c>
      <c r="U1336" t="s">
        <v>91</v>
      </c>
      <c r="V1336" s="1">
        <v>45431</v>
      </c>
      <c r="W1336">
        <f>Table1[[#This Row],[customer_purchase count]]+1</f>
        <v>13</v>
      </c>
      <c r="X1336">
        <f>Table1[[#This Row],[customer_purchase count]]*Rules!$B$3</f>
        <v>717.17230769230775</v>
      </c>
      <c r="Y1336" t="str">
        <f>IF(Table1[[#This Row],[customer_subscription]]=1,"Subscribed","Not Subscribed")</f>
        <v>Not Subscribed</v>
      </c>
      <c r="Z1336" t="s">
        <v>194</v>
      </c>
    </row>
    <row r="1337" spans="1:26" x14ac:dyDescent="0.25">
      <c r="A1337">
        <v>1336</v>
      </c>
      <c r="B1337">
        <v>56</v>
      </c>
      <c r="C1337" t="s">
        <v>22</v>
      </c>
      <c r="D1337">
        <v>1336</v>
      </c>
      <c r="E1337" t="s">
        <v>140</v>
      </c>
      <c r="F1337" t="s">
        <v>45</v>
      </c>
      <c r="G1337">
        <v>1336</v>
      </c>
      <c r="H1337">
        <v>1802</v>
      </c>
      <c r="I1337">
        <v>49</v>
      </c>
      <c r="J1337" t="s">
        <v>110</v>
      </c>
      <c r="K1337" t="s">
        <v>47</v>
      </c>
      <c r="L1337" t="s">
        <v>96</v>
      </c>
      <c r="M1337" t="s">
        <v>60</v>
      </c>
      <c r="N1337">
        <v>4.8</v>
      </c>
      <c r="O1337">
        <v>0</v>
      </c>
      <c r="P1337" t="s">
        <v>73</v>
      </c>
      <c r="Q1337" t="s">
        <v>30</v>
      </c>
      <c r="R1337" t="s">
        <v>30</v>
      </c>
      <c r="S1337">
        <v>26</v>
      </c>
      <c r="T1337" t="s">
        <v>42</v>
      </c>
      <c r="U1337" t="s">
        <v>43</v>
      </c>
      <c r="V1337" s="1">
        <v>45590</v>
      </c>
      <c r="W1337">
        <f>Table1[[#This Row],[customer_purchase count]]+1</f>
        <v>27</v>
      </c>
      <c r="X1337">
        <f>Table1[[#This Row],[customer_purchase count]]*Rules!$B$3</f>
        <v>1553.8733333333334</v>
      </c>
      <c r="Y1337" t="str">
        <f>IF(Table1[[#This Row],[customer_subscription]]=1,"Subscribed","Not Subscribed")</f>
        <v>Not Subscribed</v>
      </c>
    </row>
    <row r="1338" spans="1:26" x14ac:dyDescent="0.25">
      <c r="A1338">
        <v>1337</v>
      </c>
      <c r="B1338">
        <v>23</v>
      </c>
      <c r="C1338" t="s">
        <v>22</v>
      </c>
      <c r="D1338">
        <v>1337</v>
      </c>
      <c r="E1338" t="s">
        <v>53</v>
      </c>
      <c r="F1338" t="s">
        <v>45</v>
      </c>
      <c r="G1338">
        <v>1337</v>
      </c>
      <c r="H1338">
        <v>1803</v>
      </c>
      <c r="I1338">
        <v>85</v>
      </c>
      <c r="J1338" t="s">
        <v>50</v>
      </c>
      <c r="K1338" t="s">
        <v>47</v>
      </c>
      <c r="L1338" t="s">
        <v>64</v>
      </c>
      <c r="M1338" t="s">
        <v>40</v>
      </c>
      <c r="N1338">
        <v>4.8</v>
      </c>
      <c r="O1338">
        <v>0</v>
      </c>
      <c r="P1338" t="s">
        <v>77</v>
      </c>
      <c r="Q1338" t="s">
        <v>30</v>
      </c>
      <c r="R1338" t="s">
        <v>30</v>
      </c>
      <c r="S1338">
        <v>44</v>
      </c>
      <c r="T1338" t="s">
        <v>89</v>
      </c>
      <c r="U1338" t="s">
        <v>32</v>
      </c>
      <c r="V1338" s="1">
        <v>45401</v>
      </c>
      <c r="W1338">
        <f>Table1[[#This Row],[customer_purchase count]]+1</f>
        <v>45</v>
      </c>
      <c r="X1338">
        <f>Table1[[#This Row],[customer_purchase count]]*Rules!$B$3</f>
        <v>2629.6317948717951</v>
      </c>
      <c r="Y1338" t="str">
        <f>IF(Table1[[#This Row],[customer_subscription]]=1,"Subscribed","Not Subscribed")</f>
        <v>Not Subscribed</v>
      </c>
    </row>
    <row r="1339" spans="1:26" x14ac:dyDescent="0.25">
      <c r="A1339">
        <v>1338</v>
      </c>
      <c r="B1339">
        <v>37</v>
      </c>
      <c r="C1339" t="s">
        <v>22</v>
      </c>
      <c r="D1339">
        <v>1338</v>
      </c>
      <c r="E1339" t="s">
        <v>33</v>
      </c>
      <c r="F1339" t="s">
        <v>24</v>
      </c>
      <c r="G1339">
        <v>1338</v>
      </c>
      <c r="H1339">
        <v>1804</v>
      </c>
      <c r="I1339">
        <v>86</v>
      </c>
      <c r="J1339" t="s">
        <v>125</v>
      </c>
      <c r="K1339" t="s">
        <v>26</v>
      </c>
      <c r="L1339" t="s">
        <v>68</v>
      </c>
      <c r="M1339" t="s">
        <v>40</v>
      </c>
      <c r="N1339">
        <v>3.4</v>
      </c>
      <c r="O1339">
        <v>0</v>
      </c>
      <c r="P1339" t="s">
        <v>29</v>
      </c>
      <c r="Q1339" t="s">
        <v>30</v>
      </c>
      <c r="R1339" t="s">
        <v>30</v>
      </c>
      <c r="S1339">
        <v>19</v>
      </c>
      <c r="T1339" t="s">
        <v>42</v>
      </c>
      <c r="U1339" t="s">
        <v>79</v>
      </c>
      <c r="V1339" s="1">
        <v>45434</v>
      </c>
      <c r="W1339">
        <f>Table1[[#This Row],[customer_purchase count]]+1</f>
        <v>20</v>
      </c>
      <c r="X1339">
        <f>Table1[[#This Row],[customer_purchase count]]*Rules!$B$3</f>
        <v>1135.5228205128205</v>
      </c>
      <c r="Y1339" t="str">
        <f>IF(Table1[[#This Row],[customer_subscription]]=1,"Subscribed","Not Subscribed")</f>
        <v>Not Subscribed</v>
      </c>
    </row>
    <row r="1340" spans="1:26" x14ac:dyDescent="0.25">
      <c r="A1340">
        <v>1339</v>
      </c>
      <c r="B1340">
        <v>56</v>
      </c>
      <c r="C1340" t="s">
        <v>22</v>
      </c>
      <c r="D1340">
        <v>1339</v>
      </c>
      <c r="E1340" t="s">
        <v>69</v>
      </c>
      <c r="F1340" t="s">
        <v>70</v>
      </c>
      <c r="G1340">
        <v>1339</v>
      </c>
      <c r="H1340">
        <v>1805</v>
      </c>
      <c r="I1340">
        <v>51</v>
      </c>
      <c r="J1340" t="s">
        <v>93</v>
      </c>
      <c r="K1340" t="s">
        <v>39</v>
      </c>
      <c r="L1340" t="s">
        <v>137</v>
      </c>
      <c r="M1340" t="s">
        <v>28</v>
      </c>
      <c r="N1340">
        <v>2.6</v>
      </c>
      <c r="O1340">
        <v>0</v>
      </c>
      <c r="P1340" t="s">
        <v>57</v>
      </c>
      <c r="Q1340" t="s">
        <v>30</v>
      </c>
      <c r="R1340" t="s">
        <v>30</v>
      </c>
      <c r="S1340">
        <v>43</v>
      </c>
      <c r="T1340" t="s">
        <v>49</v>
      </c>
      <c r="U1340" t="s">
        <v>32</v>
      </c>
      <c r="V1340" s="1">
        <v>45332</v>
      </c>
      <c r="W1340">
        <f>Table1[[#This Row],[customer_purchase count]]+1</f>
        <v>44</v>
      </c>
      <c r="X1340">
        <f>Table1[[#This Row],[customer_purchase count]]*Rules!$B$3</f>
        <v>2569.8674358974358</v>
      </c>
      <c r="Y1340" t="str">
        <f>IF(Table1[[#This Row],[customer_subscription]]=1,"Subscribed","Not Subscribed")</f>
        <v>Not Subscribed</v>
      </c>
    </row>
    <row r="1341" spans="1:26" x14ac:dyDescent="0.25">
      <c r="A1341">
        <v>1340</v>
      </c>
      <c r="B1341">
        <v>36</v>
      </c>
      <c r="C1341" t="s">
        <v>22</v>
      </c>
      <c r="D1341">
        <v>1340</v>
      </c>
      <c r="E1341" t="s">
        <v>136</v>
      </c>
      <c r="F1341" t="s">
        <v>70</v>
      </c>
      <c r="G1341">
        <v>1340</v>
      </c>
      <c r="H1341">
        <v>1807</v>
      </c>
      <c r="I1341">
        <v>56</v>
      </c>
      <c r="J1341" t="s">
        <v>119</v>
      </c>
      <c r="K1341" t="s">
        <v>26</v>
      </c>
      <c r="L1341" t="s">
        <v>81</v>
      </c>
      <c r="M1341" t="s">
        <v>28</v>
      </c>
      <c r="N1341">
        <v>5</v>
      </c>
      <c r="O1341">
        <v>0</v>
      </c>
      <c r="P1341" t="s">
        <v>48</v>
      </c>
      <c r="Q1341" t="s">
        <v>30</v>
      </c>
      <c r="R1341" t="s">
        <v>30</v>
      </c>
      <c r="S1341">
        <v>5</v>
      </c>
      <c r="T1341" t="s">
        <v>78</v>
      </c>
      <c r="U1341" t="s">
        <v>100</v>
      </c>
      <c r="V1341" s="1">
        <v>45631</v>
      </c>
      <c r="W1341">
        <f>Table1[[#This Row],[customer_purchase count]]+1</f>
        <v>6</v>
      </c>
      <c r="X1341">
        <f>Table1[[#This Row],[customer_purchase count]]*Rules!$B$3</f>
        <v>298.82179487179491</v>
      </c>
      <c r="Y1341" t="str">
        <f>IF(Table1[[#This Row],[customer_subscription]]=1,"Subscribed","Not Subscribed")</f>
        <v>Not Subscribed</v>
      </c>
      <c r="Z1341" t="s">
        <v>194</v>
      </c>
    </row>
    <row r="1342" spans="1:26" x14ac:dyDescent="0.25">
      <c r="A1342">
        <v>1341</v>
      </c>
      <c r="B1342">
        <v>40</v>
      </c>
      <c r="C1342" t="s">
        <v>22</v>
      </c>
      <c r="D1342">
        <v>1341</v>
      </c>
      <c r="E1342" t="s">
        <v>136</v>
      </c>
      <c r="F1342" t="s">
        <v>70</v>
      </c>
      <c r="G1342">
        <v>1341</v>
      </c>
      <c r="H1342">
        <v>1808</v>
      </c>
      <c r="I1342">
        <v>72</v>
      </c>
      <c r="J1342" t="s">
        <v>138</v>
      </c>
      <c r="K1342" t="s">
        <v>47</v>
      </c>
      <c r="L1342" t="s">
        <v>103</v>
      </c>
      <c r="M1342" t="s">
        <v>60</v>
      </c>
      <c r="N1342">
        <v>4.4000000000000004</v>
      </c>
      <c r="O1342">
        <v>0</v>
      </c>
      <c r="P1342" t="s">
        <v>48</v>
      </c>
      <c r="Q1342" t="s">
        <v>30</v>
      </c>
      <c r="R1342" t="s">
        <v>30</v>
      </c>
      <c r="S1342">
        <v>5</v>
      </c>
      <c r="T1342" t="s">
        <v>89</v>
      </c>
      <c r="U1342" t="s">
        <v>100</v>
      </c>
      <c r="V1342" s="1">
        <v>45570</v>
      </c>
      <c r="W1342">
        <f>Table1[[#This Row],[customer_purchase count]]+1</f>
        <v>6</v>
      </c>
      <c r="X1342">
        <f>Table1[[#This Row],[customer_purchase count]]*Rules!$B$3</f>
        <v>298.82179487179491</v>
      </c>
      <c r="Y1342" t="str">
        <f>IF(Table1[[#This Row],[customer_subscription]]=1,"Subscribed","Not Subscribed")</f>
        <v>Not Subscribed</v>
      </c>
      <c r="Z1342" t="s">
        <v>194</v>
      </c>
    </row>
    <row r="1343" spans="1:26" x14ac:dyDescent="0.25">
      <c r="A1343">
        <v>1342</v>
      </c>
      <c r="B1343">
        <v>26</v>
      </c>
      <c r="C1343" t="s">
        <v>22</v>
      </c>
      <c r="D1343">
        <v>1342</v>
      </c>
      <c r="E1343" t="s">
        <v>107</v>
      </c>
      <c r="F1343" t="s">
        <v>24</v>
      </c>
      <c r="G1343">
        <v>1342</v>
      </c>
      <c r="H1343">
        <v>1809</v>
      </c>
      <c r="I1343">
        <v>27</v>
      </c>
      <c r="J1343" t="s">
        <v>46</v>
      </c>
      <c r="K1343" t="s">
        <v>95</v>
      </c>
      <c r="L1343" t="s">
        <v>137</v>
      </c>
      <c r="M1343" t="s">
        <v>60</v>
      </c>
      <c r="N1343">
        <v>2.9</v>
      </c>
      <c r="O1343">
        <v>0</v>
      </c>
      <c r="P1343" t="s">
        <v>57</v>
      </c>
      <c r="Q1343" t="s">
        <v>30</v>
      </c>
      <c r="R1343" t="s">
        <v>30</v>
      </c>
      <c r="S1343">
        <v>31</v>
      </c>
      <c r="T1343" t="s">
        <v>78</v>
      </c>
      <c r="U1343" t="s">
        <v>61</v>
      </c>
      <c r="V1343" s="1">
        <v>45546</v>
      </c>
      <c r="W1343">
        <f>Table1[[#This Row],[customer_purchase count]]+1</f>
        <v>32</v>
      </c>
      <c r="X1343">
        <f>Table1[[#This Row],[customer_purchase count]]*Rules!$B$3</f>
        <v>1852.6951282051282</v>
      </c>
      <c r="Y1343" t="str">
        <f>IF(Table1[[#This Row],[customer_subscription]]=1,"Subscribed","Not Subscribed")</f>
        <v>Not Subscribed</v>
      </c>
    </row>
    <row r="1344" spans="1:26" x14ac:dyDescent="0.25">
      <c r="A1344">
        <v>1343</v>
      </c>
      <c r="B1344">
        <v>57</v>
      </c>
      <c r="C1344" t="s">
        <v>22</v>
      </c>
      <c r="D1344">
        <v>1343</v>
      </c>
      <c r="E1344" t="s">
        <v>92</v>
      </c>
      <c r="F1344" t="s">
        <v>70</v>
      </c>
      <c r="G1344">
        <v>1343</v>
      </c>
      <c r="H1344">
        <v>1810</v>
      </c>
      <c r="I1344">
        <v>43</v>
      </c>
      <c r="J1344" t="s">
        <v>120</v>
      </c>
      <c r="K1344" t="s">
        <v>95</v>
      </c>
      <c r="L1344" t="s">
        <v>137</v>
      </c>
      <c r="M1344" t="s">
        <v>56</v>
      </c>
      <c r="N1344">
        <v>3.4</v>
      </c>
      <c r="O1344">
        <v>0</v>
      </c>
      <c r="P1344" t="s">
        <v>73</v>
      </c>
      <c r="Q1344" t="s">
        <v>30</v>
      </c>
      <c r="R1344" t="s">
        <v>30</v>
      </c>
      <c r="S1344">
        <v>11</v>
      </c>
      <c r="T1344" t="s">
        <v>78</v>
      </c>
      <c r="U1344" t="s">
        <v>91</v>
      </c>
      <c r="V1344" s="1">
        <v>45470</v>
      </c>
      <c r="W1344">
        <f>Table1[[#This Row],[customer_purchase count]]+1</f>
        <v>12</v>
      </c>
      <c r="X1344">
        <f>Table1[[#This Row],[customer_purchase count]]*Rules!$B$3</f>
        <v>657.40794871794878</v>
      </c>
      <c r="Y1344" t="str">
        <f>IF(Table1[[#This Row],[customer_subscription]]=1,"Subscribed","Not Subscribed")</f>
        <v>Not Subscribed</v>
      </c>
      <c r="Z1344" t="s">
        <v>194</v>
      </c>
    </row>
    <row r="1345" spans="1:26" x14ac:dyDescent="0.25">
      <c r="A1345">
        <v>1344</v>
      </c>
      <c r="B1345">
        <v>68</v>
      </c>
      <c r="C1345" t="s">
        <v>22</v>
      </c>
      <c r="D1345">
        <v>1344</v>
      </c>
      <c r="E1345" t="s">
        <v>53</v>
      </c>
      <c r="F1345" t="s">
        <v>45</v>
      </c>
      <c r="G1345">
        <v>1344</v>
      </c>
      <c r="H1345">
        <v>1811</v>
      </c>
      <c r="I1345">
        <v>56</v>
      </c>
      <c r="J1345" t="s">
        <v>106</v>
      </c>
      <c r="K1345" t="s">
        <v>47</v>
      </c>
      <c r="L1345" t="s">
        <v>129</v>
      </c>
      <c r="M1345" t="s">
        <v>40</v>
      </c>
      <c r="N1345">
        <v>3.4</v>
      </c>
      <c r="O1345">
        <v>0</v>
      </c>
      <c r="P1345" t="s">
        <v>57</v>
      </c>
      <c r="Q1345" t="s">
        <v>30</v>
      </c>
      <c r="R1345" t="s">
        <v>30</v>
      </c>
      <c r="S1345">
        <v>34</v>
      </c>
      <c r="T1345" t="s">
        <v>78</v>
      </c>
      <c r="U1345" t="s">
        <v>91</v>
      </c>
      <c r="V1345" s="1">
        <v>45423</v>
      </c>
      <c r="W1345">
        <f>Table1[[#This Row],[customer_purchase count]]+1</f>
        <v>35</v>
      </c>
      <c r="X1345">
        <f>Table1[[#This Row],[customer_purchase count]]*Rules!$B$3</f>
        <v>2031.9882051282052</v>
      </c>
      <c r="Y1345" t="str">
        <f>IF(Table1[[#This Row],[customer_subscription]]=1,"Subscribed","Not Subscribed")</f>
        <v>Not Subscribed</v>
      </c>
    </row>
    <row r="1346" spans="1:26" x14ac:dyDescent="0.25">
      <c r="A1346">
        <v>1345</v>
      </c>
      <c r="B1346">
        <v>56</v>
      </c>
      <c r="C1346" t="s">
        <v>22</v>
      </c>
      <c r="D1346">
        <v>1345</v>
      </c>
      <c r="E1346" t="s">
        <v>116</v>
      </c>
      <c r="F1346" t="s">
        <v>24</v>
      </c>
      <c r="G1346">
        <v>1345</v>
      </c>
      <c r="H1346">
        <v>1813</v>
      </c>
      <c r="I1346">
        <v>37</v>
      </c>
      <c r="J1346" t="s">
        <v>87</v>
      </c>
      <c r="K1346" t="s">
        <v>39</v>
      </c>
      <c r="L1346" t="s">
        <v>86</v>
      </c>
      <c r="M1346" t="s">
        <v>60</v>
      </c>
      <c r="N1346">
        <v>4.9000000000000004</v>
      </c>
      <c r="O1346">
        <v>0</v>
      </c>
      <c r="P1346" t="s">
        <v>48</v>
      </c>
      <c r="Q1346" t="s">
        <v>30</v>
      </c>
      <c r="R1346" t="s">
        <v>30</v>
      </c>
      <c r="S1346">
        <v>14</v>
      </c>
      <c r="T1346" t="s">
        <v>36</v>
      </c>
      <c r="U1346" t="s">
        <v>52</v>
      </c>
      <c r="V1346" s="1">
        <v>45621</v>
      </c>
      <c r="W1346">
        <f>Table1[[#This Row],[customer_purchase count]]+1</f>
        <v>15</v>
      </c>
      <c r="X1346">
        <f>Table1[[#This Row],[customer_purchase count]]*Rules!$B$3</f>
        <v>836.70102564102569</v>
      </c>
      <c r="Y1346" t="str">
        <f>IF(Table1[[#This Row],[customer_subscription]]=1,"Subscribed","Not Subscribed")</f>
        <v>Not Subscribed</v>
      </c>
      <c r="Z1346" t="s">
        <v>194</v>
      </c>
    </row>
    <row r="1347" spans="1:26" x14ac:dyDescent="0.25">
      <c r="A1347">
        <v>1346</v>
      </c>
      <c r="B1347">
        <v>40</v>
      </c>
      <c r="C1347" t="s">
        <v>22</v>
      </c>
      <c r="D1347">
        <v>1346</v>
      </c>
      <c r="E1347" t="s">
        <v>84</v>
      </c>
      <c r="F1347" t="s">
        <v>24</v>
      </c>
      <c r="G1347">
        <v>1346</v>
      </c>
      <c r="H1347">
        <v>1814</v>
      </c>
      <c r="I1347">
        <v>21</v>
      </c>
      <c r="J1347" t="s">
        <v>148</v>
      </c>
      <c r="K1347" t="s">
        <v>47</v>
      </c>
      <c r="L1347" t="s">
        <v>55</v>
      </c>
      <c r="M1347" t="s">
        <v>60</v>
      </c>
      <c r="N1347">
        <v>3.6</v>
      </c>
      <c r="O1347">
        <v>0</v>
      </c>
      <c r="P1347" t="s">
        <v>57</v>
      </c>
      <c r="Q1347" t="s">
        <v>30</v>
      </c>
      <c r="R1347" t="s">
        <v>30</v>
      </c>
      <c r="S1347">
        <v>42</v>
      </c>
      <c r="T1347" t="s">
        <v>31</v>
      </c>
      <c r="U1347" t="s">
        <v>43</v>
      </c>
      <c r="V1347" s="1">
        <v>45620</v>
      </c>
      <c r="W1347">
        <f>Table1[[#This Row],[customer_purchase count]]+1</f>
        <v>43</v>
      </c>
      <c r="X1347">
        <f>Table1[[#This Row],[customer_purchase count]]*Rules!$B$3</f>
        <v>2510.103076923077</v>
      </c>
      <c r="Y1347" t="str">
        <f>IF(Table1[[#This Row],[customer_subscription]]=1,"Subscribed","Not Subscribed")</f>
        <v>Not Subscribed</v>
      </c>
    </row>
    <row r="1348" spans="1:26" x14ac:dyDescent="0.25">
      <c r="A1348">
        <v>1347</v>
      </c>
      <c r="B1348">
        <v>44</v>
      </c>
      <c r="C1348" t="s">
        <v>22</v>
      </c>
      <c r="D1348">
        <v>1347</v>
      </c>
      <c r="E1348" t="s">
        <v>107</v>
      </c>
      <c r="F1348" t="s">
        <v>24</v>
      </c>
      <c r="G1348">
        <v>1347</v>
      </c>
      <c r="H1348">
        <v>1815</v>
      </c>
      <c r="I1348">
        <v>91</v>
      </c>
      <c r="J1348" t="s">
        <v>94</v>
      </c>
      <c r="K1348" t="s">
        <v>26</v>
      </c>
      <c r="L1348" t="s">
        <v>55</v>
      </c>
      <c r="M1348" t="s">
        <v>28</v>
      </c>
      <c r="N1348">
        <v>3</v>
      </c>
      <c r="O1348">
        <v>0</v>
      </c>
      <c r="P1348" t="s">
        <v>41</v>
      </c>
      <c r="Q1348" t="s">
        <v>30</v>
      </c>
      <c r="R1348" t="s">
        <v>30</v>
      </c>
      <c r="S1348">
        <v>15</v>
      </c>
      <c r="T1348" t="s">
        <v>31</v>
      </c>
      <c r="U1348" t="s">
        <v>79</v>
      </c>
      <c r="V1348" s="1">
        <v>45349</v>
      </c>
      <c r="W1348">
        <f>Table1[[#This Row],[customer_purchase count]]+1</f>
        <v>16</v>
      </c>
      <c r="X1348">
        <f>Table1[[#This Row],[customer_purchase count]]*Rules!$B$3</f>
        <v>896.46538461538466</v>
      </c>
      <c r="Y1348" t="str">
        <f>IF(Table1[[#This Row],[customer_subscription]]=1,"Subscribed","Not Subscribed")</f>
        <v>Not Subscribed</v>
      </c>
      <c r="Z1348" t="s">
        <v>194</v>
      </c>
    </row>
    <row r="1349" spans="1:26" x14ac:dyDescent="0.25">
      <c r="A1349">
        <v>1348</v>
      </c>
      <c r="B1349">
        <v>44</v>
      </c>
      <c r="C1349" t="s">
        <v>22</v>
      </c>
      <c r="D1349">
        <v>1348</v>
      </c>
      <c r="E1349" t="s">
        <v>33</v>
      </c>
      <c r="F1349" t="s">
        <v>24</v>
      </c>
      <c r="G1349">
        <v>1348</v>
      </c>
      <c r="H1349">
        <v>1816</v>
      </c>
      <c r="I1349">
        <v>95</v>
      </c>
      <c r="J1349" t="s">
        <v>132</v>
      </c>
      <c r="K1349" t="s">
        <v>47</v>
      </c>
      <c r="L1349" t="s">
        <v>112</v>
      </c>
      <c r="M1349" t="s">
        <v>56</v>
      </c>
      <c r="N1349">
        <v>3.9</v>
      </c>
      <c r="O1349">
        <v>0</v>
      </c>
      <c r="P1349" t="s">
        <v>73</v>
      </c>
      <c r="Q1349" t="s">
        <v>30</v>
      </c>
      <c r="R1349" t="s">
        <v>30</v>
      </c>
      <c r="S1349">
        <v>47</v>
      </c>
      <c r="T1349" t="s">
        <v>78</v>
      </c>
      <c r="U1349" t="s">
        <v>91</v>
      </c>
      <c r="V1349" s="1">
        <v>45528</v>
      </c>
      <c r="W1349">
        <f>Table1[[#This Row],[customer_purchase count]]+1</f>
        <v>48</v>
      </c>
      <c r="X1349">
        <f>Table1[[#This Row],[customer_purchase count]]*Rules!$B$3</f>
        <v>2808.9248717948717</v>
      </c>
      <c r="Y1349" t="str">
        <f>IF(Table1[[#This Row],[customer_subscription]]=1,"Subscribed","Not Subscribed")</f>
        <v>Not Subscribed</v>
      </c>
    </row>
    <row r="1350" spans="1:26" x14ac:dyDescent="0.25">
      <c r="A1350">
        <v>1349</v>
      </c>
      <c r="B1350">
        <v>19</v>
      </c>
      <c r="C1350" t="s">
        <v>22</v>
      </c>
      <c r="D1350">
        <v>1349</v>
      </c>
      <c r="E1350" t="s">
        <v>136</v>
      </c>
      <c r="F1350" t="s">
        <v>70</v>
      </c>
      <c r="G1350">
        <v>1349</v>
      </c>
      <c r="H1350">
        <v>1817</v>
      </c>
      <c r="I1350">
        <v>54</v>
      </c>
      <c r="J1350" t="s">
        <v>148</v>
      </c>
      <c r="K1350" t="s">
        <v>95</v>
      </c>
      <c r="L1350" t="s">
        <v>76</v>
      </c>
      <c r="M1350" t="s">
        <v>40</v>
      </c>
      <c r="N1350">
        <v>3.2</v>
      </c>
      <c r="O1350">
        <v>0</v>
      </c>
      <c r="P1350" t="s">
        <v>57</v>
      </c>
      <c r="Q1350" t="s">
        <v>30</v>
      </c>
      <c r="R1350" t="s">
        <v>30</v>
      </c>
      <c r="S1350">
        <v>23</v>
      </c>
      <c r="T1350" t="s">
        <v>42</v>
      </c>
      <c r="U1350" t="s">
        <v>32</v>
      </c>
      <c r="V1350" s="1">
        <v>45393</v>
      </c>
      <c r="W1350">
        <f>Table1[[#This Row],[customer_purchase count]]+1</f>
        <v>24</v>
      </c>
      <c r="X1350">
        <f>Table1[[#This Row],[customer_purchase count]]*Rules!$B$3</f>
        <v>1374.5802564102564</v>
      </c>
      <c r="Y1350" t="str">
        <f>IF(Table1[[#This Row],[customer_subscription]]=1,"Subscribed","Not Subscribed")</f>
        <v>Not Subscribed</v>
      </c>
    </row>
    <row r="1351" spans="1:26" x14ac:dyDescent="0.25">
      <c r="A1351">
        <v>1350</v>
      </c>
      <c r="B1351">
        <v>21</v>
      </c>
      <c r="C1351" t="s">
        <v>22</v>
      </c>
      <c r="D1351">
        <v>1350</v>
      </c>
      <c r="E1351" t="s">
        <v>128</v>
      </c>
      <c r="F1351" t="s">
        <v>24</v>
      </c>
      <c r="G1351">
        <v>1350</v>
      </c>
      <c r="H1351">
        <v>1819</v>
      </c>
      <c r="I1351">
        <v>36</v>
      </c>
      <c r="J1351" t="s">
        <v>134</v>
      </c>
      <c r="K1351" t="s">
        <v>95</v>
      </c>
      <c r="L1351" t="s">
        <v>97</v>
      </c>
      <c r="M1351" t="s">
        <v>40</v>
      </c>
      <c r="N1351">
        <v>3.2</v>
      </c>
      <c r="O1351">
        <v>0</v>
      </c>
      <c r="P1351" t="s">
        <v>48</v>
      </c>
      <c r="Q1351" t="s">
        <v>30</v>
      </c>
      <c r="R1351" t="s">
        <v>30</v>
      </c>
      <c r="S1351">
        <v>23</v>
      </c>
      <c r="T1351" t="s">
        <v>36</v>
      </c>
      <c r="U1351" t="s">
        <v>79</v>
      </c>
      <c r="V1351" s="1">
        <v>45392</v>
      </c>
      <c r="W1351">
        <f>Table1[[#This Row],[customer_purchase count]]+1</f>
        <v>24</v>
      </c>
      <c r="X1351">
        <f>Table1[[#This Row],[customer_purchase count]]*Rules!$B$3</f>
        <v>1374.5802564102564</v>
      </c>
      <c r="Y1351" t="str">
        <f>IF(Table1[[#This Row],[customer_subscription]]=1,"Subscribed","Not Subscribed")</f>
        <v>Not Subscribed</v>
      </c>
    </row>
    <row r="1352" spans="1:26" x14ac:dyDescent="0.25">
      <c r="A1352">
        <v>1351</v>
      </c>
      <c r="B1352">
        <v>31</v>
      </c>
      <c r="C1352" t="s">
        <v>22</v>
      </c>
      <c r="D1352">
        <v>1351</v>
      </c>
      <c r="E1352" t="s">
        <v>92</v>
      </c>
      <c r="F1352" t="s">
        <v>70</v>
      </c>
      <c r="G1352">
        <v>1351</v>
      </c>
      <c r="H1352">
        <v>1820</v>
      </c>
      <c r="I1352">
        <v>71</v>
      </c>
      <c r="J1352" t="s">
        <v>82</v>
      </c>
      <c r="K1352" t="s">
        <v>47</v>
      </c>
      <c r="L1352" t="s">
        <v>124</v>
      </c>
      <c r="M1352" t="s">
        <v>60</v>
      </c>
      <c r="N1352">
        <v>4.3</v>
      </c>
      <c r="O1352">
        <v>0</v>
      </c>
      <c r="P1352" t="s">
        <v>48</v>
      </c>
      <c r="Q1352" t="s">
        <v>30</v>
      </c>
      <c r="R1352" t="s">
        <v>30</v>
      </c>
      <c r="S1352">
        <v>1</v>
      </c>
      <c r="T1352" t="s">
        <v>36</v>
      </c>
      <c r="U1352" t="s">
        <v>100</v>
      </c>
      <c r="V1352" s="1">
        <v>45553</v>
      </c>
      <c r="W1352">
        <f>Table1[[#This Row],[customer_purchase count]]+1</f>
        <v>2</v>
      </c>
      <c r="X1352">
        <f>Table1[[#This Row],[customer_purchase count]]*Rules!$B$3</f>
        <v>59.764358974358977</v>
      </c>
      <c r="Y1352" t="str">
        <f>IF(Table1[[#This Row],[customer_subscription]]=1,"Subscribed","Not Subscribed")</f>
        <v>Not Subscribed</v>
      </c>
      <c r="Z1352" t="s">
        <v>194</v>
      </c>
    </row>
    <row r="1353" spans="1:26" x14ac:dyDescent="0.25">
      <c r="A1353">
        <v>1352</v>
      </c>
      <c r="B1353">
        <v>30</v>
      </c>
      <c r="C1353" t="s">
        <v>22</v>
      </c>
      <c r="D1353">
        <v>1352</v>
      </c>
      <c r="E1353" t="s">
        <v>65</v>
      </c>
      <c r="F1353" t="s">
        <v>66</v>
      </c>
      <c r="G1353">
        <v>1352</v>
      </c>
      <c r="H1353">
        <v>1821</v>
      </c>
      <c r="I1353">
        <v>31</v>
      </c>
      <c r="J1353" t="s">
        <v>132</v>
      </c>
      <c r="K1353" t="s">
        <v>26</v>
      </c>
      <c r="L1353" t="s">
        <v>35</v>
      </c>
      <c r="M1353" t="s">
        <v>56</v>
      </c>
      <c r="N1353">
        <v>2.8</v>
      </c>
      <c r="O1353">
        <v>0</v>
      </c>
      <c r="P1353" t="s">
        <v>73</v>
      </c>
      <c r="Q1353" t="s">
        <v>30</v>
      </c>
      <c r="R1353" t="s">
        <v>30</v>
      </c>
      <c r="S1353">
        <v>28</v>
      </c>
      <c r="T1353" t="s">
        <v>78</v>
      </c>
      <c r="U1353" t="s">
        <v>61</v>
      </c>
      <c r="V1353" s="1">
        <v>45448</v>
      </c>
      <c r="W1353">
        <f>Table1[[#This Row],[customer_purchase count]]+1</f>
        <v>29</v>
      </c>
      <c r="X1353">
        <f>Table1[[#This Row],[customer_purchase count]]*Rules!$B$3</f>
        <v>1673.4020512820514</v>
      </c>
      <c r="Y1353" t="str">
        <f>IF(Table1[[#This Row],[customer_subscription]]=1,"Subscribed","Not Subscribed")</f>
        <v>Not Subscribed</v>
      </c>
    </row>
    <row r="1354" spans="1:26" x14ac:dyDescent="0.25">
      <c r="A1354">
        <v>1353</v>
      </c>
      <c r="B1354">
        <v>65</v>
      </c>
      <c r="C1354" t="s">
        <v>22</v>
      </c>
      <c r="D1354">
        <v>1353</v>
      </c>
      <c r="E1354" t="s">
        <v>127</v>
      </c>
      <c r="F1354" t="s">
        <v>70</v>
      </c>
      <c r="G1354">
        <v>1353</v>
      </c>
      <c r="H1354">
        <v>1822</v>
      </c>
      <c r="I1354">
        <v>89</v>
      </c>
      <c r="J1354" t="s">
        <v>119</v>
      </c>
      <c r="K1354" t="s">
        <v>95</v>
      </c>
      <c r="L1354" t="s">
        <v>124</v>
      </c>
      <c r="M1354" t="s">
        <v>40</v>
      </c>
      <c r="N1354">
        <v>4.5</v>
      </c>
      <c r="O1354">
        <v>0</v>
      </c>
      <c r="P1354" t="s">
        <v>48</v>
      </c>
      <c r="Q1354" t="s">
        <v>30</v>
      </c>
      <c r="R1354" t="s">
        <v>30</v>
      </c>
      <c r="S1354">
        <v>37</v>
      </c>
      <c r="T1354" t="s">
        <v>42</v>
      </c>
      <c r="U1354" t="s">
        <v>79</v>
      </c>
      <c r="V1354" s="1">
        <v>45371</v>
      </c>
      <c r="W1354">
        <f>Table1[[#This Row],[customer_purchase count]]+1</f>
        <v>38</v>
      </c>
      <c r="X1354">
        <f>Table1[[#This Row],[customer_purchase count]]*Rules!$B$3</f>
        <v>2211.2812820512822</v>
      </c>
      <c r="Y1354" t="str">
        <f>IF(Table1[[#This Row],[customer_subscription]]=1,"Subscribed","Not Subscribed")</f>
        <v>Not Subscribed</v>
      </c>
    </row>
    <row r="1355" spans="1:26" x14ac:dyDescent="0.25">
      <c r="A1355">
        <v>1354</v>
      </c>
      <c r="B1355">
        <v>39</v>
      </c>
      <c r="C1355" t="s">
        <v>22</v>
      </c>
      <c r="D1355">
        <v>1354</v>
      </c>
      <c r="E1355" t="s">
        <v>98</v>
      </c>
      <c r="F1355" t="s">
        <v>24</v>
      </c>
      <c r="G1355">
        <v>1354</v>
      </c>
      <c r="H1355">
        <v>1823</v>
      </c>
      <c r="I1355">
        <v>83</v>
      </c>
      <c r="J1355" t="s">
        <v>50</v>
      </c>
      <c r="K1355" t="s">
        <v>47</v>
      </c>
      <c r="L1355" t="s">
        <v>88</v>
      </c>
      <c r="M1355" t="s">
        <v>28</v>
      </c>
      <c r="N1355">
        <v>4.0999999999999996</v>
      </c>
      <c r="O1355">
        <v>0</v>
      </c>
      <c r="P1355" t="s">
        <v>48</v>
      </c>
      <c r="Q1355" t="s">
        <v>30</v>
      </c>
      <c r="R1355" t="s">
        <v>30</v>
      </c>
      <c r="S1355">
        <v>4</v>
      </c>
      <c r="T1355" t="s">
        <v>36</v>
      </c>
      <c r="U1355" t="s">
        <v>100</v>
      </c>
      <c r="V1355" s="1">
        <v>45636</v>
      </c>
      <c r="W1355">
        <f>Table1[[#This Row],[customer_purchase count]]+1</f>
        <v>5</v>
      </c>
      <c r="X1355">
        <f>Table1[[#This Row],[customer_purchase count]]*Rules!$B$3</f>
        <v>239.05743589743591</v>
      </c>
      <c r="Y1355" t="str">
        <f>IF(Table1[[#This Row],[customer_subscription]]=1,"Subscribed","Not Subscribed")</f>
        <v>Not Subscribed</v>
      </c>
      <c r="Z1355" t="s">
        <v>194</v>
      </c>
    </row>
    <row r="1356" spans="1:26" x14ac:dyDescent="0.25">
      <c r="A1356">
        <v>1355</v>
      </c>
      <c r="B1356">
        <v>64</v>
      </c>
      <c r="C1356" t="s">
        <v>22</v>
      </c>
      <c r="D1356">
        <v>1355</v>
      </c>
      <c r="E1356" t="s">
        <v>135</v>
      </c>
      <c r="F1356" t="s">
        <v>70</v>
      </c>
      <c r="G1356">
        <v>1355</v>
      </c>
      <c r="H1356">
        <v>1825</v>
      </c>
      <c r="I1356">
        <v>42</v>
      </c>
      <c r="J1356" t="s">
        <v>131</v>
      </c>
      <c r="K1356" t="s">
        <v>47</v>
      </c>
      <c r="L1356" t="s">
        <v>27</v>
      </c>
      <c r="M1356" t="s">
        <v>40</v>
      </c>
      <c r="N1356">
        <v>3.6</v>
      </c>
      <c r="O1356">
        <v>0</v>
      </c>
      <c r="P1356" t="s">
        <v>73</v>
      </c>
      <c r="Q1356" t="s">
        <v>30</v>
      </c>
      <c r="R1356" t="s">
        <v>30</v>
      </c>
      <c r="S1356">
        <v>21</v>
      </c>
      <c r="T1356" t="s">
        <v>78</v>
      </c>
      <c r="U1356" t="s">
        <v>61</v>
      </c>
      <c r="V1356" s="1">
        <v>45372</v>
      </c>
      <c r="W1356">
        <f>Table1[[#This Row],[customer_purchase count]]+1</f>
        <v>22</v>
      </c>
      <c r="X1356">
        <f>Table1[[#This Row],[customer_purchase count]]*Rules!$B$3</f>
        <v>1255.0515384615385</v>
      </c>
      <c r="Y1356" t="str">
        <f>IF(Table1[[#This Row],[customer_subscription]]=1,"Subscribed","Not Subscribed")</f>
        <v>Not Subscribed</v>
      </c>
    </row>
    <row r="1357" spans="1:26" x14ac:dyDescent="0.25">
      <c r="A1357">
        <v>1356</v>
      </c>
      <c r="B1357">
        <v>59</v>
      </c>
      <c r="C1357" t="s">
        <v>22</v>
      </c>
      <c r="D1357">
        <v>1356</v>
      </c>
      <c r="E1357" t="s">
        <v>62</v>
      </c>
      <c r="F1357" t="s">
        <v>24</v>
      </c>
      <c r="G1357">
        <v>1356</v>
      </c>
      <c r="H1357">
        <v>1826</v>
      </c>
      <c r="I1357">
        <v>91</v>
      </c>
      <c r="J1357" t="s">
        <v>106</v>
      </c>
      <c r="K1357" t="s">
        <v>47</v>
      </c>
      <c r="L1357" t="s">
        <v>147</v>
      </c>
      <c r="M1357" t="s">
        <v>56</v>
      </c>
      <c r="N1357">
        <v>3</v>
      </c>
      <c r="O1357">
        <v>0</v>
      </c>
      <c r="P1357" t="s">
        <v>73</v>
      </c>
      <c r="Q1357" t="s">
        <v>30</v>
      </c>
      <c r="R1357" t="s">
        <v>30</v>
      </c>
      <c r="S1357">
        <v>50</v>
      </c>
      <c r="T1357" t="s">
        <v>49</v>
      </c>
      <c r="U1357" t="s">
        <v>79</v>
      </c>
      <c r="V1357" s="1">
        <v>45499</v>
      </c>
      <c r="W1357">
        <f>Table1[[#This Row],[customer_purchase count]]+1</f>
        <v>51</v>
      </c>
      <c r="X1357">
        <f>Table1[[#This Row],[customer_purchase count]]*Rules!$B$3</f>
        <v>2988.2179487179487</v>
      </c>
      <c r="Y1357" t="str">
        <f>IF(Table1[[#This Row],[customer_subscription]]=1,"Subscribed","Not Subscribed")</f>
        <v>Not Subscribed</v>
      </c>
    </row>
    <row r="1358" spans="1:26" x14ac:dyDescent="0.25">
      <c r="A1358">
        <v>1357</v>
      </c>
      <c r="B1358">
        <v>49</v>
      </c>
      <c r="C1358" t="s">
        <v>22</v>
      </c>
      <c r="D1358">
        <v>1357</v>
      </c>
      <c r="E1358" t="s">
        <v>105</v>
      </c>
      <c r="F1358" t="s">
        <v>66</v>
      </c>
      <c r="G1358">
        <v>1357</v>
      </c>
      <c r="H1358">
        <v>1827</v>
      </c>
      <c r="I1358">
        <v>61</v>
      </c>
      <c r="J1358" t="s">
        <v>119</v>
      </c>
      <c r="K1358" t="s">
        <v>47</v>
      </c>
      <c r="L1358" t="s">
        <v>112</v>
      </c>
      <c r="M1358" t="s">
        <v>40</v>
      </c>
      <c r="N1358">
        <v>4</v>
      </c>
      <c r="O1358">
        <v>0</v>
      </c>
      <c r="P1358" t="s">
        <v>41</v>
      </c>
      <c r="Q1358" t="s">
        <v>30</v>
      </c>
      <c r="R1358" t="s">
        <v>30</v>
      </c>
      <c r="S1358">
        <v>34</v>
      </c>
      <c r="T1358" t="s">
        <v>78</v>
      </c>
      <c r="U1358" t="s">
        <v>52</v>
      </c>
      <c r="V1358" s="1">
        <v>45374</v>
      </c>
      <c r="W1358">
        <f>Table1[[#This Row],[customer_purchase count]]+1</f>
        <v>35</v>
      </c>
      <c r="X1358">
        <f>Table1[[#This Row],[customer_purchase count]]*Rules!$B$3</f>
        <v>2031.9882051282052</v>
      </c>
      <c r="Y1358" t="str">
        <f>IF(Table1[[#This Row],[customer_subscription]]=1,"Subscribed","Not Subscribed")</f>
        <v>Not Subscribed</v>
      </c>
    </row>
    <row r="1359" spans="1:26" x14ac:dyDescent="0.25">
      <c r="A1359">
        <v>1358</v>
      </c>
      <c r="B1359">
        <v>24</v>
      </c>
      <c r="C1359" t="s">
        <v>22</v>
      </c>
      <c r="D1359">
        <v>1358</v>
      </c>
      <c r="E1359" t="s">
        <v>135</v>
      </c>
      <c r="F1359" t="s">
        <v>70</v>
      </c>
      <c r="G1359">
        <v>1358</v>
      </c>
      <c r="H1359">
        <v>1828</v>
      </c>
      <c r="I1359">
        <v>66</v>
      </c>
      <c r="J1359" t="s">
        <v>108</v>
      </c>
      <c r="K1359" t="s">
        <v>39</v>
      </c>
      <c r="L1359" t="s">
        <v>111</v>
      </c>
      <c r="M1359" t="s">
        <v>56</v>
      </c>
      <c r="N1359">
        <v>3.5</v>
      </c>
      <c r="O1359">
        <v>0</v>
      </c>
      <c r="P1359" t="s">
        <v>48</v>
      </c>
      <c r="Q1359" t="s">
        <v>30</v>
      </c>
      <c r="R1359" t="s">
        <v>30</v>
      </c>
      <c r="S1359">
        <v>20</v>
      </c>
      <c r="T1359" t="s">
        <v>36</v>
      </c>
      <c r="U1359" t="s">
        <v>61</v>
      </c>
      <c r="V1359" s="1">
        <v>45488</v>
      </c>
      <c r="W1359">
        <f>Table1[[#This Row],[customer_purchase count]]+1</f>
        <v>21</v>
      </c>
      <c r="X1359">
        <f>Table1[[#This Row],[customer_purchase count]]*Rules!$B$3</f>
        <v>1195.2871794871796</v>
      </c>
      <c r="Y1359" t="str">
        <f>IF(Table1[[#This Row],[customer_subscription]]=1,"Subscribed","Not Subscribed")</f>
        <v>Not Subscribed</v>
      </c>
    </row>
    <row r="1360" spans="1:26" x14ac:dyDescent="0.25">
      <c r="A1360">
        <v>1359</v>
      </c>
      <c r="B1360">
        <v>19</v>
      </c>
      <c r="C1360" t="s">
        <v>22</v>
      </c>
      <c r="D1360">
        <v>1359</v>
      </c>
      <c r="E1360" t="s">
        <v>122</v>
      </c>
      <c r="F1360" t="s">
        <v>70</v>
      </c>
      <c r="G1360">
        <v>1359</v>
      </c>
      <c r="H1360">
        <v>1829</v>
      </c>
      <c r="I1360">
        <v>22</v>
      </c>
      <c r="J1360" t="s">
        <v>148</v>
      </c>
      <c r="K1360" t="s">
        <v>95</v>
      </c>
      <c r="L1360" t="s">
        <v>72</v>
      </c>
      <c r="M1360" t="s">
        <v>40</v>
      </c>
      <c r="N1360">
        <v>2.5</v>
      </c>
      <c r="O1360">
        <v>0</v>
      </c>
      <c r="P1360" t="s">
        <v>77</v>
      </c>
      <c r="Q1360" t="s">
        <v>30</v>
      </c>
      <c r="R1360" t="s">
        <v>30</v>
      </c>
      <c r="S1360">
        <v>25</v>
      </c>
      <c r="T1360" t="s">
        <v>31</v>
      </c>
      <c r="U1360" t="s">
        <v>100</v>
      </c>
      <c r="V1360" s="1">
        <v>45434</v>
      </c>
      <c r="W1360">
        <f>Table1[[#This Row],[customer_purchase count]]+1</f>
        <v>26</v>
      </c>
      <c r="X1360">
        <f>Table1[[#This Row],[customer_purchase count]]*Rules!$B$3</f>
        <v>1494.1089743589744</v>
      </c>
      <c r="Y1360" t="str">
        <f>IF(Table1[[#This Row],[customer_subscription]]=1,"Subscribed","Not Subscribed")</f>
        <v>Not Subscribed</v>
      </c>
    </row>
    <row r="1361" spans="1:26" x14ac:dyDescent="0.25">
      <c r="A1361">
        <v>1360</v>
      </c>
      <c r="B1361">
        <v>27</v>
      </c>
      <c r="C1361" t="s">
        <v>22</v>
      </c>
      <c r="D1361">
        <v>1360</v>
      </c>
      <c r="E1361" t="s">
        <v>107</v>
      </c>
      <c r="F1361" t="s">
        <v>24</v>
      </c>
      <c r="G1361">
        <v>1360</v>
      </c>
      <c r="H1361">
        <v>1831</v>
      </c>
      <c r="I1361">
        <v>68</v>
      </c>
      <c r="J1361" t="s">
        <v>101</v>
      </c>
      <c r="K1361" t="s">
        <v>39</v>
      </c>
      <c r="L1361" t="s">
        <v>112</v>
      </c>
      <c r="M1361" t="s">
        <v>28</v>
      </c>
      <c r="N1361">
        <v>4.3</v>
      </c>
      <c r="O1361">
        <v>0</v>
      </c>
      <c r="P1361" t="s">
        <v>77</v>
      </c>
      <c r="Q1361" t="s">
        <v>30</v>
      </c>
      <c r="R1361" t="s">
        <v>30</v>
      </c>
      <c r="S1361">
        <v>26</v>
      </c>
      <c r="T1361" t="s">
        <v>78</v>
      </c>
      <c r="U1361" t="s">
        <v>32</v>
      </c>
      <c r="V1361" s="1">
        <v>45652</v>
      </c>
      <c r="W1361">
        <f>Table1[[#This Row],[customer_purchase count]]+1</f>
        <v>27</v>
      </c>
      <c r="X1361">
        <f>Table1[[#This Row],[customer_purchase count]]*Rules!$B$3</f>
        <v>1553.8733333333334</v>
      </c>
      <c r="Y1361" t="str">
        <f>IF(Table1[[#This Row],[customer_subscription]]=1,"Subscribed","Not Subscribed")</f>
        <v>Not Subscribed</v>
      </c>
    </row>
    <row r="1362" spans="1:26" x14ac:dyDescent="0.25">
      <c r="A1362">
        <v>1361</v>
      </c>
      <c r="B1362">
        <v>56</v>
      </c>
      <c r="C1362" t="s">
        <v>22</v>
      </c>
      <c r="D1362">
        <v>1361</v>
      </c>
      <c r="E1362" t="s">
        <v>90</v>
      </c>
      <c r="F1362" t="s">
        <v>24</v>
      </c>
      <c r="G1362">
        <v>1361</v>
      </c>
      <c r="H1362">
        <v>1832</v>
      </c>
      <c r="I1362">
        <v>43</v>
      </c>
      <c r="J1362" t="s">
        <v>93</v>
      </c>
      <c r="K1362" t="s">
        <v>26</v>
      </c>
      <c r="L1362" t="s">
        <v>97</v>
      </c>
      <c r="M1362" t="s">
        <v>60</v>
      </c>
      <c r="N1362">
        <v>2.8</v>
      </c>
      <c r="O1362">
        <v>0</v>
      </c>
      <c r="P1362" t="s">
        <v>29</v>
      </c>
      <c r="Q1362" t="s">
        <v>30</v>
      </c>
      <c r="R1362" t="s">
        <v>30</v>
      </c>
      <c r="S1362">
        <v>4</v>
      </c>
      <c r="T1362" t="s">
        <v>78</v>
      </c>
      <c r="U1362" t="s">
        <v>52</v>
      </c>
      <c r="V1362" s="1">
        <v>45542</v>
      </c>
      <c r="W1362">
        <f>Table1[[#This Row],[customer_purchase count]]+1</f>
        <v>5</v>
      </c>
      <c r="X1362">
        <f>Table1[[#This Row],[customer_purchase count]]*Rules!$B$3</f>
        <v>239.05743589743591</v>
      </c>
      <c r="Y1362" t="str">
        <f>IF(Table1[[#This Row],[customer_subscription]]=1,"Subscribed","Not Subscribed")</f>
        <v>Not Subscribed</v>
      </c>
      <c r="Z1362" t="s">
        <v>194</v>
      </c>
    </row>
    <row r="1363" spans="1:26" x14ac:dyDescent="0.25">
      <c r="A1363">
        <v>1362</v>
      </c>
      <c r="B1363">
        <v>49</v>
      </c>
      <c r="C1363" t="s">
        <v>22</v>
      </c>
      <c r="D1363">
        <v>1362</v>
      </c>
      <c r="E1363" t="s">
        <v>84</v>
      </c>
      <c r="F1363" t="s">
        <v>24</v>
      </c>
      <c r="G1363">
        <v>1362</v>
      </c>
      <c r="H1363">
        <v>1833</v>
      </c>
      <c r="I1363">
        <v>32</v>
      </c>
      <c r="J1363" t="s">
        <v>93</v>
      </c>
      <c r="K1363" t="s">
        <v>47</v>
      </c>
      <c r="L1363" t="s">
        <v>121</v>
      </c>
      <c r="M1363" t="s">
        <v>60</v>
      </c>
      <c r="N1363">
        <v>3.7</v>
      </c>
      <c r="O1363">
        <v>0</v>
      </c>
      <c r="P1363" t="s">
        <v>48</v>
      </c>
      <c r="Q1363" t="s">
        <v>30</v>
      </c>
      <c r="R1363" t="s">
        <v>30</v>
      </c>
      <c r="S1363">
        <v>39</v>
      </c>
      <c r="T1363" t="s">
        <v>89</v>
      </c>
      <c r="U1363" t="s">
        <v>91</v>
      </c>
      <c r="V1363" s="1">
        <v>45616</v>
      </c>
      <c r="W1363">
        <f>Table1[[#This Row],[customer_purchase count]]+1</f>
        <v>40</v>
      </c>
      <c r="X1363">
        <f>Table1[[#This Row],[customer_purchase count]]*Rules!$B$3</f>
        <v>2330.81</v>
      </c>
      <c r="Y1363" t="str">
        <f>IF(Table1[[#This Row],[customer_subscription]]=1,"Subscribed","Not Subscribed")</f>
        <v>Not Subscribed</v>
      </c>
    </row>
    <row r="1364" spans="1:26" x14ac:dyDescent="0.25">
      <c r="A1364">
        <v>1363</v>
      </c>
      <c r="B1364">
        <v>41</v>
      </c>
      <c r="C1364" t="s">
        <v>22</v>
      </c>
      <c r="D1364">
        <v>1363</v>
      </c>
      <c r="E1364" t="s">
        <v>65</v>
      </c>
      <c r="F1364" t="s">
        <v>66</v>
      </c>
      <c r="G1364">
        <v>1363</v>
      </c>
      <c r="H1364">
        <v>1834</v>
      </c>
      <c r="I1364">
        <v>46</v>
      </c>
      <c r="J1364" t="s">
        <v>115</v>
      </c>
      <c r="K1364" t="s">
        <v>47</v>
      </c>
      <c r="L1364" t="s">
        <v>27</v>
      </c>
      <c r="M1364" t="s">
        <v>60</v>
      </c>
      <c r="N1364">
        <v>4.3</v>
      </c>
      <c r="O1364">
        <v>0</v>
      </c>
      <c r="P1364" t="s">
        <v>29</v>
      </c>
      <c r="Q1364" t="s">
        <v>30</v>
      </c>
      <c r="R1364" t="s">
        <v>30</v>
      </c>
      <c r="S1364">
        <v>29</v>
      </c>
      <c r="T1364" t="s">
        <v>36</v>
      </c>
      <c r="U1364" t="s">
        <v>43</v>
      </c>
      <c r="V1364" s="1">
        <v>45546</v>
      </c>
      <c r="W1364">
        <f>Table1[[#This Row],[customer_purchase count]]+1</f>
        <v>30</v>
      </c>
      <c r="X1364">
        <f>Table1[[#This Row],[customer_purchase count]]*Rules!$B$3</f>
        <v>1733.1664102564102</v>
      </c>
      <c r="Y1364" t="str">
        <f>IF(Table1[[#This Row],[customer_subscription]]=1,"Subscribed","Not Subscribed")</f>
        <v>Not Subscribed</v>
      </c>
    </row>
    <row r="1365" spans="1:26" x14ac:dyDescent="0.25">
      <c r="A1365">
        <v>1364</v>
      </c>
      <c r="B1365">
        <v>36</v>
      </c>
      <c r="C1365" t="s">
        <v>22</v>
      </c>
      <c r="D1365">
        <v>1364</v>
      </c>
      <c r="E1365" t="s">
        <v>23</v>
      </c>
      <c r="F1365" t="s">
        <v>24</v>
      </c>
      <c r="G1365">
        <v>1364</v>
      </c>
      <c r="H1365">
        <v>1835</v>
      </c>
      <c r="I1365">
        <v>90</v>
      </c>
      <c r="J1365" t="s">
        <v>153</v>
      </c>
      <c r="K1365" t="s">
        <v>26</v>
      </c>
      <c r="L1365" t="s">
        <v>111</v>
      </c>
      <c r="M1365" t="s">
        <v>56</v>
      </c>
      <c r="N1365">
        <v>4</v>
      </c>
      <c r="O1365">
        <v>0</v>
      </c>
      <c r="P1365" t="s">
        <v>29</v>
      </c>
      <c r="Q1365" t="s">
        <v>30</v>
      </c>
      <c r="R1365" t="s">
        <v>30</v>
      </c>
      <c r="S1365">
        <v>47</v>
      </c>
      <c r="T1365" t="s">
        <v>49</v>
      </c>
      <c r="U1365" t="s">
        <v>61</v>
      </c>
      <c r="V1365" s="1">
        <v>45448</v>
      </c>
      <c r="W1365">
        <f>Table1[[#This Row],[customer_purchase count]]+1</f>
        <v>48</v>
      </c>
      <c r="X1365">
        <f>Table1[[#This Row],[customer_purchase count]]*Rules!$B$3</f>
        <v>2808.9248717948717</v>
      </c>
      <c r="Y1365" t="str">
        <f>IF(Table1[[#This Row],[customer_subscription]]=1,"Subscribed","Not Subscribed")</f>
        <v>Not Subscribed</v>
      </c>
    </row>
    <row r="1366" spans="1:26" x14ac:dyDescent="0.25">
      <c r="A1366">
        <v>1365</v>
      </c>
      <c r="B1366">
        <v>68</v>
      </c>
      <c r="C1366" t="s">
        <v>22</v>
      </c>
      <c r="D1366">
        <v>1365</v>
      </c>
      <c r="E1366" t="s">
        <v>127</v>
      </c>
      <c r="F1366" t="s">
        <v>70</v>
      </c>
      <c r="G1366">
        <v>1365</v>
      </c>
      <c r="H1366">
        <v>1837</v>
      </c>
      <c r="I1366">
        <v>75</v>
      </c>
      <c r="J1366" t="s">
        <v>82</v>
      </c>
      <c r="K1366" t="s">
        <v>26</v>
      </c>
      <c r="L1366" t="s">
        <v>137</v>
      </c>
      <c r="M1366" t="s">
        <v>60</v>
      </c>
      <c r="N1366">
        <v>4.7</v>
      </c>
      <c r="O1366">
        <v>0</v>
      </c>
      <c r="P1366" t="s">
        <v>29</v>
      </c>
      <c r="Q1366" t="s">
        <v>30</v>
      </c>
      <c r="R1366" t="s">
        <v>30</v>
      </c>
      <c r="S1366">
        <v>5</v>
      </c>
      <c r="T1366" t="s">
        <v>36</v>
      </c>
      <c r="U1366" t="s">
        <v>100</v>
      </c>
      <c r="V1366" s="1">
        <v>45554</v>
      </c>
      <c r="W1366">
        <f>Table1[[#This Row],[customer_purchase count]]+1</f>
        <v>6</v>
      </c>
      <c r="X1366">
        <f>Table1[[#This Row],[customer_purchase count]]*Rules!$B$3</f>
        <v>298.82179487179491</v>
      </c>
      <c r="Y1366" t="str">
        <f>IF(Table1[[#This Row],[customer_subscription]]=1,"Subscribed","Not Subscribed")</f>
        <v>Not Subscribed</v>
      </c>
      <c r="Z1366" t="s">
        <v>194</v>
      </c>
    </row>
    <row r="1367" spans="1:26" x14ac:dyDescent="0.25">
      <c r="A1367">
        <v>1366</v>
      </c>
      <c r="B1367">
        <v>28</v>
      </c>
      <c r="C1367" t="s">
        <v>22</v>
      </c>
      <c r="D1367">
        <v>1366</v>
      </c>
      <c r="E1367" t="s">
        <v>69</v>
      </c>
      <c r="F1367" t="s">
        <v>70</v>
      </c>
      <c r="G1367">
        <v>1366</v>
      </c>
      <c r="H1367">
        <v>1838</v>
      </c>
      <c r="I1367">
        <v>69</v>
      </c>
      <c r="J1367" t="s">
        <v>119</v>
      </c>
      <c r="K1367" t="s">
        <v>47</v>
      </c>
      <c r="L1367" t="s">
        <v>139</v>
      </c>
      <c r="M1367" t="s">
        <v>28</v>
      </c>
      <c r="N1367">
        <v>4.5</v>
      </c>
      <c r="O1367">
        <v>0</v>
      </c>
      <c r="P1367" t="s">
        <v>77</v>
      </c>
      <c r="Q1367" t="s">
        <v>30</v>
      </c>
      <c r="R1367" t="s">
        <v>30</v>
      </c>
      <c r="S1367">
        <v>18</v>
      </c>
      <c r="T1367" t="s">
        <v>78</v>
      </c>
      <c r="U1367" t="s">
        <v>32</v>
      </c>
      <c r="V1367" s="1">
        <v>45293</v>
      </c>
      <c r="W1367">
        <f>Table1[[#This Row],[customer_purchase count]]+1</f>
        <v>19</v>
      </c>
      <c r="X1367">
        <f>Table1[[#This Row],[customer_purchase count]]*Rules!$B$3</f>
        <v>1075.7584615384617</v>
      </c>
      <c r="Y1367" t="str">
        <f>IF(Table1[[#This Row],[customer_subscription]]=1,"Subscribed","Not Subscribed")</f>
        <v>Not Subscribed</v>
      </c>
    </row>
    <row r="1368" spans="1:26" x14ac:dyDescent="0.25">
      <c r="A1368">
        <v>1367</v>
      </c>
      <c r="B1368">
        <v>45</v>
      </c>
      <c r="C1368" t="s">
        <v>22</v>
      </c>
      <c r="D1368">
        <v>1367</v>
      </c>
      <c r="E1368" t="s">
        <v>136</v>
      </c>
      <c r="F1368" t="s">
        <v>70</v>
      </c>
      <c r="G1368">
        <v>1367</v>
      </c>
      <c r="H1368">
        <v>1839</v>
      </c>
      <c r="I1368">
        <v>40</v>
      </c>
      <c r="J1368" t="s">
        <v>149</v>
      </c>
      <c r="K1368" t="s">
        <v>47</v>
      </c>
      <c r="L1368" t="s">
        <v>139</v>
      </c>
      <c r="M1368" t="s">
        <v>60</v>
      </c>
      <c r="N1368">
        <v>3.1</v>
      </c>
      <c r="O1368">
        <v>0</v>
      </c>
      <c r="P1368" t="s">
        <v>41</v>
      </c>
      <c r="Q1368" t="s">
        <v>30</v>
      </c>
      <c r="R1368" t="s">
        <v>30</v>
      </c>
      <c r="S1368">
        <v>10</v>
      </c>
      <c r="T1368" t="s">
        <v>42</v>
      </c>
      <c r="U1368" t="s">
        <v>32</v>
      </c>
      <c r="V1368" s="1">
        <v>45589</v>
      </c>
      <c r="W1368">
        <f>Table1[[#This Row],[customer_purchase count]]+1</f>
        <v>11</v>
      </c>
      <c r="X1368">
        <f>Table1[[#This Row],[customer_purchase count]]*Rules!$B$3</f>
        <v>597.64358974358981</v>
      </c>
      <c r="Y1368" t="str">
        <f>IF(Table1[[#This Row],[customer_subscription]]=1,"Subscribed","Not Subscribed")</f>
        <v>Not Subscribed</v>
      </c>
      <c r="Z1368" t="s">
        <v>194</v>
      </c>
    </row>
    <row r="1369" spans="1:26" x14ac:dyDescent="0.25">
      <c r="A1369">
        <v>1368</v>
      </c>
      <c r="B1369">
        <v>60</v>
      </c>
      <c r="C1369" t="s">
        <v>22</v>
      </c>
      <c r="D1369">
        <v>1368</v>
      </c>
      <c r="E1369" t="s">
        <v>136</v>
      </c>
      <c r="F1369" t="s">
        <v>70</v>
      </c>
      <c r="G1369">
        <v>1368</v>
      </c>
      <c r="H1369">
        <v>1840</v>
      </c>
      <c r="I1369">
        <v>63</v>
      </c>
      <c r="J1369" t="s">
        <v>149</v>
      </c>
      <c r="K1369" t="s">
        <v>39</v>
      </c>
      <c r="L1369" t="s">
        <v>97</v>
      </c>
      <c r="M1369" t="s">
        <v>60</v>
      </c>
      <c r="N1369">
        <v>3.8</v>
      </c>
      <c r="O1369">
        <v>0</v>
      </c>
      <c r="P1369" t="s">
        <v>29</v>
      </c>
      <c r="Q1369" t="s">
        <v>30</v>
      </c>
      <c r="R1369" t="s">
        <v>30</v>
      </c>
      <c r="S1369">
        <v>25</v>
      </c>
      <c r="T1369" t="s">
        <v>36</v>
      </c>
      <c r="U1369" t="s">
        <v>61</v>
      </c>
      <c r="V1369" s="1">
        <v>45578</v>
      </c>
      <c r="W1369">
        <f>Table1[[#This Row],[customer_purchase count]]+1</f>
        <v>26</v>
      </c>
      <c r="X1369">
        <f>Table1[[#This Row],[customer_purchase count]]*Rules!$B$3</f>
        <v>1494.1089743589744</v>
      </c>
      <c r="Y1369" t="str">
        <f>IF(Table1[[#This Row],[customer_subscription]]=1,"Subscribed","Not Subscribed")</f>
        <v>Not Subscribed</v>
      </c>
    </row>
    <row r="1370" spans="1:26" x14ac:dyDescent="0.25">
      <c r="A1370">
        <v>1369</v>
      </c>
      <c r="B1370">
        <v>21</v>
      </c>
      <c r="C1370" t="s">
        <v>22</v>
      </c>
      <c r="D1370">
        <v>1369</v>
      </c>
      <c r="E1370" t="s">
        <v>58</v>
      </c>
      <c r="F1370" t="s">
        <v>24</v>
      </c>
      <c r="G1370">
        <v>1369</v>
      </c>
      <c r="H1370">
        <v>1841</v>
      </c>
      <c r="I1370">
        <v>36</v>
      </c>
      <c r="J1370" t="s">
        <v>153</v>
      </c>
      <c r="K1370" t="s">
        <v>26</v>
      </c>
      <c r="L1370" t="s">
        <v>124</v>
      </c>
      <c r="M1370" t="s">
        <v>56</v>
      </c>
      <c r="N1370">
        <v>4.9000000000000004</v>
      </c>
      <c r="O1370">
        <v>0</v>
      </c>
      <c r="P1370" t="s">
        <v>29</v>
      </c>
      <c r="Q1370" t="s">
        <v>30</v>
      </c>
      <c r="R1370" t="s">
        <v>30</v>
      </c>
      <c r="S1370">
        <v>2</v>
      </c>
      <c r="T1370" t="s">
        <v>36</v>
      </c>
      <c r="U1370" t="s">
        <v>43</v>
      </c>
      <c r="V1370" s="1">
        <v>45475</v>
      </c>
      <c r="W1370">
        <f>Table1[[#This Row],[customer_purchase count]]+1</f>
        <v>3</v>
      </c>
      <c r="X1370">
        <f>Table1[[#This Row],[customer_purchase count]]*Rules!$B$3</f>
        <v>119.52871794871795</v>
      </c>
      <c r="Y1370" t="str">
        <f>IF(Table1[[#This Row],[customer_subscription]]=1,"Subscribed","Not Subscribed")</f>
        <v>Not Subscribed</v>
      </c>
      <c r="Z1370" t="s">
        <v>194</v>
      </c>
    </row>
    <row r="1371" spans="1:26" x14ac:dyDescent="0.25">
      <c r="A1371">
        <v>1370</v>
      </c>
      <c r="B1371">
        <v>32</v>
      </c>
      <c r="C1371" t="s">
        <v>22</v>
      </c>
      <c r="D1371">
        <v>1370</v>
      </c>
      <c r="E1371" t="s">
        <v>74</v>
      </c>
      <c r="F1371" t="s">
        <v>45</v>
      </c>
      <c r="G1371">
        <v>1370</v>
      </c>
      <c r="H1371">
        <v>1843</v>
      </c>
      <c r="I1371">
        <v>75</v>
      </c>
      <c r="J1371" t="s">
        <v>149</v>
      </c>
      <c r="K1371" t="s">
        <v>47</v>
      </c>
      <c r="L1371" t="s">
        <v>99</v>
      </c>
      <c r="M1371" t="s">
        <v>28</v>
      </c>
      <c r="N1371">
        <v>3.2</v>
      </c>
      <c r="O1371">
        <v>0</v>
      </c>
      <c r="P1371" t="s">
        <v>57</v>
      </c>
      <c r="Q1371" t="s">
        <v>30</v>
      </c>
      <c r="R1371" t="s">
        <v>30</v>
      </c>
      <c r="S1371">
        <v>48</v>
      </c>
      <c r="T1371" t="s">
        <v>31</v>
      </c>
      <c r="U1371" t="s">
        <v>32</v>
      </c>
      <c r="V1371" s="1">
        <v>45306</v>
      </c>
      <c r="W1371">
        <f>Table1[[#This Row],[customer_purchase count]]+1</f>
        <v>49</v>
      </c>
      <c r="X1371">
        <f>Table1[[#This Row],[customer_purchase count]]*Rules!$B$3</f>
        <v>2868.689230769231</v>
      </c>
      <c r="Y1371" t="str">
        <f>IF(Table1[[#This Row],[customer_subscription]]=1,"Subscribed","Not Subscribed")</f>
        <v>Not Subscribed</v>
      </c>
    </row>
    <row r="1372" spans="1:26" x14ac:dyDescent="0.25">
      <c r="A1372">
        <v>1371</v>
      </c>
      <c r="B1372">
        <v>27</v>
      </c>
      <c r="C1372" t="s">
        <v>22</v>
      </c>
      <c r="D1372">
        <v>1371</v>
      </c>
      <c r="E1372" t="s">
        <v>122</v>
      </c>
      <c r="F1372" t="s">
        <v>70</v>
      </c>
      <c r="G1372">
        <v>1371</v>
      </c>
      <c r="H1372">
        <v>1844</v>
      </c>
      <c r="I1372">
        <v>67</v>
      </c>
      <c r="J1372" t="s">
        <v>59</v>
      </c>
      <c r="K1372" t="s">
        <v>26</v>
      </c>
      <c r="L1372" t="s">
        <v>103</v>
      </c>
      <c r="M1372" t="s">
        <v>56</v>
      </c>
      <c r="N1372">
        <v>2.9</v>
      </c>
      <c r="O1372">
        <v>0</v>
      </c>
      <c r="P1372" t="s">
        <v>73</v>
      </c>
      <c r="Q1372" t="s">
        <v>30</v>
      </c>
      <c r="R1372" t="s">
        <v>30</v>
      </c>
      <c r="S1372">
        <v>41</v>
      </c>
      <c r="T1372" t="s">
        <v>78</v>
      </c>
      <c r="U1372" t="s">
        <v>100</v>
      </c>
      <c r="V1372" s="1">
        <v>45493</v>
      </c>
      <c r="W1372">
        <f>Table1[[#This Row],[customer_purchase count]]+1</f>
        <v>42</v>
      </c>
      <c r="X1372">
        <f>Table1[[#This Row],[customer_purchase count]]*Rules!$B$3</f>
        <v>2450.3387179487181</v>
      </c>
      <c r="Y1372" t="str">
        <f>IF(Table1[[#This Row],[customer_subscription]]=1,"Subscribed","Not Subscribed")</f>
        <v>Not Subscribed</v>
      </c>
    </row>
    <row r="1373" spans="1:26" x14ac:dyDescent="0.25">
      <c r="A1373">
        <v>1372</v>
      </c>
      <c r="B1373">
        <v>40</v>
      </c>
      <c r="C1373" t="s">
        <v>22</v>
      </c>
      <c r="D1373">
        <v>1372</v>
      </c>
      <c r="E1373" t="s">
        <v>98</v>
      </c>
      <c r="F1373" t="s">
        <v>24</v>
      </c>
      <c r="G1373">
        <v>1372</v>
      </c>
      <c r="H1373">
        <v>1845</v>
      </c>
      <c r="I1373">
        <v>64</v>
      </c>
      <c r="J1373" t="s">
        <v>94</v>
      </c>
      <c r="K1373" t="s">
        <v>47</v>
      </c>
      <c r="L1373" t="s">
        <v>64</v>
      </c>
      <c r="M1373" t="s">
        <v>40</v>
      </c>
      <c r="N1373">
        <v>2.8</v>
      </c>
      <c r="O1373">
        <v>0</v>
      </c>
      <c r="P1373" t="s">
        <v>77</v>
      </c>
      <c r="Q1373" t="s">
        <v>30</v>
      </c>
      <c r="R1373" t="s">
        <v>30</v>
      </c>
      <c r="S1373">
        <v>42</v>
      </c>
      <c r="T1373" t="s">
        <v>42</v>
      </c>
      <c r="U1373" t="s">
        <v>91</v>
      </c>
      <c r="V1373" s="1">
        <v>45403</v>
      </c>
      <c r="W1373">
        <f>Table1[[#This Row],[customer_purchase count]]+1</f>
        <v>43</v>
      </c>
      <c r="X1373">
        <f>Table1[[#This Row],[customer_purchase count]]*Rules!$B$3</f>
        <v>2510.103076923077</v>
      </c>
      <c r="Y1373" t="str">
        <f>IF(Table1[[#This Row],[customer_subscription]]=1,"Subscribed","Not Subscribed")</f>
        <v>Not Subscribed</v>
      </c>
    </row>
    <row r="1374" spans="1:26" x14ac:dyDescent="0.25">
      <c r="A1374">
        <v>1373</v>
      </c>
      <c r="B1374">
        <v>64</v>
      </c>
      <c r="C1374" t="s">
        <v>22</v>
      </c>
      <c r="D1374">
        <v>1373</v>
      </c>
      <c r="E1374" t="s">
        <v>23</v>
      </c>
      <c r="F1374" t="s">
        <v>24</v>
      </c>
      <c r="G1374">
        <v>1373</v>
      </c>
      <c r="H1374">
        <v>1846</v>
      </c>
      <c r="I1374">
        <v>61</v>
      </c>
      <c r="J1374" t="s">
        <v>154</v>
      </c>
      <c r="K1374" t="s">
        <v>47</v>
      </c>
      <c r="L1374" t="s">
        <v>27</v>
      </c>
      <c r="M1374" t="s">
        <v>60</v>
      </c>
      <c r="N1374">
        <v>4</v>
      </c>
      <c r="O1374">
        <v>0</v>
      </c>
      <c r="P1374" t="s">
        <v>73</v>
      </c>
      <c r="Q1374" t="s">
        <v>30</v>
      </c>
      <c r="R1374" t="s">
        <v>30</v>
      </c>
      <c r="S1374">
        <v>44</v>
      </c>
      <c r="T1374" t="s">
        <v>49</v>
      </c>
      <c r="U1374" t="s">
        <v>79</v>
      </c>
      <c r="V1374" s="1">
        <v>45570</v>
      </c>
      <c r="W1374">
        <f>Table1[[#This Row],[customer_purchase count]]+1</f>
        <v>45</v>
      </c>
      <c r="X1374">
        <f>Table1[[#This Row],[customer_purchase count]]*Rules!$B$3</f>
        <v>2629.6317948717951</v>
      </c>
      <c r="Y1374" t="str">
        <f>IF(Table1[[#This Row],[customer_subscription]]=1,"Subscribed","Not Subscribed")</f>
        <v>Not Subscribed</v>
      </c>
    </row>
    <row r="1375" spans="1:26" x14ac:dyDescent="0.25">
      <c r="A1375">
        <v>1374</v>
      </c>
      <c r="B1375">
        <v>18</v>
      </c>
      <c r="C1375" t="s">
        <v>22</v>
      </c>
      <c r="D1375">
        <v>1374</v>
      </c>
      <c r="E1375" t="s">
        <v>146</v>
      </c>
      <c r="F1375" t="s">
        <v>70</v>
      </c>
      <c r="G1375">
        <v>1374</v>
      </c>
      <c r="H1375">
        <v>1847</v>
      </c>
      <c r="I1375">
        <v>40</v>
      </c>
      <c r="J1375" t="s">
        <v>144</v>
      </c>
      <c r="K1375" t="s">
        <v>26</v>
      </c>
      <c r="L1375" t="s">
        <v>51</v>
      </c>
      <c r="M1375" t="s">
        <v>28</v>
      </c>
      <c r="N1375">
        <v>2.6</v>
      </c>
      <c r="O1375">
        <v>0</v>
      </c>
      <c r="P1375" t="s">
        <v>77</v>
      </c>
      <c r="Q1375" t="s">
        <v>30</v>
      </c>
      <c r="R1375" t="s">
        <v>30</v>
      </c>
      <c r="S1375">
        <v>6</v>
      </c>
      <c r="T1375" t="s">
        <v>36</v>
      </c>
      <c r="U1375" t="s">
        <v>61</v>
      </c>
      <c r="V1375" s="1">
        <v>45307</v>
      </c>
      <c r="W1375">
        <f>Table1[[#This Row],[customer_purchase count]]+1</f>
        <v>7</v>
      </c>
      <c r="X1375">
        <f>Table1[[#This Row],[customer_purchase count]]*Rules!$B$3</f>
        <v>358.58615384615388</v>
      </c>
      <c r="Y1375" t="str">
        <f>IF(Table1[[#This Row],[customer_subscription]]=1,"Subscribed","Not Subscribed")</f>
        <v>Not Subscribed</v>
      </c>
      <c r="Z1375" t="s">
        <v>194</v>
      </c>
    </row>
    <row r="1376" spans="1:26" x14ac:dyDescent="0.25">
      <c r="A1376">
        <v>1375</v>
      </c>
      <c r="B1376">
        <v>22</v>
      </c>
      <c r="C1376" t="s">
        <v>22</v>
      </c>
      <c r="D1376">
        <v>1375</v>
      </c>
      <c r="E1376" t="s">
        <v>69</v>
      </c>
      <c r="F1376" t="s">
        <v>70</v>
      </c>
      <c r="G1376">
        <v>1375</v>
      </c>
      <c r="H1376">
        <v>1849</v>
      </c>
      <c r="I1376">
        <v>97</v>
      </c>
      <c r="J1376" t="s">
        <v>87</v>
      </c>
      <c r="K1376" t="s">
        <v>47</v>
      </c>
      <c r="L1376" t="s">
        <v>111</v>
      </c>
      <c r="M1376" t="s">
        <v>60</v>
      </c>
      <c r="N1376">
        <v>2.7</v>
      </c>
      <c r="O1376">
        <v>0</v>
      </c>
      <c r="P1376" t="s">
        <v>41</v>
      </c>
      <c r="Q1376" t="s">
        <v>30</v>
      </c>
      <c r="R1376" t="s">
        <v>30</v>
      </c>
      <c r="S1376">
        <v>5</v>
      </c>
      <c r="T1376" t="s">
        <v>78</v>
      </c>
      <c r="U1376" t="s">
        <v>61</v>
      </c>
      <c r="V1376" s="1">
        <v>45590</v>
      </c>
      <c r="W1376">
        <f>Table1[[#This Row],[customer_purchase count]]+1</f>
        <v>6</v>
      </c>
      <c r="X1376">
        <f>Table1[[#This Row],[customer_purchase count]]*Rules!$B$3</f>
        <v>298.82179487179491</v>
      </c>
      <c r="Y1376" t="str">
        <f>IF(Table1[[#This Row],[customer_subscription]]=1,"Subscribed","Not Subscribed")</f>
        <v>Not Subscribed</v>
      </c>
      <c r="Z1376" t="s">
        <v>194</v>
      </c>
    </row>
    <row r="1377" spans="1:26" x14ac:dyDescent="0.25">
      <c r="A1377">
        <v>1376</v>
      </c>
      <c r="B1377">
        <v>42</v>
      </c>
      <c r="C1377" t="s">
        <v>22</v>
      </c>
      <c r="D1377">
        <v>1376</v>
      </c>
      <c r="E1377" t="s">
        <v>53</v>
      </c>
      <c r="F1377" t="s">
        <v>45</v>
      </c>
      <c r="G1377">
        <v>1376</v>
      </c>
      <c r="H1377">
        <v>1850</v>
      </c>
      <c r="I1377">
        <v>31</v>
      </c>
      <c r="J1377" t="s">
        <v>34</v>
      </c>
      <c r="K1377" t="s">
        <v>26</v>
      </c>
      <c r="L1377" t="s">
        <v>113</v>
      </c>
      <c r="M1377" t="s">
        <v>40</v>
      </c>
      <c r="N1377">
        <v>4.0999999999999996</v>
      </c>
      <c r="O1377">
        <v>0</v>
      </c>
      <c r="P1377" t="s">
        <v>73</v>
      </c>
      <c r="Q1377" t="s">
        <v>30</v>
      </c>
      <c r="R1377" t="s">
        <v>30</v>
      </c>
      <c r="S1377">
        <v>8</v>
      </c>
      <c r="T1377" t="s">
        <v>42</v>
      </c>
      <c r="U1377" t="s">
        <v>52</v>
      </c>
      <c r="V1377" s="1">
        <v>45414</v>
      </c>
      <c r="W1377">
        <f>Table1[[#This Row],[customer_purchase count]]+1</f>
        <v>9</v>
      </c>
      <c r="X1377">
        <f>Table1[[#This Row],[customer_purchase count]]*Rules!$B$3</f>
        <v>478.11487179487182</v>
      </c>
      <c r="Y1377" t="str">
        <f>IF(Table1[[#This Row],[customer_subscription]]=1,"Subscribed","Not Subscribed")</f>
        <v>Not Subscribed</v>
      </c>
      <c r="Z1377" t="s">
        <v>194</v>
      </c>
    </row>
    <row r="1378" spans="1:26" x14ac:dyDescent="0.25">
      <c r="A1378">
        <v>1377</v>
      </c>
      <c r="B1378">
        <v>57</v>
      </c>
      <c r="C1378" t="s">
        <v>22</v>
      </c>
      <c r="D1378">
        <v>1377</v>
      </c>
      <c r="E1378" t="s">
        <v>44</v>
      </c>
      <c r="F1378" t="s">
        <v>45</v>
      </c>
      <c r="G1378">
        <v>1377</v>
      </c>
      <c r="H1378">
        <v>1851</v>
      </c>
      <c r="I1378">
        <v>65</v>
      </c>
      <c r="J1378" t="s">
        <v>130</v>
      </c>
      <c r="K1378" t="s">
        <v>26</v>
      </c>
      <c r="L1378" t="s">
        <v>72</v>
      </c>
      <c r="M1378" t="s">
        <v>40</v>
      </c>
      <c r="N1378">
        <v>5</v>
      </c>
      <c r="O1378">
        <v>0</v>
      </c>
      <c r="P1378" t="s">
        <v>41</v>
      </c>
      <c r="Q1378" t="s">
        <v>30</v>
      </c>
      <c r="R1378" t="s">
        <v>30</v>
      </c>
      <c r="S1378">
        <v>24</v>
      </c>
      <c r="T1378" t="s">
        <v>49</v>
      </c>
      <c r="U1378" t="s">
        <v>52</v>
      </c>
      <c r="V1378" s="1">
        <v>45374</v>
      </c>
      <c r="W1378">
        <f>Table1[[#This Row],[customer_purchase count]]+1</f>
        <v>25</v>
      </c>
      <c r="X1378">
        <f>Table1[[#This Row],[customer_purchase count]]*Rules!$B$3</f>
        <v>1434.3446153846155</v>
      </c>
      <c r="Y1378" t="str">
        <f>IF(Table1[[#This Row],[customer_subscription]]=1,"Subscribed","Not Subscribed")</f>
        <v>Not Subscribed</v>
      </c>
    </row>
    <row r="1379" spans="1:26" x14ac:dyDescent="0.25">
      <c r="A1379">
        <v>1378</v>
      </c>
      <c r="B1379">
        <v>33</v>
      </c>
      <c r="C1379" t="s">
        <v>22</v>
      </c>
      <c r="D1379">
        <v>1378</v>
      </c>
      <c r="E1379" t="s">
        <v>92</v>
      </c>
      <c r="F1379" t="s">
        <v>70</v>
      </c>
      <c r="G1379">
        <v>1378</v>
      </c>
      <c r="H1379">
        <v>1852</v>
      </c>
      <c r="I1379">
        <v>54</v>
      </c>
      <c r="J1379" t="s">
        <v>131</v>
      </c>
      <c r="K1379" t="s">
        <v>26</v>
      </c>
      <c r="L1379" t="s">
        <v>81</v>
      </c>
      <c r="M1379" t="s">
        <v>40</v>
      </c>
      <c r="N1379">
        <v>3</v>
      </c>
      <c r="O1379">
        <v>0</v>
      </c>
      <c r="P1379" t="s">
        <v>48</v>
      </c>
      <c r="Q1379" t="s">
        <v>30</v>
      </c>
      <c r="R1379" t="s">
        <v>30</v>
      </c>
      <c r="S1379">
        <v>42</v>
      </c>
      <c r="T1379" t="s">
        <v>31</v>
      </c>
      <c r="U1379" t="s">
        <v>91</v>
      </c>
      <c r="V1379" s="1">
        <v>45424</v>
      </c>
      <c r="W1379">
        <f>Table1[[#This Row],[customer_purchase count]]+1</f>
        <v>43</v>
      </c>
      <c r="X1379">
        <f>Table1[[#This Row],[customer_purchase count]]*Rules!$B$3</f>
        <v>2510.103076923077</v>
      </c>
      <c r="Y1379" t="str">
        <f>IF(Table1[[#This Row],[customer_subscription]]=1,"Subscribed","Not Subscribed")</f>
        <v>Not Subscribed</v>
      </c>
    </row>
    <row r="1380" spans="1:26" x14ac:dyDescent="0.25">
      <c r="A1380">
        <v>1379</v>
      </c>
      <c r="B1380">
        <v>37</v>
      </c>
      <c r="C1380" t="s">
        <v>22</v>
      </c>
      <c r="D1380">
        <v>1379</v>
      </c>
      <c r="E1380" t="s">
        <v>105</v>
      </c>
      <c r="F1380" t="s">
        <v>66</v>
      </c>
      <c r="G1380">
        <v>1379</v>
      </c>
      <c r="H1380">
        <v>1853</v>
      </c>
      <c r="I1380">
        <v>49</v>
      </c>
      <c r="J1380" t="s">
        <v>25</v>
      </c>
      <c r="K1380" t="s">
        <v>95</v>
      </c>
      <c r="L1380" t="s">
        <v>96</v>
      </c>
      <c r="M1380" t="s">
        <v>60</v>
      </c>
      <c r="N1380">
        <v>3.6</v>
      </c>
      <c r="O1380">
        <v>0</v>
      </c>
      <c r="P1380" t="s">
        <v>41</v>
      </c>
      <c r="Q1380" t="s">
        <v>30</v>
      </c>
      <c r="R1380" t="s">
        <v>30</v>
      </c>
      <c r="S1380">
        <v>24</v>
      </c>
      <c r="T1380" t="s">
        <v>31</v>
      </c>
      <c r="U1380" t="s">
        <v>43</v>
      </c>
      <c r="V1380" s="1">
        <v>45622</v>
      </c>
      <c r="W1380">
        <f>Table1[[#This Row],[customer_purchase count]]+1</f>
        <v>25</v>
      </c>
      <c r="X1380">
        <f>Table1[[#This Row],[customer_purchase count]]*Rules!$B$3</f>
        <v>1434.3446153846155</v>
      </c>
      <c r="Y1380" t="str">
        <f>IF(Table1[[#This Row],[customer_subscription]]=1,"Subscribed","Not Subscribed")</f>
        <v>Not Subscribed</v>
      </c>
    </row>
    <row r="1381" spans="1:26" x14ac:dyDescent="0.25">
      <c r="A1381">
        <v>1380</v>
      </c>
      <c r="B1381">
        <v>21</v>
      </c>
      <c r="C1381" t="s">
        <v>22</v>
      </c>
      <c r="D1381">
        <v>1380</v>
      </c>
      <c r="E1381" t="s">
        <v>116</v>
      </c>
      <c r="F1381" t="s">
        <v>24</v>
      </c>
      <c r="G1381">
        <v>1380</v>
      </c>
      <c r="H1381">
        <v>1855</v>
      </c>
      <c r="I1381">
        <v>64</v>
      </c>
      <c r="J1381" t="s">
        <v>151</v>
      </c>
      <c r="K1381" t="s">
        <v>26</v>
      </c>
      <c r="L1381" t="s">
        <v>76</v>
      </c>
      <c r="M1381" t="s">
        <v>60</v>
      </c>
      <c r="N1381">
        <v>2.8</v>
      </c>
      <c r="O1381">
        <v>0</v>
      </c>
      <c r="P1381" t="s">
        <v>73</v>
      </c>
      <c r="Q1381" t="s">
        <v>30</v>
      </c>
      <c r="R1381" t="s">
        <v>30</v>
      </c>
      <c r="S1381">
        <v>38</v>
      </c>
      <c r="T1381" t="s">
        <v>31</v>
      </c>
      <c r="U1381" t="s">
        <v>79</v>
      </c>
      <c r="V1381" s="1">
        <v>45603</v>
      </c>
      <c r="W1381">
        <f>Table1[[#This Row],[customer_purchase count]]+1</f>
        <v>39</v>
      </c>
      <c r="X1381">
        <f>Table1[[#This Row],[customer_purchase count]]*Rules!$B$3</f>
        <v>2271.0456410256411</v>
      </c>
      <c r="Y1381" t="str">
        <f>IF(Table1[[#This Row],[customer_subscription]]=1,"Subscribed","Not Subscribed")</f>
        <v>Not Subscribed</v>
      </c>
    </row>
    <row r="1382" spans="1:26" x14ac:dyDescent="0.25">
      <c r="A1382">
        <v>1381</v>
      </c>
      <c r="B1382">
        <v>51</v>
      </c>
      <c r="C1382" t="s">
        <v>22</v>
      </c>
      <c r="D1382">
        <v>1381</v>
      </c>
      <c r="E1382" t="s">
        <v>53</v>
      </c>
      <c r="F1382" t="s">
        <v>45</v>
      </c>
      <c r="G1382">
        <v>1381</v>
      </c>
      <c r="H1382">
        <v>1856</v>
      </c>
      <c r="I1382">
        <v>35</v>
      </c>
      <c r="J1382" t="s">
        <v>38</v>
      </c>
      <c r="K1382" t="s">
        <v>39</v>
      </c>
      <c r="L1382" t="s">
        <v>121</v>
      </c>
      <c r="M1382" t="s">
        <v>28</v>
      </c>
      <c r="N1382">
        <v>4.5999999999999996</v>
      </c>
      <c r="O1382">
        <v>0</v>
      </c>
      <c r="P1382" t="s">
        <v>57</v>
      </c>
      <c r="Q1382" t="s">
        <v>30</v>
      </c>
      <c r="R1382" t="s">
        <v>30</v>
      </c>
      <c r="S1382">
        <v>41</v>
      </c>
      <c r="T1382" t="s">
        <v>36</v>
      </c>
      <c r="U1382" t="s">
        <v>32</v>
      </c>
      <c r="V1382" s="1">
        <v>45292</v>
      </c>
      <c r="W1382">
        <f>Table1[[#This Row],[customer_purchase count]]+1</f>
        <v>42</v>
      </c>
      <c r="X1382">
        <f>Table1[[#This Row],[customer_purchase count]]*Rules!$B$3</f>
        <v>2450.3387179487181</v>
      </c>
      <c r="Y1382" t="str">
        <f>IF(Table1[[#This Row],[customer_subscription]]=1,"Subscribed","Not Subscribed")</f>
        <v>Not Subscribed</v>
      </c>
    </row>
    <row r="1383" spans="1:26" x14ac:dyDescent="0.25">
      <c r="A1383">
        <v>1382</v>
      </c>
      <c r="B1383">
        <v>30</v>
      </c>
      <c r="C1383" t="s">
        <v>22</v>
      </c>
      <c r="D1383">
        <v>1382</v>
      </c>
      <c r="E1383" t="s">
        <v>74</v>
      </c>
      <c r="F1383" t="s">
        <v>45</v>
      </c>
      <c r="G1383">
        <v>1382</v>
      </c>
      <c r="H1383">
        <v>1857</v>
      </c>
      <c r="I1383">
        <v>86</v>
      </c>
      <c r="J1383" t="s">
        <v>118</v>
      </c>
      <c r="K1383" t="s">
        <v>26</v>
      </c>
      <c r="L1383" t="s">
        <v>99</v>
      </c>
      <c r="M1383" t="s">
        <v>28</v>
      </c>
      <c r="N1383">
        <v>2.9</v>
      </c>
      <c r="O1383">
        <v>0</v>
      </c>
      <c r="P1383" t="s">
        <v>57</v>
      </c>
      <c r="Q1383" t="s">
        <v>30</v>
      </c>
      <c r="R1383" t="s">
        <v>30</v>
      </c>
      <c r="S1383">
        <v>48</v>
      </c>
      <c r="T1383" t="s">
        <v>31</v>
      </c>
      <c r="U1383" t="s">
        <v>61</v>
      </c>
      <c r="V1383" s="1">
        <v>45307</v>
      </c>
      <c r="W1383">
        <f>Table1[[#This Row],[customer_purchase count]]+1</f>
        <v>49</v>
      </c>
      <c r="X1383">
        <f>Table1[[#This Row],[customer_purchase count]]*Rules!$B$3</f>
        <v>2868.689230769231</v>
      </c>
      <c r="Y1383" t="str">
        <f>IF(Table1[[#This Row],[customer_subscription]]=1,"Subscribed","Not Subscribed")</f>
        <v>Not Subscribed</v>
      </c>
    </row>
    <row r="1384" spans="1:26" x14ac:dyDescent="0.25">
      <c r="A1384">
        <v>1383</v>
      </c>
      <c r="B1384">
        <v>68</v>
      </c>
      <c r="C1384" t="s">
        <v>22</v>
      </c>
      <c r="D1384">
        <v>1383</v>
      </c>
      <c r="E1384" t="s">
        <v>105</v>
      </c>
      <c r="F1384" t="s">
        <v>66</v>
      </c>
      <c r="G1384">
        <v>1383</v>
      </c>
      <c r="H1384">
        <v>1858</v>
      </c>
      <c r="I1384">
        <v>55</v>
      </c>
      <c r="J1384" t="s">
        <v>154</v>
      </c>
      <c r="K1384" t="s">
        <v>26</v>
      </c>
      <c r="L1384" t="s">
        <v>113</v>
      </c>
      <c r="M1384" t="s">
        <v>28</v>
      </c>
      <c r="N1384">
        <v>4.8</v>
      </c>
      <c r="O1384">
        <v>0</v>
      </c>
      <c r="P1384" t="s">
        <v>29</v>
      </c>
      <c r="Q1384" t="s">
        <v>30</v>
      </c>
      <c r="R1384" t="s">
        <v>30</v>
      </c>
      <c r="S1384">
        <v>16</v>
      </c>
      <c r="T1384" t="s">
        <v>78</v>
      </c>
      <c r="U1384" t="s">
        <v>61</v>
      </c>
      <c r="V1384" s="1">
        <v>45329</v>
      </c>
      <c r="W1384">
        <f>Table1[[#This Row],[customer_purchase count]]+1</f>
        <v>17</v>
      </c>
      <c r="X1384">
        <f>Table1[[#This Row],[customer_purchase count]]*Rules!$B$3</f>
        <v>956.22974358974363</v>
      </c>
      <c r="Y1384" t="str">
        <f>IF(Table1[[#This Row],[customer_subscription]]=1,"Subscribed","Not Subscribed")</f>
        <v>Not Subscribed</v>
      </c>
      <c r="Z1384" t="s">
        <v>194</v>
      </c>
    </row>
    <row r="1385" spans="1:26" x14ac:dyDescent="0.25">
      <c r="A1385">
        <v>1384</v>
      </c>
      <c r="B1385">
        <v>36</v>
      </c>
      <c r="C1385" t="s">
        <v>22</v>
      </c>
      <c r="D1385">
        <v>1384</v>
      </c>
      <c r="E1385" t="s">
        <v>122</v>
      </c>
      <c r="F1385" t="s">
        <v>70</v>
      </c>
      <c r="G1385">
        <v>1384</v>
      </c>
      <c r="H1385">
        <v>1859</v>
      </c>
      <c r="I1385">
        <v>58</v>
      </c>
      <c r="J1385" t="s">
        <v>153</v>
      </c>
      <c r="K1385" t="s">
        <v>47</v>
      </c>
      <c r="L1385" t="s">
        <v>121</v>
      </c>
      <c r="M1385" t="s">
        <v>40</v>
      </c>
      <c r="N1385">
        <v>3.3</v>
      </c>
      <c r="O1385">
        <v>0</v>
      </c>
      <c r="P1385" t="s">
        <v>29</v>
      </c>
      <c r="Q1385" t="s">
        <v>30</v>
      </c>
      <c r="R1385" t="s">
        <v>30</v>
      </c>
      <c r="S1385">
        <v>4</v>
      </c>
      <c r="T1385" t="s">
        <v>31</v>
      </c>
      <c r="U1385" t="s">
        <v>91</v>
      </c>
      <c r="V1385" s="1">
        <v>45395</v>
      </c>
      <c r="W1385">
        <f>Table1[[#This Row],[customer_purchase count]]+1</f>
        <v>5</v>
      </c>
      <c r="X1385">
        <f>Table1[[#This Row],[customer_purchase count]]*Rules!$B$3</f>
        <v>239.05743589743591</v>
      </c>
      <c r="Y1385" t="str">
        <f>IF(Table1[[#This Row],[customer_subscription]]=1,"Subscribed","Not Subscribed")</f>
        <v>Not Subscribed</v>
      </c>
      <c r="Z1385" t="s">
        <v>194</v>
      </c>
    </row>
    <row r="1386" spans="1:26" x14ac:dyDescent="0.25">
      <c r="A1386">
        <v>1385</v>
      </c>
      <c r="B1386">
        <v>46</v>
      </c>
      <c r="C1386" t="s">
        <v>22</v>
      </c>
      <c r="D1386">
        <v>1385</v>
      </c>
      <c r="E1386" t="s">
        <v>53</v>
      </c>
      <c r="F1386" t="s">
        <v>45</v>
      </c>
      <c r="G1386">
        <v>1385</v>
      </c>
      <c r="H1386">
        <v>1861</v>
      </c>
      <c r="I1386">
        <v>96</v>
      </c>
      <c r="J1386" t="s">
        <v>123</v>
      </c>
      <c r="K1386" t="s">
        <v>47</v>
      </c>
      <c r="L1386" t="s">
        <v>121</v>
      </c>
      <c r="M1386" t="s">
        <v>60</v>
      </c>
      <c r="N1386">
        <v>4.5999999999999996</v>
      </c>
      <c r="O1386">
        <v>0</v>
      </c>
      <c r="P1386" t="s">
        <v>57</v>
      </c>
      <c r="Q1386" t="s">
        <v>30</v>
      </c>
      <c r="R1386" t="s">
        <v>30</v>
      </c>
      <c r="S1386">
        <v>8</v>
      </c>
      <c r="T1386" t="s">
        <v>78</v>
      </c>
      <c r="U1386" t="s">
        <v>43</v>
      </c>
      <c r="V1386" s="1">
        <v>45608</v>
      </c>
      <c r="W1386">
        <f>Table1[[#This Row],[customer_purchase count]]+1</f>
        <v>9</v>
      </c>
      <c r="X1386">
        <f>Table1[[#This Row],[customer_purchase count]]*Rules!$B$3</f>
        <v>478.11487179487182</v>
      </c>
      <c r="Y1386" t="str">
        <f>IF(Table1[[#This Row],[customer_subscription]]=1,"Subscribed","Not Subscribed")</f>
        <v>Not Subscribed</v>
      </c>
      <c r="Z1386" t="s">
        <v>194</v>
      </c>
    </row>
    <row r="1387" spans="1:26" x14ac:dyDescent="0.25">
      <c r="A1387">
        <v>1386</v>
      </c>
      <c r="B1387">
        <v>41</v>
      </c>
      <c r="C1387" t="s">
        <v>22</v>
      </c>
      <c r="D1387">
        <v>1386</v>
      </c>
      <c r="E1387" t="s">
        <v>109</v>
      </c>
      <c r="F1387" t="s">
        <v>70</v>
      </c>
      <c r="G1387">
        <v>1386</v>
      </c>
      <c r="H1387">
        <v>1862</v>
      </c>
      <c r="I1387">
        <v>64</v>
      </c>
      <c r="J1387" t="s">
        <v>94</v>
      </c>
      <c r="K1387" t="s">
        <v>47</v>
      </c>
      <c r="L1387" t="s">
        <v>129</v>
      </c>
      <c r="M1387" t="s">
        <v>60</v>
      </c>
      <c r="N1387">
        <v>2.6</v>
      </c>
      <c r="O1387">
        <v>0</v>
      </c>
      <c r="P1387" t="s">
        <v>77</v>
      </c>
      <c r="Q1387" t="s">
        <v>30</v>
      </c>
      <c r="R1387" t="s">
        <v>30</v>
      </c>
      <c r="S1387">
        <v>1</v>
      </c>
      <c r="T1387" t="s">
        <v>78</v>
      </c>
      <c r="U1387" t="s">
        <v>79</v>
      </c>
      <c r="V1387" s="1">
        <v>45545</v>
      </c>
      <c r="W1387">
        <f>Table1[[#This Row],[customer_purchase count]]+1</f>
        <v>2</v>
      </c>
      <c r="X1387">
        <f>Table1[[#This Row],[customer_purchase count]]*Rules!$B$3</f>
        <v>59.764358974358977</v>
      </c>
      <c r="Y1387" t="str">
        <f>IF(Table1[[#This Row],[customer_subscription]]=1,"Subscribed","Not Subscribed")</f>
        <v>Not Subscribed</v>
      </c>
      <c r="Z1387" t="s">
        <v>194</v>
      </c>
    </row>
    <row r="1388" spans="1:26" x14ac:dyDescent="0.25">
      <c r="A1388">
        <v>1387</v>
      </c>
      <c r="B1388">
        <v>68</v>
      </c>
      <c r="C1388" t="s">
        <v>22</v>
      </c>
      <c r="D1388">
        <v>1387</v>
      </c>
      <c r="E1388" t="s">
        <v>105</v>
      </c>
      <c r="F1388" t="s">
        <v>66</v>
      </c>
      <c r="G1388">
        <v>1387</v>
      </c>
      <c r="H1388">
        <v>1863</v>
      </c>
      <c r="I1388">
        <v>56</v>
      </c>
      <c r="J1388" t="s">
        <v>50</v>
      </c>
      <c r="K1388" t="s">
        <v>47</v>
      </c>
      <c r="L1388" t="s">
        <v>68</v>
      </c>
      <c r="M1388" t="s">
        <v>60</v>
      </c>
      <c r="N1388">
        <v>4</v>
      </c>
      <c r="O1388">
        <v>0</v>
      </c>
      <c r="P1388" t="s">
        <v>48</v>
      </c>
      <c r="Q1388" t="s">
        <v>30</v>
      </c>
      <c r="R1388" t="s">
        <v>30</v>
      </c>
      <c r="S1388">
        <v>4</v>
      </c>
      <c r="T1388" t="s">
        <v>89</v>
      </c>
      <c r="U1388" t="s">
        <v>61</v>
      </c>
      <c r="V1388" s="1">
        <v>45558</v>
      </c>
      <c r="W1388">
        <f>Table1[[#This Row],[customer_purchase count]]+1</f>
        <v>5</v>
      </c>
      <c r="X1388">
        <f>Table1[[#This Row],[customer_purchase count]]*Rules!$B$3</f>
        <v>239.05743589743591</v>
      </c>
      <c r="Y1388" t="str">
        <f>IF(Table1[[#This Row],[customer_subscription]]=1,"Subscribed","Not Subscribed")</f>
        <v>Not Subscribed</v>
      </c>
      <c r="Z1388" t="s">
        <v>194</v>
      </c>
    </row>
    <row r="1389" spans="1:26" x14ac:dyDescent="0.25">
      <c r="A1389">
        <v>1388</v>
      </c>
      <c r="B1389">
        <v>21</v>
      </c>
      <c r="C1389" t="s">
        <v>22</v>
      </c>
      <c r="D1389">
        <v>1388</v>
      </c>
      <c r="E1389" t="s">
        <v>23</v>
      </c>
      <c r="F1389" t="s">
        <v>24</v>
      </c>
      <c r="G1389">
        <v>1388</v>
      </c>
      <c r="H1389">
        <v>1864</v>
      </c>
      <c r="I1389">
        <v>85</v>
      </c>
      <c r="J1389" t="s">
        <v>131</v>
      </c>
      <c r="K1389" t="s">
        <v>47</v>
      </c>
      <c r="L1389" t="s">
        <v>83</v>
      </c>
      <c r="M1389" t="s">
        <v>28</v>
      </c>
      <c r="N1389">
        <v>3.8</v>
      </c>
      <c r="O1389">
        <v>0</v>
      </c>
      <c r="P1389" t="s">
        <v>57</v>
      </c>
      <c r="Q1389" t="s">
        <v>30</v>
      </c>
      <c r="R1389" t="s">
        <v>30</v>
      </c>
      <c r="S1389">
        <v>20</v>
      </c>
      <c r="T1389" t="s">
        <v>42</v>
      </c>
      <c r="U1389" t="s">
        <v>91</v>
      </c>
      <c r="V1389" s="1">
        <v>45345</v>
      </c>
      <c r="W1389">
        <f>Table1[[#This Row],[customer_purchase count]]+1</f>
        <v>21</v>
      </c>
      <c r="X1389">
        <f>Table1[[#This Row],[customer_purchase count]]*Rules!$B$3</f>
        <v>1195.2871794871796</v>
      </c>
      <c r="Y1389" t="str">
        <f>IF(Table1[[#This Row],[customer_subscription]]=1,"Subscribed","Not Subscribed")</f>
        <v>Not Subscribed</v>
      </c>
    </row>
    <row r="1390" spans="1:26" x14ac:dyDescent="0.25">
      <c r="A1390">
        <v>1389</v>
      </c>
      <c r="B1390">
        <v>62</v>
      </c>
      <c r="C1390" t="s">
        <v>22</v>
      </c>
      <c r="D1390">
        <v>1389</v>
      </c>
      <c r="E1390" t="s">
        <v>84</v>
      </c>
      <c r="F1390" t="s">
        <v>24</v>
      </c>
      <c r="G1390">
        <v>1389</v>
      </c>
      <c r="H1390">
        <v>1865</v>
      </c>
      <c r="I1390">
        <v>23</v>
      </c>
      <c r="J1390" t="s">
        <v>75</v>
      </c>
      <c r="K1390" t="s">
        <v>47</v>
      </c>
      <c r="L1390" t="s">
        <v>96</v>
      </c>
      <c r="M1390" t="s">
        <v>40</v>
      </c>
      <c r="N1390">
        <v>3.9</v>
      </c>
      <c r="O1390">
        <v>0</v>
      </c>
      <c r="P1390" t="s">
        <v>29</v>
      </c>
      <c r="Q1390" t="s">
        <v>30</v>
      </c>
      <c r="R1390" t="s">
        <v>30</v>
      </c>
      <c r="S1390">
        <v>40</v>
      </c>
      <c r="T1390" t="s">
        <v>36</v>
      </c>
      <c r="U1390" t="s">
        <v>61</v>
      </c>
      <c r="V1390" s="1">
        <v>45362</v>
      </c>
      <c r="W1390">
        <f>Table1[[#This Row],[customer_purchase count]]+1</f>
        <v>41</v>
      </c>
      <c r="X1390">
        <f>Table1[[#This Row],[customer_purchase count]]*Rules!$B$3</f>
        <v>2390.5743589743593</v>
      </c>
      <c r="Y1390" t="str">
        <f>IF(Table1[[#This Row],[customer_subscription]]=1,"Subscribed","Not Subscribed")</f>
        <v>Not Subscribed</v>
      </c>
    </row>
    <row r="1391" spans="1:26" x14ac:dyDescent="0.25">
      <c r="A1391">
        <v>1390</v>
      </c>
      <c r="B1391">
        <v>59</v>
      </c>
      <c r="C1391" t="s">
        <v>22</v>
      </c>
      <c r="D1391">
        <v>1390</v>
      </c>
      <c r="E1391" t="s">
        <v>122</v>
      </c>
      <c r="F1391" t="s">
        <v>70</v>
      </c>
      <c r="G1391">
        <v>1390</v>
      </c>
      <c r="H1391">
        <v>1867</v>
      </c>
      <c r="I1391">
        <v>72</v>
      </c>
      <c r="J1391" t="s">
        <v>118</v>
      </c>
      <c r="K1391" t="s">
        <v>26</v>
      </c>
      <c r="L1391" t="s">
        <v>124</v>
      </c>
      <c r="M1391" t="s">
        <v>60</v>
      </c>
      <c r="N1391">
        <v>2.6</v>
      </c>
      <c r="O1391">
        <v>0</v>
      </c>
      <c r="P1391" t="s">
        <v>77</v>
      </c>
      <c r="Q1391" t="s">
        <v>30</v>
      </c>
      <c r="R1391" t="s">
        <v>30</v>
      </c>
      <c r="S1391">
        <v>8</v>
      </c>
      <c r="T1391" t="s">
        <v>89</v>
      </c>
      <c r="U1391" t="s">
        <v>32</v>
      </c>
      <c r="V1391" s="1">
        <v>45543</v>
      </c>
      <c r="W1391">
        <f>Table1[[#This Row],[customer_purchase count]]+1</f>
        <v>9</v>
      </c>
      <c r="X1391">
        <f>Table1[[#This Row],[customer_purchase count]]*Rules!$B$3</f>
        <v>478.11487179487182</v>
      </c>
      <c r="Y1391" t="str">
        <f>IF(Table1[[#This Row],[customer_subscription]]=1,"Subscribed","Not Subscribed")</f>
        <v>Not Subscribed</v>
      </c>
      <c r="Z1391" t="s">
        <v>194</v>
      </c>
    </row>
    <row r="1392" spans="1:26" x14ac:dyDescent="0.25">
      <c r="A1392">
        <v>1391</v>
      </c>
      <c r="B1392">
        <v>25</v>
      </c>
      <c r="C1392" t="s">
        <v>22</v>
      </c>
      <c r="D1392">
        <v>1391</v>
      </c>
      <c r="E1392" t="s">
        <v>127</v>
      </c>
      <c r="F1392" t="s">
        <v>70</v>
      </c>
      <c r="G1392">
        <v>1391</v>
      </c>
      <c r="H1392">
        <v>1868</v>
      </c>
      <c r="I1392">
        <v>38</v>
      </c>
      <c r="J1392" t="s">
        <v>75</v>
      </c>
      <c r="K1392" t="s">
        <v>47</v>
      </c>
      <c r="L1392" t="s">
        <v>35</v>
      </c>
      <c r="M1392" t="s">
        <v>56</v>
      </c>
      <c r="N1392">
        <v>4.3</v>
      </c>
      <c r="O1392">
        <v>0</v>
      </c>
      <c r="P1392" t="s">
        <v>57</v>
      </c>
      <c r="Q1392" t="s">
        <v>30</v>
      </c>
      <c r="R1392" t="s">
        <v>30</v>
      </c>
      <c r="S1392">
        <v>42</v>
      </c>
      <c r="T1392" t="s">
        <v>89</v>
      </c>
      <c r="U1392" t="s">
        <v>43</v>
      </c>
      <c r="V1392" s="1">
        <v>45462</v>
      </c>
      <c r="W1392">
        <f>Table1[[#This Row],[customer_purchase count]]+1</f>
        <v>43</v>
      </c>
      <c r="X1392">
        <f>Table1[[#This Row],[customer_purchase count]]*Rules!$B$3</f>
        <v>2510.103076923077</v>
      </c>
      <c r="Y1392" t="str">
        <f>IF(Table1[[#This Row],[customer_subscription]]=1,"Subscribed","Not Subscribed")</f>
        <v>Not Subscribed</v>
      </c>
    </row>
    <row r="1393" spans="1:26" x14ac:dyDescent="0.25">
      <c r="A1393">
        <v>1392</v>
      </c>
      <c r="B1393">
        <v>53</v>
      </c>
      <c r="C1393" t="s">
        <v>22</v>
      </c>
      <c r="D1393">
        <v>1392</v>
      </c>
      <c r="E1393" t="s">
        <v>23</v>
      </c>
      <c r="F1393" t="s">
        <v>24</v>
      </c>
      <c r="G1393">
        <v>1392</v>
      </c>
      <c r="H1393">
        <v>1869</v>
      </c>
      <c r="I1393">
        <v>29</v>
      </c>
      <c r="J1393" t="s">
        <v>94</v>
      </c>
      <c r="K1393" t="s">
        <v>39</v>
      </c>
      <c r="L1393" t="s">
        <v>55</v>
      </c>
      <c r="M1393" t="s">
        <v>28</v>
      </c>
      <c r="N1393">
        <v>3.6</v>
      </c>
      <c r="O1393">
        <v>0</v>
      </c>
      <c r="P1393" t="s">
        <v>29</v>
      </c>
      <c r="Q1393" t="s">
        <v>30</v>
      </c>
      <c r="R1393" t="s">
        <v>30</v>
      </c>
      <c r="S1393">
        <v>38</v>
      </c>
      <c r="T1393" t="s">
        <v>42</v>
      </c>
      <c r="U1393" t="s">
        <v>52</v>
      </c>
      <c r="V1393" s="1">
        <v>45347</v>
      </c>
      <c r="W1393">
        <f>Table1[[#This Row],[customer_purchase count]]+1</f>
        <v>39</v>
      </c>
      <c r="X1393">
        <f>Table1[[#This Row],[customer_purchase count]]*Rules!$B$3</f>
        <v>2271.0456410256411</v>
      </c>
      <c r="Y1393" t="str">
        <f>IF(Table1[[#This Row],[customer_subscription]]=1,"Subscribed","Not Subscribed")</f>
        <v>Not Subscribed</v>
      </c>
    </row>
    <row r="1394" spans="1:26" x14ac:dyDescent="0.25">
      <c r="A1394">
        <v>1393</v>
      </c>
      <c r="B1394">
        <v>31</v>
      </c>
      <c r="C1394" t="s">
        <v>22</v>
      </c>
      <c r="D1394">
        <v>1393</v>
      </c>
      <c r="E1394" t="s">
        <v>146</v>
      </c>
      <c r="F1394" t="s">
        <v>70</v>
      </c>
      <c r="G1394">
        <v>1393</v>
      </c>
      <c r="H1394">
        <v>1870</v>
      </c>
      <c r="I1394">
        <v>46</v>
      </c>
      <c r="J1394" t="s">
        <v>75</v>
      </c>
      <c r="K1394" t="s">
        <v>47</v>
      </c>
      <c r="L1394" t="s">
        <v>137</v>
      </c>
      <c r="M1394" t="s">
        <v>40</v>
      </c>
      <c r="N1394">
        <v>4.2</v>
      </c>
      <c r="O1394">
        <v>0</v>
      </c>
      <c r="P1394" t="s">
        <v>29</v>
      </c>
      <c r="Q1394" t="s">
        <v>30</v>
      </c>
      <c r="R1394" t="s">
        <v>30</v>
      </c>
      <c r="S1394">
        <v>34</v>
      </c>
      <c r="T1394" t="s">
        <v>31</v>
      </c>
      <c r="U1394" t="s">
        <v>100</v>
      </c>
      <c r="V1394" s="1">
        <v>45407</v>
      </c>
      <c r="W1394">
        <f>Table1[[#This Row],[customer_purchase count]]+1</f>
        <v>35</v>
      </c>
      <c r="X1394">
        <f>Table1[[#This Row],[customer_purchase count]]*Rules!$B$3</f>
        <v>2031.9882051282052</v>
      </c>
      <c r="Y1394" t="str">
        <f>IF(Table1[[#This Row],[customer_subscription]]=1,"Subscribed","Not Subscribed")</f>
        <v>Not Subscribed</v>
      </c>
    </row>
    <row r="1395" spans="1:26" x14ac:dyDescent="0.25">
      <c r="A1395">
        <v>1394</v>
      </c>
      <c r="B1395">
        <v>46</v>
      </c>
      <c r="C1395" t="s">
        <v>22</v>
      </c>
      <c r="D1395">
        <v>1394</v>
      </c>
      <c r="E1395" t="s">
        <v>146</v>
      </c>
      <c r="F1395" t="s">
        <v>70</v>
      </c>
      <c r="G1395">
        <v>1394</v>
      </c>
      <c r="H1395">
        <v>1871</v>
      </c>
      <c r="I1395">
        <v>58</v>
      </c>
      <c r="J1395" t="s">
        <v>138</v>
      </c>
      <c r="K1395" t="s">
        <v>26</v>
      </c>
      <c r="L1395" t="s">
        <v>137</v>
      </c>
      <c r="M1395" t="s">
        <v>40</v>
      </c>
      <c r="N1395">
        <v>3.9</v>
      </c>
      <c r="O1395">
        <v>0</v>
      </c>
      <c r="P1395" t="s">
        <v>29</v>
      </c>
      <c r="Q1395" t="s">
        <v>30</v>
      </c>
      <c r="R1395" t="s">
        <v>30</v>
      </c>
      <c r="S1395">
        <v>14</v>
      </c>
      <c r="T1395" t="s">
        <v>49</v>
      </c>
      <c r="U1395" t="s">
        <v>32</v>
      </c>
      <c r="V1395" s="1">
        <v>45400</v>
      </c>
      <c r="W1395">
        <f>Table1[[#This Row],[customer_purchase count]]+1</f>
        <v>15</v>
      </c>
      <c r="X1395">
        <f>Table1[[#This Row],[customer_purchase count]]*Rules!$B$3</f>
        <v>836.70102564102569</v>
      </c>
      <c r="Y1395" t="str">
        <f>IF(Table1[[#This Row],[customer_subscription]]=1,"Subscribed","Not Subscribed")</f>
        <v>Not Subscribed</v>
      </c>
      <c r="Z1395" t="s">
        <v>194</v>
      </c>
    </row>
    <row r="1396" spans="1:26" x14ac:dyDescent="0.25">
      <c r="A1396">
        <v>1395</v>
      </c>
      <c r="B1396">
        <v>26</v>
      </c>
      <c r="C1396" t="s">
        <v>22</v>
      </c>
      <c r="D1396">
        <v>1395</v>
      </c>
      <c r="E1396" t="s">
        <v>65</v>
      </c>
      <c r="F1396" t="s">
        <v>66</v>
      </c>
      <c r="G1396">
        <v>1395</v>
      </c>
      <c r="H1396">
        <v>1873</v>
      </c>
      <c r="I1396">
        <v>43</v>
      </c>
      <c r="J1396" t="s">
        <v>149</v>
      </c>
      <c r="K1396" t="s">
        <v>26</v>
      </c>
      <c r="L1396" t="s">
        <v>139</v>
      </c>
      <c r="M1396" t="s">
        <v>60</v>
      </c>
      <c r="N1396">
        <v>4.7</v>
      </c>
      <c r="O1396">
        <v>0</v>
      </c>
      <c r="P1396" t="s">
        <v>48</v>
      </c>
      <c r="Q1396" t="s">
        <v>30</v>
      </c>
      <c r="R1396" t="s">
        <v>30</v>
      </c>
      <c r="S1396">
        <v>39</v>
      </c>
      <c r="T1396" t="s">
        <v>36</v>
      </c>
      <c r="U1396" t="s">
        <v>43</v>
      </c>
      <c r="V1396" s="1">
        <v>45600</v>
      </c>
      <c r="W1396">
        <f>Table1[[#This Row],[customer_purchase count]]+1</f>
        <v>40</v>
      </c>
      <c r="X1396">
        <f>Table1[[#This Row],[customer_purchase count]]*Rules!$B$3</f>
        <v>2330.81</v>
      </c>
      <c r="Y1396" t="str">
        <f>IF(Table1[[#This Row],[customer_subscription]]=1,"Subscribed","Not Subscribed")</f>
        <v>Not Subscribed</v>
      </c>
    </row>
    <row r="1397" spans="1:26" x14ac:dyDescent="0.25">
      <c r="A1397">
        <v>1396</v>
      </c>
      <c r="B1397">
        <v>47</v>
      </c>
      <c r="C1397" t="s">
        <v>22</v>
      </c>
      <c r="D1397">
        <v>1396</v>
      </c>
      <c r="E1397" t="s">
        <v>122</v>
      </c>
      <c r="F1397" t="s">
        <v>70</v>
      </c>
      <c r="G1397">
        <v>1396</v>
      </c>
      <c r="H1397">
        <v>1874</v>
      </c>
      <c r="I1397">
        <v>32</v>
      </c>
      <c r="J1397" t="s">
        <v>67</v>
      </c>
      <c r="K1397" t="s">
        <v>26</v>
      </c>
      <c r="L1397" t="s">
        <v>51</v>
      </c>
      <c r="M1397" t="s">
        <v>40</v>
      </c>
      <c r="N1397">
        <v>2.8</v>
      </c>
      <c r="O1397">
        <v>0</v>
      </c>
      <c r="P1397" t="s">
        <v>48</v>
      </c>
      <c r="Q1397" t="s">
        <v>30</v>
      </c>
      <c r="R1397" t="s">
        <v>30</v>
      </c>
      <c r="S1397">
        <v>40</v>
      </c>
      <c r="T1397" t="s">
        <v>49</v>
      </c>
      <c r="U1397" t="s">
        <v>79</v>
      </c>
      <c r="V1397" s="1">
        <v>45409</v>
      </c>
      <c r="W1397">
        <f>Table1[[#This Row],[customer_purchase count]]+1</f>
        <v>41</v>
      </c>
      <c r="X1397">
        <f>Table1[[#This Row],[customer_purchase count]]*Rules!$B$3</f>
        <v>2390.5743589743593</v>
      </c>
      <c r="Y1397" t="str">
        <f>IF(Table1[[#This Row],[customer_subscription]]=1,"Subscribed","Not Subscribed")</f>
        <v>Not Subscribed</v>
      </c>
    </row>
    <row r="1398" spans="1:26" x14ac:dyDescent="0.25">
      <c r="A1398">
        <v>1397</v>
      </c>
      <c r="B1398">
        <v>37</v>
      </c>
      <c r="C1398" t="s">
        <v>22</v>
      </c>
      <c r="D1398">
        <v>1397</v>
      </c>
      <c r="E1398" t="s">
        <v>98</v>
      </c>
      <c r="F1398" t="s">
        <v>24</v>
      </c>
      <c r="G1398">
        <v>1397</v>
      </c>
      <c r="H1398">
        <v>1875</v>
      </c>
      <c r="I1398">
        <v>30</v>
      </c>
      <c r="J1398" t="s">
        <v>153</v>
      </c>
      <c r="K1398" t="s">
        <v>95</v>
      </c>
      <c r="L1398" t="s">
        <v>96</v>
      </c>
      <c r="M1398" t="s">
        <v>28</v>
      </c>
      <c r="N1398">
        <v>3</v>
      </c>
      <c r="O1398">
        <v>0</v>
      </c>
      <c r="P1398" t="s">
        <v>48</v>
      </c>
      <c r="Q1398" t="s">
        <v>30</v>
      </c>
      <c r="R1398" t="s">
        <v>30</v>
      </c>
      <c r="S1398">
        <v>49</v>
      </c>
      <c r="T1398" t="s">
        <v>89</v>
      </c>
      <c r="U1398" t="s">
        <v>91</v>
      </c>
      <c r="V1398" s="1">
        <v>45298</v>
      </c>
      <c r="W1398">
        <f>Table1[[#This Row],[customer_purchase count]]+1</f>
        <v>50</v>
      </c>
      <c r="X1398">
        <f>Table1[[#This Row],[customer_purchase count]]*Rules!$B$3</f>
        <v>2928.4535897435899</v>
      </c>
      <c r="Y1398" t="str">
        <f>IF(Table1[[#This Row],[customer_subscription]]=1,"Subscribed","Not Subscribed")</f>
        <v>Not Subscribed</v>
      </c>
    </row>
    <row r="1399" spans="1:26" x14ac:dyDescent="0.25">
      <c r="A1399">
        <v>1398</v>
      </c>
      <c r="B1399">
        <v>55</v>
      </c>
      <c r="C1399" t="s">
        <v>22</v>
      </c>
      <c r="D1399">
        <v>1398</v>
      </c>
      <c r="E1399" t="s">
        <v>92</v>
      </c>
      <c r="F1399" t="s">
        <v>70</v>
      </c>
      <c r="G1399">
        <v>1398</v>
      </c>
      <c r="H1399">
        <v>1876</v>
      </c>
      <c r="I1399">
        <v>67</v>
      </c>
      <c r="J1399" t="s">
        <v>38</v>
      </c>
      <c r="K1399" t="s">
        <v>39</v>
      </c>
      <c r="L1399" t="s">
        <v>139</v>
      </c>
      <c r="M1399" t="s">
        <v>56</v>
      </c>
      <c r="N1399">
        <v>4.7</v>
      </c>
      <c r="O1399">
        <v>0</v>
      </c>
      <c r="P1399" t="s">
        <v>77</v>
      </c>
      <c r="Q1399" t="s">
        <v>30</v>
      </c>
      <c r="R1399" t="s">
        <v>30</v>
      </c>
      <c r="S1399">
        <v>33</v>
      </c>
      <c r="T1399" t="s">
        <v>49</v>
      </c>
      <c r="U1399" t="s">
        <v>52</v>
      </c>
      <c r="V1399" s="1">
        <v>45509</v>
      </c>
      <c r="W1399">
        <f>Table1[[#This Row],[customer_purchase count]]+1</f>
        <v>34</v>
      </c>
      <c r="X1399">
        <f>Table1[[#This Row],[customer_purchase count]]*Rules!$B$3</f>
        <v>1972.2238461538464</v>
      </c>
      <c r="Y1399" t="str">
        <f>IF(Table1[[#This Row],[customer_subscription]]=1,"Subscribed","Not Subscribed")</f>
        <v>Not Subscribed</v>
      </c>
    </row>
    <row r="1400" spans="1:26" x14ac:dyDescent="0.25">
      <c r="A1400">
        <v>1399</v>
      </c>
      <c r="B1400">
        <v>30</v>
      </c>
      <c r="C1400" t="s">
        <v>22</v>
      </c>
      <c r="D1400">
        <v>1399</v>
      </c>
      <c r="E1400" t="s">
        <v>84</v>
      </c>
      <c r="F1400" t="s">
        <v>24</v>
      </c>
      <c r="G1400">
        <v>1399</v>
      </c>
      <c r="H1400">
        <v>1877</v>
      </c>
      <c r="I1400">
        <v>45</v>
      </c>
      <c r="J1400" t="s">
        <v>108</v>
      </c>
      <c r="K1400" t="s">
        <v>47</v>
      </c>
      <c r="L1400" t="s">
        <v>112</v>
      </c>
      <c r="M1400" t="s">
        <v>56</v>
      </c>
      <c r="N1400">
        <v>2.5</v>
      </c>
      <c r="O1400">
        <v>0</v>
      </c>
      <c r="P1400" t="s">
        <v>41</v>
      </c>
      <c r="Q1400" t="s">
        <v>30</v>
      </c>
      <c r="R1400" t="s">
        <v>30</v>
      </c>
      <c r="S1400">
        <v>25</v>
      </c>
      <c r="T1400" t="s">
        <v>42</v>
      </c>
      <c r="U1400" t="s">
        <v>43</v>
      </c>
      <c r="V1400" s="1">
        <v>45487</v>
      </c>
      <c r="W1400">
        <f>Table1[[#This Row],[customer_purchase count]]+1</f>
        <v>26</v>
      </c>
      <c r="X1400">
        <f>Table1[[#This Row],[customer_purchase count]]*Rules!$B$3</f>
        <v>1494.1089743589744</v>
      </c>
      <c r="Y1400" t="str">
        <f>IF(Table1[[#This Row],[customer_subscription]]=1,"Subscribed","Not Subscribed")</f>
        <v>Not Subscribed</v>
      </c>
    </row>
    <row r="1401" spans="1:26" x14ac:dyDescent="0.25">
      <c r="A1401">
        <v>1400</v>
      </c>
      <c r="B1401">
        <v>19</v>
      </c>
      <c r="C1401" t="s">
        <v>22</v>
      </c>
      <c r="D1401">
        <v>1400</v>
      </c>
      <c r="E1401" t="s">
        <v>127</v>
      </c>
      <c r="F1401" t="s">
        <v>70</v>
      </c>
      <c r="G1401">
        <v>1400</v>
      </c>
      <c r="H1401">
        <v>1879</v>
      </c>
      <c r="I1401">
        <v>81</v>
      </c>
      <c r="J1401" t="s">
        <v>148</v>
      </c>
      <c r="K1401" t="s">
        <v>47</v>
      </c>
      <c r="L1401" t="s">
        <v>81</v>
      </c>
      <c r="M1401" t="s">
        <v>28</v>
      </c>
      <c r="N1401">
        <v>3.1</v>
      </c>
      <c r="O1401">
        <v>0</v>
      </c>
      <c r="P1401" t="s">
        <v>77</v>
      </c>
      <c r="Q1401" t="s">
        <v>30</v>
      </c>
      <c r="R1401" t="s">
        <v>30</v>
      </c>
      <c r="S1401">
        <v>48</v>
      </c>
      <c r="T1401" t="s">
        <v>31</v>
      </c>
      <c r="U1401" t="s">
        <v>52</v>
      </c>
      <c r="V1401" s="1">
        <v>45323</v>
      </c>
      <c r="W1401">
        <f>Table1[[#This Row],[customer_purchase count]]+1</f>
        <v>49</v>
      </c>
      <c r="X1401">
        <f>Table1[[#This Row],[customer_purchase count]]*Rules!$B$3</f>
        <v>2868.689230769231</v>
      </c>
      <c r="Y1401" t="str">
        <f>IF(Table1[[#This Row],[customer_subscription]]=1,"Subscribed","Not Subscribed")</f>
        <v>Not Subscribed</v>
      </c>
    </row>
    <row r="1402" spans="1:26" x14ac:dyDescent="0.25">
      <c r="A1402">
        <v>1401</v>
      </c>
      <c r="B1402">
        <v>36</v>
      </c>
      <c r="C1402" t="s">
        <v>22</v>
      </c>
      <c r="D1402">
        <v>1401</v>
      </c>
      <c r="E1402" t="s">
        <v>135</v>
      </c>
      <c r="F1402" t="s">
        <v>70</v>
      </c>
      <c r="G1402">
        <v>1401</v>
      </c>
      <c r="H1402">
        <v>1880</v>
      </c>
      <c r="I1402">
        <v>23</v>
      </c>
      <c r="J1402" t="s">
        <v>110</v>
      </c>
      <c r="K1402" t="s">
        <v>47</v>
      </c>
      <c r="L1402" t="s">
        <v>111</v>
      </c>
      <c r="M1402" t="s">
        <v>60</v>
      </c>
      <c r="N1402">
        <v>3.6</v>
      </c>
      <c r="O1402">
        <v>0</v>
      </c>
      <c r="P1402" t="s">
        <v>48</v>
      </c>
      <c r="Q1402" t="s">
        <v>30</v>
      </c>
      <c r="R1402" t="s">
        <v>30</v>
      </c>
      <c r="S1402">
        <v>22</v>
      </c>
      <c r="T1402" t="s">
        <v>42</v>
      </c>
      <c r="U1402" t="s">
        <v>100</v>
      </c>
      <c r="V1402" s="1">
        <v>45616</v>
      </c>
      <c r="W1402">
        <f>Table1[[#This Row],[customer_purchase count]]+1</f>
        <v>23</v>
      </c>
      <c r="X1402">
        <f>Table1[[#This Row],[customer_purchase count]]*Rules!$B$3</f>
        <v>1314.8158974358976</v>
      </c>
      <c r="Y1402" t="str">
        <f>IF(Table1[[#This Row],[customer_subscription]]=1,"Subscribed","Not Subscribed")</f>
        <v>Not Subscribed</v>
      </c>
    </row>
    <row r="1403" spans="1:26" x14ac:dyDescent="0.25">
      <c r="A1403">
        <v>1402</v>
      </c>
      <c r="B1403">
        <v>23</v>
      </c>
      <c r="C1403" t="s">
        <v>22</v>
      </c>
      <c r="D1403">
        <v>1402</v>
      </c>
      <c r="E1403" t="s">
        <v>44</v>
      </c>
      <c r="F1403" t="s">
        <v>45</v>
      </c>
      <c r="G1403">
        <v>1402</v>
      </c>
      <c r="H1403">
        <v>1881</v>
      </c>
      <c r="I1403">
        <v>59</v>
      </c>
      <c r="J1403" t="s">
        <v>119</v>
      </c>
      <c r="K1403" t="s">
        <v>47</v>
      </c>
      <c r="L1403" t="s">
        <v>147</v>
      </c>
      <c r="M1403" t="s">
        <v>60</v>
      </c>
      <c r="N1403">
        <v>3.5</v>
      </c>
      <c r="O1403">
        <v>0</v>
      </c>
      <c r="P1403" t="s">
        <v>73</v>
      </c>
      <c r="Q1403" t="s">
        <v>30</v>
      </c>
      <c r="R1403" t="s">
        <v>30</v>
      </c>
      <c r="S1403">
        <v>1</v>
      </c>
      <c r="T1403" t="s">
        <v>49</v>
      </c>
      <c r="U1403" t="s">
        <v>43</v>
      </c>
      <c r="V1403" s="1">
        <v>45599</v>
      </c>
      <c r="W1403">
        <f>Table1[[#This Row],[customer_purchase count]]+1</f>
        <v>2</v>
      </c>
      <c r="X1403">
        <f>Table1[[#This Row],[customer_purchase count]]*Rules!$B$3</f>
        <v>59.764358974358977</v>
      </c>
      <c r="Y1403" t="str">
        <f>IF(Table1[[#This Row],[customer_subscription]]=1,"Subscribed","Not Subscribed")</f>
        <v>Not Subscribed</v>
      </c>
      <c r="Z1403" t="s">
        <v>194</v>
      </c>
    </row>
    <row r="1404" spans="1:26" x14ac:dyDescent="0.25">
      <c r="A1404">
        <v>1403</v>
      </c>
      <c r="B1404">
        <v>62</v>
      </c>
      <c r="C1404" t="s">
        <v>22</v>
      </c>
      <c r="D1404">
        <v>1403</v>
      </c>
      <c r="E1404" t="s">
        <v>92</v>
      </c>
      <c r="F1404" t="s">
        <v>70</v>
      </c>
      <c r="G1404">
        <v>1403</v>
      </c>
      <c r="H1404">
        <v>1882</v>
      </c>
      <c r="I1404">
        <v>21</v>
      </c>
      <c r="J1404" t="s">
        <v>117</v>
      </c>
      <c r="K1404" t="s">
        <v>26</v>
      </c>
      <c r="L1404" t="s">
        <v>55</v>
      </c>
      <c r="M1404" t="s">
        <v>56</v>
      </c>
      <c r="N1404">
        <v>3.1</v>
      </c>
      <c r="O1404">
        <v>0</v>
      </c>
      <c r="P1404" t="s">
        <v>29</v>
      </c>
      <c r="Q1404" t="s">
        <v>30</v>
      </c>
      <c r="R1404" t="s">
        <v>30</v>
      </c>
      <c r="S1404">
        <v>47</v>
      </c>
      <c r="T1404" t="s">
        <v>49</v>
      </c>
      <c r="U1404" t="s">
        <v>91</v>
      </c>
      <c r="V1404" s="1">
        <v>45517</v>
      </c>
      <c r="W1404">
        <f>Table1[[#This Row],[customer_purchase count]]+1</f>
        <v>48</v>
      </c>
      <c r="X1404">
        <f>Table1[[#This Row],[customer_purchase count]]*Rules!$B$3</f>
        <v>2808.9248717948717</v>
      </c>
      <c r="Y1404" t="str">
        <f>IF(Table1[[#This Row],[customer_subscription]]=1,"Subscribed","Not Subscribed")</f>
        <v>Not Subscribed</v>
      </c>
    </row>
    <row r="1405" spans="1:26" x14ac:dyDescent="0.25">
      <c r="A1405">
        <v>1404</v>
      </c>
      <c r="B1405">
        <v>26</v>
      </c>
      <c r="C1405" t="s">
        <v>22</v>
      </c>
      <c r="D1405">
        <v>1404</v>
      </c>
      <c r="E1405" t="s">
        <v>135</v>
      </c>
      <c r="F1405" t="s">
        <v>70</v>
      </c>
      <c r="G1405">
        <v>1404</v>
      </c>
      <c r="H1405">
        <v>1883</v>
      </c>
      <c r="I1405">
        <v>20</v>
      </c>
      <c r="J1405" t="s">
        <v>145</v>
      </c>
      <c r="K1405" t="s">
        <v>47</v>
      </c>
      <c r="L1405" t="s">
        <v>103</v>
      </c>
      <c r="M1405" t="s">
        <v>40</v>
      </c>
      <c r="N1405">
        <v>3.6</v>
      </c>
      <c r="O1405">
        <v>0</v>
      </c>
      <c r="P1405" t="s">
        <v>77</v>
      </c>
      <c r="Q1405" t="s">
        <v>30</v>
      </c>
      <c r="R1405" t="s">
        <v>30</v>
      </c>
      <c r="S1405">
        <v>20</v>
      </c>
      <c r="T1405" t="s">
        <v>42</v>
      </c>
      <c r="U1405" t="s">
        <v>79</v>
      </c>
      <c r="V1405" s="1">
        <v>45373</v>
      </c>
      <c r="W1405">
        <f>Table1[[#This Row],[customer_purchase count]]+1</f>
        <v>21</v>
      </c>
      <c r="X1405">
        <f>Table1[[#This Row],[customer_purchase count]]*Rules!$B$3</f>
        <v>1195.2871794871796</v>
      </c>
      <c r="Y1405" t="str">
        <f>IF(Table1[[#This Row],[customer_subscription]]=1,"Subscribed","Not Subscribed")</f>
        <v>Not Subscribed</v>
      </c>
    </row>
    <row r="1406" spans="1:26" x14ac:dyDescent="0.25">
      <c r="A1406">
        <v>1405</v>
      </c>
      <c r="B1406">
        <v>36</v>
      </c>
      <c r="C1406" t="s">
        <v>22</v>
      </c>
      <c r="D1406">
        <v>1405</v>
      </c>
      <c r="E1406" t="s">
        <v>109</v>
      </c>
      <c r="F1406" t="s">
        <v>70</v>
      </c>
      <c r="G1406">
        <v>1405</v>
      </c>
      <c r="H1406">
        <v>1885</v>
      </c>
      <c r="I1406">
        <v>28</v>
      </c>
      <c r="J1406" t="s">
        <v>133</v>
      </c>
      <c r="K1406" t="s">
        <v>47</v>
      </c>
      <c r="L1406" t="s">
        <v>64</v>
      </c>
      <c r="M1406" t="s">
        <v>28</v>
      </c>
      <c r="N1406">
        <v>3.5</v>
      </c>
      <c r="O1406">
        <v>0</v>
      </c>
      <c r="P1406" t="s">
        <v>48</v>
      </c>
      <c r="Q1406" t="s">
        <v>30</v>
      </c>
      <c r="R1406" t="s">
        <v>30</v>
      </c>
      <c r="S1406">
        <v>10</v>
      </c>
      <c r="T1406" t="s">
        <v>89</v>
      </c>
      <c r="U1406" t="s">
        <v>43</v>
      </c>
      <c r="V1406" s="1">
        <v>45646</v>
      </c>
      <c r="W1406">
        <f>Table1[[#This Row],[customer_purchase count]]+1</f>
        <v>11</v>
      </c>
      <c r="X1406">
        <f>Table1[[#This Row],[customer_purchase count]]*Rules!$B$3</f>
        <v>597.64358974358981</v>
      </c>
      <c r="Y1406" t="str">
        <f>IF(Table1[[#This Row],[customer_subscription]]=1,"Subscribed","Not Subscribed")</f>
        <v>Not Subscribed</v>
      </c>
      <c r="Z1406" t="s">
        <v>194</v>
      </c>
    </row>
    <row r="1407" spans="1:26" x14ac:dyDescent="0.25">
      <c r="A1407">
        <v>1406</v>
      </c>
      <c r="B1407">
        <v>33</v>
      </c>
      <c r="C1407" t="s">
        <v>22</v>
      </c>
      <c r="D1407">
        <v>1406</v>
      </c>
      <c r="E1407" t="s">
        <v>128</v>
      </c>
      <c r="F1407" t="s">
        <v>24</v>
      </c>
      <c r="G1407">
        <v>1406</v>
      </c>
      <c r="H1407">
        <v>1886</v>
      </c>
      <c r="I1407">
        <v>100</v>
      </c>
      <c r="J1407" t="s">
        <v>85</v>
      </c>
      <c r="K1407" t="s">
        <v>47</v>
      </c>
      <c r="L1407" t="s">
        <v>103</v>
      </c>
      <c r="M1407" t="s">
        <v>28</v>
      </c>
      <c r="N1407">
        <v>2.7</v>
      </c>
      <c r="O1407">
        <v>0</v>
      </c>
      <c r="P1407" t="s">
        <v>77</v>
      </c>
      <c r="Q1407" t="s">
        <v>30</v>
      </c>
      <c r="R1407" t="s">
        <v>30</v>
      </c>
      <c r="S1407">
        <v>39</v>
      </c>
      <c r="T1407" t="s">
        <v>42</v>
      </c>
      <c r="U1407" t="s">
        <v>91</v>
      </c>
      <c r="V1407" s="1">
        <v>45298</v>
      </c>
      <c r="W1407">
        <f>Table1[[#This Row],[customer_purchase count]]+1</f>
        <v>40</v>
      </c>
      <c r="X1407">
        <f>Table1[[#This Row],[customer_purchase count]]*Rules!$B$3</f>
        <v>2330.81</v>
      </c>
      <c r="Y1407" t="str">
        <f>IF(Table1[[#This Row],[customer_subscription]]=1,"Subscribed","Not Subscribed")</f>
        <v>Not Subscribed</v>
      </c>
    </row>
    <row r="1408" spans="1:26" x14ac:dyDescent="0.25">
      <c r="A1408">
        <v>1407</v>
      </c>
      <c r="B1408">
        <v>32</v>
      </c>
      <c r="C1408" t="s">
        <v>22</v>
      </c>
      <c r="D1408">
        <v>1407</v>
      </c>
      <c r="E1408" t="s">
        <v>58</v>
      </c>
      <c r="F1408" t="s">
        <v>24</v>
      </c>
      <c r="G1408">
        <v>1407</v>
      </c>
      <c r="H1408">
        <v>1887</v>
      </c>
      <c r="I1408">
        <v>46</v>
      </c>
      <c r="J1408" t="s">
        <v>152</v>
      </c>
      <c r="K1408" t="s">
        <v>26</v>
      </c>
      <c r="L1408" t="s">
        <v>51</v>
      </c>
      <c r="M1408" t="s">
        <v>40</v>
      </c>
      <c r="N1408">
        <v>3.6</v>
      </c>
      <c r="O1408">
        <v>0</v>
      </c>
      <c r="P1408" t="s">
        <v>29</v>
      </c>
      <c r="Q1408" t="s">
        <v>30</v>
      </c>
      <c r="R1408" t="s">
        <v>30</v>
      </c>
      <c r="S1408">
        <v>15</v>
      </c>
      <c r="T1408" t="s">
        <v>89</v>
      </c>
      <c r="U1408" t="s">
        <v>91</v>
      </c>
      <c r="V1408" s="1">
        <v>45413</v>
      </c>
      <c r="W1408">
        <f>Table1[[#This Row],[customer_purchase count]]+1</f>
        <v>16</v>
      </c>
      <c r="X1408">
        <f>Table1[[#This Row],[customer_purchase count]]*Rules!$B$3</f>
        <v>896.46538461538466</v>
      </c>
      <c r="Y1408" t="str">
        <f>IF(Table1[[#This Row],[customer_subscription]]=1,"Subscribed","Not Subscribed")</f>
        <v>Not Subscribed</v>
      </c>
      <c r="Z1408" t="s">
        <v>194</v>
      </c>
    </row>
    <row r="1409" spans="1:26" x14ac:dyDescent="0.25">
      <c r="A1409">
        <v>1408</v>
      </c>
      <c r="B1409">
        <v>56</v>
      </c>
      <c r="C1409" t="s">
        <v>22</v>
      </c>
      <c r="D1409">
        <v>1408</v>
      </c>
      <c r="E1409" t="s">
        <v>69</v>
      </c>
      <c r="F1409" t="s">
        <v>70</v>
      </c>
      <c r="G1409">
        <v>1408</v>
      </c>
      <c r="H1409">
        <v>1888</v>
      </c>
      <c r="I1409">
        <v>61</v>
      </c>
      <c r="J1409" t="s">
        <v>110</v>
      </c>
      <c r="K1409" t="s">
        <v>95</v>
      </c>
      <c r="L1409" t="s">
        <v>64</v>
      </c>
      <c r="M1409" t="s">
        <v>40</v>
      </c>
      <c r="N1409">
        <v>4.5</v>
      </c>
      <c r="O1409">
        <v>0</v>
      </c>
      <c r="P1409" t="s">
        <v>29</v>
      </c>
      <c r="Q1409" t="s">
        <v>30</v>
      </c>
      <c r="R1409" t="s">
        <v>30</v>
      </c>
      <c r="S1409">
        <v>11</v>
      </c>
      <c r="T1409" t="s">
        <v>42</v>
      </c>
      <c r="U1409" t="s">
        <v>52</v>
      </c>
      <c r="V1409" s="1">
        <v>45390</v>
      </c>
      <c r="W1409">
        <f>Table1[[#This Row],[customer_purchase count]]+1</f>
        <v>12</v>
      </c>
      <c r="X1409">
        <f>Table1[[#This Row],[customer_purchase count]]*Rules!$B$3</f>
        <v>657.40794871794878</v>
      </c>
      <c r="Y1409" t="str">
        <f>IF(Table1[[#This Row],[customer_subscription]]=1,"Subscribed","Not Subscribed")</f>
        <v>Not Subscribed</v>
      </c>
      <c r="Z1409" t="s">
        <v>194</v>
      </c>
    </row>
    <row r="1410" spans="1:26" x14ac:dyDescent="0.25">
      <c r="A1410">
        <v>1409</v>
      </c>
      <c r="B1410">
        <v>58</v>
      </c>
      <c r="C1410" t="s">
        <v>22</v>
      </c>
      <c r="D1410">
        <v>1409</v>
      </c>
      <c r="E1410" t="s">
        <v>23</v>
      </c>
      <c r="F1410" t="s">
        <v>24</v>
      </c>
      <c r="G1410">
        <v>1409</v>
      </c>
      <c r="H1410">
        <v>1889</v>
      </c>
      <c r="I1410">
        <v>58</v>
      </c>
      <c r="J1410" t="s">
        <v>34</v>
      </c>
      <c r="K1410" t="s">
        <v>47</v>
      </c>
      <c r="L1410" t="s">
        <v>137</v>
      </c>
      <c r="M1410" t="s">
        <v>28</v>
      </c>
      <c r="N1410">
        <v>4.0999999999999996</v>
      </c>
      <c r="O1410">
        <v>0</v>
      </c>
      <c r="P1410" t="s">
        <v>41</v>
      </c>
      <c r="Q1410" t="s">
        <v>30</v>
      </c>
      <c r="R1410" t="s">
        <v>30</v>
      </c>
      <c r="S1410">
        <v>38</v>
      </c>
      <c r="T1410" t="s">
        <v>31</v>
      </c>
      <c r="U1410" t="s">
        <v>43</v>
      </c>
      <c r="V1410" s="1">
        <v>45633</v>
      </c>
      <c r="W1410">
        <f>Table1[[#This Row],[customer_purchase count]]+1</f>
        <v>39</v>
      </c>
      <c r="X1410">
        <f>Table1[[#This Row],[customer_purchase count]]*Rules!$B$3</f>
        <v>2271.0456410256411</v>
      </c>
      <c r="Y1410" t="str">
        <f>IF(Table1[[#This Row],[customer_subscription]]=1,"Subscribed","Not Subscribed")</f>
        <v>Not Subscribed</v>
      </c>
    </row>
    <row r="1411" spans="1:26" x14ac:dyDescent="0.25">
      <c r="A1411">
        <v>1410</v>
      </c>
      <c r="B1411">
        <v>34</v>
      </c>
      <c r="C1411" t="s">
        <v>22</v>
      </c>
      <c r="D1411">
        <v>1410</v>
      </c>
      <c r="E1411" t="s">
        <v>135</v>
      </c>
      <c r="F1411" t="s">
        <v>70</v>
      </c>
      <c r="G1411">
        <v>1410</v>
      </c>
      <c r="H1411">
        <v>1891</v>
      </c>
      <c r="I1411">
        <v>50</v>
      </c>
      <c r="J1411" t="s">
        <v>138</v>
      </c>
      <c r="K1411" t="s">
        <v>47</v>
      </c>
      <c r="L1411" t="s">
        <v>147</v>
      </c>
      <c r="M1411" t="s">
        <v>40</v>
      </c>
      <c r="N1411">
        <v>4.2</v>
      </c>
      <c r="O1411">
        <v>0</v>
      </c>
      <c r="P1411" t="s">
        <v>57</v>
      </c>
      <c r="Q1411" t="s">
        <v>30</v>
      </c>
      <c r="R1411" t="s">
        <v>30</v>
      </c>
      <c r="S1411">
        <v>41</v>
      </c>
      <c r="T1411" t="s">
        <v>36</v>
      </c>
      <c r="U1411" t="s">
        <v>32</v>
      </c>
      <c r="V1411" s="1">
        <v>45426</v>
      </c>
      <c r="W1411">
        <f>Table1[[#This Row],[customer_purchase count]]+1</f>
        <v>42</v>
      </c>
      <c r="X1411">
        <f>Table1[[#This Row],[customer_purchase count]]*Rules!$B$3</f>
        <v>2450.3387179487181</v>
      </c>
      <c r="Y1411" t="str">
        <f>IF(Table1[[#This Row],[customer_subscription]]=1,"Subscribed","Not Subscribed")</f>
        <v>Not Subscribed</v>
      </c>
    </row>
    <row r="1412" spans="1:26" x14ac:dyDescent="0.25">
      <c r="A1412">
        <v>1411</v>
      </c>
      <c r="B1412">
        <v>61</v>
      </c>
      <c r="C1412" t="s">
        <v>22</v>
      </c>
      <c r="D1412">
        <v>1411</v>
      </c>
      <c r="E1412" t="s">
        <v>127</v>
      </c>
      <c r="F1412" t="s">
        <v>70</v>
      </c>
      <c r="G1412">
        <v>1411</v>
      </c>
      <c r="H1412">
        <v>1892</v>
      </c>
      <c r="I1412">
        <v>93</v>
      </c>
      <c r="J1412" t="s">
        <v>125</v>
      </c>
      <c r="K1412" t="s">
        <v>47</v>
      </c>
      <c r="L1412" t="s">
        <v>76</v>
      </c>
      <c r="M1412" t="s">
        <v>56</v>
      </c>
      <c r="N1412">
        <v>4</v>
      </c>
      <c r="O1412">
        <v>0</v>
      </c>
      <c r="P1412" t="s">
        <v>77</v>
      </c>
      <c r="Q1412" t="s">
        <v>30</v>
      </c>
      <c r="R1412" t="s">
        <v>30</v>
      </c>
      <c r="S1412">
        <v>18</v>
      </c>
      <c r="T1412" t="s">
        <v>89</v>
      </c>
      <c r="U1412" t="s">
        <v>52</v>
      </c>
      <c r="V1412" s="1">
        <v>45482</v>
      </c>
      <c r="W1412">
        <f>Table1[[#This Row],[customer_purchase count]]+1</f>
        <v>19</v>
      </c>
      <c r="X1412">
        <f>Table1[[#This Row],[customer_purchase count]]*Rules!$B$3</f>
        <v>1075.7584615384617</v>
      </c>
      <c r="Y1412" t="str">
        <f>IF(Table1[[#This Row],[customer_subscription]]=1,"Subscribed","Not Subscribed")</f>
        <v>Not Subscribed</v>
      </c>
    </row>
    <row r="1413" spans="1:26" x14ac:dyDescent="0.25">
      <c r="A1413">
        <v>1412</v>
      </c>
      <c r="B1413">
        <v>48</v>
      </c>
      <c r="C1413" t="s">
        <v>22</v>
      </c>
      <c r="D1413">
        <v>1412</v>
      </c>
      <c r="E1413" t="s">
        <v>90</v>
      </c>
      <c r="F1413" t="s">
        <v>24</v>
      </c>
      <c r="G1413">
        <v>1412</v>
      </c>
      <c r="H1413">
        <v>1893</v>
      </c>
      <c r="I1413">
        <v>24</v>
      </c>
      <c r="J1413" t="s">
        <v>63</v>
      </c>
      <c r="K1413" t="s">
        <v>26</v>
      </c>
      <c r="L1413" t="s">
        <v>99</v>
      </c>
      <c r="M1413" t="s">
        <v>56</v>
      </c>
      <c r="N1413">
        <v>2.8</v>
      </c>
      <c r="O1413">
        <v>0</v>
      </c>
      <c r="P1413" t="s">
        <v>77</v>
      </c>
      <c r="Q1413" t="s">
        <v>30</v>
      </c>
      <c r="R1413" t="s">
        <v>30</v>
      </c>
      <c r="S1413">
        <v>13</v>
      </c>
      <c r="T1413" t="s">
        <v>31</v>
      </c>
      <c r="U1413" t="s">
        <v>61</v>
      </c>
      <c r="V1413" s="1">
        <v>45532</v>
      </c>
      <c r="W1413">
        <f>Table1[[#This Row],[customer_purchase count]]+1</f>
        <v>14</v>
      </c>
      <c r="X1413">
        <f>Table1[[#This Row],[customer_purchase count]]*Rules!$B$3</f>
        <v>776.93666666666672</v>
      </c>
      <c r="Y1413" t="str">
        <f>IF(Table1[[#This Row],[customer_subscription]]=1,"Subscribed","Not Subscribed")</f>
        <v>Not Subscribed</v>
      </c>
      <c r="Z1413" t="s">
        <v>194</v>
      </c>
    </row>
    <row r="1414" spans="1:26" x14ac:dyDescent="0.25">
      <c r="A1414">
        <v>1413</v>
      </c>
      <c r="B1414">
        <v>25</v>
      </c>
      <c r="C1414" t="s">
        <v>22</v>
      </c>
      <c r="D1414">
        <v>1413</v>
      </c>
      <c r="E1414" t="s">
        <v>62</v>
      </c>
      <c r="F1414" t="s">
        <v>24</v>
      </c>
      <c r="G1414">
        <v>1413</v>
      </c>
      <c r="H1414">
        <v>1894</v>
      </c>
      <c r="I1414">
        <v>100</v>
      </c>
      <c r="J1414" t="s">
        <v>154</v>
      </c>
      <c r="K1414" t="s">
        <v>47</v>
      </c>
      <c r="L1414" t="s">
        <v>64</v>
      </c>
      <c r="M1414" t="s">
        <v>56</v>
      </c>
      <c r="N1414">
        <v>2.6</v>
      </c>
      <c r="O1414">
        <v>0</v>
      </c>
      <c r="P1414" t="s">
        <v>73</v>
      </c>
      <c r="Q1414" t="s">
        <v>30</v>
      </c>
      <c r="R1414" t="s">
        <v>30</v>
      </c>
      <c r="S1414">
        <v>43</v>
      </c>
      <c r="T1414" t="s">
        <v>31</v>
      </c>
      <c r="U1414" t="s">
        <v>52</v>
      </c>
      <c r="V1414" s="1">
        <v>45448</v>
      </c>
      <c r="W1414">
        <f>Table1[[#This Row],[customer_purchase count]]+1</f>
        <v>44</v>
      </c>
      <c r="X1414">
        <f>Table1[[#This Row],[customer_purchase count]]*Rules!$B$3</f>
        <v>2569.8674358974358</v>
      </c>
      <c r="Y1414" t="str">
        <f>IF(Table1[[#This Row],[customer_subscription]]=1,"Subscribed","Not Subscribed")</f>
        <v>Not Subscribed</v>
      </c>
    </row>
    <row r="1415" spans="1:26" x14ac:dyDescent="0.25">
      <c r="A1415">
        <v>1414</v>
      </c>
      <c r="B1415">
        <v>51</v>
      </c>
      <c r="C1415" t="s">
        <v>22</v>
      </c>
      <c r="D1415">
        <v>1414</v>
      </c>
      <c r="E1415" t="s">
        <v>23</v>
      </c>
      <c r="F1415" t="s">
        <v>24</v>
      </c>
      <c r="G1415">
        <v>1414</v>
      </c>
      <c r="H1415">
        <v>1895</v>
      </c>
      <c r="I1415">
        <v>79</v>
      </c>
      <c r="J1415" t="s">
        <v>85</v>
      </c>
      <c r="K1415" t="s">
        <v>39</v>
      </c>
      <c r="L1415" t="s">
        <v>129</v>
      </c>
      <c r="M1415" t="s">
        <v>60</v>
      </c>
      <c r="N1415">
        <v>2.7</v>
      </c>
      <c r="O1415">
        <v>0</v>
      </c>
      <c r="P1415" t="s">
        <v>77</v>
      </c>
      <c r="Q1415" t="s">
        <v>30</v>
      </c>
      <c r="R1415" t="s">
        <v>30</v>
      </c>
      <c r="S1415">
        <v>12</v>
      </c>
      <c r="T1415" t="s">
        <v>78</v>
      </c>
      <c r="U1415" t="s">
        <v>61</v>
      </c>
      <c r="V1415" s="1">
        <v>45546</v>
      </c>
      <c r="W1415">
        <f>Table1[[#This Row],[customer_purchase count]]+1</f>
        <v>13</v>
      </c>
      <c r="X1415">
        <f>Table1[[#This Row],[customer_purchase count]]*Rules!$B$3</f>
        <v>717.17230769230775</v>
      </c>
      <c r="Y1415" t="str">
        <f>IF(Table1[[#This Row],[customer_subscription]]=1,"Subscribed","Not Subscribed")</f>
        <v>Not Subscribed</v>
      </c>
      <c r="Z1415" t="s">
        <v>194</v>
      </c>
    </row>
    <row r="1416" spans="1:26" x14ac:dyDescent="0.25">
      <c r="A1416">
        <v>1415</v>
      </c>
      <c r="B1416">
        <v>29</v>
      </c>
      <c r="C1416" t="s">
        <v>22</v>
      </c>
      <c r="D1416">
        <v>1415</v>
      </c>
      <c r="E1416" t="s">
        <v>128</v>
      </c>
      <c r="F1416" t="s">
        <v>24</v>
      </c>
      <c r="G1416">
        <v>1415</v>
      </c>
      <c r="H1416">
        <v>1897</v>
      </c>
      <c r="I1416">
        <v>51</v>
      </c>
      <c r="J1416" t="s">
        <v>151</v>
      </c>
      <c r="K1416" t="s">
        <v>47</v>
      </c>
      <c r="L1416" t="s">
        <v>97</v>
      </c>
      <c r="M1416" t="s">
        <v>56</v>
      </c>
      <c r="N1416">
        <v>4.5</v>
      </c>
      <c r="O1416">
        <v>0</v>
      </c>
      <c r="P1416" t="s">
        <v>77</v>
      </c>
      <c r="Q1416" t="s">
        <v>30</v>
      </c>
      <c r="R1416" t="s">
        <v>30</v>
      </c>
      <c r="S1416">
        <v>3</v>
      </c>
      <c r="T1416" t="s">
        <v>42</v>
      </c>
      <c r="U1416" t="s">
        <v>79</v>
      </c>
      <c r="V1416" s="1">
        <v>45475</v>
      </c>
      <c r="W1416">
        <f>Table1[[#This Row],[customer_purchase count]]+1</f>
        <v>4</v>
      </c>
      <c r="X1416">
        <f>Table1[[#This Row],[customer_purchase count]]*Rules!$B$3</f>
        <v>179.29307692307694</v>
      </c>
      <c r="Y1416" t="str">
        <f>IF(Table1[[#This Row],[customer_subscription]]=1,"Subscribed","Not Subscribed")</f>
        <v>Not Subscribed</v>
      </c>
      <c r="Z1416" t="s">
        <v>194</v>
      </c>
    </row>
    <row r="1417" spans="1:26" x14ac:dyDescent="0.25">
      <c r="A1417">
        <v>1416</v>
      </c>
      <c r="B1417">
        <v>54</v>
      </c>
      <c r="C1417" t="s">
        <v>22</v>
      </c>
      <c r="D1417">
        <v>1416</v>
      </c>
      <c r="E1417" t="s">
        <v>136</v>
      </c>
      <c r="F1417" t="s">
        <v>70</v>
      </c>
      <c r="G1417">
        <v>1416</v>
      </c>
      <c r="H1417">
        <v>1898</v>
      </c>
      <c r="I1417">
        <v>90</v>
      </c>
      <c r="J1417" t="s">
        <v>118</v>
      </c>
      <c r="K1417" t="s">
        <v>47</v>
      </c>
      <c r="L1417" t="s">
        <v>147</v>
      </c>
      <c r="M1417" t="s">
        <v>28</v>
      </c>
      <c r="N1417">
        <v>3.7</v>
      </c>
      <c r="O1417">
        <v>0</v>
      </c>
      <c r="P1417" t="s">
        <v>41</v>
      </c>
      <c r="Q1417" t="s">
        <v>30</v>
      </c>
      <c r="R1417" t="s">
        <v>30</v>
      </c>
      <c r="S1417">
        <v>12</v>
      </c>
      <c r="T1417" t="s">
        <v>42</v>
      </c>
      <c r="U1417" t="s">
        <v>100</v>
      </c>
      <c r="V1417" s="1">
        <v>45648</v>
      </c>
      <c r="W1417">
        <f>Table1[[#This Row],[customer_purchase count]]+1</f>
        <v>13</v>
      </c>
      <c r="X1417">
        <f>Table1[[#This Row],[customer_purchase count]]*Rules!$B$3</f>
        <v>717.17230769230775</v>
      </c>
      <c r="Y1417" t="str">
        <f>IF(Table1[[#This Row],[customer_subscription]]=1,"Subscribed","Not Subscribed")</f>
        <v>Not Subscribed</v>
      </c>
      <c r="Z1417" t="s">
        <v>194</v>
      </c>
    </row>
    <row r="1418" spans="1:26" x14ac:dyDescent="0.25">
      <c r="A1418">
        <v>1417</v>
      </c>
      <c r="B1418">
        <v>48</v>
      </c>
      <c r="C1418" t="s">
        <v>22</v>
      </c>
      <c r="D1418">
        <v>1417</v>
      </c>
      <c r="E1418" t="s">
        <v>140</v>
      </c>
      <c r="F1418" t="s">
        <v>45</v>
      </c>
      <c r="G1418">
        <v>1417</v>
      </c>
      <c r="H1418">
        <v>1899</v>
      </c>
      <c r="I1418">
        <v>56</v>
      </c>
      <c r="J1418" t="s">
        <v>138</v>
      </c>
      <c r="K1418" t="s">
        <v>26</v>
      </c>
      <c r="L1418" t="s">
        <v>68</v>
      </c>
      <c r="M1418" t="s">
        <v>56</v>
      </c>
      <c r="N1418">
        <v>3.4</v>
      </c>
      <c r="O1418">
        <v>0</v>
      </c>
      <c r="P1418" t="s">
        <v>41</v>
      </c>
      <c r="Q1418" t="s">
        <v>30</v>
      </c>
      <c r="R1418" t="s">
        <v>30</v>
      </c>
      <c r="S1418">
        <v>46</v>
      </c>
      <c r="T1418" t="s">
        <v>36</v>
      </c>
      <c r="U1418" t="s">
        <v>61</v>
      </c>
      <c r="V1418" s="1">
        <v>45489</v>
      </c>
      <c r="W1418">
        <f>Table1[[#This Row],[customer_purchase count]]+1</f>
        <v>47</v>
      </c>
      <c r="X1418">
        <f>Table1[[#This Row],[customer_purchase count]]*Rules!$B$3</f>
        <v>2749.1605128205128</v>
      </c>
      <c r="Y1418" t="str">
        <f>IF(Table1[[#This Row],[customer_subscription]]=1,"Subscribed","Not Subscribed")</f>
        <v>Not Subscribed</v>
      </c>
    </row>
    <row r="1419" spans="1:26" x14ac:dyDescent="0.25">
      <c r="A1419">
        <v>1418</v>
      </c>
      <c r="B1419">
        <v>62</v>
      </c>
      <c r="C1419" t="s">
        <v>22</v>
      </c>
      <c r="D1419">
        <v>1418</v>
      </c>
      <c r="E1419" t="s">
        <v>62</v>
      </c>
      <c r="F1419" t="s">
        <v>24</v>
      </c>
      <c r="G1419">
        <v>1418</v>
      </c>
      <c r="H1419">
        <v>1900</v>
      </c>
      <c r="I1419">
        <v>25</v>
      </c>
      <c r="J1419" t="s">
        <v>59</v>
      </c>
      <c r="K1419" t="s">
        <v>39</v>
      </c>
      <c r="L1419" t="s">
        <v>113</v>
      </c>
      <c r="M1419" t="s">
        <v>40</v>
      </c>
      <c r="N1419">
        <v>4.5999999999999996</v>
      </c>
      <c r="O1419">
        <v>0</v>
      </c>
      <c r="P1419" t="s">
        <v>57</v>
      </c>
      <c r="Q1419" t="s">
        <v>30</v>
      </c>
      <c r="R1419" t="s">
        <v>30</v>
      </c>
      <c r="S1419">
        <v>21</v>
      </c>
      <c r="T1419" t="s">
        <v>89</v>
      </c>
      <c r="U1419" t="s">
        <v>32</v>
      </c>
      <c r="V1419" s="1">
        <v>45390</v>
      </c>
      <c r="W1419">
        <f>Table1[[#This Row],[customer_purchase count]]+1</f>
        <v>22</v>
      </c>
      <c r="X1419">
        <f>Table1[[#This Row],[customer_purchase count]]*Rules!$B$3</f>
        <v>1255.0515384615385</v>
      </c>
      <c r="Y1419" t="str">
        <f>IF(Table1[[#This Row],[customer_subscription]]=1,"Subscribed","Not Subscribed")</f>
        <v>Not Subscribed</v>
      </c>
    </row>
    <row r="1420" spans="1:26" x14ac:dyDescent="0.25">
      <c r="A1420">
        <v>1419</v>
      </c>
      <c r="B1420">
        <v>18</v>
      </c>
      <c r="C1420" t="s">
        <v>22</v>
      </c>
      <c r="D1420">
        <v>1419</v>
      </c>
      <c r="E1420" t="s">
        <v>58</v>
      </c>
      <c r="F1420" t="s">
        <v>24</v>
      </c>
      <c r="G1420">
        <v>1419</v>
      </c>
      <c r="H1420">
        <v>1901</v>
      </c>
      <c r="I1420">
        <v>75</v>
      </c>
      <c r="J1420" t="s">
        <v>93</v>
      </c>
      <c r="K1420" t="s">
        <v>47</v>
      </c>
      <c r="L1420" t="s">
        <v>86</v>
      </c>
      <c r="M1420" t="s">
        <v>56</v>
      </c>
      <c r="N1420">
        <v>4.0999999999999996</v>
      </c>
      <c r="O1420">
        <v>0</v>
      </c>
      <c r="P1420" t="s">
        <v>73</v>
      </c>
      <c r="Q1420" t="s">
        <v>30</v>
      </c>
      <c r="R1420" t="s">
        <v>30</v>
      </c>
      <c r="S1420">
        <v>23</v>
      </c>
      <c r="T1420" t="s">
        <v>31</v>
      </c>
      <c r="U1420" t="s">
        <v>100</v>
      </c>
      <c r="V1420" s="1">
        <v>45524</v>
      </c>
      <c r="W1420">
        <f>Table1[[#This Row],[customer_purchase count]]+1</f>
        <v>24</v>
      </c>
      <c r="X1420">
        <f>Table1[[#This Row],[customer_purchase count]]*Rules!$B$3</f>
        <v>1374.5802564102564</v>
      </c>
      <c r="Y1420" t="str">
        <f>IF(Table1[[#This Row],[customer_subscription]]=1,"Subscribed","Not Subscribed")</f>
        <v>Not Subscribed</v>
      </c>
    </row>
    <row r="1421" spans="1:26" x14ac:dyDescent="0.25">
      <c r="A1421">
        <v>1420</v>
      </c>
      <c r="B1421">
        <v>43</v>
      </c>
      <c r="C1421" t="s">
        <v>22</v>
      </c>
      <c r="D1421">
        <v>1420</v>
      </c>
      <c r="E1421" t="s">
        <v>69</v>
      </c>
      <c r="F1421" t="s">
        <v>70</v>
      </c>
      <c r="G1421">
        <v>1420</v>
      </c>
      <c r="H1421">
        <v>1903</v>
      </c>
      <c r="I1421">
        <v>75</v>
      </c>
      <c r="J1421" t="s">
        <v>59</v>
      </c>
      <c r="K1421" t="s">
        <v>47</v>
      </c>
      <c r="L1421" t="s">
        <v>124</v>
      </c>
      <c r="M1421" t="s">
        <v>56</v>
      </c>
      <c r="N1421">
        <v>2.6</v>
      </c>
      <c r="O1421">
        <v>0</v>
      </c>
      <c r="P1421" t="s">
        <v>41</v>
      </c>
      <c r="Q1421" t="s">
        <v>30</v>
      </c>
      <c r="R1421" t="s">
        <v>30</v>
      </c>
      <c r="S1421">
        <v>4</v>
      </c>
      <c r="T1421" t="s">
        <v>89</v>
      </c>
      <c r="U1421" t="s">
        <v>61</v>
      </c>
      <c r="V1421" s="1">
        <v>45527</v>
      </c>
      <c r="W1421">
        <f>Table1[[#This Row],[customer_purchase count]]+1</f>
        <v>5</v>
      </c>
      <c r="X1421">
        <f>Table1[[#This Row],[customer_purchase count]]*Rules!$B$3</f>
        <v>239.05743589743591</v>
      </c>
      <c r="Y1421" t="str">
        <f>IF(Table1[[#This Row],[customer_subscription]]=1,"Subscribed","Not Subscribed")</f>
        <v>Not Subscribed</v>
      </c>
      <c r="Z1421" t="s">
        <v>194</v>
      </c>
    </row>
    <row r="1422" spans="1:26" x14ac:dyDescent="0.25">
      <c r="A1422">
        <v>1421</v>
      </c>
      <c r="B1422">
        <v>22</v>
      </c>
      <c r="C1422" t="s">
        <v>22</v>
      </c>
      <c r="D1422">
        <v>1421</v>
      </c>
      <c r="E1422" t="s">
        <v>37</v>
      </c>
      <c r="F1422" t="s">
        <v>24</v>
      </c>
      <c r="G1422">
        <v>1421</v>
      </c>
      <c r="H1422">
        <v>1904</v>
      </c>
      <c r="I1422">
        <v>53</v>
      </c>
      <c r="J1422" t="s">
        <v>102</v>
      </c>
      <c r="K1422" t="s">
        <v>95</v>
      </c>
      <c r="L1422" t="s">
        <v>27</v>
      </c>
      <c r="M1422" t="s">
        <v>56</v>
      </c>
      <c r="N1422">
        <v>4.5999999999999996</v>
      </c>
      <c r="O1422">
        <v>0</v>
      </c>
      <c r="P1422" t="s">
        <v>77</v>
      </c>
      <c r="Q1422" t="s">
        <v>30</v>
      </c>
      <c r="R1422" t="s">
        <v>30</v>
      </c>
      <c r="S1422">
        <v>45</v>
      </c>
      <c r="T1422" t="s">
        <v>49</v>
      </c>
      <c r="U1422" t="s">
        <v>100</v>
      </c>
      <c r="V1422" s="1">
        <v>45470</v>
      </c>
      <c r="W1422">
        <f>Table1[[#This Row],[customer_purchase count]]+1</f>
        <v>46</v>
      </c>
      <c r="X1422">
        <f>Table1[[#This Row],[customer_purchase count]]*Rules!$B$3</f>
        <v>2689.396153846154</v>
      </c>
      <c r="Y1422" t="str">
        <f>IF(Table1[[#This Row],[customer_subscription]]=1,"Subscribed","Not Subscribed")</f>
        <v>Not Subscribed</v>
      </c>
    </row>
    <row r="1423" spans="1:26" x14ac:dyDescent="0.25">
      <c r="A1423">
        <v>1422</v>
      </c>
      <c r="B1423">
        <v>68</v>
      </c>
      <c r="C1423" t="s">
        <v>22</v>
      </c>
      <c r="D1423">
        <v>1422</v>
      </c>
      <c r="E1423" t="s">
        <v>84</v>
      </c>
      <c r="F1423" t="s">
        <v>24</v>
      </c>
      <c r="G1423">
        <v>1422</v>
      </c>
      <c r="H1423">
        <v>1905</v>
      </c>
      <c r="I1423">
        <v>100</v>
      </c>
      <c r="J1423" t="s">
        <v>141</v>
      </c>
      <c r="K1423" t="s">
        <v>39</v>
      </c>
      <c r="L1423" t="s">
        <v>83</v>
      </c>
      <c r="M1423" t="s">
        <v>40</v>
      </c>
      <c r="N1423">
        <v>3</v>
      </c>
      <c r="O1423">
        <v>0</v>
      </c>
      <c r="P1423" t="s">
        <v>57</v>
      </c>
      <c r="Q1423" t="s">
        <v>30</v>
      </c>
      <c r="R1423" t="s">
        <v>30</v>
      </c>
      <c r="S1423">
        <v>24</v>
      </c>
      <c r="T1423" t="s">
        <v>78</v>
      </c>
      <c r="U1423" t="s">
        <v>32</v>
      </c>
      <c r="V1423" s="1">
        <v>45420</v>
      </c>
      <c r="W1423">
        <f>Table1[[#This Row],[customer_purchase count]]+1</f>
        <v>25</v>
      </c>
      <c r="X1423">
        <f>Table1[[#This Row],[customer_purchase count]]*Rules!$B$3</f>
        <v>1434.3446153846155</v>
      </c>
      <c r="Y1423" t="str">
        <f>IF(Table1[[#This Row],[customer_subscription]]=1,"Subscribed","Not Subscribed")</f>
        <v>Not Subscribed</v>
      </c>
    </row>
    <row r="1424" spans="1:26" x14ac:dyDescent="0.25">
      <c r="A1424">
        <v>1423</v>
      </c>
      <c r="B1424">
        <v>44</v>
      </c>
      <c r="C1424" t="s">
        <v>22</v>
      </c>
      <c r="D1424">
        <v>1423</v>
      </c>
      <c r="E1424" t="s">
        <v>84</v>
      </c>
      <c r="F1424" t="s">
        <v>24</v>
      </c>
      <c r="G1424">
        <v>1423</v>
      </c>
      <c r="H1424">
        <v>1906</v>
      </c>
      <c r="I1424">
        <v>27</v>
      </c>
      <c r="J1424" t="s">
        <v>108</v>
      </c>
      <c r="K1424" t="s">
        <v>26</v>
      </c>
      <c r="L1424" t="s">
        <v>64</v>
      </c>
      <c r="M1424" t="s">
        <v>60</v>
      </c>
      <c r="N1424">
        <v>3.4</v>
      </c>
      <c r="O1424">
        <v>0</v>
      </c>
      <c r="P1424" t="s">
        <v>41</v>
      </c>
      <c r="Q1424" t="s">
        <v>30</v>
      </c>
      <c r="R1424" t="s">
        <v>30</v>
      </c>
      <c r="S1424">
        <v>3</v>
      </c>
      <c r="T1424" t="s">
        <v>49</v>
      </c>
      <c r="U1424" t="s">
        <v>79</v>
      </c>
      <c r="V1424" s="1">
        <v>45604</v>
      </c>
      <c r="W1424">
        <f>Table1[[#This Row],[customer_purchase count]]+1</f>
        <v>4</v>
      </c>
      <c r="X1424">
        <f>Table1[[#This Row],[customer_purchase count]]*Rules!$B$3</f>
        <v>179.29307692307694</v>
      </c>
      <c r="Y1424" t="str">
        <f>IF(Table1[[#This Row],[customer_subscription]]=1,"Subscribed","Not Subscribed")</f>
        <v>Not Subscribed</v>
      </c>
      <c r="Z1424" t="s">
        <v>194</v>
      </c>
    </row>
    <row r="1425" spans="1:26" x14ac:dyDescent="0.25">
      <c r="A1425">
        <v>1424</v>
      </c>
      <c r="B1425">
        <v>51</v>
      </c>
      <c r="C1425" t="s">
        <v>22</v>
      </c>
      <c r="D1425">
        <v>1424</v>
      </c>
      <c r="E1425" t="s">
        <v>44</v>
      </c>
      <c r="F1425" t="s">
        <v>45</v>
      </c>
      <c r="G1425">
        <v>1424</v>
      </c>
      <c r="H1425">
        <v>1907</v>
      </c>
      <c r="I1425">
        <v>60</v>
      </c>
      <c r="J1425" t="s">
        <v>154</v>
      </c>
      <c r="K1425" t="s">
        <v>39</v>
      </c>
      <c r="L1425" t="s">
        <v>97</v>
      </c>
      <c r="M1425" t="s">
        <v>60</v>
      </c>
      <c r="N1425">
        <v>3.5</v>
      </c>
      <c r="O1425">
        <v>0</v>
      </c>
      <c r="P1425" t="s">
        <v>41</v>
      </c>
      <c r="Q1425" t="s">
        <v>30</v>
      </c>
      <c r="R1425" t="s">
        <v>30</v>
      </c>
      <c r="S1425">
        <v>12</v>
      </c>
      <c r="T1425" t="s">
        <v>31</v>
      </c>
      <c r="U1425" t="s">
        <v>100</v>
      </c>
      <c r="V1425" s="1">
        <v>45571</v>
      </c>
      <c r="W1425">
        <f>Table1[[#This Row],[customer_purchase count]]+1</f>
        <v>13</v>
      </c>
      <c r="X1425">
        <f>Table1[[#This Row],[customer_purchase count]]*Rules!$B$3</f>
        <v>717.17230769230775</v>
      </c>
      <c r="Y1425" t="str">
        <f>IF(Table1[[#This Row],[customer_subscription]]=1,"Subscribed","Not Subscribed")</f>
        <v>Not Subscribed</v>
      </c>
      <c r="Z1425" t="s">
        <v>194</v>
      </c>
    </row>
    <row r="1426" spans="1:26" x14ac:dyDescent="0.25">
      <c r="A1426">
        <v>1425</v>
      </c>
      <c r="B1426">
        <v>66</v>
      </c>
      <c r="C1426" t="s">
        <v>22</v>
      </c>
      <c r="D1426">
        <v>1425</v>
      </c>
      <c r="E1426" t="s">
        <v>105</v>
      </c>
      <c r="F1426" t="s">
        <v>66</v>
      </c>
      <c r="G1426">
        <v>1425</v>
      </c>
      <c r="H1426">
        <v>1909</v>
      </c>
      <c r="I1426">
        <v>23</v>
      </c>
      <c r="J1426" t="s">
        <v>142</v>
      </c>
      <c r="K1426" t="s">
        <v>39</v>
      </c>
      <c r="L1426" t="s">
        <v>129</v>
      </c>
      <c r="M1426" t="s">
        <v>60</v>
      </c>
      <c r="N1426">
        <v>3.5</v>
      </c>
      <c r="O1426">
        <v>0</v>
      </c>
      <c r="P1426" t="s">
        <v>57</v>
      </c>
      <c r="Q1426" t="s">
        <v>30</v>
      </c>
      <c r="R1426" t="s">
        <v>30</v>
      </c>
      <c r="S1426">
        <v>34</v>
      </c>
      <c r="T1426" t="s">
        <v>78</v>
      </c>
      <c r="U1426" t="s">
        <v>100</v>
      </c>
      <c r="V1426" s="1">
        <v>45558</v>
      </c>
      <c r="W1426">
        <f>Table1[[#This Row],[customer_purchase count]]+1</f>
        <v>35</v>
      </c>
      <c r="X1426">
        <f>Table1[[#This Row],[customer_purchase count]]*Rules!$B$3</f>
        <v>2031.9882051282052</v>
      </c>
      <c r="Y1426" t="str">
        <f>IF(Table1[[#This Row],[customer_subscription]]=1,"Subscribed","Not Subscribed")</f>
        <v>Not Subscribed</v>
      </c>
    </row>
    <row r="1427" spans="1:26" x14ac:dyDescent="0.25">
      <c r="A1427">
        <v>1426</v>
      </c>
      <c r="B1427">
        <v>59</v>
      </c>
      <c r="C1427" t="s">
        <v>22</v>
      </c>
      <c r="D1427">
        <v>1426</v>
      </c>
      <c r="E1427" t="s">
        <v>65</v>
      </c>
      <c r="F1427" t="s">
        <v>66</v>
      </c>
      <c r="G1427">
        <v>1426</v>
      </c>
      <c r="H1427">
        <v>1910</v>
      </c>
      <c r="I1427">
        <v>40</v>
      </c>
      <c r="J1427" t="s">
        <v>54</v>
      </c>
      <c r="K1427" t="s">
        <v>39</v>
      </c>
      <c r="L1427" t="s">
        <v>55</v>
      </c>
      <c r="M1427" t="s">
        <v>28</v>
      </c>
      <c r="N1427">
        <v>3.7</v>
      </c>
      <c r="O1427">
        <v>0</v>
      </c>
      <c r="P1427" t="s">
        <v>48</v>
      </c>
      <c r="Q1427" t="s">
        <v>30</v>
      </c>
      <c r="R1427" t="s">
        <v>30</v>
      </c>
      <c r="S1427">
        <v>39</v>
      </c>
      <c r="T1427" t="s">
        <v>42</v>
      </c>
      <c r="U1427" t="s">
        <v>52</v>
      </c>
      <c r="V1427" s="1">
        <v>45632</v>
      </c>
      <c r="W1427">
        <f>Table1[[#This Row],[customer_purchase count]]+1</f>
        <v>40</v>
      </c>
      <c r="X1427">
        <f>Table1[[#This Row],[customer_purchase count]]*Rules!$B$3</f>
        <v>2330.81</v>
      </c>
      <c r="Y1427" t="str">
        <f>IF(Table1[[#This Row],[customer_subscription]]=1,"Subscribed","Not Subscribed")</f>
        <v>Not Subscribed</v>
      </c>
    </row>
    <row r="1428" spans="1:26" x14ac:dyDescent="0.25">
      <c r="A1428">
        <v>1427</v>
      </c>
      <c r="B1428">
        <v>60</v>
      </c>
      <c r="C1428" t="s">
        <v>22</v>
      </c>
      <c r="D1428">
        <v>1427</v>
      </c>
      <c r="E1428" t="s">
        <v>98</v>
      </c>
      <c r="F1428" t="s">
        <v>24</v>
      </c>
      <c r="G1428">
        <v>1427</v>
      </c>
      <c r="H1428">
        <v>1911</v>
      </c>
      <c r="I1428">
        <v>38</v>
      </c>
      <c r="J1428" t="s">
        <v>154</v>
      </c>
      <c r="K1428" t="s">
        <v>47</v>
      </c>
      <c r="L1428" t="s">
        <v>137</v>
      </c>
      <c r="M1428" t="s">
        <v>56</v>
      </c>
      <c r="N1428">
        <v>4.8</v>
      </c>
      <c r="O1428">
        <v>0</v>
      </c>
      <c r="P1428" t="s">
        <v>41</v>
      </c>
      <c r="Q1428" t="s">
        <v>30</v>
      </c>
      <c r="R1428" t="s">
        <v>30</v>
      </c>
      <c r="S1428">
        <v>35</v>
      </c>
      <c r="T1428" t="s">
        <v>49</v>
      </c>
      <c r="U1428" t="s">
        <v>100</v>
      </c>
      <c r="V1428" s="1">
        <v>45469</v>
      </c>
      <c r="W1428">
        <f>Table1[[#This Row],[customer_purchase count]]+1</f>
        <v>36</v>
      </c>
      <c r="X1428">
        <f>Table1[[#This Row],[customer_purchase count]]*Rules!$B$3</f>
        <v>2091.7525641025641</v>
      </c>
      <c r="Y1428" t="str">
        <f>IF(Table1[[#This Row],[customer_subscription]]=1,"Subscribed","Not Subscribed")</f>
        <v>Not Subscribed</v>
      </c>
    </row>
    <row r="1429" spans="1:26" x14ac:dyDescent="0.25">
      <c r="A1429">
        <v>1428</v>
      </c>
      <c r="B1429">
        <v>31</v>
      </c>
      <c r="C1429" t="s">
        <v>22</v>
      </c>
      <c r="D1429">
        <v>1428</v>
      </c>
      <c r="E1429" t="s">
        <v>135</v>
      </c>
      <c r="F1429" t="s">
        <v>70</v>
      </c>
      <c r="G1429">
        <v>1428</v>
      </c>
      <c r="H1429">
        <v>1912</v>
      </c>
      <c r="I1429">
        <v>90</v>
      </c>
      <c r="J1429" t="s">
        <v>150</v>
      </c>
      <c r="K1429" t="s">
        <v>39</v>
      </c>
      <c r="L1429" t="s">
        <v>124</v>
      </c>
      <c r="M1429" t="s">
        <v>56</v>
      </c>
      <c r="N1429">
        <v>4.9000000000000004</v>
      </c>
      <c r="O1429">
        <v>0</v>
      </c>
      <c r="P1429" t="s">
        <v>77</v>
      </c>
      <c r="Q1429" t="s">
        <v>30</v>
      </c>
      <c r="R1429" t="s">
        <v>30</v>
      </c>
      <c r="S1429">
        <v>8</v>
      </c>
      <c r="T1429" t="s">
        <v>42</v>
      </c>
      <c r="U1429" t="s">
        <v>52</v>
      </c>
      <c r="V1429" s="1">
        <v>45456</v>
      </c>
      <c r="W1429">
        <f>Table1[[#This Row],[customer_purchase count]]+1</f>
        <v>9</v>
      </c>
      <c r="X1429">
        <f>Table1[[#This Row],[customer_purchase count]]*Rules!$B$3</f>
        <v>478.11487179487182</v>
      </c>
      <c r="Y1429" t="str">
        <f>IF(Table1[[#This Row],[customer_subscription]]=1,"Subscribed","Not Subscribed")</f>
        <v>Not Subscribed</v>
      </c>
      <c r="Z1429" t="s">
        <v>194</v>
      </c>
    </row>
    <row r="1430" spans="1:26" x14ac:dyDescent="0.25">
      <c r="A1430">
        <v>1429</v>
      </c>
      <c r="B1430">
        <v>20</v>
      </c>
      <c r="C1430" t="s">
        <v>22</v>
      </c>
      <c r="D1430">
        <v>1429</v>
      </c>
      <c r="E1430" t="s">
        <v>23</v>
      </c>
      <c r="F1430" t="s">
        <v>24</v>
      </c>
      <c r="G1430">
        <v>1429</v>
      </c>
      <c r="H1430">
        <v>1913</v>
      </c>
      <c r="I1430">
        <v>97</v>
      </c>
      <c r="J1430" t="s">
        <v>117</v>
      </c>
      <c r="K1430" t="s">
        <v>39</v>
      </c>
      <c r="L1430" t="s">
        <v>99</v>
      </c>
      <c r="M1430" t="s">
        <v>56</v>
      </c>
      <c r="N1430">
        <v>4.9000000000000004</v>
      </c>
      <c r="O1430">
        <v>0</v>
      </c>
      <c r="P1430" t="s">
        <v>29</v>
      </c>
      <c r="Q1430" t="s">
        <v>30</v>
      </c>
      <c r="R1430" t="s">
        <v>30</v>
      </c>
      <c r="S1430">
        <v>42</v>
      </c>
      <c r="T1430" t="s">
        <v>49</v>
      </c>
      <c r="U1430" t="s">
        <v>61</v>
      </c>
      <c r="V1430" s="1">
        <v>45532</v>
      </c>
      <c r="W1430">
        <f>Table1[[#This Row],[customer_purchase count]]+1</f>
        <v>43</v>
      </c>
      <c r="X1430">
        <f>Table1[[#This Row],[customer_purchase count]]*Rules!$B$3</f>
        <v>2510.103076923077</v>
      </c>
      <c r="Y1430" t="str">
        <f>IF(Table1[[#This Row],[customer_subscription]]=1,"Subscribed","Not Subscribed")</f>
        <v>Not Subscribed</v>
      </c>
    </row>
    <row r="1431" spans="1:26" x14ac:dyDescent="0.25">
      <c r="A1431">
        <v>1430</v>
      </c>
      <c r="B1431">
        <v>24</v>
      </c>
      <c r="C1431" t="s">
        <v>22</v>
      </c>
      <c r="D1431">
        <v>1430</v>
      </c>
      <c r="E1431" t="s">
        <v>90</v>
      </c>
      <c r="F1431" t="s">
        <v>24</v>
      </c>
      <c r="G1431">
        <v>1430</v>
      </c>
      <c r="H1431">
        <v>1915</v>
      </c>
      <c r="I1431">
        <v>38</v>
      </c>
      <c r="J1431" t="s">
        <v>131</v>
      </c>
      <c r="K1431" t="s">
        <v>26</v>
      </c>
      <c r="L1431" t="s">
        <v>83</v>
      </c>
      <c r="M1431" t="s">
        <v>60</v>
      </c>
      <c r="N1431">
        <v>4.7</v>
      </c>
      <c r="O1431">
        <v>0</v>
      </c>
      <c r="P1431" t="s">
        <v>57</v>
      </c>
      <c r="Q1431" t="s">
        <v>30</v>
      </c>
      <c r="R1431" t="s">
        <v>30</v>
      </c>
      <c r="S1431">
        <v>6</v>
      </c>
      <c r="T1431" t="s">
        <v>42</v>
      </c>
      <c r="U1431" t="s">
        <v>100</v>
      </c>
      <c r="V1431" s="1">
        <v>45557</v>
      </c>
      <c r="W1431">
        <f>Table1[[#This Row],[customer_purchase count]]+1</f>
        <v>7</v>
      </c>
      <c r="X1431">
        <f>Table1[[#This Row],[customer_purchase count]]*Rules!$B$3</f>
        <v>358.58615384615388</v>
      </c>
      <c r="Y1431" t="str">
        <f>IF(Table1[[#This Row],[customer_subscription]]=1,"Subscribed","Not Subscribed")</f>
        <v>Not Subscribed</v>
      </c>
      <c r="Z1431" t="s">
        <v>194</v>
      </c>
    </row>
    <row r="1432" spans="1:26" x14ac:dyDescent="0.25">
      <c r="A1432">
        <v>1431</v>
      </c>
      <c r="B1432">
        <v>48</v>
      </c>
      <c r="C1432" t="s">
        <v>22</v>
      </c>
      <c r="D1432">
        <v>1431</v>
      </c>
      <c r="E1432" t="s">
        <v>44</v>
      </c>
      <c r="F1432" t="s">
        <v>45</v>
      </c>
      <c r="G1432">
        <v>1431</v>
      </c>
      <c r="H1432">
        <v>1916</v>
      </c>
      <c r="I1432">
        <v>30</v>
      </c>
      <c r="J1432" t="s">
        <v>154</v>
      </c>
      <c r="K1432" t="s">
        <v>39</v>
      </c>
      <c r="L1432" t="s">
        <v>124</v>
      </c>
      <c r="M1432" t="s">
        <v>56</v>
      </c>
      <c r="N1432">
        <v>4.9000000000000004</v>
      </c>
      <c r="O1432">
        <v>0</v>
      </c>
      <c r="P1432" t="s">
        <v>41</v>
      </c>
      <c r="Q1432" t="s">
        <v>30</v>
      </c>
      <c r="R1432" t="s">
        <v>30</v>
      </c>
      <c r="S1432">
        <v>3</v>
      </c>
      <c r="T1432" t="s">
        <v>42</v>
      </c>
      <c r="U1432" t="s">
        <v>32</v>
      </c>
      <c r="V1432" s="1">
        <v>45496</v>
      </c>
      <c r="W1432">
        <f>Table1[[#This Row],[customer_purchase count]]+1</f>
        <v>4</v>
      </c>
      <c r="X1432">
        <f>Table1[[#This Row],[customer_purchase count]]*Rules!$B$3</f>
        <v>179.29307692307694</v>
      </c>
      <c r="Y1432" t="str">
        <f>IF(Table1[[#This Row],[customer_subscription]]=1,"Subscribed","Not Subscribed")</f>
        <v>Not Subscribed</v>
      </c>
      <c r="Z1432" t="s">
        <v>194</v>
      </c>
    </row>
    <row r="1433" spans="1:26" x14ac:dyDescent="0.25">
      <c r="A1433">
        <v>1432</v>
      </c>
      <c r="B1433">
        <v>39</v>
      </c>
      <c r="C1433" t="s">
        <v>22</v>
      </c>
      <c r="D1433">
        <v>1432</v>
      </c>
      <c r="E1433" t="s">
        <v>98</v>
      </c>
      <c r="F1433" t="s">
        <v>24</v>
      </c>
      <c r="G1433">
        <v>1432</v>
      </c>
      <c r="H1433">
        <v>1917</v>
      </c>
      <c r="I1433">
        <v>88</v>
      </c>
      <c r="J1433" t="s">
        <v>150</v>
      </c>
      <c r="K1433" t="s">
        <v>47</v>
      </c>
      <c r="L1433" t="s">
        <v>112</v>
      </c>
      <c r="M1433" t="s">
        <v>60</v>
      </c>
      <c r="N1433">
        <v>2.9</v>
      </c>
      <c r="O1433">
        <v>0</v>
      </c>
      <c r="P1433" t="s">
        <v>29</v>
      </c>
      <c r="Q1433" t="s">
        <v>30</v>
      </c>
      <c r="R1433" t="s">
        <v>30</v>
      </c>
      <c r="S1433">
        <v>29</v>
      </c>
      <c r="T1433" t="s">
        <v>31</v>
      </c>
      <c r="U1433" t="s">
        <v>61</v>
      </c>
      <c r="V1433" s="1">
        <v>45615</v>
      </c>
      <c r="W1433">
        <f>Table1[[#This Row],[customer_purchase count]]+1</f>
        <v>30</v>
      </c>
      <c r="X1433">
        <f>Table1[[#This Row],[customer_purchase count]]*Rules!$B$3</f>
        <v>1733.1664102564102</v>
      </c>
      <c r="Y1433" t="str">
        <f>IF(Table1[[#This Row],[customer_subscription]]=1,"Subscribed","Not Subscribed")</f>
        <v>Not Subscribed</v>
      </c>
    </row>
    <row r="1434" spans="1:26" x14ac:dyDescent="0.25">
      <c r="A1434">
        <v>1433</v>
      </c>
      <c r="B1434">
        <v>34</v>
      </c>
      <c r="C1434" t="s">
        <v>22</v>
      </c>
      <c r="D1434">
        <v>1433</v>
      </c>
      <c r="E1434" t="s">
        <v>127</v>
      </c>
      <c r="F1434" t="s">
        <v>70</v>
      </c>
      <c r="G1434">
        <v>1433</v>
      </c>
      <c r="H1434">
        <v>1918</v>
      </c>
      <c r="I1434">
        <v>33</v>
      </c>
      <c r="J1434" t="s">
        <v>106</v>
      </c>
      <c r="K1434" t="s">
        <v>26</v>
      </c>
      <c r="L1434" t="s">
        <v>97</v>
      </c>
      <c r="M1434" t="s">
        <v>28</v>
      </c>
      <c r="N1434">
        <v>4.4000000000000004</v>
      </c>
      <c r="O1434">
        <v>0</v>
      </c>
      <c r="P1434" t="s">
        <v>29</v>
      </c>
      <c r="Q1434" t="s">
        <v>30</v>
      </c>
      <c r="R1434" t="s">
        <v>30</v>
      </c>
      <c r="S1434">
        <v>32</v>
      </c>
      <c r="T1434" t="s">
        <v>89</v>
      </c>
      <c r="U1434" t="s">
        <v>61</v>
      </c>
      <c r="V1434" s="1">
        <v>45348</v>
      </c>
      <c r="W1434">
        <f>Table1[[#This Row],[customer_purchase count]]+1</f>
        <v>33</v>
      </c>
      <c r="X1434">
        <f>Table1[[#This Row],[customer_purchase count]]*Rules!$B$3</f>
        <v>1912.4594871794873</v>
      </c>
      <c r="Y1434" t="str">
        <f>IF(Table1[[#This Row],[customer_subscription]]=1,"Subscribed","Not Subscribed")</f>
        <v>Not Subscribed</v>
      </c>
    </row>
    <row r="1435" spans="1:26" x14ac:dyDescent="0.25">
      <c r="A1435">
        <v>1434</v>
      </c>
      <c r="B1435">
        <v>70</v>
      </c>
      <c r="C1435" t="s">
        <v>22</v>
      </c>
      <c r="D1435">
        <v>1434</v>
      </c>
      <c r="E1435" t="s">
        <v>107</v>
      </c>
      <c r="F1435" t="s">
        <v>24</v>
      </c>
      <c r="G1435">
        <v>1434</v>
      </c>
      <c r="H1435">
        <v>1919</v>
      </c>
      <c r="I1435">
        <v>60</v>
      </c>
      <c r="J1435" t="s">
        <v>151</v>
      </c>
      <c r="K1435" t="s">
        <v>26</v>
      </c>
      <c r="L1435" t="s">
        <v>137</v>
      </c>
      <c r="M1435" t="s">
        <v>28</v>
      </c>
      <c r="N1435">
        <v>3.2</v>
      </c>
      <c r="O1435">
        <v>0</v>
      </c>
      <c r="P1435" t="s">
        <v>48</v>
      </c>
      <c r="Q1435" t="s">
        <v>30</v>
      </c>
      <c r="R1435" t="s">
        <v>30</v>
      </c>
      <c r="S1435">
        <v>45</v>
      </c>
      <c r="T1435" t="s">
        <v>89</v>
      </c>
      <c r="U1435" t="s">
        <v>43</v>
      </c>
      <c r="V1435" s="1">
        <v>45636</v>
      </c>
      <c r="W1435">
        <f>Table1[[#This Row],[customer_purchase count]]+1</f>
        <v>46</v>
      </c>
      <c r="X1435">
        <f>Table1[[#This Row],[customer_purchase count]]*Rules!$B$3</f>
        <v>2689.396153846154</v>
      </c>
      <c r="Y1435" t="str">
        <f>IF(Table1[[#This Row],[customer_subscription]]=1,"Subscribed","Not Subscribed")</f>
        <v>Not Subscribed</v>
      </c>
    </row>
    <row r="1436" spans="1:26" x14ac:dyDescent="0.25">
      <c r="A1436">
        <v>1435</v>
      </c>
      <c r="B1436">
        <v>59</v>
      </c>
      <c r="C1436" t="s">
        <v>22</v>
      </c>
      <c r="D1436">
        <v>1435</v>
      </c>
      <c r="E1436" t="s">
        <v>33</v>
      </c>
      <c r="F1436" t="s">
        <v>24</v>
      </c>
      <c r="G1436">
        <v>1435</v>
      </c>
      <c r="H1436">
        <v>1921</v>
      </c>
      <c r="I1436">
        <v>64</v>
      </c>
      <c r="J1436" t="s">
        <v>87</v>
      </c>
      <c r="K1436" t="s">
        <v>26</v>
      </c>
      <c r="L1436" t="s">
        <v>35</v>
      </c>
      <c r="M1436" t="s">
        <v>56</v>
      </c>
      <c r="N1436">
        <v>4.5999999999999996</v>
      </c>
      <c r="O1436">
        <v>0</v>
      </c>
      <c r="P1436" t="s">
        <v>41</v>
      </c>
      <c r="Q1436" t="s">
        <v>30</v>
      </c>
      <c r="R1436" t="s">
        <v>30</v>
      </c>
      <c r="S1436">
        <v>21</v>
      </c>
      <c r="T1436" t="s">
        <v>89</v>
      </c>
      <c r="U1436" t="s">
        <v>79</v>
      </c>
      <c r="V1436" s="1">
        <v>45447</v>
      </c>
      <c r="W1436">
        <f>Table1[[#This Row],[customer_purchase count]]+1</f>
        <v>22</v>
      </c>
      <c r="X1436">
        <f>Table1[[#This Row],[customer_purchase count]]*Rules!$B$3</f>
        <v>1255.0515384615385</v>
      </c>
      <c r="Y1436" t="str">
        <f>IF(Table1[[#This Row],[customer_subscription]]=1,"Subscribed","Not Subscribed")</f>
        <v>Not Subscribed</v>
      </c>
    </row>
    <row r="1437" spans="1:26" x14ac:dyDescent="0.25">
      <c r="A1437">
        <v>1436</v>
      </c>
      <c r="B1437">
        <v>45</v>
      </c>
      <c r="C1437" t="s">
        <v>22</v>
      </c>
      <c r="D1437">
        <v>1436</v>
      </c>
      <c r="E1437" t="s">
        <v>122</v>
      </c>
      <c r="F1437" t="s">
        <v>70</v>
      </c>
      <c r="G1437">
        <v>1436</v>
      </c>
      <c r="H1437">
        <v>1922</v>
      </c>
      <c r="I1437">
        <v>95</v>
      </c>
      <c r="J1437" t="s">
        <v>50</v>
      </c>
      <c r="K1437" t="s">
        <v>95</v>
      </c>
      <c r="L1437" t="s">
        <v>97</v>
      </c>
      <c r="M1437" t="s">
        <v>60</v>
      </c>
      <c r="N1437">
        <v>4</v>
      </c>
      <c r="O1437">
        <v>0</v>
      </c>
      <c r="P1437" t="s">
        <v>57</v>
      </c>
      <c r="Q1437" t="s">
        <v>30</v>
      </c>
      <c r="R1437" t="s">
        <v>30</v>
      </c>
      <c r="S1437">
        <v>41</v>
      </c>
      <c r="T1437" t="s">
        <v>36</v>
      </c>
      <c r="U1437" t="s">
        <v>43</v>
      </c>
      <c r="V1437" s="1">
        <v>45599</v>
      </c>
      <c r="W1437">
        <f>Table1[[#This Row],[customer_purchase count]]+1</f>
        <v>42</v>
      </c>
      <c r="X1437">
        <f>Table1[[#This Row],[customer_purchase count]]*Rules!$B$3</f>
        <v>2450.3387179487181</v>
      </c>
      <c r="Y1437" t="str">
        <f>IF(Table1[[#This Row],[customer_subscription]]=1,"Subscribed","Not Subscribed")</f>
        <v>Not Subscribed</v>
      </c>
    </row>
    <row r="1438" spans="1:26" x14ac:dyDescent="0.25">
      <c r="A1438">
        <v>1437</v>
      </c>
      <c r="B1438">
        <v>35</v>
      </c>
      <c r="C1438" t="s">
        <v>22</v>
      </c>
      <c r="D1438">
        <v>1437</v>
      </c>
      <c r="E1438" t="s">
        <v>53</v>
      </c>
      <c r="F1438" t="s">
        <v>45</v>
      </c>
      <c r="G1438">
        <v>1437</v>
      </c>
      <c r="H1438">
        <v>1923</v>
      </c>
      <c r="I1438">
        <v>83</v>
      </c>
      <c r="J1438" t="s">
        <v>151</v>
      </c>
      <c r="K1438" t="s">
        <v>47</v>
      </c>
      <c r="L1438" t="s">
        <v>27</v>
      </c>
      <c r="M1438" t="s">
        <v>28</v>
      </c>
      <c r="N1438">
        <v>3.7</v>
      </c>
      <c r="O1438">
        <v>0</v>
      </c>
      <c r="P1438" t="s">
        <v>41</v>
      </c>
      <c r="Q1438" t="s">
        <v>30</v>
      </c>
      <c r="R1438" t="s">
        <v>30</v>
      </c>
      <c r="S1438">
        <v>23</v>
      </c>
      <c r="T1438" t="s">
        <v>49</v>
      </c>
      <c r="U1438" t="s">
        <v>32</v>
      </c>
      <c r="V1438" s="1">
        <v>45302</v>
      </c>
      <c r="W1438">
        <f>Table1[[#This Row],[customer_purchase count]]+1</f>
        <v>24</v>
      </c>
      <c r="X1438">
        <f>Table1[[#This Row],[customer_purchase count]]*Rules!$B$3</f>
        <v>1374.5802564102564</v>
      </c>
      <c r="Y1438" t="str">
        <f>IF(Table1[[#This Row],[customer_subscription]]=1,"Subscribed","Not Subscribed")</f>
        <v>Not Subscribed</v>
      </c>
    </row>
    <row r="1439" spans="1:26" x14ac:dyDescent="0.25">
      <c r="A1439">
        <v>1438</v>
      </c>
      <c r="B1439">
        <v>69</v>
      </c>
      <c r="C1439" t="s">
        <v>22</v>
      </c>
      <c r="D1439">
        <v>1438</v>
      </c>
      <c r="E1439" t="s">
        <v>140</v>
      </c>
      <c r="F1439" t="s">
        <v>45</v>
      </c>
      <c r="G1439">
        <v>1438</v>
      </c>
      <c r="H1439">
        <v>1924</v>
      </c>
      <c r="I1439">
        <v>97</v>
      </c>
      <c r="J1439" t="s">
        <v>59</v>
      </c>
      <c r="K1439" t="s">
        <v>95</v>
      </c>
      <c r="L1439" t="s">
        <v>124</v>
      </c>
      <c r="M1439" t="s">
        <v>28</v>
      </c>
      <c r="N1439">
        <v>4.2</v>
      </c>
      <c r="O1439">
        <v>0</v>
      </c>
      <c r="P1439" t="s">
        <v>41</v>
      </c>
      <c r="Q1439" t="s">
        <v>30</v>
      </c>
      <c r="R1439" t="s">
        <v>30</v>
      </c>
      <c r="S1439">
        <v>14</v>
      </c>
      <c r="T1439" t="s">
        <v>36</v>
      </c>
      <c r="U1439" t="s">
        <v>52</v>
      </c>
      <c r="V1439" s="1">
        <v>45324</v>
      </c>
      <c r="W1439">
        <f>Table1[[#This Row],[customer_purchase count]]+1</f>
        <v>15</v>
      </c>
      <c r="X1439">
        <f>Table1[[#This Row],[customer_purchase count]]*Rules!$B$3</f>
        <v>836.70102564102569</v>
      </c>
      <c r="Y1439" t="str">
        <f>IF(Table1[[#This Row],[customer_subscription]]=1,"Subscribed","Not Subscribed")</f>
        <v>Not Subscribed</v>
      </c>
      <c r="Z1439" t="s">
        <v>194</v>
      </c>
    </row>
    <row r="1440" spans="1:26" x14ac:dyDescent="0.25">
      <c r="A1440">
        <v>1439</v>
      </c>
      <c r="B1440">
        <v>58</v>
      </c>
      <c r="C1440" t="s">
        <v>22</v>
      </c>
      <c r="D1440">
        <v>1439</v>
      </c>
      <c r="E1440" t="s">
        <v>65</v>
      </c>
      <c r="F1440" t="s">
        <v>66</v>
      </c>
      <c r="G1440">
        <v>1439</v>
      </c>
      <c r="H1440">
        <v>1925</v>
      </c>
      <c r="I1440">
        <v>38</v>
      </c>
      <c r="J1440" t="s">
        <v>152</v>
      </c>
      <c r="K1440" t="s">
        <v>47</v>
      </c>
      <c r="L1440" t="s">
        <v>112</v>
      </c>
      <c r="M1440" t="s">
        <v>40</v>
      </c>
      <c r="N1440">
        <v>2.9</v>
      </c>
      <c r="O1440">
        <v>0</v>
      </c>
      <c r="P1440" t="s">
        <v>57</v>
      </c>
      <c r="Q1440" t="s">
        <v>30</v>
      </c>
      <c r="R1440" t="s">
        <v>30</v>
      </c>
      <c r="S1440">
        <v>24</v>
      </c>
      <c r="T1440" t="s">
        <v>89</v>
      </c>
      <c r="U1440" t="s">
        <v>91</v>
      </c>
      <c r="V1440" s="1">
        <v>45410</v>
      </c>
      <c r="W1440">
        <f>Table1[[#This Row],[customer_purchase count]]+1</f>
        <v>25</v>
      </c>
      <c r="X1440">
        <f>Table1[[#This Row],[customer_purchase count]]*Rules!$B$3</f>
        <v>1434.3446153846155</v>
      </c>
      <c r="Y1440" t="str">
        <f>IF(Table1[[#This Row],[customer_subscription]]=1,"Subscribed","Not Subscribed")</f>
        <v>Not Subscribed</v>
      </c>
    </row>
    <row r="1441" spans="1:26" x14ac:dyDescent="0.25">
      <c r="A1441">
        <v>1440</v>
      </c>
      <c r="B1441">
        <v>25</v>
      </c>
      <c r="C1441" t="s">
        <v>22</v>
      </c>
      <c r="D1441">
        <v>1440</v>
      </c>
      <c r="E1441" t="s">
        <v>140</v>
      </c>
      <c r="F1441" t="s">
        <v>45</v>
      </c>
      <c r="G1441">
        <v>1440</v>
      </c>
      <c r="H1441">
        <v>1927</v>
      </c>
      <c r="I1441">
        <v>48</v>
      </c>
      <c r="J1441" t="s">
        <v>133</v>
      </c>
      <c r="K1441" t="s">
        <v>47</v>
      </c>
      <c r="L1441" t="s">
        <v>139</v>
      </c>
      <c r="M1441" t="s">
        <v>56</v>
      </c>
      <c r="N1441">
        <v>4.8</v>
      </c>
      <c r="O1441">
        <v>0</v>
      </c>
      <c r="P1441" t="s">
        <v>48</v>
      </c>
      <c r="Q1441" t="s">
        <v>30</v>
      </c>
      <c r="R1441" t="s">
        <v>30</v>
      </c>
      <c r="S1441">
        <v>25</v>
      </c>
      <c r="T1441" t="s">
        <v>36</v>
      </c>
      <c r="U1441" t="s">
        <v>32</v>
      </c>
      <c r="V1441" s="1">
        <v>45467</v>
      </c>
      <c r="W1441">
        <f>Table1[[#This Row],[customer_purchase count]]+1</f>
        <v>26</v>
      </c>
      <c r="X1441">
        <f>Table1[[#This Row],[customer_purchase count]]*Rules!$B$3</f>
        <v>1494.1089743589744</v>
      </c>
      <c r="Y1441" t="str">
        <f>IF(Table1[[#This Row],[customer_subscription]]=1,"Subscribed","Not Subscribed")</f>
        <v>Not Subscribed</v>
      </c>
    </row>
    <row r="1442" spans="1:26" x14ac:dyDescent="0.25">
      <c r="A1442">
        <v>1441</v>
      </c>
      <c r="B1442">
        <v>27</v>
      </c>
      <c r="C1442" t="s">
        <v>22</v>
      </c>
      <c r="D1442">
        <v>1441</v>
      </c>
      <c r="E1442" t="s">
        <v>44</v>
      </c>
      <c r="F1442" t="s">
        <v>45</v>
      </c>
      <c r="G1442">
        <v>1441</v>
      </c>
      <c r="H1442">
        <v>1928</v>
      </c>
      <c r="I1442">
        <v>76</v>
      </c>
      <c r="J1442" t="s">
        <v>120</v>
      </c>
      <c r="K1442" t="s">
        <v>47</v>
      </c>
      <c r="L1442" t="s">
        <v>72</v>
      </c>
      <c r="M1442" t="s">
        <v>40</v>
      </c>
      <c r="N1442">
        <v>4.4000000000000004</v>
      </c>
      <c r="O1442">
        <v>0</v>
      </c>
      <c r="P1442" t="s">
        <v>57</v>
      </c>
      <c r="Q1442" t="s">
        <v>30</v>
      </c>
      <c r="R1442" t="s">
        <v>30</v>
      </c>
      <c r="S1442">
        <v>13</v>
      </c>
      <c r="T1442" t="s">
        <v>31</v>
      </c>
      <c r="U1442" t="s">
        <v>91</v>
      </c>
      <c r="V1442" s="1">
        <v>45371</v>
      </c>
      <c r="W1442">
        <f>Table1[[#This Row],[customer_purchase count]]+1</f>
        <v>14</v>
      </c>
      <c r="X1442">
        <f>Table1[[#This Row],[customer_purchase count]]*Rules!$B$3</f>
        <v>776.93666666666672</v>
      </c>
      <c r="Y1442" t="str">
        <f>IF(Table1[[#This Row],[customer_subscription]]=1,"Subscribed","Not Subscribed")</f>
        <v>Not Subscribed</v>
      </c>
      <c r="Z1442" t="s">
        <v>187</v>
      </c>
    </row>
    <row r="1443" spans="1:26" x14ac:dyDescent="0.25">
      <c r="A1443">
        <v>1442</v>
      </c>
      <c r="B1443">
        <v>34</v>
      </c>
      <c r="C1443" t="s">
        <v>22</v>
      </c>
      <c r="D1443">
        <v>1442</v>
      </c>
      <c r="E1443" t="s">
        <v>98</v>
      </c>
      <c r="F1443" t="s">
        <v>24</v>
      </c>
      <c r="G1443">
        <v>1442</v>
      </c>
      <c r="H1443">
        <v>1929</v>
      </c>
      <c r="I1443">
        <v>25</v>
      </c>
      <c r="J1443" t="s">
        <v>148</v>
      </c>
      <c r="K1443" t="s">
        <v>39</v>
      </c>
      <c r="L1443" t="s">
        <v>51</v>
      </c>
      <c r="M1443" t="s">
        <v>56</v>
      </c>
      <c r="N1443">
        <v>3.4</v>
      </c>
      <c r="O1443">
        <v>0</v>
      </c>
      <c r="P1443" t="s">
        <v>41</v>
      </c>
      <c r="Q1443" t="s">
        <v>30</v>
      </c>
      <c r="R1443" t="s">
        <v>30</v>
      </c>
      <c r="S1443">
        <v>3</v>
      </c>
      <c r="T1443" t="s">
        <v>31</v>
      </c>
      <c r="U1443" t="s">
        <v>100</v>
      </c>
      <c r="V1443" s="1">
        <v>45446</v>
      </c>
      <c r="W1443">
        <f>Table1[[#This Row],[customer_purchase count]]+1</f>
        <v>4</v>
      </c>
      <c r="X1443">
        <f>Table1[[#This Row],[customer_purchase count]]*Rules!$B$3</f>
        <v>179.29307692307694</v>
      </c>
      <c r="Y1443" t="str">
        <f>IF(Table1[[#This Row],[customer_subscription]]=1,"Subscribed","Not Subscribed")</f>
        <v>Not Subscribed</v>
      </c>
      <c r="Z1443" t="s">
        <v>194</v>
      </c>
    </row>
    <row r="1444" spans="1:26" x14ac:dyDescent="0.25">
      <c r="A1444">
        <v>1443</v>
      </c>
      <c r="B1444">
        <v>53</v>
      </c>
      <c r="C1444" t="s">
        <v>22</v>
      </c>
      <c r="D1444">
        <v>1443</v>
      </c>
      <c r="E1444" t="s">
        <v>107</v>
      </c>
      <c r="F1444" t="s">
        <v>24</v>
      </c>
      <c r="G1444">
        <v>1443</v>
      </c>
      <c r="H1444">
        <v>1930</v>
      </c>
      <c r="I1444">
        <v>92</v>
      </c>
      <c r="J1444" t="s">
        <v>138</v>
      </c>
      <c r="K1444" t="s">
        <v>39</v>
      </c>
      <c r="L1444" t="s">
        <v>86</v>
      </c>
      <c r="M1444" t="s">
        <v>40</v>
      </c>
      <c r="N1444">
        <v>2.8</v>
      </c>
      <c r="O1444">
        <v>0</v>
      </c>
      <c r="P1444" t="s">
        <v>73</v>
      </c>
      <c r="Q1444" t="s">
        <v>30</v>
      </c>
      <c r="R1444" t="s">
        <v>30</v>
      </c>
      <c r="S1444">
        <v>42</v>
      </c>
      <c r="T1444" t="s">
        <v>42</v>
      </c>
      <c r="U1444" t="s">
        <v>52</v>
      </c>
      <c r="V1444" s="1">
        <v>45436</v>
      </c>
      <c r="W1444">
        <f>Table1[[#This Row],[customer_purchase count]]+1</f>
        <v>43</v>
      </c>
      <c r="X1444">
        <f>Table1[[#This Row],[customer_purchase count]]*Rules!$B$3</f>
        <v>2510.103076923077</v>
      </c>
      <c r="Y1444" t="str">
        <f>IF(Table1[[#This Row],[customer_subscription]]=1,"Subscribed","Not Subscribed")</f>
        <v>Not Subscribed</v>
      </c>
    </row>
    <row r="1445" spans="1:26" x14ac:dyDescent="0.25">
      <c r="A1445">
        <v>1444</v>
      </c>
      <c r="B1445">
        <v>58</v>
      </c>
      <c r="C1445" t="s">
        <v>22</v>
      </c>
      <c r="D1445">
        <v>1444</v>
      </c>
      <c r="E1445" t="s">
        <v>44</v>
      </c>
      <c r="F1445" t="s">
        <v>45</v>
      </c>
      <c r="G1445">
        <v>1444</v>
      </c>
      <c r="H1445">
        <v>1931</v>
      </c>
      <c r="I1445">
        <v>47</v>
      </c>
      <c r="J1445" t="s">
        <v>138</v>
      </c>
      <c r="K1445" t="s">
        <v>26</v>
      </c>
      <c r="L1445" t="s">
        <v>88</v>
      </c>
      <c r="M1445" t="s">
        <v>60</v>
      </c>
      <c r="N1445">
        <v>4.2</v>
      </c>
      <c r="O1445">
        <v>0</v>
      </c>
      <c r="P1445" t="s">
        <v>48</v>
      </c>
      <c r="Q1445" t="s">
        <v>30</v>
      </c>
      <c r="R1445" t="s">
        <v>30</v>
      </c>
      <c r="S1445">
        <v>2</v>
      </c>
      <c r="T1445" t="s">
        <v>36</v>
      </c>
      <c r="U1445" t="s">
        <v>91</v>
      </c>
      <c r="V1445" s="1">
        <v>45540</v>
      </c>
      <c r="W1445">
        <f>Table1[[#This Row],[customer_purchase count]]+1</f>
        <v>3</v>
      </c>
      <c r="X1445">
        <f>Table1[[#This Row],[customer_purchase count]]*Rules!$B$3</f>
        <v>119.52871794871795</v>
      </c>
      <c r="Y1445" t="str">
        <f>IF(Table1[[#This Row],[customer_subscription]]=1,"Subscribed","Not Subscribed")</f>
        <v>Not Subscribed</v>
      </c>
      <c r="Z1445" t="s">
        <v>194</v>
      </c>
    </row>
    <row r="1446" spans="1:26" x14ac:dyDescent="0.25">
      <c r="A1446">
        <v>1445</v>
      </c>
      <c r="B1446">
        <v>32</v>
      </c>
      <c r="C1446" t="s">
        <v>22</v>
      </c>
      <c r="D1446">
        <v>1445</v>
      </c>
      <c r="E1446" t="s">
        <v>33</v>
      </c>
      <c r="F1446" t="s">
        <v>24</v>
      </c>
      <c r="G1446">
        <v>1445</v>
      </c>
      <c r="H1446">
        <v>1933</v>
      </c>
      <c r="I1446">
        <v>36</v>
      </c>
      <c r="J1446" t="s">
        <v>132</v>
      </c>
      <c r="K1446" t="s">
        <v>26</v>
      </c>
      <c r="L1446" t="s">
        <v>72</v>
      </c>
      <c r="M1446" t="s">
        <v>60</v>
      </c>
      <c r="N1446">
        <v>3.8</v>
      </c>
      <c r="O1446">
        <v>0</v>
      </c>
      <c r="P1446" t="s">
        <v>29</v>
      </c>
      <c r="Q1446" t="s">
        <v>30</v>
      </c>
      <c r="R1446" t="s">
        <v>30</v>
      </c>
      <c r="S1446">
        <v>26</v>
      </c>
      <c r="T1446" t="s">
        <v>36</v>
      </c>
      <c r="U1446" t="s">
        <v>61</v>
      </c>
      <c r="V1446" s="1">
        <v>45576</v>
      </c>
      <c r="W1446">
        <f>Table1[[#This Row],[customer_purchase count]]+1</f>
        <v>27</v>
      </c>
      <c r="X1446">
        <f>Table1[[#This Row],[customer_purchase count]]*Rules!$B$3</f>
        <v>1553.8733333333334</v>
      </c>
      <c r="Y1446" t="str">
        <f>IF(Table1[[#This Row],[customer_subscription]]=1,"Subscribed","Not Subscribed")</f>
        <v>Not Subscribed</v>
      </c>
    </row>
    <row r="1447" spans="1:26" x14ac:dyDescent="0.25">
      <c r="A1447">
        <v>1446</v>
      </c>
      <c r="B1447">
        <v>64</v>
      </c>
      <c r="C1447" t="s">
        <v>22</v>
      </c>
      <c r="D1447">
        <v>1446</v>
      </c>
      <c r="E1447" t="s">
        <v>136</v>
      </c>
      <c r="F1447" t="s">
        <v>70</v>
      </c>
      <c r="G1447">
        <v>1446</v>
      </c>
      <c r="H1447">
        <v>1934</v>
      </c>
      <c r="I1447">
        <v>51</v>
      </c>
      <c r="J1447" t="s">
        <v>75</v>
      </c>
      <c r="K1447" t="s">
        <v>47</v>
      </c>
      <c r="L1447" t="s">
        <v>83</v>
      </c>
      <c r="M1447" t="s">
        <v>60</v>
      </c>
      <c r="N1447">
        <v>3.1</v>
      </c>
      <c r="O1447">
        <v>0</v>
      </c>
      <c r="P1447" t="s">
        <v>73</v>
      </c>
      <c r="Q1447" t="s">
        <v>30</v>
      </c>
      <c r="R1447" t="s">
        <v>30</v>
      </c>
      <c r="S1447">
        <v>24</v>
      </c>
      <c r="T1447" t="s">
        <v>42</v>
      </c>
      <c r="U1447" t="s">
        <v>52</v>
      </c>
      <c r="V1447" s="1">
        <v>45563</v>
      </c>
      <c r="W1447">
        <f>Table1[[#This Row],[customer_purchase count]]+1</f>
        <v>25</v>
      </c>
      <c r="X1447">
        <f>Table1[[#This Row],[customer_purchase count]]*Rules!$B$3</f>
        <v>1434.3446153846155</v>
      </c>
      <c r="Y1447" t="str">
        <f>IF(Table1[[#This Row],[customer_subscription]]=1,"Subscribed","Not Subscribed")</f>
        <v>Not Subscribed</v>
      </c>
    </row>
    <row r="1448" spans="1:26" x14ac:dyDescent="0.25">
      <c r="A1448">
        <v>1447</v>
      </c>
      <c r="B1448">
        <v>63</v>
      </c>
      <c r="C1448" t="s">
        <v>22</v>
      </c>
      <c r="D1448">
        <v>1447</v>
      </c>
      <c r="E1448" t="s">
        <v>37</v>
      </c>
      <c r="F1448" t="s">
        <v>24</v>
      </c>
      <c r="G1448">
        <v>1447</v>
      </c>
      <c r="H1448">
        <v>1935</v>
      </c>
      <c r="I1448">
        <v>35</v>
      </c>
      <c r="J1448" t="s">
        <v>54</v>
      </c>
      <c r="K1448" t="s">
        <v>95</v>
      </c>
      <c r="L1448" t="s">
        <v>111</v>
      </c>
      <c r="M1448" t="s">
        <v>56</v>
      </c>
      <c r="N1448">
        <v>3.2</v>
      </c>
      <c r="O1448">
        <v>0</v>
      </c>
      <c r="P1448" t="s">
        <v>29</v>
      </c>
      <c r="Q1448" t="s">
        <v>30</v>
      </c>
      <c r="R1448" t="s">
        <v>30</v>
      </c>
      <c r="S1448">
        <v>6</v>
      </c>
      <c r="T1448" t="s">
        <v>42</v>
      </c>
      <c r="U1448" t="s">
        <v>61</v>
      </c>
      <c r="V1448" s="1">
        <v>45457</v>
      </c>
      <c r="W1448">
        <f>Table1[[#This Row],[customer_purchase count]]+1</f>
        <v>7</v>
      </c>
      <c r="X1448">
        <f>Table1[[#This Row],[customer_purchase count]]*Rules!$B$3</f>
        <v>358.58615384615388</v>
      </c>
      <c r="Y1448" t="str">
        <f>IF(Table1[[#This Row],[customer_subscription]]=1,"Subscribed","Not Subscribed")</f>
        <v>Not Subscribed</v>
      </c>
      <c r="Z1448" t="s">
        <v>194</v>
      </c>
    </row>
    <row r="1449" spans="1:26" x14ac:dyDescent="0.25">
      <c r="A1449">
        <v>1448</v>
      </c>
      <c r="B1449">
        <v>23</v>
      </c>
      <c r="C1449" t="s">
        <v>22</v>
      </c>
      <c r="D1449">
        <v>1448</v>
      </c>
      <c r="E1449" t="s">
        <v>107</v>
      </c>
      <c r="F1449" t="s">
        <v>24</v>
      </c>
      <c r="G1449">
        <v>1448</v>
      </c>
      <c r="H1449">
        <v>1936</v>
      </c>
      <c r="I1449">
        <v>57</v>
      </c>
      <c r="J1449" t="s">
        <v>133</v>
      </c>
      <c r="K1449" t="s">
        <v>39</v>
      </c>
      <c r="L1449" t="s">
        <v>121</v>
      </c>
      <c r="M1449" t="s">
        <v>56</v>
      </c>
      <c r="N1449">
        <v>3</v>
      </c>
      <c r="O1449">
        <v>0</v>
      </c>
      <c r="P1449" t="s">
        <v>48</v>
      </c>
      <c r="Q1449" t="s">
        <v>30</v>
      </c>
      <c r="R1449" t="s">
        <v>30</v>
      </c>
      <c r="S1449">
        <v>25</v>
      </c>
      <c r="T1449" t="s">
        <v>49</v>
      </c>
      <c r="U1449" t="s">
        <v>91</v>
      </c>
      <c r="V1449" s="1">
        <v>45479</v>
      </c>
      <c r="W1449">
        <f>Table1[[#This Row],[customer_purchase count]]+1</f>
        <v>26</v>
      </c>
      <c r="X1449">
        <f>Table1[[#This Row],[customer_purchase count]]*Rules!$B$3</f>
        <v>1494.1089743589744</v>
      </c>
      <c r="Y1449" t="str">
        <f>IF(Table1[[#This Row],[customer_subscription]]=1,"Subscribed","Not Subscribed")</f>
        <v>Not Subscribed</v>
      </c>
    </row>
    <row r="1450" spans="1:26" x14ac:dyDescent="0.25">
      <c r="A1450">
        <v>1449</v>
      </c>
      <c r="B1450">
        <v>64</v>
      </c>
      <c r="C1450" t="s">
        <v>22</v>
      </c>
      <c r="D1450">
        <v>1449</v>
      </c>
      <c r="E1450" t="s">
        <v>140</v>
      </c>
      <c r="F1450" t="s">
        <v>45</v>
      </c>
      <c r="G1450">
        <v>1449</v>
      </c>
      <c r="H1450">
        <v>1937</v>
      </c>
      <c r="I1450">
        <v>95</v>
      </c>
      <c r="J1450" t="s">
        <v>67</v>
      </c>
      <c r="K1450" t="s">
        <v>47</v>
      </c>
      <c r="L1450" t="s">
        <v>97</v>
      </c>
      <c r="M1450" t="s">
        <v>56</v>
      </c>
      <c r="N1450">
        <v>3.6</v>
      </c>
      <c r="O1450">
        <v>0</v>
      </c>
      <c r="P1450" t="s">
        <v>41</v>
      </c>
      <c r="Q1450" t="s">
        <v>30</v>
      </c>
      <c r="R1450" t="s">
        <v>30</v>
      </c>
      <c r="S1450">
        <v>11</v>
      </c>
      <c r="T1450" t="s">
        <v>42</v>
      </c>
      <c r="U1450" t="s">
        <v>100</v>
      </c>
      <c r="V1450" s="1">
        <v>45463</v>
      </c>
      <c r="W1450">
        <f>Table1[[#This Row],[customer_purchase count]]+1</f>
        <v>12</v>
      </c>
      <c r="X1450">
        <f>Table1[[#This Row],[customer_purchase count]]*Rules!$B$3</f>
        <v>657.40794871794878</v>
      </c>
      <c r="Y1450" t="str">
        <f>IF(Table1[[#This Row],[customer_subscription]]=1,"Subscribed","Not Subscribed")</f>
        <v>Not Subscribed</v>
      </c>
      <c r="Z1450" t="s">
        <v>194</v>
      </c>
    </row>
    <row r="1451" spans="1:26" x14ac:dyDescent="0.25">
      <c r="A1451">
        <v>1450</v>
      </c>
      <c r="B1451">
        <v>18</v>
      </c>
      <c r="C1451" t="s">
        <v>22</v>
      </c>
      <c r="D1451">
        <v>1450</v>
      </c>
      <c r="E1451" t="s">
        <v>128</v>
      </c>
      <c r="F1451" t="s">
        <v>24</v>
      </c>
      <c r="G1451">
        <v>1450</v>
      </c>
      <c r="H1451">
        <v>1939</v>
      </c>
      <c r="I1451">
        <v>41</v>
      </c>
      <c r="J1451" t="s">
        <v>87</v>
      </c>
      <c r="K1451" t="s">
        <v>26</v>
      </c>
      <c r="L1451" t="s">
        <v>96</v>
      </c>
      <c r="M1451" t="s">
        <v>28</v>
      </c>
      <c r="N1451">
        <v>2.5</v>
      </c>
      <c r="O1451">
        <v>0</v>
      </c>
      <c r="P1451" t="s">
        <v>77</v>
      </c>
      <c r="Q1451" t="s">
        <v>30</v>
      </c>
      <c r="R1451" t="s">
        <v>30</v>
      </c>
      <c r="S1451">
        <v>20</v>
      </c>
      <c r="T1451" t="s">
        <v>36</v>
      </c>
      <c r="U1451" t="s">
        <v>100</v>
      </c>
      <c r="V1451" s="1">
        <v>45306</v>
      </c>
      <c r="W1451">
        <f>Table1[[#This Row],[customer_purchase count]]+1</f>
        <v>21</v>
      </c>
      <c r="X1451">
        <f>Table1[[#This Row],[customer_purchase count]]*Rules!$B$3</f>
        <v>1195.2871794871796</v>
      </c>
      <c r="Y1451" t="str">
        <f>IF(Table1[[#This Row],[customer_subscription]]=1,"Subscribed","Not Subscribed")</f>
        <v>Not Subscribed</v>
      </c>
    </row>
    <row r="1452" spans="1:26" x14ac:dyDescent="0.25">
      <c r="A1452">
        <v>1451</v>
      </c>
      <c r="B1452">
        <v>25</v>
      </c>
      <c r="C1452" t="s">
        <v>22</v>
      </c>
      <c r="D1452">
        <v>1451</v>
      </c>
      <c r="E1452" t="s">
        <v>84</v>
      </c>
      <c r="F1452" t="s">
        <v>24</v>
      </c>
      <c r="G1452">
        <v>1451</v>
      </c>
      <c r="H1452">
        <v>1940</v>
      </c>
      <c r="I1452">
        <v>44</v>
      </c>
      <c r="J1452" t="s">
        <v>118</v>
      </c>
      <c r="K1452" t="s">
        <v>39</v>
      </c>
      <c r="L1452" t="s">
        <v>88</v>
      </c>
      <c r="M1452" t="s">
        <v>28</v>
      </c>
      <c r="N1452">
        <v>3.4</v>
      </c>
      <c r="O1452">
        <v>0</v>
      </c>
      <c r="P1452" t="s">
        <v>41</v>
      </c>
      <c r="Q1452" t="s">
        <v>30</v>
      </c>
      <c r="R1452" t="s">
        <v>30</v>
      </c>
      <c r="S1452">
        <v>25</v>
      </c>
      <c r="T1452" t="s">
        <v>36</v>
      </c>
      <c r="U1452" t="s">
        <v>61</v>
      </c>
      <c r="V1452" s="1">
        <v>45342</v>
      </c>
      <c r="W1452">
        <f>Table1[[#This Row],[customer_purchase count]]+1</f>
        <v>26</v>
      </c>
      <c r="X1452">
        <f>Table1[[#This Row],[customer_purchase count]]*Rules!$B$3</f>
        <v>1494.1089743589744</v>
      </c>
      <c r="Y1452" t="str">
        <f>IF(Table1[[#This Row],[customer_subscription]]=1,"Subscribed","Not Subscribed")</f>
        <v>Not Subscribed</v>
      </c>
    </row>
    <row r="1453" spans="1:26" x14ac:dyDescent="0.25">
      <c r="A1453">
        <v>1452</v>
      </c>
      <c r="B1453">
        <v>54</v>
      </c>
      <c r="C1453" t="s">
        <v>22</v>
      </c>
      <c r="D1453">
        <v>1452</v>
      </c>
      <c r="E1453" t="s">
        <v>105</v>
      </c>
      <c r="F1453" t="s">
        <v>66</v>
      </c>
      <c r="G1453">
        <v>1452</v>
      </c>
      <c r="H1453">
        <v>1941</v>
      </c>
      <c r="I1453">
        <v>34</v>
      </c>
      <c r="J1453" t="s">
        <v>143</v>
      </c>
      <c r="K1453" t="s">
        <v>47</v>
      </c>
      <c r="L1453" t="s">
        <v>35</v>
      </c>
      <c r="M1453" t="s">
        <v>60</v>
      </c>
      <c r="N1453">
        <v>2.5</v>
      </c>
      <c r="O1453">
        <v>0</v>
      </c>
      <c r="P1453" t="s">
        <v>48</v>
      </c>
      <c r="Q1453" t="s">
        <v>30</v>
      </c>
      <c r="R1453" t="s">
        <v>30</v>
      </c>
      <c r="S1453">
        <v>35</v>
      </c>
      <c r="T1453" t="s">
        <v>49</v>
      </c>
      <c r="U1453" t="s">
        <v>61</v>
      </c>
      <c r="V1453" s="1">
        <v>45609</v>
      </c>
      <c r="W1453">
        <f>Table1[[#This Row],[customer_purchase count]]+1</f>
        <v>36</v>
      </c>
      <c r="X1453">
        <f>Table1[[#This Row],[customer_purchase count]]*Rules!$B$3</f>
        <v>2091.7525641025641</v>
      </c>
      <c r="Y1453" t="str">
        <f>IF(Table1[[#This Row],[customer_subscription]]=1,"Subscribed","Not Subscribed")</f>
        <v>Not Subscribed</v>
      </c>
    </row>
    <row r="1454" spans="1:26" x14ac:dyDescent="0.25">
      <c r="A1454">
        <v>1453</v>
      </c>
      <c r="B1454">
        <v>60</v>
      </c>
      <c r="C1454" t="s">
        <v>22</v>
      </c>
      <c r="D1454">
        <v>1453</v>
      </c>
      <c r="E1454" t="s">
        <v>105</v>
      </c>
      <c r="F1454" t="s">
        <v>66</v>
      </c>
      <c r="G1454">
        <v>1453</v>
      </c>
      <c r="H1454">
        <v>1942</v>
      </c>
      <c r="I1454">
        <v>25</v>
      </c>
      <c r="J1454" t="s">
        <v>115</v>
      </c>
      <c r="K1454" t="s">
        <v>26</v>
      </c>
      <c r="L1454" t="s">
        <v>147</v>
      </c>
      <c r="M1454" t="s">
        <v>40</v>
      </c>
      <c r="N1454">
        <v>4.7</v>
      </c>
      <c r="O1454">
        <v>0</v>
      </c>
      <c r="P1454" t="s">
        <v>73</v>
      </c>
      <c r="Q1454" t="s">
        <v>30</v>
      </c>
      <c r="R1454" t="s">
        <v>30</v>
      </c>
      <c r="S1454">
        <v>11</v>
      </c>
      <c r="T1454" t="s">
        <v>78</v>
      </c>
      <c r="U1454" t="s">
        <v>61</v>
      </c>
      <c r="V1454" s="1">
        <v>45401</v>
      </c>
      <c r="W1454">
        <f>Table1[[#This Row],[customer_purchase count]]+1</f>
        <v>12</v>
      </c>
      <c r="X1454">
        <f>Table1[[#This Row],[customer_purchase count]]*Rules!$B$3</f>
        <v>657.40794871794878</v>
      </c>
      <c r="Y1454" t="str">
        <f>IF(Table1[[#This Row],[customer_subscription]]=1,"Subscribed","Not Subscribed")</f>
        <v>Not Subscribed</v>
      </c>
      <c r="Z1454" t="s">
        <v>194</v>
      </c>
    </row>
    <row r="1455" spans="1:26" x14ac:dyDescent="0.25">
      <c r="A1455">
        <v>1454</v>
      </c>
      <c r="B1455">
        <v>36</v>
      </c>
      <c r="C1455" t="s">
        <v>22</v>
      </c>
      <c r="D1455">
        <v>1454</v>
      </c>
      <c r="E1455" t="s">
        <v>140</v>
      </c>
      <c r="F1455" t="s">
        <v>45</v>
      </c>
      <c r="G1455">
        <v>1454</v>
      </c>
      <c r="H1455">
        <v>1943</v>
      </c>
      <c r="I1455">
        <v>93</v>
      </c>
      <c r="J1455" t="s">
        <v>144</v>
      </c>
      <c r="K1455" t="s">
        <v>39</v>
      </c>
      <c r="L1455" t="s">
        <v>88</v>
      </c>
      <c r="M1455" t="s">
        <v>28</v>
      </c>
      <c r="N1455">
        <v>3.2</v>
      </c>
      <c r="O1455">
        <v>0</v>
      </c>
      <c r="P1455" t="s">
        <v>73</v>
      </c>
      <c r="Q1455" t="s">
        <v>30</v>
      </c>
      <c r="R1455" t="s">
        <v>30</v>
      </c>
      <c r="S1455">
        <v>41</v>
      </c>
      <c r="T1455" t="s">
        <v>78</v>
      </c>
      <c r="U1455" t="s">
        <v>32</v>
      </c>
      <c r="V1455" s="1">
        <v>45307</v>
      </c>
      <c r="W1455">
        <f>Table1[[#This Row],[customer_purchase count]]+1</f>
        <v>42</v>
      </c>
      <c r="X1455">
        <f>Table1[[#This Row],[customer_purchase count]]*Rules!$B$3</f>
        <v>2450.3387179487181</v>
      </c>
      <c r="Y1455" t="str">
        <f>IF(Table1[[#This Row],[customer_subscription]]=1,"Subscribed","Not Subscribed")</f>
        <v>Not Subscribed</v>
      </c>
    </row>
    <row r="1456" spans="1:26" x14ac:dyDescent="0.25">
      <c r="A1456">
        <v>1455</v>
      </c>
      <c r="B1456">
        <v>66</v>
      </c>
      <c r="C1456" t="s">
        <v>22</v>
      </c>
      <c r="D1456">
        <v>1455</v>
      </c>
      <c r="E1456" t="s">
        <v>53</v>
      </c>
      <c r="F1456" t="s">
        <v>45</v>
      </c>
      <c r="G1456">
        <v>1455</v>
      </c>
      <c r="H1456">
        <v>1945</v>
      </c>
      <c r="I1456">
        <v>50</v>
      </c>
      <c r="J1456" t="s">
        <v>145</v>
      </c>
      <c r="K1456" t="s">
        <v>26</v>
      </c>
      <c r="L1456" t="s">
        <v>35</v>
      </c>
      <c r="M1456" t="s">
        <v>28</v>
      </c>
      <c r="N1456">
        <v>2.9</v>
      </c>
      <c r="O1456">
        <v>0</v>
      </c>
      <c r="P1456" t="s">
        <v>41</v>
      </c>
      <c r="Q1456" t="s">
        <v>30</v>
      </c>
      <c r="R1456" t="s">
        <v>30</v>
      </c>
      <c r="S1456">
        <v>17</v>
      </c>
      <c r="T1456" t="s">
        <v>42</v>
      </c>
      <c r="U1456" t="s">
        <v>52</v>
      </c>
      <c r="V1456" s="1">
        <v>45339</v>
      </c>
      <c r="W1456">
        <f>Table1[[#This Row],[customer_purchase count]]+1</f>
        <v>18</v>
      </c>
      <c r="X1456">
        <f>Table1[[#This Row],[customer_purchase count]]*Rules!$B$3</f>
        <v>1015.9941025641026</v>
      </c>
      <c r="Y1456" t="str">
        <f>IF(Table1[[#This Row],[customer_subscription]]=1,"Subscribed","Not Subscribed")</f>
        <v>Not Subscribed</v>
      </c>
      <c r="Z1456" t="s">
        <v>194</v>
      </c>
    </row>
    <row r="1457" spans="1:26" x14ac:dyDescent="0.25">
      <c r="A1457">
        <v>1456</v>
      </c>
      <c r="B1457">
        <v>60</v>
      </c>
      <c r="C1457" t="s">
        <v>22</v>
      </c>
      <c r="D1457">
        <v>1456</v>
      </c>
      <c r="E1457" t="s">
        <v>98</v>
      </c>
      <c r="F1457" t="s">
        <v>24</v>
      </c>
      <c r="G1457">
        <v>1456</v>
      </c>
      <c r="H1457">
        <v>1946</v>
      </c>
      <c r="I1457">
        <v>79</v>
      </c>
      <c r="J1457" t="s">
        <v>93</v>
      </c>
      <c r="K1457" t="s">
        <v>26</v>
      </c>
      <c r="L1457" t="s">
        <v>68</v>
      </c>
      <c r="M1457" t="s">
        <v>60</v>
      </c>
      <c r="N1457">
        <v>4.9000000000000004</v>
      </c>
      <c r="O1457">
        <v>0</v>
      </c>
      <c r="P1457" t="s">
        <v>29</v>
      </c>
      <c r="Q1457" t="s">
        <v>30</v>
      </c>
      <c r="R1457" t="s">
        <v>30</v>
      </c>
      <c r="S1457">
        <v>1</v>
      </c>
      <c r="T1457" t="s">
        <v>49</v>
      </c>
      <c r="U1457" t="s">
        <v>100</v>
      </c>
      <c r="V1457" s="1">
        <v>45568</v>
      </c>
      <c r="W1457">
        <f>Table1[[#This Row],[customer_purchase count]]+1</f>
        <v>2</v>
      </c>
      <c r="X1457">
        <f>Table1[[#This Row],[customer_purchase count]]*Rules!$B$3</f>
        <v>59.764358974358977</v>
      </c>
      <c r="Y1457" t="str">
        <f>IF(Table1[[#This Row],[customer_subscription]]=1,"Subscribed","Not Subscribed")</f>
        <v>Not Subscribed</v>
      </c>
      <c r="Z1457" t="s">
        <v>194</v>
      </c>
    </row>
    <row r="1458" spans="1:26" x14ac:dyDescent="0.25">
      <c r="A1458">
        <v>1457</v>
      </c>
      <c r="B1458">
        <v>59</v>
      </c>
      <c r="C1458" t="s">
        <v>22</v>
      </c>
      <c r="D1458">
        <v>1457</v>
      </c>
      <c r="E1458" t="s">
        <v>65</v>
      </c>
      <c r="F1458" t="s">
        <v>66</v>
      </c>
      <c r="G1458">
        <v>1457</v>
      </c>
      <c r="H1458">
        <v>1947</v>
      </c>
      <c r="I1458">
        <v>100</v>
      </c>
      <c r="J1458" t="s">
        <v>59</v>
      </c>
      <c r="K1458" t="s">
        <v>39</v>
      </c>
      <c r="L1458" t="s">
        <v>81</v>
      </c>
      <c r="M1458" t="s">
        <v>40</v>
      </c>
      <c r="N1458">
        <v>2.7</v>
      </c>
      <c r="O1458">
        <v>0</v>
      </c>
      <c r="P1458" t="s">
        <v>77</v>
      </c>
      <c r="Q1458" t="s">
        <v>30</v>
      </c>
      <c r="R1458" t="s">
        <v>30</v>
      </c>
      <c r="S1458">
        <v>30</v>
      </c>
      <c r="T1458" t="s">
        <v>49</v>
      </c>
      <c r="U1458" t="s">
        <v>100</v>
      </c>
      <c r="V1458" s="1">
        <v>45428</v>
      </c>
      <c r="W1458">
        <f>Table1[[#This Row],[customer_purchase count]]+1</f>
        <v>31</v>
      </c>
      <c r="X1458">
        <f>Table1[[#This Row],[customer_purchase count]]*Rules!$B$3</f>
        <v>1792.9307692307693</v>
      </c>
      <c r="Y1458" t="str">
        <f>IF(Table1[[#This Row],[customer_subscription]]=1,"Subscribed","Not Subscribed")</f>
        <v>Not Subscribed</v>
      </c>
    </row>
    <row r="1459" spans="1:26" x14ac:dyDescent="0.25">
      <c r="A1459">
        <v>1458</v>
      </c>
      <c r="B1459">
        <v>58</v>
      </c>
      <c r="C1459" t="s">
        <v>22</v>
      </c>
      <c r="D1459">
        <v>1458</v>
      </c>
      <c r="E1459" t="s">
        <v>58</v>
      </c>
      <c r="F1459" t="s">
        <v>24</v>
      </c>
      <c r="G1459">
        <v>1458</v>
      </c>
      <c r="H1459">
        <v>1948</v>
      </c>
      <c r="I1459">
        <v>57</v>
      </c>
      <c r="J1459" t="s">
        <v>141</v>
      </c>
      <c r="K1459" t="s">
        <v>39</v>
      </c>
      <c r="L1459" t="s">
        <v>27</v>
      </c>
      <c r="M1459" t="s">
        <v>40</v>
      </c>
      <c r="N1459">
        <v>4.7</v>
      </c>
      <c r="O1459">
        <v>0</v>
      </c>
      <c r="P1459" t="s">
        <v>29</v>
      </c>
      <c r="Q1459" t="s">
        <v>30</v>
      </c>
      <c r="R1459" t="s">
        <v>30</v>
      </c>
      <c r="S1459">
        <v>47</v>
      </c>
      <c r="T1459" t="s">
        <v>31</v>
      </c>
      <c r="U1459" t="s">
        <v>32</v>
      </c>
      <c r="V1459" s="1">
        <v>45393</v>
      </c>
      <c r="W1459">
        <f>Table1[[#This Row],[customer_purchase count]]+1</f>
        <v>48</v>
      </c>
      <c r="X1459">
        <f>Table1[[#This Row],[customer_purchase count]]*Rules!$B$3</f>
        <v>2808.9248717948717</v>
      </c>
      <c r="Y1459" t="str">
        <f>IF(Table1[[#This Row],[customer_subscription]]=1,"Subscribed","Not Subscribed")</f>
        <v>Not Subscribed</v>
      </c>
    </row>
    <row r="1460" spans="1:26" x14ac:dyDescent="0.25">
      <c r="A1460">
        <v>1459</v>
      </c>
      <c r="B1460">
        <v>35</v>
      </c>
      <c r="C1460" t="s">
        <v>22</v>
      </c>
      <c r="D1460">
        <v>1459</v>
      </c>
      <c r="E1460" t="s">
        <v>33</v>
      </c>
      <c r="F1460" t="s">
        <v>24</v>
      </c>
      <c r="G1460">
        <v>1459</v>
      </c>
      <c r="H1460">
        <v>1949</v>
      </c>
      <c r="I1460">
        <v>28</v>
      </c>
      <c r="J1460" t="s">
        <v>71</v>
      </c>
      <c r="K1460" t="s">
        <v>47</v>
      </c>
      <c r="L1460" t="s">
        <v>103</v>
      </c>
      <c r="M1460" t="s">
        <v>40</v>
      </c>
      <c r="N1460">
        <v>2.9</v>
      </c>
      <c r="O1460">
        <v>0</v>
      </c>
      <c r="P1460" t="s">
        <v>73</v>
      </c>
      <c r="Q1460" t="s">
        <v>30</v>
      </c>
      <c r="R1460" t="s">
        <v>30</v>
      </c>
      <c r="S1460">
        <v>34</v>
      </c>
      <c r="T1460" t="s">
        <v>31</v>
      </c>
      <c r="U1460" t="s">
        <v>43</v>
      </c>
      <c r="V1460" s="1">
        <v>45401</v>
      </c>
      <c r="W1460">
        <f>Table1[[#This Row],[customer_purchase count]]+1</f>
        <v>35</v>
      </c>
      <c r="X1460">
        <f>Table1[[#This Row],[customer_purchase count]]*Rules!$B$3</f>
        <v>2031.9882051282052</v>
      </c>
      <c r="Y1460" t="str">
        <f>IF(Table1[[#This Row],[customer_subscription]]=1,"Subscribed","Not Subscribed")</f>
        <v>Not Subscribed</v>
      </c>
    </row>
    <row r="1461" spans="1:26" x14ac:dyDescent="0.25">
      <c r="A1461">
        <v>1460</v>
      </c>
      <c r="B1461">
        <v>20</v>
      </c>
      <c r="C1461" t="s">
        <v>22</v>
      </c>
      <c r="D1461">
        <v>1460</v>
      </c>
      <c r="E1461" t="s">
        <v>74</v>
      </c>
      <c r="F1461" t="s">
        <v>45</v>
      </c>
      <c r="G1461">
        <v>1460</v>
      </c>
      <c r="H1461">
        <v>1951</v>
      </c>
      <c r="I1461">
        <v>35</v>
      </c>
      <c r="J1461" t="s">
        <v>34</v>
      </c>
      <c r="K1461" t="s">
        <v>26</v>
      </c>
      <c r="L1461" t="s">
        <v>137</v>
      </c>
      <c r="M1461" t="s">
        <v>28</v>
      </c>
      <c r="N1461">
        <v>4.8</v>
      </c>
      <c r="O1461">
        <v>0</v>
      </c>
      <c r="P1461" t="s">
        <v>29</v>
      </c>
      <c r="Q1461" t="s">
        <v>30</v>
      </c>
      <c r="R1461" t="s">
        <v>30</v>
      </c>
      <c r="S1461">
        <v>18</v>
      </c>
      <c r="T1461" t="s">
        <v>31</v>
      </c>
      <c r="U1461" t="s">
        <v>32</v>
      </c>
      <c r="V1461" s="1">
        <v>45649</v>
      </c>
      <c r="W1461">
        <f>Table1[[#This Row],[customer_purchase count]]+1</f>
        <v>19</v>
      </c>
      <c r="X1461">
        <f>Table1[[#This Row],[customer_purchase count]]*Rules!$B$3</f>
        <v>1075.7584615384617</v>
      </c>
      <c r="Y1461" t="str">
        <f>IF(Table1[[#This Row],[customer_subscription]]=1,"Subscribed","Not Subscribed")</f>
        <v>Not Subscribed</v>
      </c>
    </row>
    <row r="1462" spans="1:26" x14ac:dyDescent="0.25">
      <c r="A1462">
        <v>1461</v>
      </c>
      <c r="B1462">
        <v>70</v>
      </c>
      <c r="C1462" t="s">
        <v>22</v>
      </c>
      <c r="D1462">
        <v>1461</v>
      </c>
      <c r="E1462" t="s">
        <v>140</v>
      </c>
      <c r="F1462" t="s">
        <v>45</v>
      </c>
      <c r="G1462">
        <v>1461</v>
      </c>
      <c r="H1462">
        <v>1952</v>
      </c>
      <c r="I1462">
        <v>85</v>
      </c>
      <c r="J1462" t="s">
        <v>141</v>
      </c>
      <c r="K1462" t="s">
        <v>26</v>
      </c>
      <c r="L1462" t="s">
        <v>86</v>
      </c>
      <c r="M1462" t="s">
        <v>60</v>
      </c>
      <c r="N1462">
        <v>4.5999999999999996</v>
      </c>
      <c r="O1462">
        <v>0</v>
      </c>
      <c r="P1462" t="s">
        <v>57</v>
      </c>
      <c r="Q1462" t="s">
        <v>30</v>
      </c>
      <c r="R1462" t="s">
        <v>30</v>
      </c>
      <c r="S1462">
        <v>33</v>
      </c>
      <c r="T1462" t="s">
        <v>31</v>
      </c>
      <c r="U1462" t="s">
        <v>79</v>
      </c>
      <c r="V1462" s="1">
        <v>45607</v>
      </c>
      <c r="W1462">
        <f>Table1[[#This Row],[customer_purchase count]]+1</f>
        <v>34</v>
      </c>
      <c r="X1462">
        <f>Table1[[#This Row],[customer_purchase count]]*Rules!$B$3</f>
        <v>1972.2238461538464</v>
      </c>
      <c r="Y1462" t="str">
        <f>IF(Table1[[#This Row],[customer_subscription]]=1,"Subscribed","Not Subscribed")</f>
        <v>Not Subscribed</v>
      </c>
    </row>
    <row r="1463" spans="1:26" x14ac:dyDescent="0.25">
      <c r="A1463">
        <v>1462</v>
      </c>
      <c r="B1463">
        <v>54</v>
      </c>
      <c r="C1463" t="s">
        <v>22</v>
      </c>
      <c r="D1463">
        <v>1462</v>
      </c>
      <c r="E1463" t="s">
        <v>92</v>
      </c>
      <c r="F1463" t="s">
        <v>70</v>
      </c>
      <c r="G1463">
        <v>1462</v>
      </c>
      <c r="H1463">
        <v>1953</v>
      </c>
      <c r="I1463">
        <v>95</v>
      </c>
      <c r="J1463" t="s">
        <v>50</v>
      </c>
      <c r="K1463" t="s">
        <v>39</v>
      </c>
      <c r="L1463" t="s">
        <v>111</v>
      </c>
      <c r="M1463" t="s">
        <v>56</v>
      </c>
      <c r="N1463">
        <v>5</v>
      </c>
      <c r="O1463">
        <v>0</v>
      </c>
      <c r="P1463" t="s">
        <v>73</v>
      </c>
      <c r="Q1463" t="s">
        <v>30</v>
      </c>
      <c r="R1463" t="s">
        <v>30</v>
      </c>
      <c r="S1463">
        <v>42</v>
      </c>
      <c r="T1463" t="s">
        <v>31</v>
      </c>
      <c r="U1463" t="s">
        <v>61</v>
      </c>
      <c r="V1463" s="1">
        <v>45522</v>
      </c>
      <c r="W1463">
        <f>Table1[[#This Row],[customer_purchase count]]+1</f>
        <v>43</v>
      </c>
      <c r="X1463">
        <f>Table1[[#This Row],[customer_purchase count]]*Rules!$B$3</f>
        <v>2510.103076923077</v>
      </c>
      <c r="Y1463" t="str">
        <f>IF(Table1[[#This Row],[customer_subscription]]=1,"Subscribed","Not Subscribed")</f>
        <v>Not Subscribed</v>
      </c>
    </row>
    <row r="1464" spans="1:26" x14ac:dyDescent="0.25">
      <c r="A1464">
        <v>1463</v>
      </c>
      <c r="B1464">
        <v>38</v>
      </c>
      <c r="C1464" t="s">
        <v>22</v>
      </c>
      <c r="D1464">
        <v>1463</v>
      </c>
      <c r="E1464" t="s">
        <v>53</v>
      </c>
      <c r="F1464" t="s">
        <v>45</v>
      </c>
      <c r="G1464">
        <v>1463</v>
      </c>
      <c r="H1464">
        <v>1954</v>
      </c>
      <c r="I1464">
        <v>90</v>
      </c>
      <c r="J1464" t="s">
        <v>143</v>
      </c>
      <c r="K1464" t="s">
        <v>39</v>
      </c>
      <c r="L1464" t="s">
        <v>64</v>
      </c>
      <c r="M1464" t="s">
        <v>56</v>
      </c>
      <c r="N1464">
        <v>4.8</v>
      </c>
      <c r="O1464">
        <v>0</v>
      </c>
      <c r="P1464" t="s">
        <v>73</v>
      </c>
      <c r="Q1464" t="s">
        <v>30</v>
      </c>
      <c r="R1464" t="s">
        <v>30</v>
      </c>
      <c r="S1464">
        <v>2</v>
      </c>
      <c r="T1464" t="s">
        <v>31</v>
      </c>
      <c r="U1464" t="s">
        <v>61</v>
      </c>
      <c r="V1464" s="1">
        <v>45447</v>
      </c>
      <c r="W1464">
        <f>Table1[[#This Row],[customer_purchase count]]+1</f>
        <v>3</v>
      </c>
      <c r="X1464">
        <f>Table1[[#This Row],[customer_purchase count]]*Rules!$B$3</f>
        <v>119.52871794871795</v>
      </c>
      <c r="Y1464" t="str">
        <f>IF(Table1[[#This Row],[customer_subscription]]=1,"Subscribed","Not Subscribed")</f>
        <v>Not Subscribed</v>
      </c>
      <c r="Z1464" t="s">
        <v>194</v>
      </c>
    </row>
    <row r="1465" spans="1:26" x14ac:dyDescent="0.25">
      <c r="A1465">
        <v>1464</v>
      </c>
      <c r="B1465">
        <v>54</v>
      </c>
      <c r="C1465" t="s">
        <v>22</v>
      </c>
      <c r="D1465">
        <v>1464</v>
      </c>
      <c r="E1465" t="s">
        <v>109</v>
      </c>
      <c r="F1465" t="s">
        <v>70</v>
      </c>
      <c r="G1465">
        <v>1464</v>
      </c>
      <c r="H1465">
        <v>1955</v>
      </c>
      <c r="I1465">
        <v>49</v>
      </c>
      <c r="J1465" t="s">
        <v>104</v>
      </c>
      <c r="K1465" t="s">
        <v>47</v>
      </c>
      <c r="L1465" t="s">
        <v>121</v>
      </c>
      <c r="M1465" t="s">
        <v>56</v>
      </c>
      <c r="N1465">
        <v>4.9000000000000004</v>
      </c>
      <c r="O1465">
        <v>0</v>
      </c>
      <c r="P1465" t="s">
        <v>77</v>
      </c>
      <c r="Q1465" t="s">
        <v>30</v>
      </c>
      <c r="R1465" t="s">
        <v>30</v>
      </c>
      <c r="S1465">
        <v>1</v>
      </c>
      <c r="T1465" t="s">
        <v>78</v>
      </c>
      <c r="U1465" t="s">
        <v>91</v>
      </c>
      <c r="V1465" s="1">
        <v>45522</v>
      </c>
      <c r="W1465">
        <f>Table1[[#This Row],[customer_purchase count]]+1</f>
        <v>2</v>
      </c>
      <c r="X1465">
        <f>Table1[[#This Row],[customer_purchase count]]*Rules!$B$3</f>
        <v>59.764358974358977</v>
      </c>
      <c r="Y1465" t="str">
        <f>IF(Table1[[#This Row],[customer_subscription]]=1,"Subscribed","Not Subscribed")</f>
        <v>Not Subscribed</v>
      </c>
      <c r="Z1465" t="s">
        <v>194</v>
      </c>
    </row>
    <row r="1466" spans="1:26" x14ac:dyDescent="0.25">
      <c r="A1466">
        <v>1465</v>
      </c>
      <c r="B1466">
        <v>33</v>
      </c>
      <c r="C1466" t="s">
        <v>22</v>
      </c>
      <c r="D1466">
        <v>1465</v>
      </c>
      <c r="E1466" t="s">
        <v>136</v>
      </c>
      <c r="F1466" t="s">
        <v>70</v>
      </c>
      <c r="G1466">
        <v>1465</v>
      </c>
      <c r="H1466">
        <v>1957</v>
      </c>
      <c r="I1466">
        <v>92</v>
      </c>
      <c r="J1466" t="s">
        <v>59</v>
      </c>
      <c r="K1466" t="s">
        <v>47</v>
      </c>
      <c r="L1466" t="s">
        <v>103</v>
      </c>
      <c r="M1466" t="s">
        <v>28</v>
      </c>
      <c r="N1466">
        <v>4.5999999999999996</v>
      </c>
      <c r="O1466">
        <v>0</v>
      </c>
      <c r="P1466" t="s">
        <v>73</v>
      </c>
      <c r="Q1466" t="s">
        <v>30</v>
      </c>
      <c r="R1466" t="s">
        <v>30</v>
      </c>
      <c r="S1466">
        <v>23</v>
      </c>
      <c r="T1466" t="s">
        <v>78</v>
      </c>
      <c r="U1466" t="s">
        <v>61</v>
      </c>
      <c r="V1466" s="1">
        <v>45295</v>
      </c>
      <c r="W1466">
        <f>Table1[[#This Row],[customer_purchase count]]+1</f>
        <v>24</v>
      </c>
      <c r="X1466">
        <f>Table1[[#This Row],[customer_purchase count]]*Rules!$B$3</f>
        <v>1374.5802564102564</v>
      </c>
      <c r="Y1466" t="str">
        <f>IF(Table1[[#This Row],[customer_subscription]]=1,"Subscribed","Not Subscribed")</f>
        <v>Not Subscribed</v>
      </c>
    </row>
    <row r="1467" spans="1:26" x14ac:dyDescent="0.25">
      <c r="A1467">
        <v>1466</v>
      </c>
      <c r="B1467">
        <v>46</v>
      </c>
      <c r="C1467" t="s">
        <v>22</v>
      </c>
      <c r="D1467">
        <v>1466</v>
      </c>
      <c r="E1467" t="s">
        <v>146</v>
      </c>
      <c r="F1467" t="s">
        <v>70</v>
      </c>
      <c r="G1467">
        <v>1466</v>
      </c>
      <c r="H1467">
        <v>1958</v>
      </c>
      <c r="I1467">
        <v>72</v>
      </c>
      <c r="J1467" t="s">
        <v>148</v>
      </c>
      <c r="K1467" t="s">
        <v>95</v>
      </c>
      <c r="L1467" t="s">
        <v>86</v>
      </c>
      <c r="M1467" t="s">
        <v>28</v>
      </c>
      <c r="N1467">
        <v>3.9</v>
      </c>
      <c r="O1467">
        <v>0</v>
      </c>
      <c r="P1467" t="s">
        <v>77</v>
      </c>
      <c r="Q1467" t="s">
        <v>30</v>
      </c>
      <c r="R1467" t="s">
        <v>30</v>
      </c>
      <c r="S1467">
        <v>42</v>
      </c>
      <c r="T1467" t="s">
        <v>36</v>
      </c>
      <c r="U1467" t="s">
        <v>79</v>
      </c>
      <c r="V1467" s="1">
        <v>45334</v>
      </c>
      <c r="W1467">
        <f>Table1[[#This Row],[customer_purchase count]]+1</f>
        <v>43</v>
      </c>
      <c r="X1467">
        <f>Table1[[#This Row],[customer_purchase count]]*Rules!$B$3</f>
        <v>2510.103076923077</v>
      </c>
      <c r="Y1467" t="str">
        <f>IF(Table1[[#This Row],[customer_subscription]]=1,"Subscribed","Not Subscribed")</f>
        <v>Not Subscribed</v>
      </c>
    </row>
    <row r="1468" spans="1:26" x14ac:dyDescent="0.25">
      <c r="A1468">
        <v>1467</v>
      </c>
      <c r="B1468">
        <v>58</v>
      </c>
      <c r="C1468" t="s">
        <v>22</v>
      </c>
      <c r="D1468">
        <v>1467</v>
      </c>
      <c r="E1468" t="s">
        <v>62</v>
      </c>
      <c r="F1468" t="s">
        <v>24</v>
      </c>
      <c r="G1468">
        <v>1467</v>
      </c>
      <c r="H1468">
        <v>1959</v>
      </c>
      <c r="I1468">
        <v>71</v>
      </c>
      <c r="J1468" t="s">
        <v>93</v>
      </c>
      <c r="K1468" t="s">
        <v>47</v>
      </c>
      <c r="L1468" t="s">
        <v>99</v>
      </c>
      <c r="M1468" t="s">
        <v>56</v>
      </c>
      <c r="N1468">
        <v>4.5</v>
      </c>
      <c r="O1468">
        <v>0</v>
      </c>
      <c r="P1468" t="s">
        <v>77</v>
      </c>
      <c r="Q1468" t="s">
        <v>30</v>
      </c>
      <c r="R1468" t="s">
        <v>30</v>
      </c>
      <c r="S1468">
        <v>3</v>
      </c>
      <c r="T1468" t="s">
        <v>49</v>
      </c>
      <c r="U1468" t="s">
        <v>52</v>
      </c>
      <c r="V1468" s="1">
        <v>45499</v>
      </c>
      <c r="W1468">
        <f>Table1[[#This Row],[customer_purchase count]]+1</f>
        <v>4</v>
      </c>
      <c r="X1468">
        <f>Table1[[#This Row],[customer_purchase count]]*Rules!$B$3</f>
        <v>179.29307692307694</v>
      </c>
      <c r="Y1468" t="str">
        <f>IF(Table1[[#This Row],[customer_subscription]]=1,"Subscribed","Not Subscribed")</f>
        <v>Not Subscribed</v>
      </c>
      <c r="Z1468" t="s">
        <v>194</v>
      </c>
    </row>
    <row r="1469" spans="1:26" x14ac:dyDescent="0.25">
      <c r="A1469">
        <v>1468</v>
      </c>
      <c r="B1469">
        <v>30</v>
      </c>
      <c r="C1469" t="s">
        <v>22</v>
      </c>
      <c r="D1469">
        <v>1468</v>
      </c>
      <c r="E1469" t="s">
        <v>109</v>
      </c>
      <c r="F1469" t="s">
        <v>70</v>
      </c>
      <c r="G1469">
        <v>1468</v>
      </c>
      <c r="H1469">
        <v>1960</v>
      </c>
      <c r="I1469">
        <v>27</v>
      </c>
      <c r="J1469" t="s">
        <v>126</v>
      </c>
      <c r="K1469" t="s">
        <v>95</v>
      </c>
      <c r="L1469" t="s">
        <v>81</v>
      </c>
      <c r="M1469" t="s">
        <v>28</v>
      </c>
      <c r="N1469">
        <v>4.7</v>
      </c>
      <c r="O1469">
        <v>0</v>
      </c>
      <c r="P1469" t="s">
        <v>77</v>
      </c>
      <c r="Q1469" t="s">
        <v>30</v>
      </c>
      <c r="R1469" t="s">
        <v>30</v>
      </c>
      <c r="S1469">
        <v>16</v>
      </c>
      <c r="T1469" t="s">
        <v>89</v>
      </c>
      <c r="U1469" t="s">
        <v>32</v>
      </c>
      <c r="V1469" s="1">
        <v>45327</v>
      </c>
      <c r="W1469">
        <f>Table1[[#This Row],[customer_purchase count]]+1</f>
        <v>17</v>
      </c>
      <c r="X1469">
        <f>Table1[[#This Row],[customer_purchase count]]*Rules!$B$3</f>
        <v>956.22974358974363</v>
      </c>
      <c r="Y1469" t="str">
        <f>IF(Table1[[#This Row],[customer_subscription]]=1,"Subscribed","Not Subscribed")</f>
        <v>Not Subscribed</v>
      </c>
      <c r="Z1469" t="s">
        <v>194</v>
      </c>
    </row>
    <row r="1470" spans="1:26" x14ac:dyDescent="0.25">
      <c r="A1470">
        <v>1469</v>
      </c>
      <c r="B1470">
        <v>42</v>
      </c>
      <c r="C1470" t="s">
        <v>22</v>
      </c>
      <c r="D1470">
        <v>1469</v>
      </c>
      <c r="E1470" t="s">
        <v>146</v>
      </c>
      <c r="F1470" t="s">
        <v>70</v>
      </c>
      <c r="G1470">
        <v>1469</v>
      </c>
      <c r="H1470">
        <v>1961</v>
      </c>
      <c r="I1470">
        <v>39</v>
      </c>
      <c r="J1470" t="s">
        <v>75</v>
      </c>
      <c r="K1470" t="s">
        <v>39</v>
      </c>
      <c r="L1470" t="s">
        <v>68</v>
      </c>
      <c r="M1470" t="s">
        <v>60</v>
      </c>
      <c r="N1470">
        <v>3.9</v>
      </c>
      <c r="O1470">
        <v>0</v>
      </c>
      <c r="P1470" t="s">
        <v>29</v>
      </c>
      <c r="Q1470" t="s">
        <v>30</v>
      </c>
      <c r="R1470" t="s">
        <v>30</v>
      </c>
      <c r="S1470">
        <v>46</v>
      </c>
      <c r="T1470" t="s">
        <v>36</v>
      </c>
      <c r="U1470" t="s">
        <v>32</v>
      </c>
      <c r="V1470" s="1">
        <v>45618</v>
      </c>
      <c r="W1470">
        <f>Table1[[#This Row],[customer_purchase count]]+1</f>
        <v>47</v>
      </c>
      <c r="X1470">
        <f>Table1[[#This Row],[customer_purchase count]]*Rules!$B$3</f>
        <v>2749.1605128205128</v>
      </c>
      <c r="Y1470" t="str">
        <f>IF(Table1[[#This Row],[customer_subscription]]=1,"Subscribed","Not Subscribed")</f>
        <v>Not Subscribed</v>
      </c>
    </row>
    <row r="1471" spans="1:26" x14ac:dyDescent="0.25">
      <c r="A1471">
        <v>1470</v>
      </c>
      <c r="B1471">
        <v>28</v>
      </c>
      <c r="C1471" t="s">
        <v>22</v>
      </c>
      <c r="D1471">
        <v>1470</v>
      </c>
      <c r="E1471" t="s">
        <v>109</v>
      </c>
      <c r="F1471" t="s">
        <v>70</v>
      </c>
      <c r="G1471">
        <v>1470</v>
      </c>
      <c r="H1471">
        <v>1963</v>
      </c>
      <c r="I1471">
        <v>98</v>
      </c>
      <c r="J1471" t="s">
        <v>94</v>
      </c>
      <c r="K1471" t="s">
        <v>47</v>
      </c>
      <c r="L1471" t="s">
        <v>76</v>
      </c>
      <c r="M1471" t="s">
        <v>28</v>
      </c>
      <c r="N1471">
        <v>4.4000000000000004</v>
      </c>
      <c r="O1471">
        <v>0</v>
      </c>
      <c r="P1471" t="s">
        <v>57</v>
      </c>
      <c r="Q1471" t="s">
        <v>30</v>
      </c>
      <c r="R1471" t="s">
        <v>30</v>
      </c>
      <c r="S1471">
        <v>31</v>
      </c>
      <c r="T1471" t="s">
        <v>49</v>
      </c>
      <c r="U1471" t="s">
        <v>100</v>
      </c>
      <c r="V1471" s="1">
        <v>45316</v>
      </c>
      <c r="W1471">
        <f>Table1[[#This Row],[customer_purchase count]]+1</f>
        <v>32</v>
      </c>
      <c r="X1471">
        <f>Table1[[#This Row],[customer_purchase count]]*Rules!$B$3</f>
        <v>1852.6951282051282</v>
      </c>
      <c r="Y1471" t="str">
        <f>IF(Table1[[#This Row],[customer_subscription]]=1,"Subscribed","Not Subscribed")</f>
        <v>Not Subscribed</v>
      </c>
    </row>
    <row r="1472" spans="1:26" x14ac:dyDescent="0.25">
      <c r="A1472">
        <v>1471</v>
      </c>
      <c r="B1472">
        <v>43</v>
      </c>
      <c r="C1472" t="s">
        <v>22</v>
      </c>
      <c r="D1472">
        <v>1471</v>
      </c>
      <c r="E1472" t="s">
        <v>44</v>
      </c>
      <c r="F1472" t="s">
        <v>45</v>
      </c>
      <c r="G1472">
        <v>1471</v>
      </c>
      <c r="H1472">
        <v>1964</v>
      </c>
      <c r="I1472">
        <v>27</v>
      </c>
      <c r="J1472" t="s">
        <v>102</v>
      </c>
      <c r="K1472" t="s">
        <v>47</v>
      </c>
      <c r="L1472" t="s">
        <v>68</v>
      </c>
      <c r="M1472" t="s">
        <v>40</v>
      </c>
      <c r="N1472">
        <v>3.9</v>
      </c>
      <c r="O1472">
        <v>0</v>
      </c>
      <c r="P1472" t="s">
        <v>48</v>
      </c>
      <c r="Q1472" t="s">
        <v>30</v>
      </c>
      <c r="R1472" t="s">
        <v>30</v>
      </c>
      <c r="S1472">
        <v>15</v>
      </c>
      <c r="T1472" t="s">
        <v>36</v>
      </c>
      <c r="U1472" t="s">
        <v>100</v>
      </c>
      <c r="V1472" s="1">
        <v>45373</v>
      </c>
      <c r="W1472">
        <f>Table1[[#This Row],[customer_purchase count]]+1</f>
        <v>16</v>
      </c>
      <c r="X1472">
        <f>Table1[[#This Row],[customer_purchase count]]*Rules!$B$3</f>
        <v>896.46538461538466</v>
      </c>
      <c r="Y1472" t="str">
        <f>IF(Table1[[#This Row],[customer_subscription]]=1,"Subscribed","Not Subscribed")</f>
        <v>Not Subscribed</v>
      </c>
      <c r="Z1472" t="s">
        <v>194</v>
      </c>
    </row>
    <row r="1473" spans="1:26" x14ac:dyDescent="0.25">
      <c r="A1473">
        <v>1472</v>
      </c>
      <c r="B1473">
        <v>31</v>
      </c>
      <c r="C1473" t="s">
        <v>22</v>
      </c>
      <c r="D1473">
        <v>1472</v>
      </c>
      <c r="E1473" t="s">
        <v>109</v>
      </c>
      <c r="F1473" t="s">
        <v>70</v>
      </c>
      <c r="G1473">
        <v>1472</v>
      </c>
      <c r="H1473">
        <v>1965</v>
      </c>
      <c r="I1473">
        <v>71</v>
      </c>
      <c r="J1473" t="s">
        <v>123</v>
      </c>
      <c r="K1473" t="s">
        <v>39</v>
      </c>
      <c r="L1473" t="s">
        <v>27</v>
      </c>
      <c r="M1473" t="s">
        <v>40</v>
      </c>
      <c r="N1473">
        <v>2.8</v>
      </c>
      <c r="O1473">
        <v>0</v>
      </c>
      <c r="P1473" t="s">
        <v>73</v>
      </c>
      <c r="Q1473" t="s">
        <v>30</v>
      </c>
      <c r="R1473" t="s">
        <v>30</v>
      </c>
      <c r="S1473">
        <v>48</v>
      </c>
      <c r="T1473" t="s">
        <v>31</v>
      </c>
      <c r="U1473" t="s">
        <v>100</v>
      </c>
      <c r="V1473" s="1">
        <v>45432</v>
      </c>
      <c r="W1473">
        <f>Table1[[#This Row],[customer_purchase count]]+1</f>
        <v>49</v>
      </c>
      <c r="X1473">
        <f>Table1[[#This Row],[customer_purchase count]]*Rules!$B$3</f>
        <v>2868.689230769231</v>
      </c>
      <c r="Y1473" t="str">
        <f>IF(Table1[[#This Row],[customer_subscription]]=1,"Subscribed","Not Subscribed")</f>
        <v>Not Subscribed</v>
      </c>
    </row>
    <row r="1474" spans="1:26" x14ac:dyDescent="0.25">
      <c r="A1474">
        <v>1473</v>
      </c>
      <c r="B1474">
        <v>39</v>
      </c>
      <c r="C1474" t="s">
        <v>22</v>
      </c>
      <c r="D1474">
        <v>1473</v>
      </c>
      <c r="E1474" t="s">
        <v>127</v>
      </c>
      <c r="F1474" t="s">
        <v>70</v>
      </c>
      <c r="G1474">
        <v>1473</v>
      </c>
      <c r="H1474">
        <v>1966</v>
      </c>
      <c r="I1474">
        <v>24</v>
      </c>
      <c r="J1474" t="s">
        <v>119</v>
      </c>
      <c r="K1474" t="s">
        <v>26</v>
      </c>
      <c r="L1474" t="s">
        <v>51</v>
      </c>
      <c r="M1474" t="s">
        <v>40</v>
      </c>
      <c r="N1474">
        <v>3.5</v>
      </c>
      <c r="O1474">
        <v>0</v>
      </c>
      <c r="P1474" t="s">
        <v>77</v>
      </c>
      <c r="Q1474" t="s">
        <v>30</v>
      </c>
      <c r="R1474" t="s">
        <v>30</v>
      </c>
      <c r="S1474">
        <v>11</v>
      </c>
      <c r="T1474" t="s">
        <v>36</v>
      </c>
      <c r="U1474" t="s">
        <v>43</v>
      </c>
      <c r="V1474" s="1">
        <v>45423</v>
      </c>
      <c r="W1474">
        <f>Table1[[#This Row],[customer_purchase count]]+1</f>
        <v>12</v>
      </c>
      <c r="X1474">
        <f>Table1[[#This Row],[customer_purchase count]]*Rules!$B$3</f>
        <v>657.40794871794878</v>
      </c>
      <c r="Y1474" t="str">
        <f>IF(Table1[[#This Row],[customer_subscription]]=1,"Subscribed","Not Subscribed")</f>
        <v>Not Subscribed</v>
      </c>
      <c r="Z1474" t="s">
        <v>194</v>
      </c>
    </row>
    <row r="1475" spans="1:26" x14ac:dyDescent="0.25">
      <c r="A1475">
        <v>1474</v>
      </c>
      <c r="B1475">
        <v>69</v>
      </c>
      <c r="C1475" t="s">
        <v>22</v>
      </c>
      <c r="D1475">
        <v>1474</v>
      </c>
      <c r="E1475" t="s">
        <v>62</v>
      </c>
      <c r="F1475" t="s">
        <v>24</v>
      </c>
      <c r="G1475">
        <v>1474</v>
      </c>
      <c r="H1475">
        <v>1967</v>
      </c>
      <c r="I1475">
        <v>63</v>
      </c>
      <c r="J1475" t="s">
        <v>153</v>
      </c>
      <c r="K1475" t="s">
        <v>47</v>
      </c>
      <c r="L1475" t="s">
        <v>86</v>
      </c>
      <c r="M1475" t="s">
        <v>60</v>
      </c>
      <c r="N1475">
        <v>4.3</v>
      </c>
      <c r="O1475">
        <v>0</v>
      </c>
      <c r="P1475" t="s">
        <v>29</v>
      </c>
      <c r="Q1475" t="s">
        <v>30</v>
      </c>
      <c r="R1475" t="s">
        <v>30</v>
      </c>
      <c r="S1475">
        <v>20</v>
      </c>
      <c r="T1475" t="s">
        <v>42</v>
      </c>
      <c r="U1475" t="s">
        <v>100</v>
      </c>
      <c r="V1475" s="1">
        <v>45541</v>
      </c>
      <c r="W1475">
        <f>Table1[[#This Row],[customer_purchase count]]+1</f>
        <v>21</v>
      </c>
      <c r="X1475">
        <f>Table1[[#This Row],[customer_purchase count]]*Rules!$B$3</f>
        <v>1195.2871794871796</v>
      </c>
      <c r="Y1475" t="str">
        <f>IF(Table1[[#This Row],[customer_subscription]]=1,"Subscribed","Not Subscribed")</f>
        <v>Not Subscribed</v>
      </c>
    </row>
    <row r="1476" spans="1:26" x14ac:dyDescent="0.25">
      <c r="A1476">
        <v>1475</v>
      </c>
      <c r="B1476">
        <v>31</v>
      </c>
      <c r="C1476" t="s">
        <v>22</v>
      </c>
      <c r="D1476">
        <v>1475</v>
      </c>
      <c r="E1476" t="s">
        <v>33</v>
      </c>
      <c r="F1476" t="s">
        <v>24</v>
      </c>
      <c r="G1476">
        <v>1475</v>
      </c>
      <c r="H1476">
        <v>1969</v>
      </c>
      <c r="I1476">
        <v>72</v>
      </c>
      <c r="J1476" t="s">
        <v>130</v>
      </c>
      <c r="K1476" t="s">
        <v>39</v>
      </c>
      <c r="L1476" t="s">
        <v>72</v>
      </c>
      <c r="M1476" t="s">
        <v>60</v>
      </c>
      <c r="N1476">
        <v>3.9</v>
      </c>
      <c r="O1476">
        <v>0</v>
      </c>
      <c r="P1476" t="s">
        <v>48</v>
      </c>
      <c r="Q1476" t="s">
        <v>30</v>
      </c>
      <c r="R1476" t="s">
        <v>30</v>
      </c>
      <c r="S1476">
        <v>6</v>
      </c>
      <c r="T1476" t="s">
        <v>42</v>
      </c>
      <c r="U1476" t="s">
        <v>91</v>
      </c>
      <c r="V1476" s="1">
        <v>45624</v>
      </c>
      <c r="W1476">
        <f>Table1[[#This Row],[customer_purchase count]]+1</f>
        <v>7</v>
      </c>
      <c r="X1476">
        <f>Table1[[#This Row],[customer_purchase count]]*Rules!$B$3</f>
        <v>358.58615384615388</v>
      </c>
      <c r="Y1476" t="str">
        <f>IF(Table1[[#This Row],[customer_subscription]]=1,"Subscribed","Not Subscribed")</f>
        <v>Not Subscribed</v>
      </c>
      <c r="Z1476" t="s">
        <v>194</v>
      </c>
    </row>
    <row r="1477" spans="1:26" x14ac:dyDescent="0.25">
      <c r="A1477">
        <v>1476</v>
      </c>
      <c r="B1477">
        <v>44</v>
      </c>
      <c r="C1477" t="s">
        <v>22</v>
      </c>
      <c r="D1477">
        <v>1476</v>
      </c>
      <c r="E1477" t="s">
        <v>23</v>
      </c>
      <c r="F1477" t="s">
        <v>24</v>
      </c>
      <c r="G1477">
        <v>1476</v>
      </c>
      <c r="H1477">
        <v>1970</v>
      </c>
      <c r="I1477">
        <v>61</v>
      </c>
      <c r="J1477" t="s">
        <v>46</v>
      </c>
      <c r="K1477" t="s">
        <v>47</v>
      </c>
      <c r="L1477" t="s">
        <v>88</v>
      </c>
      <c r="M1477" t="s">
        <v>40</v>
      </c>
      <c r="N1477">
        <v>4</v>
      </c>
      <c r="O1477">
        <v>0</v>
      </c>
      <c r="P1477" t="s">
        <v>29</v>
      </c>
      <c r="Q1477" t="s">
        <v>30</v>
      </c>
      <c r="R1477" t="s">
        <v>30</v>
      </c>
      <c r="S1477">
        <v>24</v>
      </c>
      <c r="T1477" t="s">
        <v>36</v>
      </c>
      <c r="U1477" t="s">
        <v>91</v>
      </c>
      <c r="V1477" s="1">
        <v>45360</v>
      </c>
      <c r="W1477">
        <f>Table1[[#This Row],[customer_purchase count]]+1</f>
        <v>25</v>
      </c>
      <c r="X1477">
        <f>Table1[[#This Row],[customer_purchase count]]*Rules!$B$3</f>
        <v>1434.3446153846155</v>
      </c>
      <c r="Y1477" t="str">
        <f>IF(Table1[[#This Row],[customer_subscription]]=1,"Subscribed","Not Subscribed")</f>
        <v>Not Subscribed</v>
      </c>
    </row>
    <row r="1478" spans="1:26" x14ac:dyDescent="0.25">
      <c r="A1478">
        <v>1477</v>
      </c>
      <c r="B1478">
        <v>39</v>
      </c>
      <c r="C1478" t="s">
        <v>22</v>
      </c>
      <c r="D1478">
        <v>1477</v>
      </c>
      <c r="E1478" t="s">
        <v>127</v>
      </c>
      <c r="F1478" t="s">
        <v>70</v>
      </c>
      <c r="G1478">
        <v>1477</v>
      </c>
      <c r="H1478">
        <v>1971</v>
      </c>
      <c r="I1478">
        <v>56</v>
      </c>
      <c r="J1478" t="s">
        <v>54</v>
      </c>
      <c r="K1478" t="s">
        <v>47</v>
      </c>
      <c r="L1478" t="s">
        <v>139</v>
      </c>
      <c r="M1478" t="s">
        <v>60</v>
      </c>
      <c r="N1478">
        <v>4.0999999999999996</v>
      </c>
      <c r="O1478">
        <v>0</v>
      </c>
      <c r="P1478" t="s">
        <v>48</v>
      </c>
      <c r="Q1478" t="s">
        <v>30</v>
      </c>
      <c r="R1478" t="s">
        <v>30</v>
      </c>
      <c r="S1478">
        <v>18</v>
      </c>
      <c r="T1478" t="s">
        <v>42</v>
      </c>
      <c r="U1478" t="s">
        <v>91</v>
      </c>
      <c r="V1478" s="1">
        <v>45624</v>
      </c>
      <c r="W1478">
        <f>Table1[[#This Row],[customer_purchase count]]+1</f>
        <v>19</v>
      </c>
      <c r="X1478">
        <f>Table1[[#This Row],[customer_purchase count]]*Rules!$B$3</f>
        <v>1075.7584615384617</v>
      </c>
      <c r="Y1478" t="str">
        <f>IF(Table1[[#This Row],[customer_subscription]]=1,"Subscribed","Not Subscribed")</f>
        <v>Not Subscribed</v>
      </c>
    </row>
    <row r="1479" spans="1:26" x14ac:dyDescent="0.25">
      <c r="A1479">
        <v>1478</v>
      </c>
      <c r="B1479">
        <v>24</v>
      </c>
      <c r="C1479" t="s">
        <v>22</v>
      </c>
      <c r="D1479">
        <v>1478</v>
      </c>
      <c r="E1479" t="s">
        <v>136</v>
      </c>
      <c r="F1479" t="s">
        <v>70</v>
      </c>
      <c r="G1479">
        <v>1478</v>
      </c>
      <c r="H1479">
        <v>1972</v>
      </c>
      <c r="I1479">
        <v>32</v>
      </c>
      <c r="J1479" t="s">
        <v>50</v>
      </c>
      <c r="K1479" t="s">
        <v>95</v>
      </c>
      <c r="L1479" t="s">
        <v>68</v>
      </c>
      <c r="M1479" t="s">
        <v>56</v>
      </c>
      <c r="N1479">
        <v>4.3</v>
      </c>
      <c r="O1479">
        <v>0</v>
      </c>
      <c r="P1479" t="s">
        <v>57</v>
      </c>
      <c r="Q1479" t="s">
        <v>30</v>
      </c>
      <c r="R1479" t="s">
        <v>30</v>
      </c>
      <c r="S1479">
        <v>1</v>
      </c>
      <c r="T1479" t="s">
        <v>49</v>
      </c>
      <c r="U1479" t="s">
        <v>100</v>
      </c>
      <c r="V1479" s="1">
        <v>45499</v>
      </c>
      <c r="W1479">
        <f>Table1[[#This Row],[customer_purchase count]]+1</f>
        <v>2</v>
      </c>
      <c r="X1479">
        <f>Table1[[#This Row],[customer_purchase count]]*Rules!$B$3</f>
        <v>59.764358974358977</v>
      </c>
      <c r="Y1479" t="str">
        <f>IF(Table1[[#This Row],[customer_subscription]]=1,"Subscribed","Not Subscribed")</f>
        <v>Not Subscribed</v>
      </c>
      <c r="Z1479" t="s">
        <v>194</v>
      </c>
    </row>
    <row r="1480" spans="1:26" x14ac:dyDescent="0.25">
      <c r="A1480">
        <v>1479</v>
      </c>
      <c r="B1480">
        <v>28</v>
      </c>
      <c r="C1480" t="s">
        <v>22</v>
      </c>
      <c r="D1480">
        <v>1479</v>
      </c>
      <c r="E1480" t="s">
        <v>146</v>
      </c>
      <c r="F1480" t="s">
        <v>70</v>
      </c>
      <c r="G1480">
        <v>1479</v>
      </c>
      <c r="H1480">
        <v>1973</v>
      </c>
      <c r="I1480">
        <v>23</v>
      </c>
      <c r="J1480" t="s">
        <v>152</v>
      </c>
      <c r="K1480" t="s">
        <v>47</v>
      </c>
      <c r="L1480" t="s">
        <v>147</v>
      </c>
      <c r="M1480" t="s">
        <v>56</v>
      </c>
      <c r="N1480">
        <v>4.2</v>
      </c>
      <c r="O1480">
        <v>0</v>
      </c>
      <c r="P1480" t="s">
        <v>41</v>
      </c>
      <c r="Q1480" t="s">
        <v>30</v>
      </c>
      <c r="R1480" t="s">
        <v>30</v>
      </c>
      <c r="S1480">
        <v>13</v>
      </c>
      <c r="T1480" t="s">
        <v>31</v>
      </c>
      <c r="U1480" t="s">
        <v>79</v>
      </c>
      <c r="V1480" s="1">
        <v>45516</v>
      </c>
      <c r="W1480">
        <f>Table1[[#This Row],[customer_purchase count]]+1</f>
        <v>14</v>
      </c>
      <c r="X1480">
        <f>Table1[[#This Row],[customer_purchase count]]*Rules!$B$3</f>
        <v>776.93666666666672</v>
      </c>
      <c r="Y1480" t="str">
        <f>IF(Table1[[#This Row],[customer_subscription]]=1,"Subscribed","Not Subscribed")</f>
        <v>Not Subscribed</v>
      </c>
      <c r="Z1480" t="s">
        <v>187</v>
      </c>
    </row>
    <row r="1481" spans="1:26" x14ac:dyDescent="0.25">
      <c r="A1481">
        <v>1480</v>
      </c>
      <c r="B1481">
        <v>48</v>
      </c>
      <c r="C1481" t="s">
        <v>22</v>
      </c>
      <c r="D1481">
        <v>1480</v>
      </c>
      <c r="E1481" t="s">
        <v>65</v>
      </c>
      <c r="F1481" t="s">
        <v>66</v>
      </c>
      <c r="G1481">
        <v>1480</v>
      </c>
      <c r="H1481">
        <v>1975</v>
      </c>
      <c r="I1481">
        <v>100</v>
      </c>
      <c r="J1481" t="s">
        <v>152</v>
      </c>
      <c r="K1481" t="s">
        <v>26</v>
      </c>
      <c r="L1481" t="s">
        <v>97</v>
      </c>
      <c r="M1481" t="s">
        <v>40</v>
      </c>
      <c r="N1481">
        <v>4</v>
      </c>
      <c r="O1481">
        <v>0</v>
      </c>
      <c r="P1481" t="s">
        <v>57</v>
      </c>
      <c r="Q1481" t="s">
        <v>30</v>
      </c>
      <c r="R1481" t="s">
        <v>30</v>
      </c>
      <c r="S1481">
        <v>2</v>
      </c>
      <c r="T1481" t="s">
        <v>78</v>
      </c>
      <c r="U1481" t="s">
        <v>43</v>
      </c>
      <c r="V1481" s="1">
        <v>45430</v>
      </c>
      <c r="W1481">
        <f>Table1[[#This Row],[customer_purchase count]]+1</f>
        <v>3</v>
      </c>
      <c r="X1481">
        <f>Table1[[#This Row],[customer_purchase count]]*Rules!$B$3</f>
        <v>119.52871794871795</v>
      </c>
      <c r="Y1481" t="str">
        <f>IF(Table1[[#This Row],[customer_subscription]]=1,"Subscribed","Not Subscribed")</f>
        <v>Not Subscribed</v>
      </c>
      <c r="Z1481" t="s">
        <v>194</v>
      </c>
    </row>
    <row r="1482" spans="1:26" x14ac:dyDescent="0.25">
      <c r="A1482">
        <v>1481</v>
      </c>
      <c r="B1482">
        <v>39</v>
      </c>
      <c r="C1482" t="s">
        <v>22</v>
      </c>
      <c r="D1482">
        <v>1481</v>
      </c>
      <c r="E1482" t="s">
        <v>109</v>
      </c>
      <c r="F1482" t="s">
        <v>70</v>
      </c>
      <c r="G1482">
        <v>1481</v>
      </c>
      <c r="H1482">
        <v>1976</v>
      </c>
      <c r="I1482">
        <v>74</v>
      </c>
      <c r="J1482" t="s">
        <v>85</v>
      </c>
      <c r="K1482" t="s">
        <v>47</v>
      </c>
      <c r="L1482" t="s">
        <v>83</v>
      </c>
      <c r="M1482" t="s">
        <v>60</v>
      </c>
      <c r="N1482">
        <v>3.6</v>
      </c>
      <c r="O1482">
        <v>0</v>
      </c>
      <c r="P1482" t="s">
        <v>29</v>
      </c>
      <c r="Q1482" t="s">
        <v>30</v>
      </c>
      <c r="R1482" t="s">
        <v>30</v>
      </c>
      <c r="S1482">
        <v>26</v>
      </c>
      <c r="T1482" t="s">
        <v>36</v>
      </c>
      <c r="U1482" t="s">
        <v>61</v>
      </c>
      <c r="V1482" s="1">
        <v>45604</v>
      </c>
      <c r="W1482">
        <f>Table1[[#This Row],[customer_purchase count]]+1</f>
        <v>27</v>
      </c>
      <c r="X1482">
        <f>Table1[[#This Row],[customer_purchase count]]*Rules!$B$3</f>
        <v>1553.8733333333334</v>
      </c>
      <c r="Y1482" t="str">
        <f>IF(Table1[[#This Row],[customer_subscription]]=1,"Subscribed","Not Subscribed")</f>
        <v>Not Subscribed</v>
      </c>
    </row>
    <row r="1483" spans="1:26" x14ac:dyDescent="0.25">
      <c r="A1483">
        <v>1482</v>
      </c>
      <c r="B1483">
        <v>64</v>
      </c>
      <c r="C1483" t="s">
        <v>22</v>
      </c>
      <c r="D1483">
        <v>1482</v>
      </c>
      <c r="E1483" t="s">
        <v>90</v>
      </c>
      <c r="F1483" t="s">
        <v>24</v>
      </c>
      <c r="G1483">
        <v>1482</v>
      </c>
      <c r="H1483">
        <v>1977</v>
      </c>
      <c r="I1483">
        <v>33</v>
      </c>
      <c r="J1483" t="s">
        <v>131</v>
      </c>
      <c r="K1483" t="s">
        <v>39</v>
      </c>
      <c r="L1483" t="s">
        <v>27</v>
      </c>
      <c r="M1483" t="s">
        <v>40</v>
      </c>
      <c r="N1483">
        <v>3.3</v>
      </c>
      <c r="O1483">
        <v>0</v>
      </c>
      <c r="P1483" t="s">
        <v>57</v>
      </c>
      <c r="Q1483" t="s">
        <v>30</v>
      </c>
      <c r="R1483" t="s">
        <v>30</v>
      </c>
      <c r="S1483">
        <v>31</v>
      </c>
      <c r="T1483" t="s">
        <v>49</v>
      </c>
      <c r="U1483" t="s">
        <v>61</v>
      </c>
      <c r="V1483" s="1">
        <v>45398</v>
      </c>
      <c r="W1483">
        <f>Table1[[#This Row],[customer_purchase count]]+1</f>
        <v>32</v>
      </c>
      <c r="X1483">
        <f>Table1[[#This Row],[customer_purchase count]]*Rules!$B$3</f>
        <v>1852.6951282051282</v>
      </c>
      <c r="Y1483" t="str">
        <f>IF(Table1[[#This Row],[customer_subscription]]=1,"Subscribed","Not Subscribed")</f>
        <v>Not Subscribed</v>
      </c>
    </row>
    <row r="1484" spans="1:26" x14ac:dyDescent="0.25">
      <c r="A1484">
        <v>1483</v>
      </c>
      <c r="B1484">
        <v>28</v>
      </c>
      <c r="C1484" t="s">
        <v>22</v>
      </c>
      <c r="D1484">
        <v>1483</v>
      </c>
      <c r="E1484" t="s">
        <v>146</v>
      </c>
      <c r="F1484" t="s">
        <v>70</v>
      </c>
      <c r="G1484">
        <v>1483</v>
      </c>
      <c r="H1484">
        <v>1978</v>
      </c>
      <c r="I1484">
        <v>67</v>
      </c>
      <c r="J1484" t="s">
        <v>153</v>
      </c>
      <c r="K1484" t="s">
        <v>39</v>
      </c>
      <c r="L1484" t="s">
        <v>139</v>
      </c>
      <c r="M1484" t="s">
        <v>40</v>
      </c>
      <c r="N1484">
        <v>4.0999999999999996</v>
      </c>
      <c r="O1484">
        <v>0</v>
      </c>
      <c r="P1484" t="s">
        <v>73</v>
      </c>
      <c r="Q1484" t="s">
        <v>30</v>
      </c>
      <c r="R1484" t="s">
        <v>30</v>
      </c>
      <c r="S1484">
        <v>43</v>
      </c>
      <c r="T1484" t="s">
        <v>78</v>
      </c>
      <c r="U1484" t="s">
        <v>43</v>
      </c>
      <c r="V1484" s="1">
        <v>45394</v>
      </c>
      <c r="W1484">
        <f>Table1[[#This Row],[customer_purchase count]]+1</f>
        <v>44</v>
      </c>
      <c r="X1484">
        <f>Table1[[#This Row],[customer_purchase count]]*Rules!$B$3</f>
        <v>2569.8674358974358</v>
      </c>
      <c r="Y1484" t="str">
        <f>IF(Table1[[#This Row],[customer_subscription]]=1,"Subscribed","Not Subscribed")</f>
        <v>Not Subscribed</v>
      </c>
    </row>
    <row r="1485" spans="1:26" x14ac:dyDescent="0.25">
      <c r="A1485">
        <v>1484</v>
      </c>
      <c r="B1485">
        <v>39</v>
      </c>
      <c r="C1485" t="s">
        <v>22</v>
      </c>
      <c r="D1485">
        <v>1484</v>
      </c>
      <c r="E1485" t="s">
        <v>109</v>
      </c>
      <c r="F1485" t="s">
        <v>70</v>
      </c>
      <c r="G1485">
        <v>1484</v>
      </c>
      <c r="H1485">
        <v>1979</v>
      </c>
      <c r="I1485">
        <v>61</v>
      </c>
      <c r="J1485" t="s">
        <v>38</v>
      </c>
      <c r="K1485" t="s">
        <v>39</v>
      </c>
      <c r="L1485" t="s">
        <v>137</v>
      </c>
      <c r="M1485" t="s">
        <v>56</v>
      </c>
      <c r="N1485">
        <v>4.7</v>
      </c>
      <c r="O1485">
        <v>0</v>
      </c>
      <c r="P1485" t="s">
        <v>48</v>
      </c>
      <c r="Q1485" t="s">
        <v>30</v>
      </c>
      <c r="R1485" t="s">
        <v>30</v>
      </c>
      <c r="S1485">
        <v>12</v>
      </c>
      <c r="T1485" t="s">
        <v>89</v>
      </c>
      <c r="U1485" t="s">
        <v>79</v>
      </c>
      <c r="V1485" s="1">
        <v>45488</v>
      </c>
      <c r="W1485">
        <f>Table1[[#This Row],[customer_purchase count]]+1</f>
        <v>13</v>
      </c>
      <c r="X1485">
        <f>Table1[[#This Row],[customer_purchase count]]*Rules!$B$3</f>
        <v>717.17230769230775</v>
      </c>
      <c r="Y1485" t="str">
        <f>IF(Table1[[#This Row],[customer_subscription]]=1,"Subscribed","Not Subscribed")</f>
        <v>Not Subscribed</v>
      </c>
      <c r="Z1485" t="s">
        <v>194</v>
      </c>
    </row>
    <row r="1486" spans="1:26" x14ac:dyDescent="0.25">
      <c r="A1486">
        <v>1485</v>
      </c>
      <c r="B1486">
        <v>49</v>
      </c>
      <c r="C1486" t="s">
        <v>22</v>
      </c>
      <c r="D1486">
        <v>1485</v>
      </c>
      <c r="E1486" t="s">
        <v>62</v>
      </c>
      <c r="F1486" t="s">
        <v>24</v>
      </c>
      <c r="G1486">
        <v>1485</v>
      </c>
      <c r="H1486">
        <v>1981</v>
      </c>
      <c r="I1486">
        <v>46</v>
      </c>
      <c r="J1486" t="s">
        <v>148</v>
      </c>
      <c r="K1486" t="s">
        <v>47</v>
      </c>
      <c r="L1486" t="s">
        <v>88</v>
      </c>
      <c r="M1486" t="s">
        <v>56</v>
      </c>
      <c r="N1486">
        <v>4.4000000000000004</v>
      </c>
      <c r="O1486">
        <v>0</v>
      </c>
      <c r="P1486" t="s">
        <v>77</v>
      </c>
      <c r="Q1486" t="s">
        <v>30</v>
      </c>
      <c r="R1486" t="s">
        <v>30</v>
      </c>
      <c r="S1486">
        <v>22</v>
      </c>
      <c r="T1486" t="s">
        <v>31</v>
      </c>
      <c r="U1486" t="s">
        <v>100</v>
      </c>
      <c r="V1486" s="1">
        <v>45467</v>
      </c>
      <c r="W1486">
        <f>Table1[[#This Row],[customer_purchase count]]+1</f>
        <v>23</v>
      </c>
      <c r="X1486">
        <f>Table1[[#This Row],[customer_purchase count]]*Rules!$B$3</f>
        <v>1314.8158974358976</v>
      </c>
      <c r="Y1486" t="str">
        <f>IF(Table1[[#This Row],[customer_subscription]]=1,"Subscribed","Not Subscribed")</f>
        <v>Not Subscribed</v>
      </c>
    </row>
    <row r="1487" spans="1:26" x14ac:dyDescent="0.25">
      <c r="A1487">
        <v>1486</v>
      </c>
      <c r="B1487">
        <v>22</v>
      </c>
      <c r="C1487" t="s">
        <v>22</v>
      </c>
      <c r="D1487">
        <v>1486</v>
      </c>
      <c r="E1487" t="s">
        <v>146</v>
      </c>
      <c r="F1487" t="s">
        <v>70</v>
      </c>
      <c r="G1487">
        <v>1486</v>
      </c>
      <c r="H1487">
        <v>1982</v>
      </c>
      <c r="I1487">
        <v>56</v>
      </c>
      <c r="J1487" t="s">
        <v>148</v>
      </c>
      <c r="K1487" t="s">
        <v>26</v>
      </c>
      <c r="L1487" t="s">
        <v>111</v>
      </c>
      <c r="M1487" t="s">
        <v>40</v>
      </c>
      <c r="N1487">
        <v>3.4</v>
      </c>
      <c r="O1487">
        <v>0</v>
      </c>
      <c r="P1487" t="s">
        <v>57</v>
      </c>
      <c r="Q1487" t="s">
        <v>30</v>
      </c>
      <c r="R1487" t="s">
        <v>30</v>
      </c>
      <c r="S1487">
        <v>3</v>
      </c>
      <c r="T1487" t="s">
        <v>36</v>
      </c>
      <c r="U1487" t="s">
        <v>32</v>
      </c>
      <c r="V1487" s="1">
        <v>45371</v>
      </c>
      <c r="W1487">
        <f>Table1[[#This Row],[customer_purchase count]]+1</f>
        <v>4</v>
      </c>
      <c r="X1487">
        <f>Table1[[#This Row],[customer_purchase count]]*Rules!$B$3</f>
        <v>179.29307692307694</v>
      </c>
      <c r="Y1487" t="str">
        <f>IF(Table1[[#This Row],[customer_subscription]]=1,"Subscribed","Not Subscribed")</f>
        <v>Not Subscribed</v>
      </c>
      <c r="Z1487" t="s">
        <v>194</v>
      </c>
    </row>
    <row r="1488" spans="1:26" x14ac:dyDescent="0.25">
      <c r="A1488">
        <v>1487</v>
      </c>
      <c r="B1488">
        <v>25</v>
      </c>
      <c r="C1488" t="s">
        <v>22</v>
      </c>
      <c r="D1488">
        <v>1487</v>
      </c>
      <c r="E1488" t="s">
        <v>53</v>
      </c>
      <c r="F1488" t="s">
        <v>45</v>
      </c>
      <c r="G1488">
        <v>1487</v>
      </c>
      <c r="H1488">
        <v>1983</v>
      </c>
      <c r="I1488">
        <v>73</v>
      </c>
      <c r="J1488" t="s">
        <v>138</v>
      </c>
      <c r="K1488" t="s">
        <v>39</v>
      </c>
      <c r="L1488" t="s">
        <v>137</v>
      </c>
      <c r="M1488" t="s">
        <v>40</v>
      </c>
      <c r="N1488">
        <v>5</v>
      </c>
      <c r="O1488">
        <v>0</v>
      </c>
      <c r="P1488" t="s">
        <v>41</v>
      </c>
      <c r="Q1488" t="s">
        <v>30</v>
      </c>
      <c r="R1488" t="s">
        <v>30</v>
      </c>
      <c r="S1488">
        <v>23</v>
      </c>
      <c r="T1488" t="s">
        <v>31</v>
      </c>
      <c r="U1488" t="s">
        <v>100</v>
      </c>
      <c r="V1488" s="1">
        <v>45416</v>
      </c>
      <c r="W1488">
        <f>Table1[[#This Row],[customer_purchase count]]+1</f>
        <v>24</v>
      </c>
      <c r="X1488">
        <f>Table1[[#This Row],[customer_purchase count]]*Rules!$B$3</f>
        <v>1374.5802564102564</v>
      </c>
      <c r="Y1488" t="str">
        <f>IF(Table1[[#This Row],[customer_subscription]]=1,"Subscribed","Not Subscribed")</f>
        <v>Not Subscribed</v>
      </c>
    </row>
    <row r="1489" spans="1:26" x14ac:dyDescent="0.25">
      <c r="A1489">
        <v>1488</v>
      </c>
      <c r="B1489">
        <v>40</v>
      </c>
      <c r="C1489" t="s">
        <v>22</v>
      </c>
      <c r="D1489">
        <v>1488</v>
      </c>
      <c r="E1489" t="s">
        <v>90</v>
      </c>
      <c r="F1489" t="s">
        <v>24</v>
      </c>
      <c r="G1489">
        <v>1488</v>
      </c>
      <c r="H1489">
        <v>1984</v>
      </c>
      <c r="I1489">
        <v>44</v>
      </c>
      <c r="J1489" t="s">
        <v>120</v>
      </c>
      <c r="K1489" t="s">
        <v>26</v>
      </c>
      <c r="L1489" t="s">
        <v>97</v>
      </c>
      <c r="M1489" t="s">
        <v>56</v>
      </c>
      <c r="N1489">
        <v>4.5999999999999996</v>
      </c>
      <c r="O1489">
        <v>0</v>
      </c>
      <c r="P1489" t="s">
        <v>77</v>
      </c>
      <c r="Q1489" t="s">
        <v>30</v>
      </c>
      <c r="R1489" t="s">
        <v>30</v>
      </c>
      <c r="S1489">
        <v>26</v>
      </c>
      <c r="T1489" t="s">
        <v>49</v>
      </c>
      <c r="U1489" t="s">
        <v>52</v>
      </c>
      <c r="V1489" s="1">
        <v>45501</v>
      </c>
      <c r="W1489">
        <f>Table1[[#This Row],[customer_purchase count]]+1</f>
        <v>27</v>
      </c>
      <c r="X1489">
        <f>Table1[[#This Row],[customer_purchase count]]*Rules!$B$3</f>
        <v>1553.8733333333334</v>
      </c>
      <c r="Y1489" t="str">
        <f>IF(Table1[[#This Row],[customer_subscription]]=1,"Subscribed","Not Subscribed")</f>
        <v>Not Subscribed</v>
      </c>
    </row>
    <row r="1490" spans="1:26" x14ac:dyDescent="0.25">
      <c r="A1490">
        <v>1489</v>
      </c>
      <c r="B1490">
        <v>23</v>
      </c>
      <c r="C1490" t="s">
        <v>22</v>
      </c>
      <c r="D1490">
        <v>1489</v>
      </c>
      <c r="E1490" t="s">
        <v>127</v>
      </c>
      <c r="F1490" t="s">
        <v>70</v>
      </c>
      <c r="G1490">
        <v>1489</v>
      </c>
      <c r="H1490">
        <v>1985</v>
      </c>
      <c r="I1490">
        <v>44</v>
      </c>
      <c r="J1490" t="s">
        <v>80</v>
      </c>
      <c r="K1490" t="s">
        <v>26</v>
      </c>
      <c r="L1490" t="s">
        <v>72</v>
      </c>
      <c r="M1490" t="s">
        <v>28</v>
      </c>
      <c r="N1490">
        <v>4</v>
      </c>
      <c r="O1490">
        <v>0</v>
      </c>
      <c r="P1490" t="s">
        <v>57</v>
      </c>
      <c r="Q1490" t="s">
        <v>30</v>
      </c>
      <c r="R1490" t="s">
        <v>30</v>
      </c>
      <c r="S1490">
        <v>37</v>
      </c>
      <c r="T1490" t="s">
        <v>42</v>
      </c>
      <c r="U1490" t="s">
        <v>43</v>
      </c>
      <c r="V1490" s="1">
        <v>45629</v>
      </c>
      <c r="W1490">
        <f>Table1[[#This Row],[customer_purchase count]]+1</f>
        <v>38</v>
      </c>
      <c r="X1490">
        <f>Table1[[#This Row],[customer_purchase count]]*Rules!$B$3</f>
        <v>2211.2812820512822</v>
      </c>
      <c r="Y1490" t="str">
        <f>IF(Table1[[#This Row],[customer_subscription]]=1,"Subscribed","Not Subscribed")</f>
        <v>Not Subscribed</v>
      </c>
    </row>
    <row r="1491" spans="1:26" x14ac:dyDescent="0.25">
      <c r="A1491">
        <v>1490</v>
      </c>
      <c r="B1491">
        <v>24</v>
      </c>
      <c r="C1491" t="s">
        <v>22</v>
      </c>
      <c r="D1491">
        <v>1490</v>
      </c>
      <c r="E1491" t="s">
        <v>109</v>
      </c>
      <c r="F1491" t="s">
        <v>70</v>
      </c>
      <c r="G1491">
        <v>1490</v>
      </c>
      <c r="H1491">
        <v>1987</v>
      </c>
      <c r="I1491">
        <v>26</v>
      </c>
      <c r="J1491" t="s">
        <v>71</v>
      </c>
      <c r="K1491" t="s">
        <v>95</v>
      </c>
      <c r="L1491" t="s">
        <v>139</v>
      </c>
      <c r="M1491" t="s">
        <v>56</v>
      </c>
      <c r="N1491">
        <v>4.0999999999999996</v>
      </c>
      <c r="O1491">
        <v>0</v>
      </c>
      <c r="P1491" t="s">
        <v>48</v>
      </c>
      <c r="Q1491" t="s">
        <v>30</v>
      </c>
      <c r="R1491" t="s">
        <v>30</v>
      </c>
      <c r="S1491">
        <v>42</v>
      </c>
      <c r="T1491" t="s">
        <v>31</v>
      </c>
      <c r="U1491" t="s">
        <v>61</v>
      </c>
      <c r="V1491" s="1">
        <v>45470</v>
      </c>
      <c r="W1491">
        <f>Table1[[#This Row],[customer_purchase count]]+1</f>
        <v>43</v>
      </c>
      <c r="X1491">
        <f>Table1[[#This Row],[customer_purchase count]]*Rules!$B$3</f>
        <v>2510.103076923077</v>
      </c>
      <c r="Y1491" t="str">
        <f>IF(Table1[[#This Row],[customer_subscription]]=1,"Subscribed","Not Subscribed")</f>
        <v>Not Subscribed</v>
      </c>
    </row>
    <row r="1492" spans="1:26" x14ac:dyDescent="0.25">
      <c r="A1492">
        <v>1491</v>
      </c>
      <c r="B1492">
        <v>66</v>
      </c>
      <c r="C1492" t="s">
        <v>22</v>
      </c>
      <c r="D1492">
        <v>1491</v>
      </c>
      <c r="E1492" t="s">
        <v>53</v>
      </c>
      <c r="F1492" t="s">
        <v>45</v>
      </c>
      <c r="G1492">
        <v>1491</v>
      </c>
      <c r="H1492">
        <v>1988</v>
      </c>
      <c r="I1492">
        <v>52</v>
      </c>
      <c r="J1492" t="s">
        <v>63</v>
      </c>
      <c r="K1492" t="s">
        <v>26</v>
      </c>
      <c r="L1492" t="s">
        <v>81</v>
      </c>
      <c r="M1492" t="s">
        <v>40</v>
      </c>
      <c r="N1492">
        <v>4.9000000000000004</v>
      </c>
      <c r="O1492">
        <v>0</v>
      </c>
      <c r="P1492" t="s">
        <v>29</v>
      </c>
      <c r="Q1492" t="s">
        <v>30</v>
      </c>
      <c r="R1492" t="s">
        <v>30</v>
      </c>
      <c r="S1492">
        <v>15</v>
      </c>
      <c r="T1492" t="s">
        <v>31</v>
      </c>
      <c r="U1492" t="s">
        <v>79</v>
      </c>
      <c r="V1492" s="1">
        <v>45436</v>
      </c>
      <c r="W1492">
        <f>Table1[[#This Row],[customer_purchase count]]+1</f>
        <v>16</v>
      </c>
      <c r="X1492">
        <f>Table1[[#This Row],[customer_purchase count]]*Rules!$B$3</f>
        <v>896.46538461538466</v>
      </c>
      <c r="Y1492" t="str">
        <f>IF(Table1[[#This Row],[customer_subscription]]=1,"Subscribed","Not Subscribed")</f>
        <v>Not Subscribed</v>
      </c>
      <c r="Z1492" t="s">
        <v>194</v>
      </c>
    </row>
    <row r="1493" spans="1:26" x14ac:dyDescent="0.25">
      <c r="A1493">
        <v>1492</v>
      </c>
      <c r="B1493">
        <v>27</v>
      </c>
      <c r="C1493" t="s">
        <v>22</v>
      </c>
      <c r="D1493">
        <v>1492</v>
      </c>
      <c r="E1493" t="s">
        <v>58</v>
      </c>
      <c r="F1493" t="s">
        <v>24</v>
      </c>
      <c r="G1493">
        <v>1492</v>
      </c>
      <c r="H1493">
        <v>1989</v>
      </c>
      <c r="I1493">
        <v>54</v>
      </c>
      <c r="J1493" t="s">
        <v>75</v>
      </c>
      <c r="K1493" t="s">
        <v>39</v>
      </c>
      <c r="L1493" t="s">
        <v>97</v>
      </c>
      <c r="M1493" t="s">
        <v>56</v>
      </c>
      <c r="N1493">
        <v>2.7</v>
      </c>
      <c r="O1493">
        <v>0</v>
      </c>
      <c r="P1493" t="s">
        <v>41</v>
      </c>
      <c r="Q1493" t="s">
        <v>30</v>
      </c>
      <c r="R1493" t="s">
        <v>30</v>
      </c>
      <c r="S1493">
        <v>10</v>
      </c>
      <c r="T1493" t="s">
        <v>78</v>
      </c>
      <c r="U1493" t="s">
        <v>61</v>
      </c>
      <c r="V1493" s="1">
        <v>45512</v>
      </c>
      <c r="W1493">
        <f>Table1[[#This Row],[customer_purchase count]]+1</f>
        <v>11</v>
      </c>
      <c r="X1493">
        <f>Table1[[#This Row],[customer_purchase count]]*Rules!$B$3</f>
        <v>597.64358974358981</v>
      </c>
      <c r="Y1493" t="str">
        <f>IF(Table1[[#This Row],[customer_subscription]]=1,"Subscribed","Not Subscribed")</f>
        <v>Not Subscribed</v>
      </c>
      <c r="Z1493" t="s">
        <v>187</v>
      </c>
    </row>
    <row r="1494" spans="1:26" x14ac:dyDescent="0.25">
      <c r="A1494">
        <v>1493</v>
      </c>
      <c r="B1494">
        <v>62</v>
      </c>
      <c r="C1494" t="s">
        <v>22</v>
      </c>
      <c r="D1494">
        <v>1493</v>
      </c>
      <c r="E1494" t="s">
        <v>105</v>
      </c>
      <c r="F1494" t="s">
        <v>66</v>
      </c>
      <c r="G1494">
        <v>1493</v>
      </c>
      <c r="H1494">
        <v>1990</v>
      </c>
      <c r="I1494">
        <v>38</v>
      </c>
      <c r="J1494" t="s">
        <v>101</v>
      </c>
      <c r="K1494" t="s">
        <v>47</v>
      </c>
      <c r="L1494" t="s">
        <v>35</v>
      </c>
      <c r="M1494" t="s">
        <v>56</v>
      </c>
      <c r="N1494">
        <v>4.5</v>
      </c>
      <c r="O1494">
        <v>0</v>
      </c>
      <c r="P1494" t="s">
        <v>41</v>
      </c>
      <c r="Q1494" t="s">
        <v>30</v>
      </c>
      <c r="R1494" t="s">
        <v>30</v>
      </c>
      <c r="S1494">
        <v>3</v>
      </c>
      <c r="T1494" t="s">
        <v>31</v>
      </c>
      <c r="U1494" t="s">
        <v>61</v>
      </c>
      <c r="V1494" s="1">
        <v>45471</v>
      </c>
      <c r="W1494">
        <f>Table1[[#This Row],[customer_purchase count]]+1</f>
        <v>4</v>
      </c>
      <c r="X1494">
        <f>Table1[[#This Row],[customer_purchase count]]*Rules!$B$3</f>
        <v>179.29307692307694</v>
      </c>
      <c r="Y1494" t="str">
        <f>IF(Table1[[#This Row],[customer_subscription]]=1,"Subscribed","Not Subscribed")</f>
        <v>Not Subscribed</v>
      </c>
      <c r="Z1494" t="s">
        <v>194</v>
      </c>
    </row>
    <row r="1495" spans="1:26" x14ac:dyDescent="0.25">
      <c r="A1495">
        <v>1494</v>
      </c>
      <c r="B1495">
        <v>70</v>
      </c>
      <c r="C1495" t="s">
        <v>22</v>
      </c>
      <c r="D1495">
        <v>1494</v>
      </c>
      <c r="E1495" t="s">
        <v>136</v>
      </c>
      <c r="F1495" t="s">
        <v>70</v>
      </c>
      <c r="G1495">
        <v>1494</v>
      </c>
      <c r="H1495">
        <v>1991</v>
      </c>
      <c r="I1495">
        <v>44</v>
      </c>
      <c r="J1495" t="s">
        <v>117</v>
      </c>
      <c r="K1495" t="s">
        <v>39</v>
      </c>
      <c r="L1495" t="s">
        <v>83</v>
      </c>
      <c r="M1495" t="s">
        <v>60</v>
      </c>
      <c r="N1495">
        <v>2.7</v>
      </c>
      <c r="O1495">
        <v>0</v>
      </c>
      <c r="P1495" t="s">
        <v>57</v>
      </c>
      <c r="Q1495" t="s">
        <v>30</v>
      </c>
      <c r="R1495" t="s">
        <v>30</v>
      </c>
      <c r="S1495">
        <v>44</v>
      </c>
      <c r="T1495" t="s">
        <v>42</v>
      </c>
      <c r="U1495" t="s">
        <v>61</v>
      </c>
      <c r="V1495" s="1">
        <v>45570</v>
      </c>
      <c r="W1495">
        <f>Table1[[#This Row],[customer_purchase count]]+1</f>
        <v>45</v>
      </c>
      <c r="X1495">
        <f>Table1[[#This Row],[customer_purchase count]]*Rules!$B$3</f>
        <v>2629.6317948717951</v>
      </c>
      <c r="Y1495" t="str">
        <f>IF(Table1[[#This Row],[customer_subscription]]=1,"Subscribed","Not Subscribed")</f>
        <v>Not Subscribed</v>
      </c>
    </row>
    <row r="1496" spans="1:26" x14ac:dyDescent="0.25">
      <c r="A1496">
        <v>1495</v>
      </c>
      <c r="B1496">
        <v>43</v>
      </c>
      <c r="C1496" t="s">
        <v>22</v>
      </c>
      <c r="D1496">
        <v>1495</v>
      </c>
      <c r="E1496" t="s">
        <v>116</v>
      </c>
      <c r="F1496" t="s">
        <v>24</v>
      </c>
      <c r="G1496">
        <v>1495</v>
      </c>
      <c r="H1496">
        <v>1993</v>
      </c>
      <c r="I1496">
        <v>76</v>
      </c>
      <c r="J1496" t="s">
        <v>59</v>
      </c>
      <c r="K1496" t="s">
        <v>47</v>
      </c>
      <c r="L1496" t="s">
        <v>27</v>
      </c>
      <c r="M1496" t="s">
        <v>40</v>
      </c>
      <c r="N1496">
        <v>3</v>
      </c>
      <c r="O1496">
        <v>0</v>
      </c>
      <c r="P1496" t="s">
        <v>48</v>
      </c>
      <c r="Q1496" t="s">
        <v>30</v>
      </c>
      <c r="R1496" t="s">
        <v>30</v>
      </c>
      <c r="S1496">
        <v>23</v>
      </c>
      <c r="T1496" t="s">
        <v>78</v>
      </c>
      <c r="U1496" t="s">
        <v>32</v>
      </c>
      <c r="V1496" s="1">
        <v>45434</v>
      </c>
      <c r="W1496">
        <f>Table1[[#This Row],[customer_purchase count]]+1</f>
        <v>24</v>
      </c>
      <c r="X1496">
        <f>Table1[[#This Row],[customer_purchase count]]*Rules!$B$3</f>
        <v>1374.5802564102564</v>
      </c>
      <c r="Y1496" t="str">
        <f>IF(Table1[[#This Row],[customer_subscription]]=1,"Subscribed","Not Subscribed")</f>
        <v>Not Subscribed</v>
      </c>
    </row>
    <row r="1497" spans="1:26" x14ac:dyDescent="0.25">
      <c r="A1497">
        <v>1496</v>
      </c>
      <c r="B1497">
        <v>45</v>
      </c>
      <c r="C1497" t="s">
        <v>22</v>
      </c>
      <c r="D1497">
        <v>1496</v>
      </c>
      <c r="E1497" t="s">
        <v>109</v>
      </c>
      <c r="F1497" t="s">
        <v>70</v>
      </c>
      <c r="G1497">
        <v>1496</v>
      </c>
      <c r="H1497">
        <v>1994</v>
      </c>
      <c r="I1497">
        <v>23</v>
      </c>
      <c r="J1497" t="s">
        <v>46</v>
      </c>
      <c r="K1497" t="s">
        <v>47</v>
      </c>
      <c r="L1497" t="s">
        <v>113</v>
      </c>
      <c r="M1497" t="s">
        <v>28</v>
      </c>
      <c r="N1497">
        <v>4.5</v>
      </c>
      <c r="O1497">
        <v>0</v>
      </c>
      <c r="P1497" t="s">
        <v>48</v>
      </c>
      <c r="Q1497" t="s">
        <v>30</v>
      </c>
      <c r="R1497" t="s">
        <v>30</v>
      </c>
      <c r="S1497">
        <v>6</v>
      </c>
      <c r="T1497" t="s">
        <v>49</v>
      </c>
      <c r="U1497" t="s">
        <v>43</v>
      </c>
      <c r="V1497" s="1">
        <v>45642</v>
      </c>
      <c r="W1497">
        <f>Table1[[#This Row],[customer_purchase count]]+1</f>
        <v>7</v>
      </c>
      <c r="X1497">
        <f>Table1[[#This Row],[customer_purchase count]]*Rules!$B$3</f>
        <v>358.58615384615388</v>
      </c>
      <c r="Y1497" t="str">
        <f>IF(Table1[[#This Row],[customer_subscription]]=1,"Subscribed","Not Subscribed")</f>
        <v>Not Subscribed</v>
      </c>
      <c r="Z1497" t="s">
        <v>194</v>
      </c>
    </row>
    <row r="1498" spans="1:26" x14ac:dyDescent="0.25">
      <c r="A1498">
        <v>1497</v>
      </c>
      <c r="B1498">
        <v>63</v>
      </c>
      <c r="C1498" t="s">
        <v>22</v>
      </c>
      <c r="D1498">
        <v>1497</v>
      </c>
      <c r="E1498" t="s">
        <v>116</v>
      </c>
      <c r="F1498" t="s">
        <v>24</v>
      </c>
      <c r="G1498">
        <v>1497</v>
      </c>
      <c r="H1498">
        <v>1995</v>
      </c>
      <c r="I1498">
        <v>98</v>
      </c>
      <c r="J1498" t="s">
        <v>138</v>
      </c>
      <c r="K1498" t="s">
        <v>47</v>
      </c>
      <c r="L1498" t="s">
        <v>76</v>
      </c>
      <c r="M1498" t="s">
        <v>28</v>
      </c>
      <c r="N1498">
        <v>5</v>
      </c>
      <c r="O1498">
        <v>0</v>
      </c>
      <c r="P1498" t="s">
        <v>57</v>
      </c>
      <c r="Q1498" t="s">
        <v>30</v>
      </c>
      <c r="R1498" t="s">
        <v>30</v>
      </c>
      <c r="S1498">
        <v>9</v>
      </c>
      <c r="T1498" t="s">
        <v>31</v>
      </c>
      <c r="U1498" t="s">
        <v>79</v>
      </c>
      <c r="V1498" s="1">
        <v>45296</v>
      </c>
      <c r="W1498">
        <f>Table1[[#This Row],[customer_purchase count]]+1</f>
        <v>10</v>
      </c>
      <c r="X1498">
        <f>Table1[[#This Row],[customer_purchase count]]*Rules!$B$3</f>
        <v>537.87923076923084</v>
      </c>
      <c r="Y1498" t="str">
        <f>IF(Table1[[#This Row],[customer_subscription]]=1,"Subscribed","Not Subscribed")</f>
        <v>Not Subscribed</v>
      </c>
      <c r="Z1498" t="s">
        <v>194</v>
      </c>
    </row>
    <row r="1499" spans="1:26" x14ac:dyDescent="0.25">
      <c r="A1499">
        <v>1498</v>
      </c>
      <c r="B1499">
        <v>69</v>
      </c>
      <c r="C1499" t="s">
        <v>22</v>
      </c>
      <c r="D1499">
        <v>1498</v>
      </c>
      <c r="E1499" t="s">
        <v>105</v>
      </c>
      <c r="F1499" t="s">
        <v>66</v>
      </c>
      <c r="G1499">
        <v>1498</v>
      </c>
      <c r="H1499">
        <v>1996</v>
      </c>
      <c r="I1499">
        <v>33</v>
      </c>
      <c r="J1499" t="s">
        <v>154</v>
      </c>
      <c r="K1499" t="s">
        <v>39</v>
      </c>
      <c r="L1499" t="s">
        <v>139</v>
      </c>
      <c r="M1499" t="s">
        <v>40</v>
      </c>
      <c r="N1499">
        <v>3.8</v>
      </c>
      <c r="O1499">
        <v>0</v>
      </c>
      <c r="P1499" t="s">
        <v>73</v>
      </c>
      <c r="Q1499" t="s">
        <v>30</v>
      </c>
      <c r="R1499" t="s">
        <v>30</v>
      </c>
      <c r="S1499">
        <v>16</v>
      </c>
      <c r="T1499" t="s">
        <v>89</v>
      </c>
      <c r="U1499" t="s">
        <v>100</v>
      </c>
      <c r="V1499" s="1">
        <v>45419</v>
      </c>
      <c r="W1499">
        <f>Table1[[#This Row],[customer_purchase count]]+1</f>
        <v>17</v>
      </c>
      <c r="X1499">
        <f>Table1[[#This Row],[customer_purchase count]]*Rules!$B$3</f>
        <v>956.22974358974363</v>
      </c>
      <c r="Y1499" t="str">
        <f>IF(Table1[[#This Row],[customer_subscription]]=1,"Subscribed","Not Subscribed")</f>
        <v>Not Subscribed</v>
      </c>
      <c r="Z1499" t="s">
        <v>194</v>
      </c>
    </row>
    <row r="1500" spans="1:26" x14ac:dyDescent="0.25">
      <c r="A1500">
        <v>1499</v>
      </c>
      <c r="B1500">
        <v>59</v>
      </c>
      <c r="C1500" t="s">
        <v>22</v>
      </c>
      <c r="D1500">
        <v>1499</v>
      </c>
      <c r="E1500" t="s">
        <v>33</v>
      </c>
      <c r="F1500" t="s">
        <v>24</v>
      </c>
      <c r="G1500">
        <v>1499</v>
      </c>
      <c r="H1500">
        <v>1997</v>
      </c>
      <c r="I1500">
        <v>32</v>
      </c>
      <c r="J1500" t="s">
        <v>118</v>
      </c>
      <c r="K1500" t="s">
        <v>47</v>
      </c>
      <c r="L1500" t="s">
        <v>88</v>
      </c>
      <c r="M1500" t="s">
        <v>56</v>
      </c>
      <c r="N1500">
        <v>3.1</v>
      </c>
      <c r="O1500">
        <v>0</v>
      </c>
      <c r="P1500" t="s">
        <v>57</v>
      </c>
      <c r="Q1500" t="s">
        <v>30</v>
      </c>
      <c r="R1500" t="s">
        <v>30</v>
      </c>
      <c r="S1500">
        <v>46</v>
      </c>
      <c r="T1500" t="s">
        <v>31</v>
      </c>
      <c r="U1500" t="s">
        <v>32</v>
      </c>
      <c r="V1500" s="1">
        <v>45477</v>
      </c>
      <c r="W1500">
        <f>Table1[[#This Row],[customer_purchase count]]+1</f>
        <v>47</v>
      </c>
      <c r="X1500">
        <f>Table1[[#This Row],[customer_purchase count]]*Rules!$B$3</f>
        <v>2749.1605128205128</v>
      </c>
      <c r="Y1500" t="str">
        <f>IF(Table1[[#This Row],[customer_subscription]]=1,"Subscribed","Not Subscribed")</f>
        <v>Not Subscribed</v>
      </c>
    </row>
    <row r="1501" spans="1:26" x14ac:dyDescent="0.25">
      <c r="A1501">
        <v>1500</v>
      </c>
      <c r="B1501">
        <v>19</v>
      </c>
      <c r="C1501" t="s">
        <v>22</v>
      </c>
      <c r="D1501">
        <v>1500</v>
      </c>
      <c r="E1501" t="s">
        <v>140</v>
      </c>
      <c r="F1501" t="s">
        <v>45</v>
      </c>
      <c r="G1501">
        <v>1500</v>
      </c>
      <c r="H1501">
        <v>1999</v>
      </c>
      <c r="I1501">
        <v>85</v>
      </c>
      <c r="J1501" t="s">
        <v>145</v>
      </c>
      <c r="K1501" t="s">
        <v>39</v>
      </c>
      <c r="L1501" t="s">
        <v>81</v>
      </c>
      <c r="M1501" t="s">
        <v>60</v>
      </c>
      <c r="N1501">
        <v>3.4</v>
      </c>
      <c r="O1501">
        <v>0</v>
      </c>
      <c r="P1501" t="s">
        <v>41</v>
      </c>
      <c r="Q1501" t="s">
        <v>30</v>
      </c>
      <c r="R1501" t="s">
        <v>30</v>
      </c>
      <c r="S1501">
        <v>24</v>
      </c>
      <c r="T1501" t="s">
        <v>42</v>
      </c>
      <c r="U1501" t="s">
        <v>100</v>
      </c>
      <c r="V1501" s="1">
        <v>45574</v>
      </c>
      <c r="W1501">
        <f>Table1[[#This Row],[customer_purchase count]]+1</f>
        <v>25</v>
      </c>
      <c r="X1501">
        <f>Table1[[#This Row],[customer_purchase count]]*Rules!$B$3</f>
        <v>1434.3446153846155</v>
      </c>
      <c r="Y1501" t="str">
        <f>IF(Table1[[#This Row],[customer_subscription]]=1,"Subscribed","Not Subscribed")</f>
        <v>Not Subscribed</v>
      </c>
    </row>
    <row r="1502" spans="1:26" x14ac:dyDescent="0.25">
      <c r="A1502">
        <v>1501</v>
      </c>
      <c r="B1502">
        <v>63</v>
      </c>
      <c r="C1502" t="s">
        <v>22</v>
      </c>
      <c r="D1502">
        <v>1501</v>
      </c>
      <c r="E1502" t="s">
        <v>37</v>
      </c>
      <c r="F1502" t="s">
        <v>24</v>
      </c>
      <c r="G1502">
        <v>1501</v>
      </c>
      <c r="H1502">
        <v>2000</v>
      </c>
      <c r="I1502">
        <v>69</v>
      </c>
      <c r="J1502" t="s">
        <v>93</v>
      </c>
      <c r="K1502" t="s">
        <v>26</v>
      </c>
      <c r="L1502" t="s">
        <v>35</v>
      </c>
      <c r="M1502" t="s">
        <v>56</v>
      </c>
      <c r="N1502">
        <v>4.8</v>
      </c>
      <c r="O1502">
        <v>0</v>
      </c>
      <c r="P1502" t="s">
        <v>48</v>
      </c>
      <c r="Q1502" t="s">
        <v>30</v>
      </c>
      <c r="R1502" t="s">
        <v>30</v>
      </c>
      <c r="S1502">
        <v>22</v>
      </c>
      <c r="T1502" t="s">
        <v>89</v>
      </c>
      <c r="U1502" t="s">
        <v>91</v>
      </c>
      <c r="V1502" s="1">
        <v>45529</v>
      </c>
      <c r="W1502">
        <f>Table1[[#This Row],[customer_purchase count]]+1</f>
        <v>23</v>
      </c>
      <c r="X1502">
        <f>Table1[[#This Row],[customer_purchase count]]*Rules!$B$3</f>
        <v>1314.8158974358976</v>
      </c>
      <c r="Y1502" t="str">
        <f>IF(Table1[[#This Row],[customer_subscription]]=1,"Subscribed","Not Subscribed")</f>
        <v>Not Subscribed</v>
      </c>
    </row>
    <row r="1503" spans="1:26" x14ac:dyDescent="0.25">
      <c r="A1503">
        <v>1502</v>
      </c>
      <c r="B1503">
        <v>37</v>
      </c>
      <c r="C1503" t="s">
        <v>22</v>
      </c>
      <c r="D1503">
        <v>1502</v>
      </c>
      <c r="E1503" t="s">
        <v>37</v>
      </c>
      <c r="F1503" t="s">
        <v>24</v>
      </c>
      <c r="G1503">
        <v>1502</v>
      </c>
      <c r="H1503">
        <v>2001</v>
      </c>
      <c r="I1503">
        <v>55</v>
      </c>
      <c r="J1503" t="s">
        <v>123</v>
      </c>
      <c r="K1503" t="s">
        <v>95</v>
      </c>
      <c r="L1503" t="s">
        <v>68</v>
      </c>
      <c r="M1503" t="s">
        <v>40</v>
      </c>
      <c r="N1503">
        <v>2.7</v>
      </c>
      <c r="O1503">
        <v>0</v>
      </c>
      <c r="P1503" t="s">
        <v>57</v>
      </c>
      <c r="Q1503" t="s">
        <v>30</v>
      </c>
      <c r="R1503" t="s">
        <v>30</v>
      </c>
      <c r="S1503">
        <v>13</v>
      </c>
      <c r="T1503" t="s">
        <v>89</v>
      </c>
      <c r="U1503" t="s">
        <v>100</v>
      </c>
      <c r="V1503" s="1">
        <v>45418</v>
      </c>
      <c r="W1503">
        <f>Table1[[#This Row],[customer_purchase count]]+1</f>
        <v>14</v>
      </c>
      <c r="X1503">
        <f>Table1[[#This Row],[customer_purchase count]]*Rules!$B$3</f>
        <v>776.93666666666672</v>
      </c>
      <c r="Y1503" t="str">
        <f>IF(Table1[[#This Row],[customer_subscription]]=1,"Subscribed","Not Subscribed")</f>
        <v>Not Subscribed</v>
      </c>
      <c r="Z1503" t="s">
        <v>194</v>
      </c>
    </row>
    <row r="1504" spans="1:26" x14ac:dyDescent="0.25">
      <c r="A1504">
        <v>1503</v>
      </c>
      <c r="B1504">
        <v>37</v>
      </c>
      <c r="C1504" t="s">
        <v>22</v>
      </c>
      <c r="D1504">
        <v>1503</v>
      </c>
      <c r="E1504" t="s">
        <v>98</v>
      </c>
      <c r="F1504" t="s">
        <v>24</v>
      </c>
      <c r="G1504">
        <v>1503</v>
      </c>
      <c r="H1504">
        <v>2002</v>
      </c>
      <c r="I1504">
        <v>66</v>
      </c>
      <c r="J1504" t="s">
        <v>38</v>
      </c>
      <c r="K1504" t="s">
        <v>47</v>
      </c>
      <c r="L1504" t="s">
        <v>97</v>
      </c>
      <c r="M1504" t="s">
        <v>56</v>
      </c>
      <c r="N1504">
        <v>3.2</v>
      </c>
      <c r="O1504">
        <v>0</v>
      </c>
      <c r="P1504" t="s">
        <v>77</v>
      </c>
      <c r="Q1504" t="s">
        <v>30</v>
      </c>
      <c r="R1504" t="s">
        <v>30</v>
      </c>
      <c r="S1504">
        <v>20</v>
      </c>
      <c r="T1504" t="s">
        <v>36</v>
      </c>
      <c r="U1504" t="s">
        <v>32</v>
      </c>
      <c r="V1504" s="1">
        <v>45527</v>
      </c>
      <c r="W1504">
        <f>Table1[[#This Row],[customer_purchase count]]+1</f>
        <v>21</v>
      </c>
      <c r="X1504">
        <f>Table1[[#This Row],[customer_purchase count]]*Rules!$B$3</f>
        <v>1195.2871794871796</v>
      </c>
      <c r="Y1504" t="str">
        <f>IF(Table1[[#This Row],[customer_subscription]]=1,"Subscribed","Not Subscribed")</f>
        <v>Not Subscribed</v>
      </c>
    </row>
    <row r="1505" spans="1:26" x14ac:dyDescent="0.25">
      <c r="A1505">
        <v>1504</v>
      </c>
      <c r="B1505">
        <v>50</v>
      </c>
      <c r="C1505" t="s">
        <v>22</v>
      </c>
      <c r="D1505">
        <v>1504</v>
      </c>
      <c r="E1505" t="s">
        <v>105</v>
      </c>
      <c r="F1505" t="s">
        <v>66</v>
      </c>
      <c r="G1505">
        <v>1504</v>
      </c>
      <c r="H1505">
        <v>2003</v>
      </c>
      <c r="I1505">
        <v>30</v>
      </c>
      <c r="J1505" t="s">
        <v>154</v>
      </c>
      <c r="K1505" t="s">
        <v>47</v>
      </c>
      <c r="L1505" t="s">
        <v>35</v>
      </c>
      <c r="M1505" t="s">
        <v>60</v>
      </c>
      <c r="N1505">
        <v>3.9</v>
      </c>
      <c r="O1505">
        <v>0</v>
      </c>
      <c r="P1505" t="s">
        <v>73</v>
      </c>
      <c r="Q1505" t="s">
        <v>30</v>
      </c>
      <c r="R1505" t="s">
        <v>30</v>
      </c>
      <c r="S1505">
        <v>46</v>
      </c>
      <c r="T1505" t="s">
        <v>36</v>
      </c>
      <c r="U1505" t="s">
        <v>61</v>
      </c>
      <c r="V1505" s="1">
        <v>45611</v>
      </c>
      <c r="W1505">
        <f>Table1[[#This Row],[customer_purchase count]]+1</f>
        <v>47</v>
      </c>
      <c r="X1505">
        <f>Table1[[#This Row],[customer_purchase count]]*Rules!$B$3</f>
        <v>2749.1605128205128</v>
      </c>
      <c r="Y1505" t="str">
        <f>IF(Table1[[#This Row],[customer_subscription]]=1,"Subscribed","Not Subscribed")</f>
        <v>Not Subscribed</v>
      </c>
    </row>
    <row r="1506" spans="1:26" x14ac:dyDescent="0.25">
      <c r="A1506">
        <v>1505</v>
      </c>
      <c r="B1506">
        <v>60</v>
      </c>
      <c r="C1506" t="s">
        <v>22</v>
      </c>
      <c r="D1506">
        <v>1505</v>
      </c>
      <c r="E1506" t="s">
        <v>105</v>
      </c>
      <c r="F1506" t="s">
        <v>66</v>
      </c>
      <c r="G1506">
        <v>1505</v>
      </c>
      <c r="H1506">
        <v>2005</v>
      </c>
      <c r="I1506">
        <v>80</v>
      </c>
      <c r="J1506" t="s">
        <v>123</v>
      </c>
      <c r="K1506" t="s">
        <v>47</v>
      </c>
      <c r="L1506" t="s">
        <v>88</v>
      </c>
      <c r="M1506" t="s">
        <v>28</v>
      </c>
      <c r="N1506">
        <v>4.2</v>
      </c>
      <c r="O1506">
        <v>0</v>
      </c>
      <c r="P1506" t="s">
        <v>48</v>
      </c>
      <c r="Q1506" t="s">
        <v>30</v>
      </c>
      <c r="R1506" t="s">
        <v>30</v>
      </c>
      <c r="S1506">
        <v>10</v>
      </c>
      <c r="T1506" t="s">
        <v>78</v>
      </c>
      <c r="U1506" t="s">
        <v>91</v>
      </c>
      <c r="V1506" s="1">
        <v>45302</v>
      </c>
      <c r="W1506">
        <f>Table1[[#This Row],[customer_purchase count]]+1</f>
        <v>11</v>
      </c>
      <c r="X1506">
        <f>Table1[[#This Row],[customer_purchase count]]*Rules!$B$3</f>
        <v>597.64358974358981</v>
      </c>
      <c r="Y1506" t="str">
        <f>IF(Table1[[#This Row],[customer_subscription]]=1,"Subscribed","Not Subscribed")</f>
        <v>Not Subscribed</v>
      </c>
      <c r="Z1506" t="s">
        <v>194</v>
      </c>
    </row>
    <row r="1507" spans="1:26" x14ac:dyDescent="0.25">
      <c r="A1507">
        <v>1506</v>
      </c>
      <c r="B1507">
        <v>46</v>
      </c>
      <c r="C1507" t="s">
        <v>22</v>
      </c>
      <c r="D1507">
        <v>1506</v>
      </c>
      <c r="E1507" t="s">
        <v>136</v>
      </c>
      <c r="F1507" t="s">
        <v>70</v>
      </c>
      <c r="G1507">
        <v>1506</v>
      </c>
      <c r="H1507">
        <v>2006</v>
      </c>
      <c r="I1507">
        <v>20</v>
      </c>
      <c r="J1507" t="s">
        <v>117</v>
      </c>
      <c r="K1507" t="s">
        <v>47</v>
      </c>
      <c r="L1507" t="s">
        <v>88</v>
      </c>
      <c r="M1507" t="s">
        <v>56</v>
      </c>
      <c r="N1507">
        <v>3</v>
      </c>
      <c r="O1507">
        <v>0</v>
      </c>
      <c r="P1507" t="s">
        <v>29</v>
      </c>
      <c r="Q1507" t="s">
        <v>30</v>
      </c>
      <c r="R1507" t="s">
        <v>30</v>
      </c>
      <c r="S1507">
        <v>39</v>
      </c>
      <c r="T1507" t="s">
        <v>36</v>
      </c>
      <c r="U1507" t="s">
        <v>91</v>
      </c>
      <c r="V1507" s="1">
        <v>45475</v>
      </c>
      <c r="W1507">
        <f>Table1[[#This Row],[customer_purchase count]]+1</f>
        <v>40</v>
      </c>
      <c r="X1507">
        <f>Table1[[#This Row],[customer_purchase count]]*Rules!$B$3</f>
        <v>2330.81</v>
      </c>
      <c r="Y1507" t="str">
        <f>IF(Table1[[#This Row],[customer_subscription]]=1,"Subscribed","Not Subscribed")</f>
        <v>Not Subscribed</v>
      </c>
    </row>
    <row r="1508" spans="1:26" x14ac:dyDescent="0.25">
      <c r="A1508">
        <v>1507</v>
      </c>
      <c r="B1508">
        <v>35</v>
      </c>
      <c r="C1508" t="s">
        <v>22</v>
      </c>
      <c r="D1508">
        <v>1507</v>
      </c>
      <c r="E1508" t="s">
        <v>58</v>
      </c>
      <c r="F1508" t="s">
        <v>24</v>
      </c>
      <c r="G1508">
        <v>1507</v>
      </c>
      <c r="H1508">
        <v>2007</v>
      </c>
      <c r="I1508">
        <v>30</v>
      </c>
      <c r="J1508" t="s">
        <v>134</v>
      </c>
      <c r="K1508" t="s">
        <v>26</v>
      </c>
      <c r="L1508" t="s">
        <v>121</v>
      </c>
      <c r="M1508" t="s">
        <v>60</v>
      </c>
      <c r="N1508">
        <v>3</v>
      </c>
      <c r="O1508">
        <v>0</v>
      </c>
      <c r="P1508" t="s">
        <v>73</v>
      </c>
      <c r="Q1508" t="s">
        <v>30</v>
      </c>
      <c r="R1508" t="s">
        <v>30</v>
      </c>
      <c r="S1508">
        <v>44</v>
      </c>
      <c r="T1508" t="s">
        <v>49</v>
      </c>
      <c r="U1508" t="s">
        <v>61</v>
      </c>
      <c r="V1508" s="1">
        <v>45540</v>
      </c>
      <c r="W1508">
        <f>Table1[[#This Row],[customer_purchase count]]+1</f>
        <v>45</v>
      </c>
      <c r="X1508">
        <f>Table1[[#This Row],[customer_purchase count]]*Rules!$B$3</f>
        <v>2629.6317948717951</v>
      </c>
      <c r="Y1508" t="str">
        <f>IF(Table1[[#This Row],[customer_subscription]]=1,"Subscribed","Not Subscribed")</f>
        <v>Not Subscribed</v>
      </c>
    </row>
    <row r="1509" spans="1:26" x14ac:dyDescent="0.25">
      <c r="A1509">
        <v>1508</v>
      </c>
      <c r="B1509">
        <v>66</v>
      </c>
      <c r="C1509" t="s">
        <v>22</v>
      </c>
      <c r="D1509">
        <v>1508</v>
      </c>
      <c r="E1509" t="s">
        <v>84</v>
      </c>
      <c r="F1509" t="s">
        <v>24</v>
      </c>
      <c r="G1509">
        <v>1508</v>
      </c>
      <c r="H1509">
        <v>2008</v>
      </c>
      <c r="I1509">
        <v>86</v>
      </c>
      <c r="J1509" t="s">
        <v>141</v>
      </c>
      <c r="K1509" t="s">
        <v>39</v>
      </c>
      <c r="L1509" t="s">
        <v>35</v>
      </c>
      <c r="M1509" t="s">
        <v>28</v>
      </c>
      <c r="N1509">
        <v>3.7</v>
      </c>
      <c r="O1509">
        <v>0</v>
      </c>
      <c r="P1509" t="s">
        <v>73</v>
      </c>
      <c r="Q1509" t="s">
        <v>30</v>
      </c>
      <c r="R1509" t="s">
        <v>30</v>
      </c>
      <c r="S1509">
        <v>7</v>
      </c>
      <c r="T1509" t="s">
        <v>31</v>
      </c>
      <c r="U1509" t="s">
        <v>52</v>
      </c>
      <c r="V1509" s="1">
        <v>45310</v>
      </c>
      <c r="W1509">
        <f>Table1[[#This Row],[customer_purchase count]]+1</f>
        <v>8</v>
      </c>
      <c r="X1509">
        <f>Table1[[#This Row],[customer_purchase count]]*Rules!$B$3</f>
        <v>418.35051282051285</v>
      </c>
      <c r="Y1509" t="str">
        <f>IF(Table1[[#This Row],[customer_subscription]]=1,"Subscribed","Not Subscribed")</f>
        <v>Not Subscribed</v>
      </c>
      <c r="Z1509" t="s">
        <v>194</v>
      </c>
    </row>
    <row r="1510" spans="1:26" x14ac:dyDescent="0.25">
      <c r="A1510">
        <v>1509</v>
      </c>
      <c r="B1510">
        <v>35</v>
      </c>
      <c r="C1510" t="s">
        <v>22</v>
      </c>
      <c r="D1510">
        <v>1509</v>
      </c>
      <c r="E1510" t="s">
        <v>23</v>
      </c>
      <c r="F1510" t="s">
        <v>24</v>
      </c>
      <c r="G1510">
        <v>1509</v>
      </c>
      <c r="H1510">
        <v>2009</v>
      </c>
      <c r="I1510">
        <v>84</v>
      </c>
      <c r="J1510" t="s">
        <v>115</v>
      </c>
      <c r="K1510" t="s">
        <v>26</v>
      </c>
      <c r="L1510" t="s">
        <v>121</v>
      </c>
      <c r="M1510" t="s">
        <v>40</v>
      </c>
      <c r="N1510">
        <v>4.4000000000000004</v>
      </c>
      <c r="O1510">
        <v>0</v>
      </c>
      <c r="P1510" t="s">
        <v>77</v>
      </c>
      <c r="Q1510" t="s">
        <v>30</v>
      </c>
      <c r="R1510" t="s">
        <v>30</v>
      </c>
      <c r="S1510">
        <v>3</v>
      </c>
      <c r="T1510" t="s">
        <v>36</v>
      </c>
      <c r="U1510" t="s">
        <v>100</v>
      </c>
      <c r="V1510" s="1">
        <v>45415</v>
      </c>
      <c r="W1510">
        <f>Table1[[#This Row],[customer_purchase count]]+1</f>
        <v>4</v>
      </c>
      <c r="X1510">
        <f>Table1[[#This Row],[customer_purchase count]]*Rules!$B$3</f>
        <v>179.29307692307694</v>
      </c>
      <c r="Y1510" t="str">
        <f>IF(Table1[[#This Row],[customer_subscription]]=1,"Subscribed","Not Subscribed")</f>
        <v>Not Subscribed</v>
      </c>
      <c r="Z1510" t="s">
        <v>194</v>
      </c>
    </row>
    <row r="1511" spans="1:26" x14ac:dyDescent="0.25">
      <c r="A1511">
        <v>1510</v>
      </c>
      <c r="B1511">
        <v>20</v>
      </c>
      <c r="C1511" t="s">
        <v>22</v>
      </c>
      <c r="D1511">
        <v>1510</v>
      </c>
      <c r="E1511" t="s">
        <v>84</v>
      </c>
      <c r="F1511" t="s">
        <v>24</v>
      </c>
      <c r="G1511">
        <v>1510</v>
      </c>
      <c r="H1511">
        <v>2011</v>
      </c>
      <c r="I1511">
        <v>54</v>
      </c>
      <c r="J1511" t="s">
        <v>85</v>
      </c>
      <c r="K1511" t="s">
        <v>95</v>
      </c>
      <c r="L1511" t="s">
        <v>55</v>
      </c>
      <c r="M1511" t="s">
        <v>56</v>
      </c>
      <c r="N1511">
        <v>4.5999999999999996</v>
      </c>
      <c r="O1511">
        <v>0</v>
      </c>
      <c r="P1511" t="s">
        <v>41</v>
      </c>
      <c r="Q1511" t="s">
        <v>30</v>
      </c>
      <c r="R1511" t="s">
        <v>30</v>
      </c>
      <c r="S1511">
        <v>44</v>
      </c>
      <c r="T1511" t="s">
        <v>89</v>
      </c>
      <c r="U1511" t="s">
        <v>52</v>
      </c>
      <c r="V1511" s="1">
        <v>45513</v>
      </c>
      <c r="W1511">
        <f>Table1[[#This Row],[customer_purchase count]]+1</f>
        <v>45</v>
      </c>
      <c r="X1511">
        <f>Table1[[#This Row],[customer_purchase count]]*Rules!$B$3</f>
        <v>2629.6317948717951</v>
      </c>
      <c r="Y1511" t="str">
        <f>IF(Table1[[#This Row],[customer_subscription]]=1,"Subscribed","Not Subscribed")</f>
        <v>Not Subscribed</v>
      </c>
    </row>
    <row r="1512" spans="1:26" x14ac:dyDescent="0.25">
      <c r="A1512">
        <v>1511</v>
      </c>
      <c r="B1512">
        <v>55</v>
      </c>
      <c r="C1512" t="s">
        <v>22</v>
      </c>
      <c r="D1512">
        <v>1511</v>
      </c>
      <c r="E1512" t="s">
        <v>23</v>
      </c>
      <c r="F1512" t="s">
        <v>24</v>
      </c>
      <c r="G1512">
        <v>1511</v>
      </c>
      <c r="H1512">
        <v>2012</v>
      </c>
      <c r="I1512">
        <v>30</v>
      </c>
      <c r="J1512" t="s">
        <v>131</v>
      </c>
      <c r="K1512" t="s">
        <v>95</v>
      </c>
      <c r="L1512" t="s">
        <v>27</v>
      </c>
      <c r="M1512" t="s">
        <v>60</v>
      </c>
      <c r="N1512">
        <v>3</v>
      </c>
      <c r="O1512">
        <v>0</v>
      </c>
      <c r="P1512" t="s">
        <v>41</v>
      </c>
      <c r="Q1512" t="s">
        <v>30</v>
      </c>
      <c r="R1512" t="s">
        <v>30</v>
      </c>
      <c r="S1512">
        <v>31</v>
      </c>
      <c r="T1512" t="s">
        <v>31</v>
      </c>
      <c r="U1512" t="s">
        <v>52</v>
      </c>
      <c r="V1512" s="1">
        <v>45592</v>
      </c>
      <c r="W1512">
        <f>Table1[[#This Row],[customer_purchase count]]+1</f>
        <v>32</v>
      </c>
      <c r="X1512">
        <f>Table1[[#This Row],[customer_purchase count]]*Rules!$B$3</f>
        <v>1852.6951282051282</v>
      </c>
      <c r="Y1512" t="str">
        <f>IF(Table1[[#This Row],[customer_subscription]]=1,"Subscribed","Not Subscribed")</f>
        <v>Not Subscribed</v>
      </c>
    </row>
    <row r="1513" spans="1:26" x14ac:dyDescent="0.25">
      <c r="A1513">
        <v>1512</v>
      </c>
      <c r="B1513">
        <v>34</v>
      </c>
      <c r="C1513" t="s">
        <v>22</v>
      </c>
      <c r="D1513">
        <v>1512</v>
      </c>
      <c r="E1513" t="s">
        <v>84</v>
      </c>
      <c r="F1513" t="s">
        <v>24</v>
      </c>
      <c r="G1513">
        <v>1512</v>
      </c>
      <c r="H1513">
        <v>2013</v>
      </c>
      <c r="I1513">
        <v>91</v>
      </c>
      <c r="J1513" t="s">
        <v>145</v>
      </c>
      <c r="K1513" t="s">
        <v>47</v>
      </c>
      <c r="L1513" t="s">
        <v>86</v>
      </c>
      <c r="M1513" t="s">
        <v>28</v>
      </c>
      <c r="N1513">
        <v>3.6</v>
      </c>
      <c r="O1513">
        <v>0</v>
      </c>
      <c r="P1513" t="s">
        <v>29</v>
      </c>
      <c r="Q1513" t="s">
        <v>30</v>
      </c>
      <c r="R1513" t="s">
        <v>30</v>
      </c>
      <c r="S1513">
        <v>48</v>
      </c>
      <c r="T1513" t="s">
        <v>42</v>
      </c>
      <c r="U1513" t="s">
        <v>43</v>
      </c>
      <c r="V1513" s="1">
        <v>45313</v>
      </c>
      <c r="W1513">
        <f>Table1[[#This Row],[customer_purchase count]]+1</f>
        <v>49</v>
      </c>
      <c r="X1513">
        <f>Table1[[#This Row],[customer_purchase count]]*Rules!$B$3</f>
        <v>2868.689230769231</v>
      </c>
      <c r="Y1513" t="str">
        <f>IF(Table1[[#This Row],[customer_subscription]]=1,"Subscribed","Not Subscribed")</f>
        <v>Not Subscribed</v>
      </c>
    </row>
    <row r="1514" spans="1:26" x14ac:dyDescent="0.25">
      <c r="A1514">
        <v>1513</v>
      </c>
      <c r="B1514">
        <v>60</v>
      </c>
      <c r="C1514" t="s">
        <v>22</v>
      </c>
      <c r="D1514">
        <v>1513</v>
      </c>
      <c r="E1514" t="s">
        <v>53</v>
      </c>
      <c r="F1514" t="s">
        <v>45</v>
      </c>
      <c r="G1514">
        <v>1513</v>
      </c>
      <c r="H1514">
        <v>2014</v>
      </c>
      <c r="I1514">
        <v>23</v>
      </c>
      <c r="J1514" t="s">
        <v>153</v>
      </c>
      <c r="K1514" t="s">
        <v>26</v>
      </c>
      <c r="L1514" t="s">
        <v>68</v>
      </c>
      <c r="M1514" t="s">
        <v>28</v>
      </c>
      <c r="N1514">
        <v>3.9</v>
      </c>
      <c r="O1514">
        <v>0</v>
      </c>
      <c r="P1514" t="s">
        <v>57</v>
      </c>
      <c r="Q1514" t="s">
        <v>30</v>
      </c>
      <c r="R1514" t="s">
        <v>30</v>
      </c>
      <c r="S1514">
        <v>18</v>
      </c>
      <c r="T1514" t="s">
        <v>49</v>
      </c>
      <c r="U1514" t="s">
        <v>79</v>
      </c>
      <c r="V1514" s="1">
        <v>45334</v>
      </c>
      <c r="W1514">
        <f>Table1[[#This Row],[customer_purchase count]]+1</f>
        <v>19</v>
      </c>
      <c r="X1514">
        <f>Table1[[#This Row],[customer_purchase count]]*Rules!$B$3</f>
        <v>1075.7584615384617</v>
      </c>
      <c r="Y1514" t="str">
        <f>IF(Table1[[#This Row],[customer_subscription]]=1,"Subscribed","Not Subscribed")</f>
        <v>Not Subscribed</v>
      </c>
    </row>
    <row r="1515" spans="1:26" x14ac:dyDescent="0.25">
      <c r="A1515">
        <v>1514</v>
      </c>
      <c r="B1515">
        <v>22</v>
      </c>
      <c r="C1515" t="s">
        <v>22</v>
      </c>
      <c r="D1515">
        <v>1514</v>
      </c>
      <c r="E1515" t="s">
        <v>128</v>
      </c>
      <c r="F1515" t="s">
        <v>24</v>
      </c>
      <c r="G1515">
        <v>1514</v>
      </c>
      <c r="H1515">
        <v>2015</v>
      </c>
      <c r="I1515">
        <v>35</v>
      </c>
      <c r="J1515" t="s">
        <v>108</v>
      </c>
      <c r="K1515" t="s">
        <v>47</v>
      </c>
      <c r="L1515" t="s">
        <v>111</v>
      </c>
      <c r="M1515" t="s">
        <v>40</v>
      </c>
      <c r="N1515">
        <v>4.0999999999999996</v>
      </c>
      <c r="O1515">
        <v>0</v>
      </c>
      <c r="P1515" t="s">
        <v>41</v>
      </c>
      <c r="Q1515" t="s">
        <v>30</v>
      </c>
      <c r="R1515" t="s">
        <v>30</v>
      </c>
      <c r="S1515">
        <v>27</v>
      </c>
      <c r="T1515" t="s">
        <v>36</v>
      </c>
      <c r="U1515" t="s">
        <v>91</v>
      </c>
      <c r="V1515" s="1">
        <v>45413</v>
      </c>
      <c r="W1515">
        <f>Table1[[#This Row],[customer_purchase count]]+1</f>
        <v>28</v>
      </c>
      <c r="X1515">
        <f>Table1[[#This Row],[customer_purchase count]]*Rules!$B$3</f>
        <v>1613.6376923076923</v>
      </c>
      <c r="Y1515" t="str">
        <f>IF(Table1[[#This Row],[customer_subscription]]=1,"Subscribed","Not Subscribed")</f>
        <v>Not Subscribed</v>
      </c>
    </row>
    <row r="1516" spans="1:26" x14ac:dyDescent="0.25">
      <c r="A1516">
        <v>1515</v>
      </c>
      <c r="B1516">
        <v>26</v>
      </c>
      <c r="C1516" t="s">
        <v>22</v>
      </c>
      <c r="D1516">
        <v>1515</v>
      </c>
      <c r="E1516" t="s">
        <v>74</v>
      </c>
      <c r="F1516" t="s">
        <v>45</v>
      </c>
      <c r="G1516">
        <v>1515</v>
      </c>
      <c r="H1516">
        <v>2017</v>
      </c>
      <c r="I1516">
        <v>90</v>
      </c>
      <c r="J1516" t="s">
        <v>143</v>
      </c>
      <c r="K1516" t="s">
        <v>26</v>
      </c>
      <c r="L1516" t="s">
        <v>113</v>
      </c>
      <c r="M1516" t="s">
        <v>28</v>
      </c>
      <c r="N1516">
        <v>3.9</v>
      </c>
      <c r="O1516">
        <v>0</v>
      </c>
      <c r="P1516" t="s">
        <v>73</v>
      </c>
      <c r="Q1516" t="s">
        <v>30</v>
      </c>
      <c r="R1516" t="s">
        <v>30</v>
      </c>
      <c r="S1516">
        <v>1</v>
      </c>
      <c r="T1516" t="s">
        <v>31</v>
      </c>
      <c r="U1516" t="s">
        <v>43</v>
      </c>
      <c r="V1516" s="1">
        <v>45293</v>
      </c>
      <c r="W1516">
        <f>Table1[[#This Row],[customer_purchase count]]+1</f>
        <v>2</v>
      </c>
      <c r="X1516">
        <f>Table1[[#This Row],[customer_purchase count]]*Rules!$B$3</f>
        <v>59.764358974358977</v>
      </c>
      <c r="Y1516" t="str">
        <f>IF(Table1[[#This Row],[customer_subscription]]=1,"Subscribed","Not Subscribed")</f>
        <v>Not Subscribed</v>
      </c>
      <c r="Z1516" t="s">
        <v>194</v>
      </c>
    </row>
    <row r="1517" spans="1:26" x14ac:dyDescent="0.25">
      <c r="A1517">
        <v>1516</v>
      </c>
      <c r="B1517">
        <v>39</v>
      </c>
      <c r="C1517" t="s">
        <v>22</v>
      </c>
      <c r="D1517">
        <v>1516</v>
      </c>
      <c r="E1517" t="s">
        <v>37</v>
      </c>
      <c r="F1517" t="s">
        <v>24</v>
      </c>
      <c r="G1517">
        <v>1516</v>
      </c>
      <c r="H1517">
        <v>2018</v>
      </c>
      <c r="I1517">
        <v>93</v>
      </c>
      <c r="J1517" t="s">
        <v>119</v>
      </c>
      <c r="K1517" t="s">
        <v>39</v>
      </c>
      <c r="L1517" t="s">
        <v>51</v>
      </c>
      <c r="M1517" t="s">
        <v>60</v>
      </c>
      <c r="N1517">
        <v>3.9</v>
      </c>
      <c r="O1517">
        <v>0</v>
      </c>
      <c r="P1517" t="s">
        <v>73</v>
      </c>
      <c r="Q1517" t="s">
        <v>30</v>
      </c>
      <c r="R1517" t="s">
        <v>30</v>
      </c>
      <c r="S1517">
        <v>34</v>
      </c>
      <c r="T1517" t="s">
        <v>36</v>
      </c>
      <c r="U1517" t="s">
        <v>43</v>
      </c>
      <c r="V1517" s="1">
        <v>45542</v>
      </c>
      <c r="W1517">
        <f>Table1[[#This Row],[customer_purchase count]]+1</f>
        <v>35</v>
      </c>
      <c r="X1517">
        <f>Table1[[#This Row],[customer_purchase count]]*Rules!$B$3</f>
        <v>2031.9882051282052</v>
      </c>
      <c r="Y1517" t="str">
        <f>IF(Table1[[#This Row],[customer_subscription]]=1,"Subscribed","Not Subscribed")</f>
        <v>Not Subscribed</v>
      </c>
    </row>
    <row r="1518" spans="1:26" x14ac:dyDescent="0.25">
      <c r="A1518">
        <v>1517</v>
      </c>
      <c r="B1518">
        <v>20</v>
      </c>
      <c r="C1518" t="s">
        <v>22</v>
      </c>
      <c r="D1518">
        <v>1517</v>
      </c>
      <c r="E1518" t="s">
        <v>37</v>
      </c>
      <c r="F1518" t="s">
        <v>24</v>
      </c>
      <c r="G1518">
        <v>1517</v>
      </c>
      <c r="H1518">
        <v>2019</v>
      </c>
      <c r="I1518">
        <v>68</v>
      </c>
      <c r="J1518" t="s">
        <v>110</v>
      </c>
      <c r="K1518" t="s">
        <v>26</v>
      </c>
      <c r="L1518" t="s">
        <v>129</v>
      </c>
      <c r="M1518" t="s">
        <v>28</v>
      </c>
      <c r="N1518">
        <v>4.5</v>
      </c>
      <c r="O1518">
        <v>0</v>
      </c>
      <c r="P1518" t="s">
        <v>29</v>
      </c>
      <c r="Q1518" t="s">
        <v>30</v>
      </c>
      <c r="R1518" t="s">
        <v>30</v>
      </c>
      <c r="S1518">
        <v>5</v>
      </c>
      <c r="T1518" t="s">
        <v>78</v>
      </c>
      <c r="U1518" t="s">
        <v>79</v>
      </c>
      <c r="V1518" s="1">
        <v>45629</v>
      </c>
      <c r="W1518">
        <f>Table1[[#This Row],[customer_purchase count]]+1</f>
        <v>6</v>
      </c>
      <c r="X1518">
        <f>Table1[[#This Row],[customer_purchase count]]*Rules!$B$3</f>
        <v>298.82179487179491</v>
      </c>
      <c r="Y1518" t="str">
        <f>IF(Table1[[#This Row],[customer_subscription]]=1,"Subscribed","Not Subscribed")</f>
        <v>Not Subscribed</v>
      </c>
      <c r="Z1518" t="s">
        <v>194</v>
      </c>
    </row>
    <row r="1519" spans="1:26" x14ac:dyDescent="0.25">
      <c r="A1519">
        <v>1518</v>
      </c>
      <c r="B1519">
        <v>57</v>
      </c>
      <c r="C1519" t="s">
        <v>22</v>
      </c>
      <c r="D1519">
        <v>1518</v>
      </c>
      <c r="E1519" t="s">
        <v>146</v>
      </c>
      <c r="F1519" t="s">
        <v>70</v>
      </c>
      <c r="G1519">
        <v>1518</v>
      </c>
      <c r="H1519">
        <v>2020</v>
      </c>
      <c r="I1519">
        <v>41</v>
      </c>
      <c r="J1519" t="s">
        <v>85</v>
      </c>
      <c r="K1519" t="s">
        <v>47</v>
      </c>
      <c r="L1519" t="s">
        <v>86</v>
      </c>
      <c r="M1519" t="s">
        <v>40</v>
      </c>
      <c r="N1519">
        <v>3.4</v>
      </c>
      <c r="O1519">
        <v>0</v>
      </c>
      <c r="P1519" t="s">
        <v>57</v>
      </c>
      <c r="Q1519" t="s">
        <v>30</v>
      </c>
      <c r="R1519" t="s">
        <v>30</v>
      </c>
      <c r="S1519">
        <v>12</v>
      </c>
      <c r="T1519" t="s">
        <v>36</v>
      </c>
      <c r="U1519" t="s">
        <v>61</v>
      </c>
      <c r="V1519" s="1">
        <v>45358</v>
      </c>
      <c r="W1519">
        <f>Table1[[#This Row],[customer_purchase count]]+1</f>
        <v>13</v>
      </c>
      <c r="X1519">
        <f>Table1[[#This Row],[customer_purchase count]]*Rules!$B$3</f>
        <v>717.17230769230775</v>
      </c>
      <c r="Y1519" t="str">
        <f>IF(Table1[[#This Row],[customer_subscription]]=1,"Subscribed","Not Subscribed")</f>
        <v>Not Subscribed</v>
      </c>
      <c r="Z1519" t="s">
        <v>194</v>
      </c>
    </row>
    <row r="1520" spans="1:26" x14ac:dyDescent="0.25">
      <c r="A1520">
        <v>1519</v>
      </c>
      <c r="B1520">
        <v>68</v>
      </c>
      <c r="C1520" t="s">
        <v>22</v>
      </c>
      <c r="D1520">
        <v>1519</v>
      </c>
      <c r="E1520" t="s">
        <v>136</v>
      </c>
      <c r="F1520" t="s">
        <v>70</v>
      </c>
      <c r="G1520">
        <v>1519</v>
      </c>
      <c r="H1520">
        <v>2021</v>
      </c>
      <c r="I1520">
        <v>73</v>
      </c>
      <c r="J1520" t="s">
        <v>87</v>
      </c>
      <c r="K1520" t="s">
        <v>47</v>
      </c>
      <c r="L1520" t="s">
        <v>137</v>
      </c>
      <c r="M1520" t="s">
        <v>28</v>
      </c>
      <c r="N1520">
        <v>4.0999999999999996</v>
      </c>
      <c r="O1520">
        <v>0</v>
      </c>
      <c r="P1520" t="s">
        <v>48</v>
      </c>
      <c r="Q1520" t="s">
        <v>30</v>
      </c>
      <c r="R1520" t="s">
        <v>30</v>
      </c>
      <c r="S1520">
        <v>14</v>
      </c>
      <c r="T1520" t="s">
        <v>31</v>
      </c>
      <c r="U1520" t="s">
        <v>32</v>
      </c>
      <c r="V1520" s="1">
        <v>45316</v>
      </c>
      <c r="W1520">
        <f>Table1[[#This Row],[customer_purchase count]]+1</f>
        <v>15</v>
      </c>
      <c r="X1520">
        <f>Table1[[#This Row],[customer_purchase count]]*Rules!$B$3</f>
        <v>836.70102564102569</v>
      </c>
      <c r="Y1520" t="str">
        <f>IF(Table1[[#This Row],[customer_subscription]]=1,"Subscribed","Not Subscribed")</f>
        <v>Not Subscribed</v>
      </c>
      <c r="Z1520" t="s">
        <v>194</v>
      </c>
    </row>
    <row r="1521" spans="1:26" x14ac:dyDescent="0.25">
      <c r="A1521">
        <v>1520</v>
      </c>
      <c r="B1521">
        <v>50</v>
      </c>
      <c r="C1521" t="s">
        <v>22</v>
      </c>
      <c r="D1521">
        <v>1520</v>
      </c>
      <c r="E1521" t="s">
        <v>92</v>
      </c>
      <c r="F1521" t="s">
        <v>70</v>
      </c>
      <c r="G1521">
        <v>1520</v>
      </c>
      <c r="H1521">
        <v>2023</v>
      </c>
      <c r="I1521">
        <v>73</v>
      </c>
      <c r="J1521" t="s">
        <v>108</v>
      </c>
      <c r="K1521" t="s">
        <v>26</v>
      </c>
      <c r="L1521" t="s">
        <v>112</v>
      </c>
      <c r="M1521" t="s">
        <v>60</v>
      </c>
      <c r="N1521">
        <v>4.9000000000000004</v>
      </c>
      <c r="O1521">
        <v>0</v>
      </c>
      <c r="P1521" t="s">
        <v>48</v>
      </c>
      <c r="Q1521" t="s">
        <v>30</v>
      </c>
      <c r="R1521" t="s">
        <v>30</v>
      </c>
      <c r="S1521">
        <v>40</v>
      </c>
      <c r="T1521" t="s">
        <v>49</v>
      </c>
      <c r="U1521" t="s">
        <v>43</v>
      </c>
      <c r="V1521" s="1">
        <v>45568</v>
      </c>
      <c r="W1521">
        <f>Table1[[#This Row],[customer_purchase count]]+1</f>
        <v>41</v>
      </c>
      <c r="X1521">
        <f>Table1[[#This Row],[customer_purchase count]]*Rules!$B$3</f>
        <v>2390.5743589743593</v>
      </c>
      <c r="Y1521" t="str">
        <f>IF(Table1[[#This Row],[customer_subscription]]=1,"Subscribed","Not Subscribed")</f>
        <v>Not Subscribed</v>
      </c>
    </row>
    <row r="1522" spans="1:26" x14ac:dyDescent="0.25">
      <c r="A1522">
        <v>1521</v>
      </c>
      <c r="B1522">
        <v>21</v>
      </c>
      <c r="C1522" t="s">
        <v>22</v>
      </c>
      <c r="D1522">
        <v>1521</v>
      </c>
      <c r="E1522" t="s">
        <v>127</v>
      </c>
      <c r="F1522" t="s">
        <v>70</v>
      </c>
      <c r="G1522">
        <v>1521</v>
      </c>
      <c r="H1522">
        <v>2024</v>
      </c>
      <c r="I1522">
        <v>66</v>
      </c>
      <c r="J1522" t="s">
        <v>149</v>
      </c>
      <c r="K1522" t="s">
        <v>47</v>
      </c>
      <c r="L1522" t="s">
        <v>113</v>
      </c>
      <c r="M1522" t="s">
        <v>56</v>
      </c>
      <c r="N1522">
        <v>4.4000000000000004</v>
      </c>
      <c r="O1522">
        <v>0</v>
      </c>
      <c r="P1522" t="s">
        <v>73</v>
      </c>
      <c r="Q1522" t="s">
        <v>30</v>
      </c>
      <c r="R1522" t="s">
        <v>30</v>
      </c>
      <c r="S1522">
        <v>39</v>
      </c>
      <c r="T1522" t="s">
        <v>36</v>
      </c>
      <c r="U1522" t="s">
        <v>61</v>
      </c>
      <c r="V1522" s="1">
        <v>45457</v>
      </c>
      <c r="W1522">
        <f>Table1[[#This Row],[customer_purchase count]]+1</f>
        <v>40</v>
      </c>
      <c r="X1522">
        <f>Table1[[#This Row],[customer_purchase count]]*Rules!$B$3</f>
        <v>2330.81</v>
      </c>
      <c r="Y1522" t="str">
        <f>IF(Table1[[#This Row],[customer_subscription]]=1,"Subscribed","Not Subscribed")</f>
        <v>Not Subscribed</v>
      </c>
    </row>
    <row r="1523" spans="1:26" x14ac:dyDescent="0.25">
      <c r="A1523">
        <v>1522</v>
      </c>
      <c r="B1523">
        <v>29</v>
      </c>
      <c r="C1523" t="s">
        <v>22</v>
      </c>
      <c r="D1523">
        <v>1522</v>
      </c>
      <c r="E1523" t="s">
        <v>135</v>
      </c>
      <c r="F1523" t="s">
        <v>70</v>
      </c>
      <c r="G1523">
        <v>1522</v>
      </c>
      <c r="H1523">
        <v>2025</v>
      </c>
      <c r="I1523">
        <v>59</v>
      </c>
      <c r="J1523" t="s">
        <v>152</v>
      </c>
      <c r="K1523" t="s">
        <v>47</v>
      </c>
      <c r="L1523" t="s">
        <v>55</v>
      </c>
      <c r="M1523" t="s">
        <v>56</v>
      </c>
      <c r="N1523">
        <v>2.7</v>
      </c>
      <c r="O1523">
        <v>0</v>
      </c>
      <c r="P1523" t="s">
        <v>73</v>
      </c>
      <c r="Q1523" t="s">
        <v>30</v>
      </c>
      <c r="R1523" t="s">
        <v>30</v>
      </c>
      <c r="S1523">
        <v>50</v>
      </c>
      <c r="T1523" t="s">
        <v>78</v>
      </c>
      <c r="U1523" t="s">
        <v>43</v>
      </c>
      <c r="V1523" s="1">
        <v>45476</v>
      </c>
      <c r="W1523">
        <f>Table1[[#This Row],[customer_purchase count]]+1</f>
        <v>51</v>
      </c>
      <c r="X1523">
        <f>Table1[[#This Row],[customer_purchase count]]*Rules!$B$3</f>
        <v>2988.2179487179487</v>
      </c>
      <c r="Y1523" t="str">
        <f>IF(Table1[[#This Row],[customer_subscription]]=1,"Subscribed","Not Subscribed")</f>
        <v>Not Subscribed</v>
      </c>
    </row>
    <row r="1524" spans="1:26" x14ac:dyDescent="0.25">
      <c r="A1524">
        <v>1523</v>
      </c>
      <c r="B1524">
        <v>38</v>
      </c>
      <c r="C1524" t="s">
        <v>22</v>
      </c>
      <c r="D1524">
        <v>1523</v>
      </c>
      <c r="E1524" t="s">
        <v>62</v>
      </c>
      <c r="F1524" t="s">
        <v>24</v>
      </c>
      <c r="G1524">
        <v>1523</v>
      </c>
      <c r="H1524">
        <v>2026</v>
      </c>
      <c r="I1524">
        <v>72</v>
      </c>
      <c r="J1524" t="s">
        <v>125</v>
      </c>
      <c r="K1524" t="s">
        <v>26</v>
      </c>
      <c r="L1524" t="s">
        <v>137</v>
      </c>
      <c r="M1524" t="s">
        <v>40</v>
      </c>
      <c r="N1524">
        <v>4.8</v>
      </c>
      <c r="O1524">
        <v>0</v>
      </c>
      <c r="P1524" t="s">
        <v>41</v>
      </c>
      <c r="Q1524" t="s">
        <v>30</v>
      </c>
      <c r="R1524" t="s">
        <v>30</v>
      </c>
      <c r="S1524">
        <v>5</v>
      </c>
      <c r="T1524" t="s">
        <v>89</v>
      </c>
      <c r="U1524" t="s">
        <v>91</v>
      </c>
      <c r="V1524" s="1">
        <v>45439</v>
      </c>
      <c r="W1524">
        <f>Table1[[#This Row],[customer_purchase count]]+1</f>
        <v>6</v>
      </c>
      <c r="X1524">
        <f>Table1[[#This Row],[customer_purchase count]]*Rules!$B$3</f>
        <v>298.82179487179491</v>
      </c>
      <c r="Y1524" t="str">
        <f>IF(Table1[[#This Row],[customer_subscription]]=1,"Subscribed","Not Subscribed")</f>
        <v>Not Subscribed</v>
      </c>
      <c r="Z1524" t="s">
        <v>194</v>
      </c>
    </row>
    <row r="1525" spans="1:26" x14ac:dyDescent="0.25">
      <c r="A1525">
        <v>1524</v>
      </c>
      <c r="B1525">
        <v>54</v>
      </c>
      <c r="C1525" t="s">
        <v>22</v>
      </c>
      <c r="D1525">
        <v>1524</v>
      </c>
      <c r="E1525" t="s">
        <v>128</v>
      </c>
      <c r="F1525" t="s">
        <v>24</v>
      </c>
      <c r="G1525">
        <v>1524</v>
      </c>
      <c r="H1525">
        <v>2027</v>
      </c>
      <c r="I1525">
        <v>88</v>
      </c>
      <c r="J1525" t="s">
        <v>145</v>
      </c>
      <c r="K1525" t="s">
        <v>47</v>
      </c>
      <c r="L1525" t="s">
        <v>55</v>
      </c>
      <c r="M1525" t="s">
        <v>56</v>
      </c>
      <c r="N1525">
        <v>3.3</v>
      </c>
      <c r="O1525">
        <v>0</v>
      </c>
      <c r="P1525" t="s">
        <v>73</v>
      </c>
      <c r="Q1525" t="s">
        <v>30</v>
      </c>
      <c r="R1525" t="s">
        <v>30</v>
      </c>
      <c r="S1525">
        <v>35</v>
      </c>
      <c r="T1525" t="s">
        <v>89</v>
      </c>
      <c r="U1525" t="s">
        <v>52</v>
      </c>
      <c r="V1525" s="1">
        <v>45476</v>
      </c>
      <c r="W1525">
        <f>Table1[[#This Row],[customer_purchase count]]+1</f>
        <v>36</v>
      </c>
      <c r="X1525">
        <f>Table1[[#This Row],[customer_purchase count]]*Rules!$B$3</f>
        <v>2091.7525641025641</v>
      </c>
      <c r="Y1525" t="str">
        <f>IF(Table1[[#This Row],[customer_subscription]]=1,"Subscribed","Not Subscribed")</f>
        <v>Not Subscribed</v>
      </c>
    </row>
    <row r="1526" spans="1:26" x14ac:dyDescent="0.25">
      <c r="A1526">
        <v>1525</v>
      </c>
      <c r="B1526">
        <v>22</v>
      </c>
      <c r="C1526" t="s">
        <v>22</v>
      </c>
      <c r="D1526">
        <v>1525</v>
      </c>
      <c r="E1526" t="s">
        <v>128</v>
      </c>
      <c r="F1526" t="s">
        <v>24</v>
      </c>
      <c r="G1526">
        <v>1525</v>
      </c>
      <c r="H1526">
        <v>2029</v>
      </c>
      <c r="I1526">
        <v>76</v>
      </c>
      <c r="J1526" t="s">
        <v>38</v>
      </c>
      <c r="K1526" t="s">
        <v>26</v>
      </c>
      <c r="L1526" t="s">
        <v>72</v>
      </c>
      <c r="M1526" t="s">
        <v>56</v>
      </c>
      <c r="N1526">
        <v>4.4000000000000004</v>
      </c>
      <c r="O1526">
        <v>0</v>
      </c>
      <c r="P1526" t="s">
        <v>41</v>
      </c>
      <c r="Q1526" t="s">
        <v>30</v>
      </c>
      <c r="R1526" t="s">
        <v>30</v>
      </c>
      <c r="S1526">
        <v>6</v>
      </c>
      <c r="T1526" t="s">
        <v>36</v>
      </c>
      <c r="U1526" t="s">
        <v>79</v>
      </c>
      <c r="V1526" s="1">
        <v>45498</v>
      </c>
      <c r="W1526">
        <f>Table1[[#This Row],[customer_purchase count]]+1</f>
        <v>7</v>
      </c>
      <c r="X1526">
        <f>Table1[[#This Row],[customer_purchase count]]*Rules!$B$3</f>
        <v>358.58615384615388</v>
      </c>
      <c r="Y1526" t="str">
        <f>IF(Table1[[#This Row],[customer_subscription]]=1,"Subscribed","Not Subscribed")</f>
        <v>Not Subscribed</v>
      </c>
      <c r="Z1526" t="s">
        <v>194</v>
      </c>
    </row>
    <row r="1527" spans="1:26" x14ac:dyDescent="0.25">
      <c r="A1527">
        <v>1526</v>
      </c>
      <c r="B1527">
        <v>29</v>
      </c>
      <c r="C1527" t="s">
        <v>22</v>
      </c>
      <c r="D1527">
        <v>1526</v>
      </c>
      <c r="E1527" t="s">
        <v>136</v>
      </c>
      <c r="F1527" t="s">
        <v>70</v>
      </c>
      <c r="G1527">
        <v>1526</v>
      </c>
      <c r="H1527">
        <v>2030</v>
      </c>
      <c r="I1527">
        <v>31</v>
      </c>
      <c r="J1527" t="s">
        <v>50</v>
      </c>
      <c r="K1527" t="s">
        <v>47</v>
      </c>
      <c r="L1527" t="s">
        <v>129</v>
      </c>
      <c r="M1527" t="s">
        <v>28</v>
      </c>
      <c r="N1527">
        <v>4.5999999999999996</v>
      </c>
      <c r="O1527">
        <v>0</v>
      </c>
      <c r="P1527" t="s">
        <v>73</v>
      </c>
      <c r="Q1527" t="s">
        <v>30</v>
      </c>
      <c r="R1527" t="s">
        <v>30</v>
      </c>
      <c r="S1527">
        <v>22</v>
      </c>
      <c r="T1527" t="s">
        <v>36</v>
      </c>
      <c r="U1527" t="s">
        <v>32</v>
      </c>
      <c r="V1527" s="1">
        <v>45295</v>
      </c>
      <c r="W1527">
        <f>Table1[[#This Row],[customer_purchase count]]+1</f>
        <v>23</v>
      </c>
      <c r="X1527">
        <f>Table1[[#This Row],[customer_purchase count]]*Rules!$B$3</f>
        <v>1314.8158974358976</v>
      </c>
      <c r="Y1527" t="str">
        <f>IF(Table1[[#This Row],[customer_subscription]]=1,"Subscribed","Not Subscribed")</f>
        <v>Not Subscribed</v>
      </c>
    </row>
    <row r="1528" spans="1:26" x14ac:dyDescent="0.25">
      <c r="A1528">
        <v>1527</v>
      </c>
      <c r="B1528">
        <v>41</v>
      </c>
      <c r="C1528" t="s">
        <v>22</v>
      </c>
      <c r="D1528">
        <v>1527</v>
      </c>
      <c r="E1528" t="s">
        <v>105</v>
      </c>
      <c r="F1528" t="s">
        <v>66</v>
      </c>
      <c r="G1528">
        <v>1527</v>
      </c>
      <c r="H1528">
        <v>2031</v>
      </c>
      <c r="I1528">
        <v>22</v>
      </c>
      <c r="J1528" t="s">
        <v>104</v>
      </c>
      <c r="K1528" t="s">
        <v>26</v>
      </c>
      <c r="L1528" t="s">
        <v>55</v>
      </c>
      <c r="M1528" t="s">
        <v>56</v>
      </c>
      <c r="N1528">
        <v>3.1</v>
      </c>
      <c r="O1528">
        <v>0</v>
      </c>
      <c r="P1528" t="s">
        <v>48</v>
      </c>
      <c r="Q1528" t="s">
        <v>30</v>
      </c>
      <c r="R1528" t="s">
        <v>30</v>
      </c>
      <c r="S1528">
        <v>27</v>
      </c>
      <c r="T1528" t="s">
        <v>49</v>
      </c>
      <c r="U1528" t="s">
        <v>91</v>
      </c>
      <c r="V1528" s="1">
        <v>45507</v>
      </c>
      <c r="W1528">
        <f>Table1[[#This Row],[customer_purchase count]]+1</f>
        <v>28</v>
      </c>
      <c r="X1528">
        <f>Table1[[#This Row],[customer_purchase count]]*Rules!$B$3</f>
        <v>1613.6376923076923</v>
      </c>
      <c r="Y1528" t="str">
        <f>IF(Table1[[#This Row],[customer_subscription]]=1,"Subscribed","Not Subscribed")</f>
        <v>Not Subscribed</v>
      </c>
    </row>
    <row r="1529" spans="1:26" x14ac:dyDescent="0.25">
      <c r="A1529">
        <v>1528</v>
      </c>
      <c r="B1529">
        <v>26</v>
      </c>
      <c r="C1529" t="s">
        <v>22</v>
      </c>
      <c r="D1529">
        <v>1528</v>
      </c>
      <c r="E1529" t="s">
        <v>127</v>
      </c>
      <c r="F1529" t="s">
        <v>70</v>
      </c>
      <c r="G1529">
        <v>1528</v>
      </c>
      <c r="H1529">
        <v>2032</v>
      </c>
      <c r="I1529">
        <v>75</v>
      </c>
      <c r="J1529" t="s">
        <v>153</v>
      </c>
      <c r="K1529" t="s">
        <v>26</v>
      </c>
      <c r="L1529" t="s">
        <v>111</v>
      </c>
      <c r="M1529" t="s">
        <v>60</v>
      </c>
      <c r="N1529">
        <v>4.5</v>
      </c>
      <c r="O1529">
        <v>0</v>
      </c>
      <c r="P1529" t="s">
        <v>73</v>
      </c>
      <c r="Q1529" t="s">
        <v>30</v>
      </c>
      <c r="R1529" t="s">
        <v>30</v>
      </c>
      <c r="S1529">
        <v>33</v>
      </c>
      <c r="T1529" t="s">
        <v>89</v>
      </c>
      <c r="U1529" t="s">
        <v>32</v>
      </c>
      <c r="V1529" s="1">
        <v>45587</v>
      </c>
      <c r="W1529">
        <f>Table1[[#This Row],[customer_purchase count]]+1</f>
        <v>34</v>
      </c>
      <c r="X1529">
        <f>Table1[[#This Row],[customer_purchase count]]*Rules!$B$3</f>
        <v>1972.2238461538464</v>
      </c>
      <c r="Y1529" t="str">
        <f>IF(Table1[[#This Row],[customer_subscription]]=1,"Subscribed","Not Subscribed")</f>
        <v>Not Subscribed</v>
      </c>
    </row>
    <row r="1530" spans="1:26" x14ac:dyDescent="0.25">
      <c r="A1530">
        <v>1529</v>
      </c>
      <c r="B1530">
        <v>69</v>
      </c>
      <c r="C1530" t="s">
        <v>22</v>
      </c>
      <c r="D1530">
        <v>1529</v>
      </c>
      <c r="E1530" t="s">
        <v>116</v>
      </c>
      <c r="F1530" t="s">
        <v>24</v>
      </c>
      <c r="G1530">
        <v>1529</v>
      </c>
      <c r="H1530">
        <v>2033</v>
      </c>
      <c r="I1530">
        <v>75</v>
      </c>
      <c r="J1530" t="s">
        <v>50</v>
      </c>
      <c r="K1530" t="s">
        <v>39</v>
      </c>
      <c r="L1530" t="s">
        <v>111</v>
      </c>
      <c r="M1530" t="s">
        <v>40</v>
      </c>
      <c r="N1530">
        <v>4</v>
      </c>
      <c r="O1530">
        <v>0</v>
      </c>
      <c r="P1530" t="s">
        <v>77</v>
      </c>
      <c r="Q1530" t="s">
        <v>30</v>
      </c>
      <c r="R1530" t="s">
        <v>30</v>
      </c>
      <c r="S1530">
        <v>47</v>
      </c>
      <c r="T1530" t="s">
        <v>31</v>
      </c>
      <c r="U1530" t="s">
        <v>79</v>
      </c>
      <c r="V1530" s="1">
        <v>45369</v>
      </c>
      <c r="W1530">
        <f>Table1[[#This Row],[customer_purchase count]]+1</f>
        <v>48</v>
      </c>
      <c r="X1530">
        <f>Table1[[#This Row],[customer_purchase count]]*Rules!$B$3</f>
        <v>2808.9248717948717</v>
      </c>
      <c r="Y1530" t="str">
        <f>IF(Table1[[#This Row],[customer_subscription]]=1,"Subscribed","Not Subscribed")</f>
        <v>Not Subscribed</v>
      </c>
    </row>
    <row r="1531" spans="1:26" x14ac:dyDescent="0.25">
      <c r="A1531">
        <v>1530</v>
      </c>
      <c r="B1531">
        <v>20</v>
      </c>
      <c r="C1531" t="s">
        <v>22</v>
      </c>
      <c r="D1531">
        <v>1530</v>
      </c>
      <c r="E1531" t="s">
        <v>135</v>
      </c>
      <c r="F1531" t="s">
        <v>70</v>
      </c>
      <c r="G1531">
        <v>1530</v>
      </c>
      <c r="H1531">
        <v>2035</v>
      </c>
      <c r="I1531">
        <v>63</v>
      </c>
      <c r="J1531" t="s">
        <v>145</v>
      </c>
      <c r="K1531" t="s">
        <v>47</v>
      </c>
      <c r="L1531" t="s">
        <v>96</v>
      </c>
      <c r="M1531" t="s">
        <v>28</v>
      </c>
      <c r="N1531">
        <v>3.1</v>
      </c>
      <c r="O1531">
        <v>0</v>
      </c>
      <c r="P1531" t="s">
        <v>41</v>
      </c>
      <c r="Q1531" t="s">
        <v>30</v>
      </c>
      <c r="R1531" t="s">
        <v>30</v>
      </c>
      <c r="S1531">
        <v>48</v>
      </c>
      <c r="T1531" t="s">
        <v>42</v>
      </c>
      <c r="U1531" t="s">
        <v>79</v>
      </c>
      <c r="V1531" s="1">
        <v>45635</v>
      </c>
      <c r="W1531">
        <f>Table1[[#This Row],[customer_purchase count]]+1</f>
        <v>49</v>
      </c>
      <c r="X1531">
        <f>Table1[[#This Row],[customer_purchase count]]*Rules!$B$3</f>
        <v>2868.689230769231</v>
      </c>
      <c r="Y1531" t="str">
        <f>IF(Table1[[#This Row],[customer_subscription]]=1,"Subscribed","Not Subscribed")</f>
        <v>Not Subscribed</v>
      </c>
    </row>
    <row r="1532" spans="1:26" x14ac:dyDescent="0.25">
      <c r="A1532">
        <v>1531</v>
      </c>
      <c r="B1532">
        <v>59</v>
      </c>
      <c r="C1532" t="s">
        <v>22</v>
      </c>
      <c r="D1532">
        <v>1531</v>
      </c>
      <c r="E1532" t="s">
        <v>65</v>
      </c>
      <c r="F1532" t="s">
        <v>66</v>
      </c>
      <c r="G1532">
        <v>1531</v>
      </c>
      <c r="H1532">
        <v>2036</v>
      </c>
      <c r="I1532">
        <v>21</v>
      </c>
      <c r="J1532" t="s">
        <v>133</v>
      </c>
      <c r="K1532" t="s">
        <v>47</v>
      </c>
      <c r="L1532" t="s">
        <v>88</v>
      </c>
      <c r="M1532" t="s">
        <v>40</v>
      </c>
      <c r="N1532">
        <v>3.9</v>
      </c>
      <c r="O1532">
        <v>0</v>
      </c>
      <c r="P1532" t="s">
        <v>48</v>
      </c>
      <c r="Q1532" t="s">
        <v>30</v>
      </c>
      <c r="R1532" t="s">
        <v>30</v>
      </c>
      <c r="S1532">
        <v>22</v>
      </c>
      <c r="T1532" t="s">
        <v>78</v>
      </c>
      <c r="U1532" t="s">
        <v>61</v>
      </c>
      <c r="V1532" s="1">
        <v>45429</v>
      </c>
      <c r="W1532">
        <f>Table1[[#This Row],[customer_purchase count]]+1</f>
        <v>23</v>
      </c>
      <c r="X1532">
        <f>Table1[[#This Row],[customer_purchase count]]*Rules!$B$3</f>
        <v>1314.8158974358976</v>
      </c>
      <c r="Y1532" t="str">
        <f>IF(Table1[[#This Row],[customer_subscription]]=1,"Subscribed","Not Subscribed")</f>
        <v>Not Subscribed</v>
      </c>
    </row>
    <row r="1533" spans="1:26" x14ac:dyDescent="0.25">
      <c r="A1533">
        <v>1532</v>
      </c>
      <c r="B1533">
        <v>63</v>
      </c>
      <c r="C1533" t="s">
        <v>22</v>
      </c>
      <c r="D1533">
        <v>1532</v>
      </c>
      <c r="E1533" t="s">
        <v>135</v>
      </c>
      <c r="F1533" t="s">
        <v>70</v>
      </c>
      <c r="G1533">
        <v>1532</v>
      </c>
      <c r="H1533">
        <v>2037</v>
      </c>
      <c r="I1533">
        <v>83</v>
      </c>
      <c r="J1533" t="s">
        <v>94</v>
      </c>
      <c r="K1533" t="s">
        <v>39</v>
      </c>
      <c r="L1533" t="s">
        <v>86</v>
      </c>
      <c r="M1533" t="s">
        <v>40</v>
      </c>
      <c r="N1533">
        <v>4.5</v>
      </c>
      <c r="O1533">
        <v>0</v>
      </c>
      <c r="P1533" t="s">
        <v>48</v>
      </c>
      <c r="Q1533" t="s">
        <v>30</v>
      </c>
      <c r="R1533" t="s">
        <v>30</v>
      </c>
      <c r="S1533">
        <v>8</v>
      </c>
      <c r="T1533" t="s">
        <v>49</v>
      </c>
      <c r="U1533" t="s">
        <v>79</v>
      </c>
      <c r="V1533" s="1">
        <v>45352</v>
      </c>
      <c r="W1533">
        <f>Table1[[#This Row],[customer_purchase count]]+1</f>
        <v>9</v>
      </c>
      <c r="X1533">
        <f>Table1[[#This Row],[customer_purchase count]]*Rules!$B$3</f>
        <v>478.11487179487182</v>
      </c>
      <c r="Y1533" t="str">
        <f>IF(Table1[[#This Row],[customer_subscription]]=1,"Subscribed","Not Subscribed")</f>
        <v>Not Subscribed</v>
      </c>
      <c r="Z1533" t="s">
        <v>194</v>
      </c>
    </row>
    <row r="1534" spans="1:26" x14ac:dyDescent="0.25">
      <c r="A1534">
        <v>1533</v>
      </c>
      <c r="B1534">
        <v>68</v>
      </c>
      <c r="C1534" t="s">
        <v>22</v>
      </c>
      <c r="D1534">
        <v>1533</v>
      </c>
      <c r="E1534" t="s">
        <v>105</v>
      </c>
      <c r="F1534" t="s">
        <v>66</v>
      </c>
      <c r="G1534">
        <v>1533</v>
      </c>
      <c r="H1534">
        <v>2038</v>
      </c>
      <c r="I1534">
        <v>46</v>
      </c>
      <c r="J1534" t="s">
        <v>153</v>
      </c>
      <c r="K1534" t="s">
        <v>39</v>
      </c>
      <c r="L1534" t="s">
        <v>68</v>
      </c>
      <c r="M1534" t="s">
        <v>28</v>
      </c>
      <c r="N1534">
        <v>4.4000000000000004</v>
      </c>
      <c r="O1534">
        <v>0</v>
      </c>
      <c r="P1534" t="s">
        <v>48</v>
      </c>
      <c r="Q1534" t="s">
        <v>30</v>
      </c>
      <c r="R1534" t="s">
        <v>30</v>
      </c>
      <c r="S1534">
        <v>5</v>
      </c>
      <c r="T1534" t="s">
        <v>49</v>
      </c>
      <c r="U1534" t="s">
        <v>100</v>
      </c>
      <c r="V1534" s="1">
        <v>45311</v>
      </c>
      <c r="W1534">
        <f>Table1[[#This Row],[customer_purchase count]]+1</f>
        <v>6</v>
      </c>
      <c r="X1534">
        <f>Table1[[#This Row],[customer_purchase count]]*Rules!$B$3</f>
        <v>298.82179487179491</v>
      </c>
      <c r="Y1534" t="str">
        <f>IF(Table1[[#This Row],[customer_subscription]]=1,"Subscribed","Not Subscribed")</f>
        <v>Not Subscribed</v>
      </c>
      <c r="Z1534" t="s">
        <v>194</v>
      </c>
    </row>
    <row r="1535" spans="1:26" x14ac:dyDescent="0.25">
      <c r="A1535">
        <v>1534</v>
      </c>
      <c r="B1535">
        <v>50</v>
      </c>
      <c r="C1535" t="s">
        <v>22</v>
      </c>
      <c r="D1535">
        <v>1534</v>
      </c>
      <c r="E1535" t="s">
        <v>74</v>
      </c>
      <c r="F1535" t="s">
        <v>45</v>
      </c>
      <c r="G1535">
        <v>1534</v>
      </c>
      <c r="H1535">
        <v>2039</v>
      </c>
      <c r="I1535">
        <v>59</v>
      </c>
      <c r="J1535" t="s">
        <v>85</v>
      </c>
      <c r="K1535" t="s">
        <v>47</v>
      </c>
      <c r="L1535" t="s">
        <v>83</v>
      </c>
      <c r="M1535" t="s">
        <v>56</v>
      </c>
      <c r="N1535">
        <v>3.6</v>
      </c>
      <c r="O1535">
        <v>0</v>
      </c>
      <c r="P1535" t="s">
        <v>73</v>
      </c>
      <c r="Q1535" t="s">
        <v>30</v>
      </c>
      <c r="R1535" t="s">
        <v>30</v>
      </c>
      <c r="S1535">
        <v>16</v>
      </c>
      <c r="T1535" t="s">
        <v>78</v>
      </c>
      <c r="U1535" t="s">
        <v>61</v>
      </c>
      <c r="V1535" s="1">
        <v>45494</v>
      </c>
      <c r="W1535">
        <f>Table1[[#This Row],[customer_purchase count]]+1</f>
        <v>17</v>
      </c>
      <c r="X1535">
        <f>Table1[[#This Row],[customer_purchase count]]*Rules!$B$3</f>
        <v>956.22974358974363</v>
      </c>
      <c r="Y1535" t="str">
        <f>IF(Table1[[#This Row],[customer_subscription]]=1,"Subscribed","Not Subscribed")</f>
        <v>Not Subscribed</v>
      </c>
      <c r="Z1535" t="s">
        <v>194</v>
      </c>
    </row>
    <row r="1536" spans="1:26" x14ac:dyDescent="0.25">
      <c r="A1536">
        <v>1535</v>
      </c>
      <c r="B1536">
        <v>55</v>
      </c>
      <c r="C1536" t="s">
        <v>22</v>
      </c>
      <c r="D1536">
        <v>1535</v>
      </c>
      <c r="E1536" t="s">
        <v>23</v>
      </c>
      <c r="F1536" t="s">
        <v>24</v>
      </c>
      <c r="G1536">
        <v>1535</v>
      </c>
      <c r="H1536">
        <v>2041</v>
      </c>
      <c r="I1536">
        <v>66</v>
      </c>
      <c r="J1536" t="s">
        <v>54</v>
      </c>
      <c r="K1536" t="s">
        <v>47</v>
      </c>
      <c r="L1536" t="s">
        <v>99</v>
      </c>
      <c r="M1536" t="s">
        <v>56</v>
      </c>
      <c r="N1536">
        <v>3.4</v>
      </c>
      <c r="O1536">
        <v>0</v>
      </c>
      <c r="P1536" t="s">
        <v>41</v>
      </c>
      <c r="Q1536" t="s">
        <v>30</v>
      </c>
      <c r="R1536" t="s">
        <v>30</v>
      </c>
      <c r="S1536">
        <v>26</v>
      </c>
      <c r="T1536" t="s">
        <v>31</v>
      </c>
      <c r="U1536" t="s">
        <v>32</v>
      </c>
      <c r="V1536" s="1">
        <v>45488</v>
      </c>
      <c r="W1536">
        <f>Table1[[#This Row],[customer_purchase count]]+1</f>
        <v>27</v>
      </c>
      <c r="X1536">
        <f>Table1[[#This Row],[customer_purchase count]]*Rules!$B$3</f>
        <v>1553.8733333333334</v>
      </c>
      <c r="Y1536" t="str">
        <f>IF(Table1[[#This Row],[customer_subscription]]=1,"Subscribed","Not Subscribed")</f>
        <v>Not Subscribed</v>
      </c>
    </row>
    <row r="1537" spans="1:26" x14ac:dyDescent="0.25">
      <c r="A1537">
        <v>1536</v>
      </c>
      <c r="B1537">
        <v>36</v>
      </c>
      <c r="C1537" t="s">
        <v>22</v>
      </c>
      <c r="D1537">
        <v>1536</v>
      </c>
      <c r="E1537" t="s">
        <v>44</v>
      </c>
      <c r="F1537" t="s">
        <v>45</v>
      </c>
      <c r="G1537">
        <v>1536</v>
      </c>
      <c r="H1537">
        <v>2042</v>
      </c>
      <c r="I1537">
        <v>74</v>
      </c>
      <c r="J1537" t="s">
        <v>67</v>
      </c>
      <c r="K1537" t="s">
        <v>39</v>
      </c>
      <c r="L1537" t="s">
        <v>51</v>
      </c>
      <c r="M1537" t="s">
        <v>60</v>
      </c>
      <c r="N1537">
        <v>4</v>
      </c>
      <c r="O1537">
        <v>0</v>
      </c>
      <c r="P1537" t="s">
        <v>73</v>
      </c>
      <c r="Q1537" t="s">
        <v>30</v>
      </c>
      <c r="R1537" t="s">
        <v>30</v>
      </c>
      <c r="S1537">
        <v>8</v>
      </c>
      <c r="T1537" t="s">
        <v>31</v>
      </c>
      <c r="U1537" t="s">
        <v>91</v>
      </c>
      <c r="V1537" s="1">
        <v>45621</v>
      </c>
      <c r="W1537">
        <f>Table1[[#This Row],[customer_purchase count]]+1</f>
        <v>9</v>
      </c>
      <c r="X1537">
        <f>Table1[[#This Row],[customer_purchase count]]*Rules!$B$3</f>
        <v>478.11487179487182</v>
      </c>
      <c r="Y1537" t="str">
        <f>IF(Table1[[#This Row],[customer_subscription]]=1,"Subscribed","Not Subscribed")</f>
        <v>Not Subscribed</v>
      </c>
      <c r="Z1537" t="s">
        <v>194</v>
      </c>
    </row>
    <row r="1538" spans="1:26" x14ac:dyDescent="0.25">
      <c r="A1538">
        <v>1537</v>
      </c>
      <c r="B1538">
        <v>18</v>
      </c>
      <c r="C1538" t="s">
        <v>22</v>
      </c>
      <c r="D1538">
        <v>1537</v>
      </c>
      <c r="E1538" t="s">
        <v>92</v>
      </c>
      <c r="F1538" t="s">
        <v>70</v>
      </c>
      <c r="G1538">
        <v>1537</v>
      </c>
      <c r="H1538">
        <v>2043</v>
      </c>
      <c r="I1538">
        <v>82</v>
      </c>
      <c r="J1538" t="s">
        <v>154</v>
      </c>
      <c r="K1538" t="s">
        <v>47</v>
      </c>
      <c r="L1538" t="s">
        <v>129</v>
      </c>
      <c r="M1538" t="s">
        <v>56</v>
      </c>
      <c r="N1538">
        <v>2.6</v>
      </c>
      <c r="O1538">
        <v>0</v>
      </c>
      <c r="P1538" t="s">
        <v>77</v>
      </c>
      <c r="Q1538" t="s">
        <v>30</v>
      </c>
      <c r="R1538" t="s">
        <v>30</v>
      </c>
      <c r="S1538">
        <v>17</v>
      </c>
      <c r="T1538" t="s">
        <v>36</v>
      </c>
      <c r="U1538" t="s">
        <v>61</v>
      </c>
      <c r="V1538" s="1">
        <v>45452</v>
      </c>
      <c r="W1538">
        <f>Table1[[#This Row],[customer_purchase count]]+1</f>
        <v>18</v>
      </c>
      <c r="X1538">
        <f>Table1[[#This Row],[customer_purchase count]]*Rules!$B$3</f>
        <v>1015.9941025641026</v>
      </c>
      <c r="Y1538" t="str">
        <f>IF(Table1[[#This Row],[customer_subscription]]=1,"Subscribed","Not Subscribed")</f>
        <v>Not Subscribed</v>
      </c>
      <c r="Z1538" t="s">
        <v>187</v>
      </c>
    </row>
    <row r="1539" spans="1:26" x14ac:dyDescent="0.25">
      <c r="A1539">
        <v>1538</v>
      </c>
      <c r="B1539">
        <v>68</v>
      </c>
      <c r="C1539" t="s">
        <v>22</v>
      </c>
      <c r="D1539">
        <v>1538</v>
      </c>
      <c r="E1539" t="s">
        <v>74</v>
      </c>
      <c r="F1539" t="s">
        <v>45</v>
      </c>
      <c r="G1539">
        <v>1538</v>
      </c>
      <c r="H1539">
        <v>2044</v>
      </c>
      <c r="I1539">
        <v>89</v>
      </c>
      <c r="J1539" t="s">
        <v>123</v>
      </c>
      <c r="K1539" t="s">
        <v>26</v>
      </c>
      <c r="L1539" t="s">
        <v>97</v>
      </c>
      <c r="M1539" t="s">
        <v>40</v>
      </c>
      <c r="N1539">
        <v>3.2</v>
      </c>
      <c r="O1539">
        <v>0</v>
      </c>
      <c r="P1539" t="s">
        <v>48</v>
      </c>
      <c r="Q1539" t="s">
        <v>30</v>
      </c>
      <c r="R1539" t="s">
        <v>30</v>
      </c>
      <c r="S1539">
        <v>50</v>
      </c>
      <c r="T1539" t="s">
        <v>31</v>
      </c>
      <c r="U1539" t="s">
        <v>52</v>
      </c>
      <c r="V1539" s="1">
        <v>45385</v>
      </c>
      <c r="W1539">
        <f>Table1[[#This Row],[customer_purchase count]]+1</f>
        <v>51</v>
      </c>
      <c r="X1539">
        <f>Table1[[#This Row],[customer_purchase count]]*Rules!$B$3</f>
        <v>2988.2179487179487</v>
      </c>
      <c r="Y1539" t="str">
        <f>IF(Table1[[#This Row],[customer_subscription]]=1,"Subscribed","Not Subscribed")</f>
        <v>Not Subscribed</v>
      </c>
    </row>
    <row r="1540" spans="1:26" x14ac:dyDescent="0.25">
      <c r="A1540">
        <v>1539</v>
      </c>
      <c r="B1540">
        <v>56</v>
      </c>
      <c r="C1540" t="s">
        <v>22</v>
      </c>
      <c r="D1540">
        <v>1539</v>
      </c>
      <c r="E1540" t="s">
        <v>84</v>
      </c>
      <c r="F1540" t="s">
        <v>24</v>
      </c>
      <c r="G1540">
        <v>1539</v>
      </c>
      <c r="H1540">
        <v>2045</v>
      </c>
      <c r="I1540">
        <v>65</v>
      </c>
      <c r="J1540" t="s">
        <v>118</v>
      </c>
      <c r="K1540" t="s">
        <v>26</v>
      </c>
      <c r="L1540" t="s">
        <v>64</v>
      </c>
      <c r="M1540" t="s">
        <v>60</v>
      </c>
      <c r="N1540">
        <v>3.2</v>
      </c>
      <c r="O1540">
        <v>0</v>
      </c>
      <c r="P1540" t="s">
        <v>57</v>
      </c>
      <c r="Q1540" t="s">
        <v>30</v>
      </c>
      <c r="R1540" t="s">
        <v>30</v>
      </c>
      <c r="S1540">
        <v>22</v>
      </c>
      <c r="T1540" t="s">
        <v>31</v>
      </c>
      <c r="U1540" t="s">
        <v>79</v>
      </c>
      <c r="V1540" s="1">
        <v>45585</v>
      </c>
      <c r="W1540">
        <f>Table1[[#This Row],[customer_purchase count]]+1</f>
        <v>23</v>
      </c>
      <c r="X1540">
        <f>Table1[[#This Row],[customer_purchase count]]*Rules!$B$3</f>
        <v>1314.8158974358976</v>
      </c>
      <c r="Y1540" t="str">
        <f>IF(Table1[[#This Row],[customer_subscription]]=1,"Subscribed","Not Subscribed")</f>
        <v>Not Subscribed</v>
      </c>
    </row>
    <row r="1541" spans="1:26" x14ac:dyDescent="0.25">
      <c r="A1541">
        <v>1540</v>
      </c>
      <c r="B1541">
        <v>32</v>
      </c>
      <c r="C1541" t="s">
        <v>22</v>
      </c>
      <c r="D1541">
        <v>1540</v>
      </c>
      <c r="E1541" t="s">
        <v>136</v>
      </c>
      <c r="F1541" t="s">
        <v>70</v>
      </c>
      <c r="G1541">
        <v>1540</v>
      </c>
      <c r="H1541">
        <v>2047</v>
      </c>
      <c r="I1541">
        <v>55</v>
      </c>
      <c r="J1541" t="s">
        <v>80</v>
      </c>
      <c r="K1541" t="s">
        <v>47</v>
      </c>
      <c r="L1541" t="s">
        <v>51</v>
      </c>
      <c r="M1541" t="s">
        <v>40</v>
      </c>
      <c r="N1541">
        <v>5</v>
      </c>
      <c r="O1541">
        <v>0</v>
      </c>
      <c r="P1541" t="s">
        <v>73</v>
      </c>
      <c r="Q1541" t="s">
        <v>30</v>
      </c>
      <c r="R1541" t="s">
        <v>30</v>
      </c>
      <c r="S1541">
        <v>19</v>
      </c>
      <c r="T1541" t="s">
        <v>36</v>
      </c>
      <c r="U1541" t="s">
        <v>100</v>
      </c>
      <c r="V1541" s="1">
        <v>45386</v>
      </c>
      <c r="W1541">
        <f>Table1[[#This Row],[customer_purchase count]]+1</f>
        <v>20</v>
      </c>
      <c r="X1541">
        <f>Table1[[#This Row],[customer_purchase count]]*Rules!$B$3</f>
        <v>1135.5228205128205</v>
      </c>
      <c r="Y1541" t="str">
        <f>IF(Table1[[#This Row],[customer_subscription]]=1,"Subscribed","Not Subscribed")</f>
        <v>Not Subscribed</v>
      </c>
    </row>
    <row r="1542" spans="1:26" x14ac:dyDescent="0.25">
      <c r="A1542">
        <v>1541</v>
      </c>
      <c r="B1542">
        <v>28</v>
      </c>
      <c r="C1542" t="s">
        <v>22</v>
      </c>
      <c r="D1542">
        <v>1541</v>
      </c>
      <c r="E1542" t="s">
        <v>62</v>
      </c>
      <c r="F1542" t="s">
        <v>24</v>
      </c>
      <c r="G1542">
        <v>1541</v>
      </c>
      <c r="H1542">
        <v>2048</v>
      </c>
      <c r="I1542">
        <v>95</v>
      </c>
      <c r="J1542" t="s">
        <v>115</v>
      </c>
      <c r="K1542" t="s">
        <v>47</v>
      </c>
      <c r="L1542" t="s">
        <v>111</v>
      </c>
      <c r="M1542" t="s">
        <v>28</v>
      </c>
      <c r="N1542">
        <v>2.9</v>
      </c>
      <c r="O1542">
        <v>0</v>
      </c>
      <c r="P1542" t="s">
        <v>48</v>
      </c>
      <c r="Q1542" t="s">
        <v>30</v>
      </c>
      <c r="R1542" t="s">
        <v>30</v>
      </c>
      <c r="S1542">
        <v>14</v>
      </c>
      <c r="T1542" t="s">
        <v>78</v>
      </c>
      <c r="U1542" t="s">
        <v>91</v>
      </c>
      <c r="V1542" s="1">
        <v>45645</v>
      </c>
      <c r="W1542">
        <f>Table1[[#This Row],[customer_purchase count]]+1</f>
        <v>15</v>
      </c>
      <c r="X1542">
        <f>Table1[[#This Row],[customer_purchase count]]*Rules!$B$3</f>
        <v>836.70102564102569</v>
      </c>
      <c r="Y1542" t="str">
        <f>IF(Table1[[#This Row],[customer_subscription]]=1,"Subscribed","Not Subscribed")</f>
        <v>Not Subscribed</v>
      </c>
      <c r="Z1542" t="s">
        <v>187</v>
      </c>
    </row>
    <row r="1543" spans="1:26" x14ac:dyDescent="0.25">
      <c r="A1543">
        <v>1542</v>
      </c>
      <c r="B1543">
        <v>24</v>
      </c>
      <c r="C1543" t="s">
        <v>22</v>
      </c>
      <c r="D1543">
        <v>1542</v>
      </c>
      <c r="E1543" t="s">
        <v>69</v>
      </c>
      <c r="F1543" t="s">
        <v>70</v>
      </c>
      <c r="G1543">
        <v>1542</v>
      </c>
      <c r="H1543">
        <v>2049</v>
      </c>
      <c r="I1543">
        <v>77</v>
      </c>
      <c r="J1543" t="s">
        <v>118</v>
      </c>
      <c r="K1543" t="s">
        <v>39</v>
      </c>
      <c r="L1543" t="s">
        <v>129</v>
      </c>
      <c r="M1543" t="s">
        <v>28</v>
      </c>
      <c r="N1543">
        <v>2.9</v>
      </c>
      <c r="O1543">
        <v>0</v>
      </c>
      <c r="P1543" t="s">
        <v>77</v>
      </c>
      <c r="Q1543" t="s">
        <v>30</v>
      </c>
      <c r="R1543" t="s">
        <v>30</v>
      </c>
      <c r="S1543">
        <v>35</v>
      </c>
      <c r="T1543" t="s">
        <v>36</v>
      </c>
      <c r="U1543" t="s">
        <v>79</v>
      </c>
      <c r="V1543" s="1">
        <v>45323</v>
      </c>
      <c r="W1543">
        <f>Table1[[#This Row],[customer_purchase count]]+1</f>
        <v>36</v>
      </c>
      <c r="X1543">
        <f>Table1[[#This Row],[customer_purchase count]]*Rules!$B$3</f>
        <v>2091.7525641025641</v>
      </c>
      <c r="Y1543" t="str">
        <f>IF(Table1[[#This Row],[customer_subscription]]=1,"Subscribed","Not Subscribed")</f>
        <v>Not Subscribed</v>
      </c>
    </row>
    <row r="1544" spans="1:26" x14ac:dyDescent="0.25">
      <c r="A1544">
        <v>1543</v>
      </c>
      <c r="B1544">
        <v>59</v>
      </c>
      <c r="C1544" t="s">
        <v>22</v>
      </c>
      <c r="D1544">
        <v>1543</v>
      </c>
      <c r="E1544" t="s">
        <v>23</v>
      </c>
      <c r="F1544" t="s">
        <v>24</v>
      </c>
      <c r="G1544">
        <v>1543</v>
      </c>
      <c r="H1544">
        <v>2050</v>
      </c>
      <c r="I1544">
        <v>44</v>
      </c>
      <c r="J1544" t="s">
        <v>80</v>
      </c>
      <c r="K1544" t="s">
        <v>47</v>
      </c>
      <c r="L1544" t="s">
        <v>35</v>
      </c>
      <c r="M1544" t="s">
        <v>28</v>
      </c>
      <c r="N1544">
        <v>3.5</v>
      </c>
      <c r="O1544">
        <v>0</v>
      </c>
      <c r="P1544" t="s">
        <v>48</v>
      </c>
      <c r="Q1544" t="s">
        <v>30</v>
      </c>
      <c r="R1544" t="s">
        <v>30</v>
      </c>
      <c r="S1544">
        <v>43</v>
      </c>
      <c r="T1544" t="s">
        <v>49</v>
      </c>
      <c r="U1544" t="s">
        <v>43</v>
      </c>
      <c r="V1544" s="1">
        <v>45331</v>
      </c>
      <c r="W1544">
        <f>Table1[[#This Row],[customer_purchase count]]+1</f>
        <v>44</v>
      </c>
      <c r="X1544">
        <f>Table1[[#This Row],[customer_purchase count]]*Rules!$B$3</f>
        <v>2569.8674358974358</v>
      </c>
      <c r="Y1544" t="str">
        <f>IF(Table1[[#This Row],[customer_subscription]]=1,"Subscribed","Not Subscribed")</f>
        <v>Not Subscribed</v>
      </c>
    </row>
    <row r="1545" spans="1:26" x14ac:dyDescent="0.25">
      <c r="A1545">
        <v>1544</v>
      </c>
      <c r="B1545">
        <v>56</v>
      </c>
      <c r="C1545" t="s">
        <v>22</v>
      </c>
      <c r="D1545">
        <v>1544</v>
      </c>
      <c r="E1545" t="s">
        <v>37</v>
      </c>
      <c r="F1545" t="s">
        <v>24</v>
      </c>
      <c r="G1545">
        <v>1544</v>
      </c>
      <c r="H1545">
        <v>2051</v>
      </c>
      <c r="I1545">
        <v>89</v>
      </c>
      <c r="J1545" t="s">
        <v>153</v>
      </c>
      <c r="K1545" t="s">
        <v>47</v>
      </c>
      <c r="L1545" t="s">
        <v>129</v>
      </c>
      <c r="M1545" t="s">
        <v>60</v>
      </c>
      <c r="N1545">
        <v>4</v>
      </c>
      <c r="O1545">
        <v>0</v>
      </c>
      <c r="P1545" t="s">
        <v>57</v>
      </c>
      <c r="Q1545" t="s">
        <v>30</v>
      </c>
      <c r="R1545" t="s">
        <v>30</v>
      </c>
      <c r="S1545">
        <v>24</v>
      </c>
      <c r="T1545" t="s">
        <v>31</v>
      </c>
      <c r="U1545" t="s">
        <v>52</v>
      </c>
      <c r="V1545" s="1">
        <v>45602</v>
      </c>
      <c r="W1545">
        <f>Table1[[#This Row],[customer_purchase count]]+1</f>
        <v>25</v>
      </c>
      <c r="X1545">
        <f>Table1[[#This Row],[customer_purchase count]]*Rules!$B$3</f>
        <v>1434.3446153846155</v>
      </c>
      <c r="Y1545" t="str">
        <f>IF(Table1[[#This Row],[customer_subscription]]=1,"Subscribed","Not Subscribed")</f>
        <v>Not Subscribed</v>
      </c>
    </row>
    <row r="1546" spans="1:26" x14ac:dyDescent="0.25">
      <c r="A1546">
        <v>1545</v>
      </c>
      <c r="B1546">
        <v>30</v>
      </c>
      <c r="C1546" t="s">
        <v>22</v>
      </c>
      <c r="D1546">
        <v>1545</v>
      </c>
      <c r="E1546" t="s">
        <v>109</v>
      </c>
      <c r="F1546" t="s">
        <v>70</v>
      </c>
      <c r="G1546">
        <v>1545</v>
      </c>
      <c r="H1546">
        <v>2053</v>
      </c>
      <c r="I1546">
        <v>24</v>
      </c>
      <c r="J1546" t="s">
        <v>75</v>
      </c>
      <c r="K1546" t="s">
        <v>47</v>
      </c>
      <c r="L1546" t="s">
        <v>35</v>
      </c>
      <c r="M1546" t="s">
        <v>40</v>
      </c>
      <c r="N1546">
        <v>3.9</v>
      </c>
      <c r="O1546">
        <v>0</v>
      </c>
      <c r="P1546" t="s">
        <v>57</v>
      </c>
      <c r="Q1546" t="s">
        <v>30</v>
      </c>
      <c r="R1546" t="s">
        <v>30</v>
      </c>
      <c r="S1546">
        <v>17</v>
      </c>
      <c r="T1546" t="s">
        <v>89</v>
      </c>
      <c r="U1546" t="s">
        <v>79</v>
      </c>
      <c r="V1546" s="1">
        <v>45409</v>
      </c>
      <c r="W1546">
        <f>Table1[[#This Row],[customer_purchase count]]+1</f>
        <v>18</v>
      </c>
      <c r="X1546">
        <f>Table1[[#This Row],[customer_purchase count]]*Rules!$B$3</f>
        <v>1015.9941025641026</v>
      </c>
      <c r="Y1546" t="str">
        <f>IF(Table1[[#This Row],[customer_subscription]]=1,"Subscribed","Not Subscribed")</f>
        <v>Not Subscribed</v>
      </c>
      <c r="Z1546" t="s">
        <v>194</v>
      </c>
    </row>
    <row r="1547" spans="1:26" x14ac:dyDescent="0.25">
      <c r="A1547">
        <v>1546</v>
      </c>
      <c r="B1547">
        <v>48</v>
      </c>
      <c r="C1547" t="s">
        <v>22</v>
      </c>
      <c r="D1547">
        <v>1546</v>
      </c>
      <c r="E1547" t="s">
        <v>136</v>
      </c>
      <c r="F1547" t="s">
        <v>70</v>
      </c>
      <c r="G1547">
        <v>1546</v>
      </c>
      <c r="H1547">
        <v>2054</v>
      </c>
      <c r="I1547">
        <v>43</v>
      </c>
      <c r="J1547" t="s">
        <v>82</v>
      </c>
      <c r="K1547" t="s">
        <v>47</v>
      </c>
      <c r="L1547" t="s">
        <v>97</v>
      </c>
      <c r="M1547" t="s">
        <v>28</v>
      </c>
      <c r="N1547">
        <v>4.9000000000000004</v>
      </c>
      <c r="O1547">
        <v>0</v>
      </c>
      <c r="P1547" t="s">
        <v>77</v>
      </c>
      <c r="Q1547" t="s">
        <v>30</v>
      </c>
      <c r="R1547" t="s">
        <v>30</v>
      </c>
      <c r="S1547">
        <v>49</v>
      </c>
      <c r="T1547" t="s">
        <v>78</v>
      </c>
      <c r="U1547" t="s">
        <v>52</v>
      </c>
      <c r="V1547" s="1">
        <v>45299</v>
      </c>
      <c r="W1547">
        <f>Table1[[#This Row],[customer_purchase count]]+1</f>
        <v>50</v>
      </c>
      <c r="X1547">
        <f>Table1[[#This Row],[customer_purchase count]]*Rules!$B$3</f>
        <v>2928.4535897435899</v>
      </c>
      <c r="Y1547" t="str">
        <f>IF(Table1[[#This Row],[customer_subscription]]=1,"Subscribed","Not Subscribed")</f>
        <v>Not Subscribed</v>
      </c>
    </row>
    <row r="1548" spans="1:26" x14ac:dyDescent="0.25">
      <c r="A1548">
        <v>1547</v>
      </c>
      <c r="B1548">
        <v>60</v>
      </c>
      <c r="C1548" t="s">
        <v>22</v>
      </c>
      <c r="D1548">
        <v>1547</v>
      </c>
      <c r="E1548" t="s">
        <v>53</v>
      </c>
      <c r="F1548" t="s">
        <v>45</v>
      </c>
      <c r="G1548">
        <v>1547</v>
      </c>
      <c r="H1548">
        <v>2055</v>
      </c>
      <c r="I1548">
        <v>51</v>
      </c>
      <c r="J1548" t="s">
        <v>50</v>
      </c>
      <c r="K1548" t="s">
        <v>95</v>
      </c>
      <c r="L1548" t="s">
        <v>76</v>
      </c>
      <c r="M1548" t="s">
        <v>56</v>
      </c>
      <c r="N1548">
        <v>3.8</v>
      </c>
      <c r="O1548">
        <v>0</v>
      </c>
      <c r="P1548" t="s">
        <v>29</v>
      </c>
      <c r="Q1548" t="s">
        <v>30</v>
      </c>
      <c r="R1548" t="s">
        <v>30</v>
      </c>
      <c r="S1548">
        <v>17</v>
      </c>
      <c r="T1548" t="s">
        <v>78</v>
      </c>
      <c r="U1548" t="s">
        <v>52</v>
      </c>
      <c r="V1548" s="1">
        <v>45529</v>
      </c>
      <c r="W1548">
        <f>Table1[[#This Row],[customer_purchase count]]+1</f>
        <v>18</v>
      </c>
      <c r="X1548">
        <f>Table1[[#This Row],[customer_purchase count]]*Rules!$B$3</f>
        <v>1015.9941025641026</v>
      </c>
      <c r="Y1548" t="str">
        <f>IF(Table1[[#This Row],[customer_subscription]]=1,"Subscribed","Not Subscribed")</f>
        <v>Not Subscribed</v>
      </c>
      <c r="Z1548" t="s">
        <v>194</v>
      </c>
    </row>
    <row r="1549" spans="1:26" x14ac:dyDescent="0.25">
      <c r="A1549">
        <v>1548</v>
      </c>
      <c r="B1549">
        <v>46</v>
      </c>
      <c r="C1549" t="s">
        <v>22</v>
      </c>
      <c r="D1549">
        <v>1548</v>
      </c>
      <c r="E1549" t="s">
        <v>127</v>
      </c>
      <c r="F1549" t="s">
        <v>70</v>
      </c>
      <c r="G1549">
        <v>1548</v>
      </c>
      <c r="H1549">
        <v>2056</v>
      </c>
      <c r="I1549">
        <v>46</v>
      </c>
      <c r="J1549" t="s">
        <v>134</v>
      </c>
      <c r="K1549" t="s">
        <v>26</v>
      </c>
      <c r="L1549" t="s">
        <v>88</v>
      </c>
      <c r="M1549" t="s">
        <v>56</v>
      </c>
      <c r="N1549">
        <v>3.5</v>
      </c>
      <c r="O1549">
        <v>0</v>
      </c>
      <c r="P1549" t="s">
        <v>57</v>
      </c>
      <c r="Q1549" t="s">
        <v>30</v>
      </c>
      <c r="R1549" t="s">
        <v>30</v>
      </c>
      <c r="S1549">
        <v>40</v>
      </c>
      <c r="T1549" t="s">
        <v>36</v>
      </c>
      <c r="U1549" t="s">
        <v>61</v>
      </c>
      <c r="V1549" s="1">
        <v>45450</v>
      </c>
      <c r="W1549">
        <f>Table1[[#This Row],[customer_purchase count]]+1</f>
        <v>41</v>
      </c>
      <c r="X1549">
        <f>Table1[[#This Row],[customer_purchase count]]*Rules!$B$3</f>
        <v>2390.5743589743593</v>
      </c>
      <c r="Y1549" t="str">
        <f>IF(Table1[[#This Row],[customer_subscription]]=1,"Subscribed","Not Subscribed")</f>
        <v>Not Subscribed</v>
      </c>
    </row>
    <row r="1550" spans="1:26" x14ac:dyDescent="0.25">
      <c r="A1550">
        <v>1549</v>
      </c>
      <c r="B1550">
        <v>69</v>
      </c>
      <c r="C1550" t="s">
        <v>22</v>
      </c>
      <c r="D1550">
        <v>1549</v>
      </c>
      <c r="E1550" t="s">
        <v>84</v>
      </c>
      <c r="F1550" t="s">
        <v>24</v>
      </c>
      <c r="G1550">
        <v>1549</v>
      </c>
      <c r="H1550">
        <v>2057</v>
      </c>
      <c r="I1550">
        <v>32</v>
      </c>
      <c r="J1550" t="s">
        <v>131</v>
      </c>
      <c r="K1550" t="s">
        <v>47</v>
      </c>
      <c r="L1550" t="s">
        <v>68</v>
      </c>
      <c r="M1550" t="s">
        <v>56</v>
      </c>
      <c r="N1550">
        <v>3.7</v>
      </c>
      <c r="O1550">
        <v>0</v>
      </c>
      <c r="P1550" t="s">
        <v>77</v>
      </c>
      <c r="Q1550" t="s">
        <v>30</v>
      </c>
      <c r="R1550" t="s">
        <v>30</v>
      </c>
      <c r="S1550">
        <v>43</v>
      </c>
      <c r="T1550" t="s">
        <v>78</v>
      </c>
      <c r="U1550" t="s">
        <v>43</v>
      </c>
      <c r="V1550" s="1">
        <v>45474</v>
      </c>
      <c r="W1550">
        <f>Table1[[#This Row],[customer_purchase count]]+1</f>
        <v>44</v>
      </c>
      <c r="X1550">
        <f>Table1[[#This Row],[customer_purchase count]]*Rules!$B$3</f>
        <v>2569.8674358974358</v>
      </c>
      <c r="Y1550" t="str">
        <f>IF(Table1[[#This Row],[customer_subscription]]=1,"Subscribed","Not Subscribed")</f>
        <v>Not Subscribed</v>
      </c>
    </row>
    <row r="1551" spans="1:26" x14ac:dyDescent="0.25">
      <c r="A1551">
        <v>1550</v>
      </c>
      <c r="B1551">
        <v>19</v>
      </c>
      <c r="C1551" t="s">
        <v>22</v>
      </c>
      <c r="D1551">
        <v>1550</v>
      </c>
      <c r="E1551" t="s">
        <v>53</v>
      </c>
      <c r="F1551" t="s">
        <v>45</v>
      </c>
      <c r="G1551">
        <v>1550</v>
      </c>
      <c r="H1551">
        <v>2059</v>
      </c>
      <c r="I1551">
        <v>55</v>
      </c>
      <c r="J1551" t="s">
        <v>114</v>
      </c>
      <c r="K1551" t="s">
        <v>47</v>
      </c>
      <c r="L1551" t="s">
        <v>97</v>
      </c>
      <c r="M1551" t="s">
        <v>40</v>
      </c>
      <c r="N1551">
        <v>2.9</v>
      </c>
      <c r="O1551">
        <v>0</v>
      </c>
      <c r="P1551" t="s">
        <v>73</v>
      </c>
      <c r="Q1551" t="s">
        <v>30</v>
      </c>
      <c r="R1551" t="s">
        <v>30</v>
      </c>
      <c r="S1551">
        <v>19</v>
      </c>
      <c r="T1551" t="s">
        <v>89</v>
      </c>
      <c r="U1551" t="s">
        <v>100</v>
      </c>
      <c r="V1551" s="1">
        <v>45387</v>
      </c>
      <c r="W1551">
        <f>Table1[[#This Row],[customer_purchase count]]+1</f>
        <v>20</v>
      </c>
      <c r="X1551">
        <f>Table1[[#This Row],[customer_purchase count]]*Rules!$B$3</f>
        <v>1135.5228205128205</v>
      </c>
      <c r="Y1551" t="str">
        <f>IF(Table1[[#This Row],[customer_subscription]]=1,"Subscribed","Not Subscribed")</f>
        <v>Not Subscribed</v>
      </c>
    </row>
    <row r="1552" spans="1:26" x14ac:dyDescent="0.25">
      <c r="A1552">
        <v>1551</v>
      </c>
      <c r="B1552">
        <v>66</v>
      </c>
      <c r="C1552" t="s">
        <v>22</v>
      </c>
      <c r="D1552">
        <v>1551</v>
      </c>
      <c r="E1552" t="s">
        <v>92</v>
      </c>
      <c r="F1552" t="s">
        <v>70</v>
      </c>
      <c r="G1552">
        <v>1551</v>
      </c>
      <c r="H1552">
        <v>2060</v>
      </c>
      <c r="I1552">
        <v>26</v>
      </c>
      <c r="J1552" t="s">
        <v>75</v>
      </c>
      <c r="K1552" t="s">
        <v>39</v>
      </c>
      <c r="L1552" t="s">
        <v>97</v>
      </c>
      <c r="M1552" t="s">
        <v>56</v>
      </c>
      <c r="N1552">
        <v>2.8</v>
      </c>
      <c r="O1552">
        <v>0</v>
      </c>
      <c r="P1552" t="s">
        <v>41</v>
      </c>
      <c r="Q1552" t="s">
        <v>30</v>
      </c>
      <c r="R1552" t="s">
        <v>30</v>
      </c>
      <c r="S1552">
        <v>40</v>
      </c>
      <c r="T1552" t="s">
        <v>78</v>
      </c>
      <c r="U1552" t="s">
        <v>61</v>
      </c>
      <c r="V1552" s="1">
        <v>45491</v>
      </c>
      <c r="W1552">
        <f>Table1[[#This Row],[customer_purchase count]]+1</f>
        <v>41</v>
      </c>
      <c r="X1552">
        <f>Table1[[#This Row],[customer_purchase count]]*Rules!$B$3</f>
        <v>2390.5743589743593</v>
      </c>
      <c r="Y1552" t="str">
        <f>IF(Table1[[#This Row],[customer_subscription]]=1,"Subscribed","Not Subscribed")</f>
        <v>Not Subscribed</v>
      </c>
    </row>
    <row r="1553" spans="1:26" x14ac:dyDescent="0.25">
      <c r="A1553">
        <v>1552</v>
      </c>
      <c r="B1553">
        <v>64</v>
      </c>
      <c r="C1553" t="s">
        <v>22</v>
      </c>
      <c r="D1553">
        <v>1552</v>
      </c>
      <c r="E1553" t="s">
        <v>69</v>
      </c>
      <c r="F1553" t="s">
        <v>70</v>
      </c>
      <c r="G1553">
        <v>1552</v>
      </c>
      <c r="H1553">
        <v>2061</v>
      </c>
      <c r="I1553">
        <v>29</v>
      </c>
      <c r="J1553" t="s">
        <v>151</v>
      </c>
      <c r="K1553" t="s">
        <v>47</v>
      </c>
      <c r="L1553" t="s">
        <v>81</v>
      </c>
      <c r="M1553" t="s">
        <v>56</v>
      </c>
      <c r="N1553">
        <v>3.7</v>
      </c>
      <c r="O1553">
        <v>0</v>
      </c>
      <c r="P1553" t="s">
        <v>73</v>
      </c>
      <c r="Q1553" t="s">
        <v>30</v>
      </c>
      <c r="R1553" t="s">
        <v>30</v>
      </c>
      <c r="S1553">
        <v>13</v>
      </c>
      <c r="T1553" t="s">
        <v>42</v>
      </c>
      <c r="U1553" t="s">
        <v>91</v>
      </c>
      <c r="V1553" s="1">
        <v>45444</v>
      </c>
      <c r="W1553">
        <f>Table1[[#This Row],[customer_purchase count]]+1</f>
        <v>14</v>
      </c>
      <c r="X1553">
        <f>Table1[[#This Row],[customer_purchase count]]*Rules!$B$3</f>
        <v>776.93666666666672</v>
      </c>
      <c r="Y1553" t="str">
        <f>IF(Table1[[#This Row],[customer_subscription]]=1,"Subscribed","Not Subscribed")</f>
        <v>Not Subscribed</v>
      </c>
      <c r="Z1553" t="s">
        <v>194</v>
      </c>
    </row>
    <row r="1554" spans="1:26" x14ac:dyDescent="0.25">
      <c r="A1554">
        <v>1553</v>
      </c>
      <c r="B1554">
        <v>54</v>
      </c>
      <c r="C1554" t="s">
        <v>22</v>
      </c>
      <c r="D1554">
        <v>1553</v>
      </c>
      <c r="E1554" t="s">
        <v>23</v>
      </c>
      <c r="F1554" t="s">
        <v>24</v>
      </c>
      <c r="G1554">
        <v>1553</v>
      </c>
      <c r="H1554">
        <v>2062</v>
      </c>
      <c r="I1554">
        <v>49</v>
      </c>
      <c r="J1554" t="s">
        <v>133</v>
      </c>
      <c r="K1554" t="s">
        <v>26</v>
      </c>
      <c r="L1554" t="s">
        <v>76</v>
      </c>
      <c r="M1554" t="s">
        <v>40</v>
      </c>
      <c r="N1554">
        <v>3</v>
      </c>
      <c r="O1554">
        <v>0</v>
      </c>
      <c r="P1554" t="s">
        <v>29</v>
      </c>
      <c r="Q1554" t="s">
        <v>30</v>
      </c>
      <c r="R1554" t="s">
        <v>30</v>
      </c>
      <c r="S1554">
        <v>20</v>
      </c>
      <c r="T1554" t="s">
        <v>42</v>
      </c>
      <c r="U1554" t="s">
        <v>91</v>
      </c>
      <c r="V1554" s="1">
        <v>45438</v>
      </c>
      <c r="W1554">
        <f>Table1[[#This Row],[customer_purchase count]]+1</f>
        <v>21</v>
      </c>
      <c r="X1554">
        <f>Table1[[#This Row],[customer_purchase count]]*Rules!$B$3</f>
        <v>1195.2871794871796</v>
      </c>
      <c r="Y1554" t="str">
        <f>IF(Table1[[#This Row],[customer_subscription]]=1,"Subscribed","Not Subscribed")</f>
        <v>Not Subscribed</v>
      </c>
    </row>
    <row r="1555" spans="1:26" x14ac:dyDescent="0.25">
      <c r="A1555">
        <v>1554</v>
      </c>
      <c r="B1555">
        <v>27</v>
      </c>
      <c r="C1555" t="s">
        <v>22</v>
      </c>
      <c r="D1555">
        <v>1554</v>
      </c>
      <c r="E1555" t="s">
        <v>23</v>
      </c>
      <c r="F1555" t="s">
        <v>24</v>
      </c>
      <c r="G1555">
        <v>1554</v>
      </c>
      <c r="H1555">
        <v>2063</v>
      </c>
      <c r="I1555">
        <v>45</v>
      </c>
      <c r="J1555" t="s">
        <v>82</v>
      </c>
      <c r="K1555" t="s">
        <v>47</v>
      </c>
      <c r="L1555" t="s">
        <v>129</v>
      </c>
      <c r="M1555" t="s">
        <v>40</v>
      </c>
      <c r="N1555">
        <v>4.8</v>
      </c>
      <c r="O1555">
        <v>0</v>
      </c>
      <c r="P1555" t="s">
        <v>41</v>
      </c>
      <c r="Q1555" t="s">
        <v>30</v>
      </c>
      <c r="R1555" t="s">
        <v>30</v>
      </c>
      <c r="S1555">
        <v>21</v>
      </c>
      <c r="T1555" t="s">
        <v>89</v>
      </c>
      <c r="U1555" t="s">
        <v>61</v>
      </c>
      <c r="V1555" s="1">
        <v>45415</v>
      </c>
      <c r="W1555">
        <f>Table1[[#This Row],[customer_purchase count]]+1</f>
        <v>22</v>
      </c>
      <c r="X1555">
        <f>Table1[[#This Row],[customer_purchase count]]*Rules!$B$3</f>
        <v>1255.0515384615385</v>
      </c>
      <c r="Y1555" t="str">
        <f>IF(Table1[[#This Row],[customer_subscription]]=1,"Subscribed","Not Subscribed")</f>
        <v>Not Subscribed</v>
      </c>
    </row>
    <row r="1556" spans="1:26" x14ac:dyDescent="0.25">
      <c r="A1556">
        <v>1555</v>
      </c>
      <c r="B1556">
        <v>64</v>
      </c>
      <c r="C1556" t="s">
        <v>22</v>
      </c>
      <c r="D1556">
        <v>1555</v>
      </c>
      <c r="E1556" t="s">
        <v>62</v>
      </c>
      <c r="F1556" t="s">
        <v>24</v>
      </c>
      <c r="G1556">
        <v>1555</v>
      </c>
      <c r="H1556">
        <v>2065</v>
      </c>
      <c r="I1556">
        <v>48</v>
      </c>
      <c r="J1556" t="s">
        <v>143</v>
      </c>
      <c r="K1556" t="s">
        <v>39</v>
      </c>
      <c r="L1556" t="s">
        <v>96</v>
      </c>
      <c r="M1556" t="s">
        <v>28</v>
      </c>
      <c r="N1556">
        <v>2.7</v>
      </c>
      <c r="O1556">
        <v>0</v>
      </c>
      <c r="P1556" t="s">
        <v>57</v>
      </c>
      <c r="Q1556" t="s">
        <v>30</v>
      </c>
      <c r="R1556" t="s">
        <v>30</v>
      </c>
      <c r="S1556">
        <v>18</v>
      </c>
      <c r="T1556" t="s">
        <v>36</v>
      </c>
      <c r="U1556" t="s">
        <v>79</v>
      </c>
      <c r="V1556" s="1">
        <v>45332</v>
      </c>
      <c r="W1556">
        <f>Table1[[#This Row],[customer_purchase count]]+1</f>
        <v>19</v>
      </c>
      <c r="X1556">
        <f>Table1[[#This Row],[customer_purchase count]]*Rules!$B$3</f>
        <v>1075.7584615384617</v>
      </c>
      <c r="Y1556" t="str">
        <f>IF(Table1[[#This Row],[customer_subscription]]=1,"Subscribed","Not Subscribed")</f>
        <v>Not Subscribed</v>
      </c>
    </row>
    <row r="1557" spans="1:26" x14ac:dyDescent="0.25">
      <c r="A1557">
        <v>1556</v>
      </c>
      <c r="B1557">
        <v>43</v>
      </c>
      <c r="C1557" t="s">
        <v>22</v>
      </c>
      <c r="D1557">
        <v>1556</v>
      </c>
      <c r="E1557" t="s">
        <v>62</v>
      </c>
      <c r="F1557" t="s">
        <v>24</v>
      </c>
      <c r="G1557">
        <v>1556</v>
      </c>
      <c r="H1557">
        <v>2066</v>
      </c>
      <c r="I1557">
        <v>47</v>
      </c>
      <c r="J1557" t="s">
        <v>126</v>
      </c>
      <c r="K1557" t="s">
        <v>39</v>
      </c>
      <c r="L1557" t="s">
        <v>112</v>
      </c>
      <c r="M1557" t="s">
        <v>28</v>
      </c>
      <c r="N1557">
        <v>4.5</v>
      </c>
      <c r="O1557">
        <v>0</v>
      </c>
      <c r="P1557" t="s">
        <v>41</v>
      </c>
      <c r="Q1557" t="s">
        <v>30</v>
      </c>
      <c r="R1557" t="s">
        <v>30</v>
      </c>
      <c r="S1557">
        <v>44</v>
      </c>
      <c r="T1557" t="s">
        <v>36</v>
      </c>
      <c r="U1557" t="s">
        <v>61</v>
      </c>
      <c r="V1557" s="1">
        <v>45345</v>
      </c>
      <c r="W1557">
        <f>Table1[[#This Row],[customer_purchase count]]+1</f>
        <v>45</v>
      </c>
      <c r="X1557">
        <f>Table1[[#This Row],[customer_purchase count]]*Rules!$B$3</f>
        <v>2629.6317948717951</v>
      </c>
      <c r="Y1557" t="str">
        <f>IF(Table1[[#This Row],[customer_subscription]]=1,"Subscribed","Not Subscribed")</f>
        <v>Not Subscribed</v>
      </c>
    </row>
    <row r="1558" spans="1:26" x14ac:dyDescent="0.25">
      <c r="A1558">
        <v>1557</v>
      </c>
      <c r="B1558">
        <v>43</v>
      </c>
      <c r="C1558" t="s">
        <v>22</v>
      </c>
      <c r="D1558">
        <v>1557</v>
      </c>
      <c r="E1558" t="s">
        <v>107</v>
      </c>
      <c r="F1558" t="s">
        <v>24</v>
      </c>
      <c r="G1558">
        <v>1557</v>
      </c>
      <c r="H1558">
        <v>2067</v>
      </c>
      <c r="I1558">
        <v>57</v>
      </c>
      <c r="J1558" t="s">
        <v>93</v>
      </c>
      <c r="K1558" t="s">
        <v>47</v>
      </c>
      <c r="L1558" t="s">
        <v>83</v>
      </c>
      <c r="M1558" t="s">
        <v>60</v>
      </c>
      <c r="N1558">
        <v>2.7</v>
      </c>
      <c r="O1558">
        <v>0</v>
      </c>
      <c r="P1558" t="s">
        <v>57</v>
      </c>
      <c r="Q1558" t="s">
        <v>30</v>
      </c>
      <c r="R1558" t="s">
        <v>30</v>
      </c>
      <c r="S1558">
        <v>26</v>
      </c>
      <c r="T1558" t="s">
        <v>42</v>
      </c>
      <c r="U1558" t="s">
        <v>61</v>
      </c>
      <c r="V1558" s="1">
        <v>45571</v>
      </c>
      <c r="W1558">
        <f>Table1[[#This Row],[customer_purchase count]]+1</f>
        <v>27</v>
      </c>
      <c r="X1558">
        <f>Table1[[#This Row],[customer_purchase count]]*Rules!$B$3</f>
        <v>1553.8733333333334</v>
      </c>
      <c r="Y1558" t="str">
        <f>IF(Table1[[#This Row],[customer_subscription]]=1,"Subscribed","Not Subscribed")</f>
        <v>Not Subscribed</v>
      </c>
    </row>
    <row r="1559" spans="1:26" x14ac:dyDescent="0.25">
      <c r="A1559">
        <v>1558</v>
      </c>
      <c r="B1559">
        <v>27</v>
      </c>
      <c r="C1559" t="s">
        <v>22</v>
      </c>
      <c r="D1559">
        <v>1558</v>
      </c>
      <c r="E1559" t="s">
        <v>135</v>
      </c>
      <c r="F1559" t="s">
        <v>70</v>
      </c>
      <c r="G1559">
        <v>1558</v>
      </c>
      <c r="H1559">
        <v>2068</v>
      </c>
      <c r="I1559">
        <v>34</v>
      </c>
      <c r="J1559" t="s">
        <v>150</v>
      </c>
      <c r="K1559" t="s">
        <v>26</v>
      </c>
      <c r="L1559" t="s">
        <v>139</v>
      </c>
      <c r="M1559" t="s">
        <v>60</v>
      </c>
      <c r="N1559">
        <v>3.5</v>
      </c>
      <c r="O1559">
        <v>0</v>
      </c>
      <c r="P1559" t="s">
        <v>48</v>
      </c>
      <c r="Q1559" t="s">
        <v>30</v>
      </c>
      <c r="R1559" t="s">
        <v>30</v>
      </c>
      <c r="S1559">
        <v>34</v>
      </c>
      <c r="T1559" t="s">
        <v>49</v>
      </c>
      <c r="U1559" t="s">
        <v>61</v>
      </c>
      <c r="V1559" s="1">
        <v>45597</v>
      </c>
      <c r="W1559">
        <f>Table1[[#This Row],[customer_purchase count]]+1</f>
        <v>35</v>
      </c>
      <c r="X1559">
        <f>Table1[[#This Row],[customer_purchase count]]*Rules!$B$3</f>
        <v>2031.9882051282052</v>
      </c>
      <c r="Y1559" t="str">
        <f>IF(Table1[[#This Row],[customer_subscription]]=1,"Subscribed","Not Subscribed")</f>
        <v>Not Subscribed</v>
      </c>
    </row>
    <row r="1560" spans="1:26" x14ac:dyDescent="0.25">
      <c r="A1560">
        <v>1559</v>
      </c>
      <c r="B1560">
        <v>35</v>
      </c>
      <c r="C1560" t="s">
        <v>22</v>
      </c>
      <c r="D1560">
        <v>1559</v>
      </c>
      <c r="E1560" t="s">
        <v>92</v>
      </c>
      <c r="F1560" t="s">
        <v>70</v>
      </c>
      <c r="G1560">
        <v>1559</v>
      </c>
      <c r="H1560">
        <v>2069</v>
      </c>
      <c r="I1560">
        <v>75</v>
      </c>
      <c r="J1560" t="s">
        <v>133</v>
      </c>
      <c r="K1560" t="s">
        <v>95</v>
      </c>
      <c r="L1560" t="s">
        <v>88</v>
      </c>
      <c r="M1560" t="s">
        <v>60</v>
      </c>
      <c r="N1560">
        <v>3.5</v>
      </c>
      <c r="O1560">
        <v>0</v>
      </c>
      <c r="P1560" t="s">
        <v>29</v>
      </c>
      <c r="Q1560" t="s">
        <v>30</v>
      </c>
      <c r="R1560" t="s">
        <v>30</v>
      </c>
      <c r="S1560">
        <v>24</v>
      </c>
      <c r="T1560" t="s">
        <v>42</v>
      </c>
      <c r="U1560" t="s">
        <v>100</v>
      </c>
      <c r="V1560" s="1">
        <v>45579</v>
      </c>
      <c r="W1560">
        <f>Table1[[#This Row],[customer_purchase count]]+1</f>
        <v>25</v>
      </c>
      <c r="X1560">
        <f>Table1[[#This Row],[customer_purchase count]]*Rules!$B$3</f>
        <v>1434.3446153846155</v>
      </c>
      <c r="Y1560" t="str">
        <f>IF(Table1[[#This Row],[customer_subscription]]=1,"Subscribed","Not Subscribed")</f>
        <v>Not Subscribed</v>
      </c>
    </row>
    <row r="1561" spans="1:26" x14ac:dyDescent="0.25">
      <c r="A1561">
        <v>1560</v>
      </c>
      <c r="B1561">
        <v>43</v>
      </c>
      <c r="C1561" t="s">
        <v>22</v>
      </c>
      <c r="D1561">
        <v>1560</v>
      </c>
      <c r="E1561" t="s">
        <v>122</v>
      </c>
      <c r="F1561" t="s">
        <v>70</v>
      </c>
      <c r="G1561">
        <v>1560</v>
      </c>
      <c r="H1561">
        <v>2071</v>
      </c>
      <c r="I1561">
        <v>94</v>
      </c>
      <c r="J1561" t="s">
        <v>50</v>
      </c>
      <c r="K1561" t="s">
        <v>26</v>
      </c>
      <c r="L1561" t="s">
        <v>121</v>
      </c>
      <c r="M1561" t="s">
        <v>60</v>
      </c>
      <c r="N1561">
        <v>4.5</v>
      </c>
      <c r="O1561">
        <v>0</v>
      </c>
      <c r="P1561" t="s">
        <v>77</v>
      </c>
      <c r="Q1561" t="s">
        <v>30</v>
      </c>
      <c r="R1561" t="s">
        <v>30</v>
      </c>
      <c r="S1561">
        <v>23</v>
      </c>
      <c r="T1561" t="s">
        <v>49</v>
      </c>
      <c r="U1561" t="s">
        <v>32</v>
      </c>
      <c r="V1561" s="1">
        <v>45555</v>
      </c>
      <c r="W1561">
        <f>Table1[[#This Row],[customer_purchase count]]+1</f>
        <v>24</v>
      </c>
      <c r="X1561">
        <f>Table1[[#This Row],[customer_purchase count]]*Rules!$B$3</f>
        <v>1374.5802564102564</v>
      </c>
      <c r="Y1561" t="str">
        <f>IF(Table1[[#This Row],[customer_subscription]]=1,"Subscribed","Not Subscribed")</f>
        <v>Not Subscribed</v>
      </c>
    </row>
    <row r="1562" spans="1:26" x14ac:dyDescent="0.25">
      <c r="A1562">
        <v>1561</v>
      </c>
      <c r="B1562">
        <v>57</v>
      </c>
      <c r="C1562" t="s">
        <v>22</v>
      </c>
      <c r="D1562">
        <v>1561</v>
      </c>
      <c r="E1562" t="s">
        <v>127</v>
      </c>
      <c r="F1562" t="s">
        <v>70</v>
      </c>
      <c r="G1562">
        <v>1561</v>
      </c>
      <c r="H1562">
        <v>2072</v>
      </c>
      <c r="I1562">
        <v>84</v>
      </c>
      <c r="J1562" t="s">
        <v>50</v>
      </c>
      <c r="K1562" t="s">
        <v>47</v>
      </c>
      <c r="L1562" t="s">
        <v>88</v>
      </c>
      <c r="M1562" t="s">
        <v>28</v>
      </c>
      <c r="N1562">
        <v>3.8</v>
      </c>
      <c r="O1562">
        <v>0</v>
      </c>
      <c r="P1562" t="s">
        <v>41</v>
      </c>
      <c r="Q1562" t="s">
        <v>30</v>
      </c>
      <c r="R1562" t="s">
        <v>30</v>
      </c>
      <c r="S1562">
        <v>3</v>
      </c>
      <c r="T1562" t="s">
        <v>89</v>
      </c>
      <c r="U1562" t="s">
        <v>43</v>
      </c>
      <c r="V1562" s="1">
        <v>45636</v>
      </c>
      <c r="W1562">
        <f>Table1[[#This Row],[customer_purchase count]]+1</f>
        <v>4</v>
      </c>
      <c r="X1562">
        <f>Table1[[#This Row],[customer_purchase count]]*Rules!$B$3</f>
        <v>179.29307692307694</v>
      </c>
      <c r="Y1562" t="str">
        <f>IF(Table1[[#This Row],[customer_subscription]]=1,"Subscribed","Not Subscribed")</f>
        <v>Not Subscribed</v>
      </c>
      <c r="Z1562" t="s">
        <v>194</v>
      </c>
    </row>
    <row r="1563" spans="1:26" x14ac:dyDescent="0.25">
      <c r="A1563">
        <v>1562</v>
      </c>
      <c r="B1563">
        <v>50</v>
      </c>
      <c r="C1563" t="s">
        <v>22</v>
      </c>
      <c r="D1563">
        <v>1562</v>
      </c>
      <c r="E1563" t="s">
        <v>122</v>
      </c>
      <c r="F1563" t="s">
        <v>70</v>
      </c>
      <c r="G1563">
        <v>1562</v>
      </c>
      <c r="H1563">
        <v>2073</v>
      </c>
      <c r="I1563">
        <v>38</v>
      </c>
      <c r="J1563" t="s">
        <v>94</v>
      </c>
      <c r="K1563" t="s">
        <v>47</v>
      </c>
      <c r="L1563" t="s">
        <v>129</v>
      </c>
      <c r="M1563" t="s">
        <v>56</v>
      </c>
      <c r="N1563">
        <v>3.8</v>
      </c>
      <c r="O1563">
        <v>0</v>
      </c>
      <c r="P1563" t="s">
        <v>57</v>
      </c>
      <c r="Q1563" t="s">
        <v>30</v>
      </c>
      <c r="R1563" t="s">
        <v>30</v>
      </c>
      <c r="S1563">
        <v>2</v>
      </c>
      <c r="T1563" t="s">
        <v>78</v>
      </c>
      <c r="U1563" t="s">
        <v>61</v>
      </c>
      <c r="V1563" s="1">
        <v>45510</v>
      </c>
      <c r="W1563">
        <f>Table1[[#This Row],[customer_purchase count]]+1</f>
        <v>3</v>
      </c>
      <c r="X1563">
        <f>Table1[[#This Row],[customer_purchase count]]*Rules!$B$3</f>
        <v>119.52871794871795</v>
      </c>
      <c r="Y1563" t="str">
        <f>IF(Table1[[#This Row],[customer_subscription]]=1,"Subscribed","Not Subscribed")</f>
        <v>Not Subscribed</v>
      </c>
      <c r="Z1563" t="s">
        <v>194</v>
      </c>
    </row>
    <row r="1564" spans="1:26" x14ac:dyDescent="0.25">
      <c r="A1564">
        <v>1563</v>
      </c>
      <c r="B1564">
        <v>37</v>
      </c>
      <c r="C1564" t="s">
        <v>22</v>
      </c>
      <c r="D1564">
        <v>1563</v>
      </c>
      <c r="E1564" t="s">
        <v>122</v>
      </c>
      <c r="F1564" t="s">
        <v>70</v>
      </c>
      <c r="G1564">
        <v>1563</v>
      </c>
      <c r="H1564">
        <v>2074</v>
      </c>
      <c r="I1564">
        <v>75</v>
      </c>
      <c r="J1564" t="s">
        <v>93</v>
      </c>
      <c r="K1564" t="s">
        <v>47</v>
      </c>
      <c r="L1564" t="s">
        <v>76</v>
      </c>
      <c r="M1564" t="s">
        <v>28</v>
      </c>
      <c r="N1564">
        <v>3.2</v>
      </c>
      <c r="O1564">
        <v>0</v>
      </c>
      <c r="P1564" t="s">
        <v>48</v>
      </c>
      <c r="Q1564" t="s">
        <v>30</v>
      </c>
      <c r="R1564" t="s">
        <v>30</v>
      </c>
      <c r="S1564">
        <v>23</v>
      </c>
      <c r="T1564" t="s">
        <v>31</v>
      </c>
      <c r="U1564" t="s">
        <v>79</v>
      </c>
      <c r="V1564" s="1">
        <v>45649</v>
      </c>
      <c r="W1564">
        <f>Table1[[#This Row],[customer_purchase count]]+1</f>
        <v>24</v>
      </c>
      <c r="X1564">
        <f>Table1[[#This Row],[customer_purchase count]]*Rules!$B$3</f>
        <v>1374.5802564102564</v>
      </c>
      <c r="Y1564" t="str">
        <f>IF(Table1[[#This Row],[customer_subscription]]=1,"Subscribed","Not Subscribed")</f>
        <v>Not Subscribed</v>
      </c>
    </row>
    <row r="1565" spans="1:26" x14ac:dyDescent="0.25">
      <c r="A1565">
        <v>1564</v>
      </c>
      <c r="B1565">
        <v>68</v>
      </c>
      <c r="C1565" t="s">
        <v>22</v>
      </c>
      <c r="D1565">
        <v>1564</v>
      </c>
      <c r="E1565" t="s">
        <v>98</v>
      </c>
      <c r="F1565" t="s">
        <v>24</v>
      </c>
      <c r="G1565">
        <v>1564</v>
      </c>
      <c r="H1565">
        <v>2075</v>
      </c>
      <c r="I1565">
        <v>44</v>
      </c>
      <c r="J1565" t="s">
        <v>114</v>
      </c>
      <c r="K1565" t="s">
        <v>47</v>
      </c>
      <c r="L1565" t="s">
        <v>88</v>
      </c>
      <c r="M1565" t="s">
        <v>60</v>
      </c>
      <c r="N1565">
        <v>4.3</v>
      </c>
      <c r="O1565">
        <v>0</v>
      </c>
      <c r="P1565" t="s">
        <v>48</v>
      </c>
      <c r="Q1565" t="s">
        <v>30</v>
      </c>
      <c r="R1565" t="s">
        <v>30</v>
      </c>
      <c r="S1565">
        <v>8</v>
      </c>
      <c r="T1565" t="s">
        <v>36</v>
      </c>
      <c r="U1565" t="s">
        <v>43</v>
      </c>
      <c r="V1565" s="1">
        <v>45541</v>
      </c>
      <c r="W1565">
        <f>Table1[[#This Row],[customer_purchase count]]+1</f>
        <v>9</v>
      </c>
      <c r="X1565">
        <f>Table1[[#This Row],[customer_purchase count]]*Rules!$B$3</f>
        <v>478.11487179487182</v>
      </c>
      <c r="Y1565" t="str">
        <f>IF(Table1[[#This Row],[customer_subscription]]=1,"Subscribed","Not Subscribed")</f>
        <v>Not Subscribed</v>
      </c>
      <c r="Z1565" t="s">
        <v>194</v>
      </c>
    </row>
    <row r="1566" spans="1:26" x14ac:dyDescent="0.25">
      <c r="A1566">
        <v>1565</v>
      </c>
      <c r="B1566">
        <v>22</v>
      </c>
      <c r="C1566" t="s">
        <v>22</v>
      </c>
      <c r="D1566">
        <v>1565</v>
      </c>
      <c r="E1566" t="s">
        <v>135</v>
      </c>
      <c r="F1566" t="s">
        <v>70</v>
      </c>
      <c r="G1566">
        <v>1565</v>
      </c>
      <c r="H1566">
        <v>2077</v>
      </c>
      <c r="I1566">
        <v>33</v>
      </c>
      <c r="J1566" t="s">
        <v>102</v>
      </c>
      <c r="K1566" t="s">
        <v>95</v>
      </c>
      <c r="L1566" t="s">
        <v>51</v>
      </c>
      <c r="M1566" t="s">
        <v>56</v>
      </c>
      <c r="N1566">
        <v>4.5</v>
      </c>
      <c r="O1566">
        <v>0</v>
      </c>
      <c r="P1566" t="s">
        <v>48</v>
      </c>
      <c r="Q1566" t="s">
        <v>30</v>
      </c>
      <c r="R1566" t="s">
        <v>30</v>
      </c>
      <c r="S1566">
        <v>30</v>
      </c>
      <c r="T1566" t="s">
        <v>89</v>
      </c>
      <c r="U1566" t="s">
        <v>100</v>
      </c>
      <c r="V1566" s="1">
        <v>45518</v>
      </c>
      <c r="W1566">
        <f>Table1[[#This Row],[customer_purchase count]]+1</f>
        <v>31</v>
      </c>
      <c r="X1566">
        <f>Table1[[#This Row],[customer_purchase count]]*Rules!$B$3</f>
        <v>1792.9307692307693</v>
      </c>
      <c r="Y1566" t="str">
        <f>IF(Table1[[#This Row],[customer_subscription]]=1,"Subscribed","Not Subscribed")</f>
        <v>Not Subscribed</v>
      </c>
    </row>
    <row r="1567" spans="1:26" x14ac:dyDescent="0.25">
      <c r="A1567">
        <v>1566</v>
      </c>
      <c r="B1567">
        <v>58</v>
      </c>
      <c r="C1567" t="s">
        <v>22</v>
      </c>
      <c r="D1567">
        <v>1566</v>
      </c>
      <c r="E1567" t="s">
        <v>92</v>
      </c>
      <c r="F1567" t="s">
        <v>70</v>
      </c>
      <c r="G1567">
        <v>1566</v>
      </c>
      <c r="H1567">
        <v>2078</v>
      </c>
      <c r="I1567">
        <v>93</v>
      </c>
      <c r="J1567" t="s">
        <v>138</v>
      </c>
      <c r="K1567" t="s">
        <v>26</v>
      </c>
      <c r="L1567" t="s">
        <v>103</v>
      </c>
      <c r="M1567" t="s">
        <v>60</v>
      </c>
      <c r="N1567">
        <v>4.2</v>
      </c>
      <c r="O1567">
        <v>0</v>
      </c>
      <c r="P1567" t="s">
        <v>41</v>
      </c>
      <c r="Q1567" t="s">
        <v>30</v>
      </c>
      <c r="R1567" t="s">
        <v>30</v>
      </c>
      <c r="S1567">
        <v>48</v>
      </c>
      <c r="T1567" t="s">
        <v>49</v>
      </c>
      <c r="U1567" t="s">
        <v>52</v>
      </c>
      <c r="V1567" s="1">
        <v>45611</v>
      </c>
      <c r="W1567">
        <f>Table1[[#This Row],[customer_purchase count]]+1</f>
        <v>49</v>
      </c>
      <c r="X1567">
        <f>Table1[[#This Row],[customer_purchase count]]*Rules!$B$3</f>
        <v>2868.689230769231</v>
      </c>
      <c r="Y1567" t="str">
        <f>IF(Table1[[#This Row],[customer_subscription]]=1,"Subscribed","Not Subscribed")</f>
        <v>Not Subscribed</v>
      </c>
    </row>
    <row r="1568" spans="1:26" x14ac:dyDescent="0.25">
      <c r="A1568">
        <v>1567</v>
      </c>
      <c r="B1568">
        <v>48</v>
      </c>
      <c r="C1568" t="s">
        <v>22</v>
      </c>
      <c r="D1568">
        <v>1567</v>
      </c>
      <c r="E1568" t="s">
        <v>53</v>
      </c>
      <c r="F1568" t="s">
        <v>45</v>
      </c>
      <c r="G1568">
        <v>1567</v>
      </c>
      <c r="H1568">
        <v>2079</v>
      </c>
      <c r="I1568">
        <v>99</v>
      </c>
      <c r="J1568" t="s">
        <v>54</v>
      </c>
      <c r="K1568" t="s">
        <v>39</v>
      </c>
      <c r="L1568" t="s">
        <v>99</v>
      </c>
      <c r="M1568" t="s">
        <v>28</v>
      </c>
      <c r="N1568">
        <v>3</v>
      </c>
      <c r="O1568">
        <v>0</v>
      </c>
      <c r="P1568" t="s">
        <v>41</v>
      </c>
      <c r="Q1568" t="s">
        <v>30</v>
      </c>
      <c r="R1568" t="s">
        <v>30</v>
      </c>
      <c r="S1568">
        <v>21</v>
      </c>
      <c r="T1568" t="s">
        <v>36</v>
      </c>
      <c r="U1568" t="s">
        <v>79</v>
      </c>
      <c r="V1568" s="1">
        <v>45305</v>
      </c>
      <c r="W1568">
        <f>Table1[[#This Row],[customer_purchase count]]+1</f>
        <v>22</v>
      </c>
      <c r="X1568">
        <f>Table1[[#This Row],[customer_purchase count]]*Rules!$B$3</f>
        <v>1255.0515384615385</v>
      </c>
      <c r="Y1568" t="str">
        <f>IF(Table1[[#This Row],[customer_subscription]]=1,"Subscribed","Not Subscribed")</f>
        <v>Not Subscribed</v>
      </c>
    </row>
    <row r="1569" spans="1:26" x14ac:dyDescent="0.25">
      <c r="A1569">
        <v>1568</v>
      </c>
      <c r="B1569">
        <v>30</v>
      </c>
      <c r="C1569" t="s">
        <v>22</v>
      </c>
      <c r="D1569">
        <v>1568</v>
      </c>
      <c r="E1569" t="s">
        <v>135</v>
      </c>
      <c r="F1569" t="s">
        <v>70</v>
      </c>
      <c r="G1569">
        <v>1568</v>
      </c>
      <c r="H1569">
        <v>2080</v>
      </c>
      <c r="I1569">
        <v>33</v>
      </c>
      <c r="J1569" t="s">
        <v>151</v>
      </c>
      <c r="K1569" t="s">
        <v>47</v>
      </c>
      <c r="L1569" t="s">
        <v>51</v>
      </c>
      <c r="M1569" t="s">
        <v>40</v>
      </c>
      <c r="N1569">
        <v>4.0999999999999996</v>
      </c>
      <c r="O1569">
        <v>0</v>
      </c>
      <c r="P1569" t="s">
        <v>57</v>
      </c>
      <c r="Q1569" t="s">
        <v>30</v>
      </c>
      <c r="R1569" t="s">
        <v>30</v>
      </c>
      <c r="S1569">
        <v>9</v>
      </c>
      <c r="T1569" t="s">
        <v>36</v>
      </c>
      <c r="U1569" t="s">
        <v>91</v>
      </c>
      <c r="V1569" s="1">
        <v>45425</v>
      </c>
      <c r="W1569">
        <f>Table1[[#This Row],[customer_purchase count]]+1</f>
        <v>10</v>
      </c>
      <c r="X1569">
        <f>Table1[[#This Row],[customer_purchase count]]*Rules!$B$3</f>
        <v>537.87923076923084</v>
      </c>
      <c r="Y1569" t="str">
        <f>IF(Table1[[#This Row],[customer_subscription]]=1,"Subscribed","Not Subscribed")</f>
        <v>Not Subscribed</v>
      </c>
      <c r="Z1569" t="s">
        <v>194</v>
      </c>
    </row>
    <row r="1570" spans="1:26" x14ac:dyDescent="0.25">
      <c r="A1570">
        <v>1569</v>
      </c>
      <c r="B1570">
        <v>51</v>
      </c>
      <c r="C1570" t="s">
        <v>22</v>
      </c>
      <c r="D1570">
        <v>1569</v>
      </c>
      <c r="E1570" t="s">
        <v>53</v>
      </c>
      <c r="F1570" t="s">
        <v>45</v>
      </c>
      <c r="G1570">
        <v>1569</v>
      </c>
      <c r="H1570">
        <v>2081</v>
      </c>
      <c r="I1570">
        <v>76</v>
      </c>
      <c r="J1570" t="s">
        <v>152</v>
      </c>
      <c r="K1570" t="s">
        <v>26</v>
      </c>
      <c r="L1570" t="s">
        <v>137</v>
      </c>
      <c r="M1570" t="s">
        <v>40</v>
      </c>
      <c r="N1570">
        <v>4.5999999999999996</v>
      </c>
      <c r="O1570">
        <v>0</v>
      </c>
      <c r="P1570" t="s">
        <v>77</v>
      </c>
      <c r="Q1570" t="s">
        <v>30</v>
      </c>
      <c r="R1570" t="s">
        <v>30</v>
      </c>
      <c r="S1570">
        <v>8</v>
      </c>
      <c r="T1570" t="s">
        <v>89</v>
      </c>
      <c r="U1570" t="s">
        <v>91</v>
      </c>
      <c r="V1570" s="1">
        <v>45400</v>
      </c>
      <c r="W1570">
        <f>Table1[[#This Row],[customer_purchase count]]+1</f>
        <v>9</v>
      </c>
      <c r="X1570">
        <f>Table1[[#This Row],[customer_purchase count]]*Rules!$B$3</f>
        <v>478.11487179487182</v>
      </c>
      <c r="Y1570" t="str">
        <f>IF(Table1[[#This Row],[customer_subscription]]=1,"Subscribed","Not Subscribed")</f>
        <v>Not Subscribed</v>
      </c>
      <c r="Z1570" t="s">
        <v>194</v>
      </c>
    </row>
    <row r="1571" spans="1:26" x14ac:dyDescent="0.25">
      <c r="A1571">
        <v>1570</v>
      </c>
      <c r="B1571">
        <v>20</v>
      </c>
      <c r="C1571" t="s">
        <v>22</v>
      </c>
      <c r="D1571">
        <v>1570</v>
      </c>
      <c r="E1571" t="s">
        <v>90</v>
      </c>
      <c r="F1571" t="s">
        <v>24</v>
      </c>
      <c r="G1571">
        <v>1570</v>
      </c>
      <c r="H1571">
        <v>2083</v>
      </c>
      <c r="I1571">
        <v>63</v>
      </c>
      <c r="J1571" t="s">
        <v>80</v>
      </c>
      <c r="K1571" t="s">
        <v>47</v>
      </c>
      <c r="L1571" t="s">
        <v>124</v>
      </c>
      <c r="M1571" t="s">
        <v>56</v>
      </c>
      <c r="N1571">
        <v>2.9</v>
      </c>
      <c r="O1571">
        <v>0</v>
      </c>
      <c r="P1571" t="s">
        <v>57</v>
      </c>
      <c r="Q1571" t="s">
        <v>30</v>
      </c>
      <c r="R1571" t="s">
        <v>30</v>
      </c>
      <c r="S1571">
        <v>29</v>
      </c>
      <c r="T1571" t="s">
        <v>89</v>
      </c>
      <c r="U1571" t="s">
        <v>43</v>
      </c>
      <c r="V1571" s="1">
        <v>45505</v>
      </c>
      <c r="W1571">
        <f>Table1[[#This Row],[customer_purchase count]]+1</f>
        <v>30</v>
      </c>
      <c r="X1571">
        <f>Table1[[#This Row],[customer_purchase count]]*Rules!$B$3</f>
        <v>1733.1664102564102</v>
      </c>
      <c r="Y1571" t="str">
        <f>IF(Table1[[#This Row],[customer_subscription]]=1,"Subscribed","Not Subscribed")</f>
        <v>Not Subscribed</v>
      </c>
    </row>
    <row r="1572" spans="1:26" x14ac:dyDescent="0.25">
      <c r="A1572">
        <v>1571</v>
      </c>
      <c r="B1572">
        <v>30</v>
      </c>
      <c r="C1572" t="s">
        <v>22</v>
      </c>
      <c r="D1572">
        <v>1571</v>
      </c>
      <c r="E1572" t="s">
        <v>98</v>
      </c>
      <c r="F1572" t="s">
        <v>24</v>
      </c>
      <c r="G1572">
        <v>1571</v>
      </c>
      <c r="H1572">
        <v>2084</v>
      </c>
      <c r="I1572">
        <v>41</v>
      </c>
      <c r="J1572" t="s">
        <v>71</v>
      </c>
      <c r="K1572" t="s">
        <v>26</v>
      </c>
      <c r="L1572" t="s">
        <v>113</v>
      </c>
      <c r="M1572" t="s">
        <v>28</v>
      </c>
      <c r="N1572">
        <v>4.8</v>
      </c>
      <c r="O1572">
        <v>0</v>
      </c>
      <c r="P1572" t="s">
        <v>48</v>
      </c>
      <c r="Q1572" t="s">
        <v>30</v>
      </c>
      <c r="R1572" t="s">
        <v>30</v>
      </c>
      <c r="S1572">
        <v>3</v>
      </c>
      <c r="T1572" t="s">
        <v>78</v>
      </c>
      <c r="U1572" t="s">
        <v>100</v>
      </c>
      <c r="V1572" s="1">
        <v>45304</v>
      </c>
      <c r="W1572">
        <f>Table1[[#This Row],[customer_purchase count]]+1</f>
        <v>4</v>
      </c>
      <c r="X1572">
        <f>Table1[[#This Row],[customer_purchase count]]*Rules!$B$3</f>
        <v>179.29307692307694</v>
      </c>
      <c r="Y1572" t="str">
        <f>IF(Table1[[#This Row],[customer_subscription]]=1,"Subscribed","Not Subscribed")</f>
        <v>Not Subscribed</v>
      </c>
      <c r="Z1572" t="s">
        <v>194</v>
      </c>
    </row>
    <row r="1573" spans="1:26" x14ac:dyDescent="0.25">
      <c r="A1573">
        <v>1572</v>
      </c>
      <c r="B1573">
        <v>28</v>
      </c>
      <c r="C1573" t="s">
        <v>22</v>
      </c>
      <c r="D1573">
        <v>1572</v>
      </c>
      <c r="E1573" t="s">
        <v>109</v>
      </c>
      <c r="F1573" t="s">
        <v>70</v>
      </c>
      <c r="G1573">
        <v>1572</v>
      </c>
      <c r="H1573">
        <v>2085</v>
      </c>
      <c r="I1573">
        <v>88</v>
      </c>
      <c r="J1573" t="s">
        <v>115</v>
      </c>
      <c r="K1573" t="s">
        <v>26</v>
      </c>
      <c r="L1573" t="s">
        <v>68</v>
      </c>
      <c r="M1573" t="s">
        <v>28</v>
      </c>
      <c r="N1573">
        <v>4.5</v>
      </c>
      <c r="O1573">
        <v>0</v>
      </c>
      <c r="P1573" t="s">
        <v>48</v>
      </c>
      <c r="Q1573" t="s">
        <v>30</v>
      </c>
      <c r="R1573" t="s">
        <v>30</v>
      </c>
      <c r="S1573">
        <v>11</v>
      </c>
      <c r="T1573" t="s">
        <v>78</v>
      </c>
      <c r="U1573" t="s">
        <v>32</v>
      </c>
      <c r="V1573" s="1">
        <v>45302</v>
      </c>
      <c r="W1573">
        <f>Table1[[#This Row],[customer_purchase count]]+1</f>
        <v>12</v>
      </c>
      <c r="X1573">
        <f>Table1[[#This Row],[customer_purchase count]]*Rules!$B$3</f>
        <v>657.40794871794878</v>
      </c>
      <c r="Y1573" t="str">
        <f>IF(Table1[[#This Row],[customer_subscription]]=1,"Subscribed","Not Subscribed")</f>
        <v>Not Subscribed</v>
      </c>
      <c r="Z1573" t="s">
        <v>187</v>
      </c>
    </row>
    <row r="1574" spans="1:26" x14ac:dyDescent="0.25">
      <c r="A1574">
        <v>1573</v>
      </c>
      <c r="B1574">
        <v>37</v>
      </c>
      <c r="C1574" t="s">
        <v>22</v>
      </c>
      <c r="D1574">
        <v>1573</v>
      </c>
      <c r="E1574" t="s">
        <v>90</v>
      </c>
      <c r="F1574" t="s">
        <v>24</v>
      </c>
      <c r="G1574">
        <v>1573</v>
      </c>
      <c r="H1574">
        <v>2086</v>
      </c>
      <c r="I1574">
        <v>92</v>
      </c>
      <c r="J1574" t="s">
        <v>152</v>
      </c>
      <c r="K1574" t="s">
        <v>26</v>
      </c>
      <c r="L1574" t="s">
        <v>55</v>
      </c>
      <c r="M1574" t="s">
        <v>56</v>
      </c>
      <c r="N1574">
        <v>3.4</v>
      </c>
      <c r="O1574">
        <v>0</v>
      </c>
      <c r="P1574" t="s">
        <v>73</v>
      </c>
      <c r="Q1574" t="s">
        <v>30</v>
      </c>
      <c r="R1574" t="s">
        <v>30</v>
      </c>
      <c r="S1574">
        <v>16</v>
      </c>
      <c r="T1574" t="s">
        <v>89</v>
      </c>
      <c r="U1574" t="s">
        <v>91</v>
      </c>
      <c r="V1574" s="1">
        <v>45524</v>
      </c>
      <c r="W1574">
        <f>Table1[[#This Row],[customer_purchase count]]+1</f>
        <v>17</v>
      </c>
      <c r="X1574">
        <f>Table1[[#This Row],[customer_purchase count]]*Rules!$B$3</f>
        <v>956.22974358974363</v>
      </c>
      <c r="Y1574" t="str">
        <f>IF(Table1[[#This Row],[customer_subscription]]=1,"Subscribed","Not Subscribed")</f>
        <v>Not Subscribed</v>
      </c>
      <c r="Z1574" t="s">
        <v>194</v>
      </c>
    </row>
    <row r="1575" spans="1:26" x14ac:dyDescent="0.25">
      <c r="A1575">
        <v>1574</v>
      </c>
      <c r="B1575">
        <v>36</v>
      </c>
      <c r="C1575" t="s">
        <v>22</v>
      </c>
      <c r="D1575">
        <v>1574</v>
      </c>
      <c r="E1575" t="s">
        <v>116</v>
      </c>
      <c r="F1575" t="s">
        <v>24</v>
      </c>
      <c r="G1575">
        <v>1574</v>
      </c>
      <c r="H1575">
        <v>2087</v>
      </c>
      <c r="I1575">
        <v>31</v>
      </c>
      <c r="J1575" t="s">
        <v>117</v>
      </c>
      <c r="K1575" t="s">
        <v>26</v>
      </c>
      <c r="L1575" t="s">
        <v>129</v>
      </c>
      <c r="M1575" t="s">
        <v>56</v>
      </c>
      <c r="N1575">
        <v>4.3</v>
      </c>
      <c r="O1575">
        <v>0</v>
      </c>
      <c r="P1575" t="s">
        <v>73</v>
      </c>
      <c r="Q1575" t="s">
        <v>30</v>
      </c>
      <c r="R1575" t="s">
        <v>30</v>
      </c>
      <c r="S1575">
        <v>25</v>
      </c>
      <c r="T1575" t="s">
        <v>89</v>
      </c>
      <c r="U1575" t="s">
        <v>43</v>
      </c>
      <c r="V1575" s="1">
        <v>45494</v>
      </c>
      <c r="W1575">
        <f>Table1[[#This Row],[customer_purchase count]]+1</f>
        <v>26</v>
      </c>
      <c r="X1575">
        <f>Table1[[#This Row],[customer_purchase count]]*Rules!$B$3</f>
        <v>1494.1089743589744</v>
      </c>
      <c r="Y1575" t="str">
        <f>IF(Table1[[#This Row],[customer_subscription]]=1,"Subscribed","Not Subscribed")</f>
        <v>Not Subscribed</v>
      </c>
    </row>
    <row r="1576" spans="1:26" x14ac:dyDescent="0.25">
      <c r="A1576">
        <v>1575</v>
      </c>
      <c r="B1576">
        <v>18</v>
      </c>
      <c r="C1576" t="s">
        <v>22</v>
      </c>
      <c r="D1576">
        <v>1575</v>
      </c>
      <c r="E1576" t="s">
        <v>90</v>
      </c>
      <c r="F1576" t="s">
        <v>24</v>
      </c>
      <c r="G1576">
        <v>1575</v>
      </c>
      <c r="H1576">
        <v>2089</v>
      </c>
      <c r="I1576">
        <v>25</v>
      </c>
      <c r="J1576" t="s">
        <v>151</v>
      </c>
      <c r="K1576" t="s">
        <v>39</v>
      </c>
      <c r="L1576" t="s">
        <v>139</v>
      </c>
      <c r="M1576" t="s">
        <v>40</v>
      </c>
      <c r="N1576">
        <v>4.2</v>
      </c>
      <c r="O1576">
        <v>0</v>
      </c>
      <c r="P1576" t="s">
        <v>41</v>
      </c>
      <c r="Q1576" t="s">
        <v>30</v>
      </c>
      <c r="R1576" t="s">
        <v>30</v>
      </c>
      <c r="S1576">
        <v>32</v>
      </c>
      <c r="T1576" t="s">
        <v>49</v>
      </c>
      <c r="U1576" t="s">
        <v>79</v>
      </c>
      <c r="V1576" s="1">
        <v>45399</v>
      </c>
      <c r="W1576">
        <f>Table1[[#This Row],[customer_purchase count]]+1</f>
        <v>33</v>
      </c>
      <c r="X1576">
        <f>Table1[[#This Row],[customer_purchase count]]*Rules!$B$3</f>
        <v>1912.4594871794873</v>
      </c>
      <c r="Y1576" t="str">
        <f>IF(Table1[[#This Row],[customer_subscription]]=1,"Subscribed","Not Subscribed")</f>
        <v>Not Subscribed</v>
      </c>
    </row>
    <row r="1577" spans="1:26" x14ac:dyDescent="0.25">
      <c r="A1577">
        <v>1576</v>
      </c>
      <c r="B1577">
        <v>52</v>
      </c>
      <c r="C1577" t="s">
        <v>22</v>
      </c>
      <c r="D1577">
        <v>1576</v>
      </c>
      <c r="E1577" t="s">
        <v>58</v>
      </c>
      <c r="F1577" t="s">
        <v>24</v>
      </c>
      <c r="G1577">
        <v>1576</v>
      </c>
      <c r="H1577">
        <v>2090</v>
      </c>
      <c r="I1577">
        <v>28</v>
      </c>
      <c r="J1577" t="s">
        <v>102</v>
      </c>
      <c r="K1577" t="s">
        <v>47</v>
      </c>
      <c r="L1577" t="s">
        <v>51</v>
      </c>
      <c r="M1577" t="s">
        <v>40</v>
      </c>
      <c r="N1577">
        <v>3.6</v>
      </c>
      <c r="O1577">
        <v>0</v>
      </c>
      <c r="P1577" t="s">
        <v>48</v>
      </c>
      <c r="Q1577" t="s">
        <v>30</v>
      </c>
      <c r="R1577" t="s">
        <v>30</v>
      </c>
      <c r="S1577">
        <v>28</v>
      </c>
      <c r="T1577" t="s">
        <v>36</v>
      </c>
      <c r="U1577" t="s">
        <v>32</v>
      </c>
      <c r="V1577" s="1">
        <v>45401</v>
      </c>
      <c r="W1577">
        <f>Table1[[#This Row],[customer_purchase count]]+1</f>
        <v>29</v>
      </c>
      <c r="X1577">
        <f>Table1[[#This Row],[customer_purchase count]]*Rules!$B$3</f>
        <v>1673.4020512820514</v>
      </c>
      <c r="Y1577" t="str">
        <f>IF(Table1[[#This Row],[customer_subscription]]=1,"Subscribed","Not Subscribed")</f>
        <v>Not Subscribed</v>
      </c>
    </row>
    <row r="1578" spans="1:26" x14ac:dyDescent="0.25">
      <c r="A1578">
        <v>1577</v>
      </c>
      <c r="B1578">
        <v>56</v>
      </c>
      <c r="C1578" t="s">
        <v>22</v>
      </c>
      <c r="D1578">
        <v>1577</v>
      </c>
      <c r="E1578" t="s">
        <v>84</v>
      </c>
      <c r="F1578" t="s">
        <v>24</v>
      </c>
      <c r="G1578">
        <v>1577</v>
      </c>
      <c r="H1578">
        <v>2091</v>
      </c>
      <c r="I1578">
        <v>75</v>
      </c>
      <c r="J1578" t="s">
        <v>154</v>
      </c>
      <c r="K1578" t="s">
        <v>47</v>
      </c>
      <c r="L1578" t="s">
        <v>55</v>
      </c>
      <c r="M1578" t="s">
        <v>40</v>
      </c>
      <c r="N1578">
        <v>3.7</v>
      </c>
      <c r="O1578">
        <v>0</v>
      </c>
      <c r="P1578" t="s">
        <v>73</v>
      </c>
      <c r="Q1578" t="s">
        <v>30</v>
      </c>
      <c r="R1578" t="s">
        <v>30</v>
      </c>
      <c r="S1578">
        <v>36</v>
      </c>
      <c r="T1578" t="s">
        <v>49</v>
      </c>
      <c r="U1578" t="s">
        <v>91</v>
      </c>
      <c r="V1578" s="1">
        <v>45426</v>
      </c>
      <c r="W1578">
        <f>Table1[[#This Row],[customer_purchase count]]+1</f>
        <v>37</v>
      </c>
      <c r="X1578">
        <f>Table1[[#This Row],[customer_purchase count]]*Rules!$B$3</f>
        <v>2151.5169230769234</v>
      </c>
      <c r="Y1578" t="str">
        <f>IF(Table1[[#This Row],[customer_subscription]]=1,"Subscribed","Not Subscribed")</f>
        <v>Not Subscribed</v>
      </c>
    </row>
    <row r="1579" spans="1:26" x14ac:dyDescent="0.25">
      <c r="A1579">
        <v>1578</v>
      </c>
      <c r="B1579">
        <v>68</v>
      </c>
      <c r="C1579" t="s">
        <v>22</v>
      </c>
      <c r="D1579">
        <v>1578</v>
      </c>
      <c r="E1579" t="s">
        <v>140</v>
      </c>
      <c r="F1579" t="s">
        <v>45</v>
      </c>
      <c r="G1579">
        <v>1578</v>
      </c>
      <c r="H1579">
        <v>2092</v>
      </c>
      <c r="I1579">
        <v>34</v>
      </c>
      <c r="J1579" t="s">
        <v>82</v>
      </c>
      <c r="K1579" t="s">
        <v>39</v>
      </c>
      <c r="L1579" t="s">
        <v>81</v>
      </c>
      <c r="M1579" t="s">
        <v>40</v>
      </c>
      <c r="N1579">
        <v>4</v>
      </c>
      <c r="O1579">
        <v>0</v>
      </c>
      <c r="P1579" t="s">
        <v>57</v>
      </c>
      <c r="Q1579" t="s">
        <v>30</v>
      </c>
      <c r="R1579" t="s">
        <v>30</v>
      </c>
      <c r="S1579">
        <v>7</v>
      </c>
      <c r="T1579" t="s">
        <v>31</v>
      </c>
      <c r="U1579" t="s">
        <v>32</v>
      </c>
      <c r="V1579" s="1">
        <v>45415</v>
      </c>
      <c r="W1579">
        <f>Table1[[#This Row],[customer_purchase count]]+1</f>
        <v>8</v>
      </c>
      <c r="X1579">
        <f>Table1[[#This Row],[customer_purchase count]]*Rules!$B$3</f>
        <v>418.35051282051285</v>
      </c>
      <c r="Y1579" t="str">
        <f>IF(Table1[[#This Row],[customer_subscription]]=1,"Subscribed","Not Subscribed")</f>
        <v>Not Subscribed</v>
      </c>
      <c r="Z1579" t="s">
        <v>194</v>
      </c>
    </row>
    <row r="1580" spans="1:26" x14ac:dyDescent="0.25">
      <c r="A1580">
        <v>1579</v>
      </c>
      <c r="B1580">
        <v>62</v>
      </c>
      <c r="C1580" t="s">
        <v>22</v>
      </c>
      <c r="D1580">
        <v>1579</v>
      </c>
      <c r="E1580" t="s">
        <v>98</v>
      </c>
      <c r="F1580" t="s">
        <v>24</v>
      </c>
      <c r="G1580">
        <v>1579</v>
      </c>
      <c r="H1580">
        <v>2093</v>
      </c>
      <c r="I1580">
        <v>97</v>
      </c>
      <c r="J1580" t="s">
        <v>102</v>
      </c>
      <c r="K1580" t="s">
        <v>39</v>
      </c>
      <c r="L1580" t="s">
        <v>35</v>
      </c>
      <c r="M1580" t="s">
        <v>28</v>
      </c>
      <c r="N1580">
        <v>4.9000000000000004</v>
      </c>
      <c r="O1580">
        <v>0</v>
      </c>
      <c r="P1580" t="s">
        <v>73</v>
      </c>
      <c r="Q1580" t="s">
        <v>30</v>
      </c>
      <c r="R1580" t="s">
        <v>30</v>
      </c>
      <c r="S1580">
        <v>2</v>
      </c>
      <c r="T1580" t="s">
        <v>49</v>
      </c>
      <c r="U1580" t="s">
        <v>61</v>
      </c>
      <c r="V1580" s="1">
        <v>45641</v>
      </c>
      <c r="W1580">
        <f>Table1[[#This Row],[customer_purchase count]]+1</f>
        <v>3</v>
      </c>
      <c r="X1580">
        <f>Table1[[#This Row],[customer_purchase count]]*Rules!$B$3</f>
        <v>119.52871794871795</v>
      </c>
      <c r="Y1580" t="str">
        <f>IF(Table1[[#This Row],[customer_subscription]]=1,"Subscribed","Not Subscribed")</f>
        <v>Not Subscribed</v>
      </c>
      <c r="Z1580" t="s">
        <v>194</v>
      </c>
    </row>
    <row r="1581" spans="1:26" x14ac:dyDescent="0.25">
      <c r="A1581">
        <v>1580</v>
      </c>
      <c r="B1581">
        <v>35</v>
      </c>
      <c r="C1581" t="s">
        <v>22</v>
      </c>
      <c r="D1581">
        <v>1580</v>
      </c>
      <c r="E1581" t="s">
        <v>105</v>
      </c>
      <c r="F1581" t="s">
        <v>66</v>
      </c>
      <c r="G1581">
        <v>1580</v>
      </c>
      <c r="H1581">
        <v>2095</v>
      </c>
      <c r="I1581">
        <v>80</v>
      </c>
      <c r="J1581" t="s">
        <v>104</v>
      </c>
      <c r="K1581" t="s">
        <v>47</v>
      </c>
      <c r="L1581" t="s">
        <v>86</v>
      </c>
      <c r="M1581" t="s">
        <v>56</v>
      </c>
      <c r="N1581">
        <v>3.1</v>
      </c>
      <c r="O1581">
        <v>0</v>
      </c>
      <c r="P1581" t="s">
        <v>41</v>
      </c>
      <c r="Q1581" t="s">
        <v>30</v>
      </c>
      <c r="R1581" t="s">
        <v>30</v>
      </c>
      <c r="S1581">
        <v>6</v>
      </c>
      <c r="T1581" t="s">
        <v>78</v>
      </c>
      <c r="U1581" t="s">
        <v>91</v>
      </c>
      <c r="V1581" s="1">
        <v>45484</v>
      </c>
      <c r="W1581">
        <f>Table1[[#This Row],[customer_purchase count]]+1</f>
        <v>7</v>
      </c>
      <c r="X1581">
        <f>Table1[[#This Row],[customer_purchase count]]*Rules!$B$3</f>
        <v>358.58615384615388</v>
      </c>
      <c r="Y1581" t="str">
        <f>IF(Table1[[#This Row],[customer_subscription]]=1,"Subscribed","Not Subscribed")</f>
        <v>Not Subscribed</v>
      </c>
      <c r="Z1581" t="s">
        <v>194</v>
      </c>
    </row>
    <row r="1582" spans="1:26" x14ac:dyDescent="0.25">
      <c r="A1582">
        <v>1581</v>
      </c>
      <c r="B1582">
        <v>65</v>
      </c>
      <c r="C1582" t="s">
        <v>22</v>
      </c>
      <c r="D1582">
        <v>1581</v>
      </c>
      <c r="E1582" t="s">
        <v>53</v>
      </c>
      <c r="F1582" t="s">
        <v>45</v>
      </c>
      <c r="G1582">
        <v>1581</v>
      </c>
      <c r="H1582">
        <v>2096</v>
      </c>
      <c r="I1582">
        <v>71</v>
      </c>
      <c r="J1582" t="s">
        <v>117</v>
      </c>
      <c r="K1582" t="s">
        <v>26</v>
      </c>
      <c r="L1582" t="s">
        <v>112</v>
      </c>
      <c r="M1582" t="s">
        <v>56</v>
      </c>
      <c r="N1582">
        <v>3.7</v>
      </c>
      <c r="O1582">
        <v>0</v>
      </c>
      <c r="P1582" t="s">
        <v>57</v>
      </c>
      <c r="Q1582" t="s">
        <v>30</v>
      </c>
      <c r="R1582" t="s">
        <v>30</v>
      </c>
      <c r="S1582">
        <v>30</v>
      </c>
      <c r="T1582" t="s">
        <v>36</v>
      </c>
      <c r="U1582" t="s">
        <v>52</v>
      </c>
      <c r="V1582" s="1">
        <v>45488</v>
      </c>
      <c r="W1582">
        <f>Table1[[#This Row],[customer_purchase count]]+1</f>
        <v>31</v>
      </c>
      <c r="X1582">
        <f>Table1[[#This Row],[customer_purchase count]]*Rules!$B$3</f>
        <v>1792.9307692307693</v>
      </c>
      <c r="Y1582" t="str">
        <f>IF(Table1[[#This Row],[customer_subscription]]=1,"Subscribed","Not Subscribed")</f>
        <v>Not Subscribed</v>
      </c>
    </row>
    <row r="1583" spans="1:26" x14ac:dyDescent="0.25">
      <c r="A1583">
        <v>1582</v>
      </c>
      <c r="B1583">
        <v>69</v>
      </c>
      <c r="C1583" t="s">
        <v>22</v>
      </c>
      <c r="D1583">
        <v>1582</v>
      </c>
      <c r="E1583" t="s">
        <v>109</v>
      </c>
      <c r="F1583" t="s">
        <v>70</v>
      </c>
      <c r="G1583">
        <v>1582</v>
      </c>
      <c r="H1583">
        <v>2097</v>
      </c>
      <c r="I1583">
        <v>77</v>
      </c>
      <c r="J1583" t="s">
        <v>126</v>
      </c>
      <c r="K1583" t="s">
        <v>26</v>
      </c>
      <c r="L1583" t="s">
        <v>88</v>
      </c>
      <c r="M1583" t="s">
        <v>60</v>
      </c>
      <c r="N1583">
        <v>4.2</v>
      </c>
      <c r="O1583">
        <v>0</v>
      </c>
      <c r="P1583" t="s">
        <v>41</v>
      </c>
      <c r="Q1583" t="s">
        <v>30</v>
      </c>
      <c r="R1583" t="s">
        <v>30</v>
      </c>
      <c r="S1583">
        <v>46</v>
      </c>
      <c r="T1583" t="s">
        <v>36</v>
      </c>
      <c r="U1583" t="s">
        <v>61</v>
      </c>
      <c r="V1583" s="1">
        <v>45538</v>
      </c>
      <c r="W1583">
        <f>Table1[[#This Row],[customer_purchase count]]+1</f>
        <v>47</v>
      </c>
      <c r="X1583">
        <f>Table1[[#This Row],[customer_purchase count]]*Rules!$B$3</f>
        <v>2749.1605128205128</v>
      </c>
      <c r="Y1583" t="str">
        <f>IF(Table1[[#This Row],[customer_subscription]]=1,"Subscribed","Not Subscribed")</f>
        <v>Not Subscribed</v>
      </c>
    </row>
    <row r="1584" spans="1:26" x14ac:dyDescent="0.25">
      <c r="A1584">
        <v>1583</v>
      </c>
      <c r="B1584">
        <v>28</v>
      </c>
      <c r="C1584" t="s">
        <v>22</v>
      </c>
      <c r="D1584">
        <v>1583</v>
      </c>
      <c r="E1584" t="s">
        <v>136</v>
      </c>
      <c r="F1584" t="s">
        <v>70</v>
      </c>
      <c r="G1584">
        <v>1583</v>
      </c>
      <c r="H1584">
        <v>2098</v>
      </c>
      <c r="I1584">
        <v>41</v>
      </c>
      <c r="J1584" t="s">
        <v>80</v>
      </c>
      <c r="K1584" t="s">
        <v>26</v>
      </c>
      <c r="L1584" t="s">
        <v>111</v>
      </c>
      <c r="M1584" t="s">
        <v>40</v>
      </c>
      <c r="N1584">
        <v>2.5</v>
      </c>
      <c r="O1584">
        <v>0</v>
      </c>
      <c r="P1584" t="s">
        <v>48</v>
      </c>
      <c r="Q1584" t="s">
        <v>30</v>
      </c>
      <c r="R1584" t="s">
        <v>30</v>
      </c>
      <c r="S1584">
        <v>39</v>
      </c>
      <c r="T1584" t="s">
        <v>36</v>
      </c>
      <c r="U1584" t="s">
        <v>91</v>
      </c>
      <c r="V1584" s="1">
        <v>45430</v>
      </c>
      <c r="W1584">
        <f>Table1[[#This Row],[customer_purchase count]]+1</f>
        <v>40</v>
      </c>
      <c r="X1584">
        <f>Table1[[#This Row],[customer_purchase count]]*Rules!$B$3</f>
        <v>2330.81</v>
      </c>
      <c r="Y1584" t="str">
        <f>IF(Table1[[#This Row],[customer_subscription]]=1,"Subscribed","Not Subscribed")</f>
        <v>Not Subscribed</v>
      </c>
    </row>
    <row r="1585" spans="1:26" x14ac:dyDescent="0.25">
      <c r="A1585">
        <v>1584</v>
      </c>
      <c r="B1585">
        <v>37</v>
      </c>
      <c r="C1585" t="s">
        <v>22</v>
      </c>
      <c r="D1585">
        <v>1584</v>
      </c>
      <c r="E1585" t="s">
        <v>122</v>
      </c>
      <c r="F1585" t="s">
        <v>70</v>
      </c>
      <c r="G1585">
        <v>1584</v>
      </c>
      <c r="H1585">
        <v>2099</v>
      </c>
      <c r="I1585">
        <v>92</v>
      </c>
      <c r="J1585" t="s">
        <v>131</v>
      </c>
      <c r="K1585" t="s">
        <v>95</v>
      </c>
      <c r="L1585" t="s">
        <v>137</v>
      </c>
      <c r="M1585" t="s">
        <v>56</v>
      </c>
      <c r="N1585">
        <v>4.3</v>
      </c>
      <c r="O1585">
        <v>0</v>
      </c>
      <c r="P1585" t="s">
        <v>48</v>
      </c>
      <c r="Q1585" t="s">
        <v>30</v>
      </c>
      <c r="R1585" t="s">
        <v>30</v>
      </c>
      <c r="S1585">
        <v>8</v>
      </c>
      <c r="T1585" t="s">
        <v>31</v>
      </c>
      <c r="U1585" t="s">
        <v>52</v>
      </c>
      <c r="V1585" s="1">
        <v>45528</v>
      </c>
      <c r="W1585">
        <f>Table1[[#This Row],[customer_purchase count]]+1</f>
        <v>9</v>
      </c>
      <c r="X1585">
        <f>Table1[[#This Row],[customer_purchase count]]*Rules!$B$3</f>
        <v>478.11487179487182</v>
      </c>
      <c r="Y1585" t="str">
        <f>IF(Table1[[#This Row],[customer_subscription]]=1,"Subscribed","Not Subscribed")</f>
        <v>Not Subscribed</v>
      </c>
      <c r="Z1585" t="s">
        <v>194</v>
      </c>
    </row>
    <row r="1586" spans="1:26" x14ac:dyDescent="0.25">
      <c r="A1586">
        <v>1585</v>
      </c>
      <c r="B1586">
        <v>41</v>
      </c>
      <c r="C1586" t="s">
        <v>22</v>
      </c>
      <c r="D1586">
        <v>1585</v>
      </c>
      <c r="E1586" t="s">
        <v>23</v>
      </c>
      <c r="F1586" t="s">
        <v>24</v>
      </c>
      <c r="G1586">
        <v>1585</v>
      </c>
      <c r="H1586">
        <v>2101</v>
      </c>
      <c r="I1586">
        <v>95</v>
      </c>
      <c r="J1586" t="s">
        <v>80</v>
      </c>
      <c r="K1586" t="s">
        <v>39</v>
      </c>
      <c r="L1586" t="s">
        <v>68</v>
      </c>
      <c r="M1586" t="s">
        <v>40</v>
      </c>
      <c r="N1586">
        <v>3.1</v>
      </c>
      <c r="O1586">
        <v>0</v>
      </c>
      <c r="P1586" t="s">
        <v>77</v>
      </c>
      <c r="Q1586" t="s">
        <v>30</v>
      </c>
      <c r="R1586" t="s">
        <v>30</v>
      </c>
      <c r="S1586">
        <v>46</v>
      </c>
      <c r="T1586" t="s">
        <v>42</v>
      </c>
      <c r="U1586" t="s">
        <v>61</v>
      </c>
      <c r="V1586" s="1">
        <v>45384</v>
      </c>
      <c r="W1586">
        <f>Table1[[#This Row],[customer_purchase count]]+1</f>
        <v>47</v>
      </c>
      <c r="X1586">
        <f>Table1[[#This Row],[customer_purchase count]]*Rules!$B$3</f>
        <v>2749.1605128205128</v>
      </c>
      <c r="Y1586" t="str">
        <f>IF(Table1[[#This Row],[customer_subscription]]=1,"Subscribed","Not Subscribed")</f>
        <v>Not Subscribed</v>
      </c>
    </row>
    <row r="1587" spans="1:26" x14ac:dyDescent="0.25">
      <c r="A1587">
        <v>1586</v>
      </c>
      <c r="B1587">
        <v>37</v>
      </c>
      <c r="C1587" t="s">
        <v>22</v>
      </c>
      <c r="D1587">
        <v>1586</v>
      </c>
      <c r="E1587" t="s">
        <v>33</v>
      </c>
      <c r="F1587" t="s">
        <v>24</v>
      </c>
      <c r="G1587">
        <v>1586</v>
      </c>
      <c r="H1587">
        <v>2102</v>
      </c>
      <c r="I1587">
        <v>25</v>
      </c>
      <c r="J1587" t="s">
        <v>93</v>
      </c>
      <c r="K1587" t="s">
        <v>47</v>
      </c>
      <c r="L1587" t="s">
        <v>64</v>
      </c>
      <c r="M1587" t="s">
        <v>60</v>
      </c>
      <c r="N1587">
        <v>3</v>
      </c>
      <c r="O1587">
        <v>0</v>
      </c>
      <c r="P1587" t="s">
        <v>48</v>
      </c>
      <c r="Q1587" t="s">
        <v>30</v>
      </c>
      <c r="R1587" t="s">
        <v>30</v>
      </c>
      <c r="S1587">
        <v>40</v>
      </c>
      <c r="T1587" t="s">
        <v>89</v>
      </c>
      <c r="U1587" t="s">
        <v>32</v>
      </c>
      <c r="V1587" s="1">
        <v>45597</v>
      </c>
      <c r="W1587">
        <f>Table1[[#This Row],[customer_purchase count]]+1</f>
        <v>41</v>
      </c>
      <c r="X1587">
        <f>Table1[[#This Row],[customer_purchase count]]*Rules!$B$3</f>
        <v>2390.5743589743593</v>
      </c>
      <c r="Y1587" t="str">
        <f>IF(Table1[[#This Row],[customer_subscription]]=1,"Subscribed","Not Subscribed")</f>
        <v>Not Subscribed</v>
      </c>
    </row>
    <row r="1588" spans="1:26" x14ac:dyDescent="0.25">
      <c r="A1588">
        <v>1587</v>
      </c>
      <c r="B1588">
        <v>25</v>
      </c>
      <c r="C1588" t="s">
        <v>22</v>
      </c>
      <c r="D1588">
        <v>1587</v>
      </c>
      <c r="E1588" t="s">
        <v>140</v>
      </c>
      <c r="F1588" t="s">
        <v>45</v>
      </c>
      <c r="G1588">
        <v>1587</v>
      </c>
      <c r="H1588">
        <v>2103</v>
      </c>
      <c r="I1588">
        <v>77</v>
      </c>
      <c r="J1588" t="s">
        <v>104</v>
      </c>
      <c r="K1588" t="s">
        <v>47</v>
      </c>
      <c r="L1588" t="s">
        <v>76</v>
      </c>
      <c r="M1588" t="s">
        <v>60</v>
      </c>
      <c r="N1588">
        <v>4</v>
      </c>
      <c r="O1588">
        <v>0</v>
      </c>
      <c r="P1588" t="s">
        <v>29</v>
      </c>
      <c r="Q1588" t="s">
        <v>30</v>
      </c>
      <c r="R1588" t="s">
        <v>30</v>
      </c>
      <c r="S1588">
        <v>21</v>
      </c>
      <c r="T1588" t="s">
        <v>78</v>
      </c>
      <c r="U1588" t="s">
        <v>43</v>
      </c>
      <c r="V1588" s="1">
        <v>45610</v>
      </c>
      <c r="W1588">
        <f>Table1[[#This Row],[customer_purchase count]]+1</f>
        <v>22</v>
      </c>
      <c r="X1588">
        <f>Table1[[#This Row],[customer_purchase count]]*Rules!$B$3</f>
        <v>1255.0515384615385</v>
      </c>
      <c r="Y1588" t="str">
        <f>IF(Table1[[#This Row],[customer_subscription]]=1,"Subscribed","Not Subscribed")</f>
        <v>Not Subscribed</v>
      </c>
    </row>
    <row r="1589" spans="1:26" x14ac:dyDescent="0.25">
      <c r="A1589">
        <v>1588</v>
      </c>
      <c r="B1589">
        <v>41</v>
      </c>
      <c r="C1589" t="s">
        <v>22</v>
      </c>
      <c r="D1589">
        <v>1588</v>
      </c>
      <c r="E1589" t="s">
        <v>128</v>
      </c>
      <c r="F1589" t="s">
        <v>24</v>
      </c>
      <c r="G1589">
        <v>1588</v>
      </c>
      <c r="H1589">
        <v>2104</v>
      </c>
      <c r="I1589">
        <v>99</v>
      </c>
      <c r="J1589" t="s">
        <v>93</v>
      </c>
      <c r="K1589" t="s">
        <v>47</v>
      </c>
      <c r="L1589" t="s">
        <v>121</v>
      </c>
      <c r="M1589" t="s">
        <v>56</v>
      </c>
      <c r="N1589">
        <v>3.5</v>
      </c>
      <c r="O1589">
        <v>0</v>
      </c>
      <c r="P1589" t="s">
        <v>41</v>
      </c>
      <c r="Q1589" t="s">
        <v>30</v>
      </c>
      <c r="R1589" t="s">
        <v>30</v>
      </c>
      <c r="S1589">
        <v>33</v>
      </c>
      <c r="T1589" t="s">
        <v>42</v>
      </c>
      <c r="U1589" t="s">
        <v>32</v>
      </c>
      <c r="V1589" s="1">
        <v>45460</v>
      </c>
      <c r="W1589">
        <f>Table1[[#This Row],[customer_purchase count]]+1</f>
        <v>34</v>
      </c>
      <c r="X1589">
        <f>Table1[[#This Row],[customer_purchase count]]*Rules!$B$3</f>
        <v>1972.2238461538464</v>
      </c>
      <c r="Y1589" t="str">
        <f>IF(Table1[[#This Row],[customer_subscription]]=1,"Subscribed","Not Subscribed")</f>
        <v>Not Subscribed</v>
      </c>
    </row>
    <row r="1590" spans="1:26" x14ac:dyDescent="0.25">
      <c r="A1590">
        <v>1589</v>
      </c>
      <c r="B1590">
        <v>48</v>
      </c>
      <c r="C1590" t="s">
        <v>22</v>
      </c>
      <c r="D1590">
        <v>1589</v>
      </c>
      <c r="E1590" t="s">
        <v>136</v>
      </c>
      <c r="F1590" t="s">
        <v>70</v>
      </c>
      <c r="G1590">
        <v>1589</v>
      </c>
      <c r="H1590">
        <v>2105</v>
      </c>
      <c r="I1590">
        <v>24</v>
      </c>
      <c r="J1590" t="s">
        <v>132</v>
      </c>
      <c r="K1590" t="s">
        <v>26</v>
      </c>
      <c r="L1590" t="s">
        <v>112</v>
      </c>
      <c r="M1590" t="s">
        <v>28</v>
      </c>
      <c r="N1590">
        <v>3.2</v>
      </c>
      <c r="O1590">
        <v>0</v>
      </c>
      <c r="P1590" t="s">
        <v>48</v>
      </c>
      <c r="Q1590" t="s">
        <v>30</v>
      </c>
      <c r="R1590" t="s">
        <v>30</v>
      </c>
      <c r="S1590">
        <v>3</v>
      </c>
      <c r="T1590" t="s">
        <v>31</v>
      </c>
      <c r="U1590" t="s">
        <v>91</v>
      </c>
      <c r="V1590" s="1">
        <v>45317</v>
      </c>
      <c r="W1590">
        <f>Table1[[#This Row],[customer_purchase count]]+1</f>
        <v>4</v>
      </c>
      <c r="X1590">
        <f>Table1[[#This Row],[customer_purchase count]]*Rules!$B$3</f>
        <v>179.29307692307694</v>
      </c>
      <c r="Y1590" t="str">
        <f>IF(Table1[[#This Row],[customer_subscription]]=1,"Subscribed","Not Subscribed")</f>
        <v>Not Subscribed</v>
      </c>
      <c r="Z1590" t="s">
        <v>194</v>
      </c>
    </row>
    <row r="1591" spans="1:26" x14ac:dyDescent="0.25">
      <c r="A1591">
        <v>1590</v>
      </c>
      <c r="B1591">
        <v>42</v>
      </c>
      <c r="C1591" t="s">
        <v>22</v>
      </c>
      <c r="D1591">
        <v>1590</v>
      </c>
      <c r="E1591" t="s">
        <v>53</v>
      </c>
      <c r="F1591" t="s">
        <v>45</v>
      </c>
      <c r="G1591">
        <v>1590</v>
      </c>
      <c r="H1591">
        <v>2107</v>
      </c>
      <c r="I1591">
        <v>72</v>
      </c>
      <c r="J1591" t="s">
        <v>126</v>
      </c>
      <c r="K1591" t="s">
        <v>47</v>
      </c>
      <c r="L1591" t="s">
        <v>68</v>
      </c>
      <c r="M1591" t="s">
        <v>56</v>
      </c>
      <c r="N1591">
        <v>2.7</v>
      </c>
      <c r="O1591">
        <v>0</v>
      </c>
      <c r="P1591" t="s">
        <v>77</v>
      </c>
      <c r="Q1591" t="s">
        <v>30</v>
      </c>
      <c r="R1591" t="s">
        <v>30</v>
      </c>
      <c r="S1591">
        <v>48</v>
      </c>
      <c r="T1591" t="s">
        <v>36</v>
      </c>
      <c r="U1591" t="s">
        <v>43</v>
      </c>
      <c r="V1591" s="1">
        <v>45514</v>
      </c>
      <c r="W1591">
        <f>Table1[[#This Row],[customer_purchase count]]+1</f>
        <v>49</v>
      </c>
      <c r="X1591">
        <f>Table1[[#This Row],[customer_purchase count]]*Rules!$B$3</f>
        <v>2868.689230769231</v>
      </c>
      <c r="Y1591" t="str">
        <f>IF(Table1[[#This Row],[customer_subscription]]=1,"Subscribed","Not Subscribed")</f>
        <v>Not Subscribed</v>
      </c>
    </row>
    <row r="1592" spans="1:26" x14ac:dyDescent="0.25">
      <c r="A1592">
        <v>1591</v>
      </c>
      <c r="B1592">
        <v>54</v>
      </c>
      <c r="C1592" t="s">
        <v>22</v>
      </c>
      <c r="D1592">
        <v>1591</v>
      </c>
      <c r="E1592" t="s">
        <v>37</v>
      </c>
      <c r="F1592" t="s">
        <v>24</v>
      </c>
      <c r="G1592">
        <v>1591</v>
      </c>
      <c r="H1592">
        <v>2108</v>
      </c>
      <c r="I1592">
        <v>80</v>
      </c>
      <c r="J1592" t="s">
        <v>153</v>
      </c>
      <c r="K1592" t="s">
        <v>39</v>
      </c>
      <c r="L1592" t="s">
        <v>72</v>
      </c>
      <c r="M1592" t="s">
        <v>28</v>
      </c>
      <c r="N1592">
        <v>3</v>
      </c>
      <c r="O1592">
        <v>0</v>
      </c>
      <c r="P1592" t="s">
        <v>41</v>
      </c>
      <c r="Q1592" t="s">
        <v>30</v>
      </c>
      <c r="R1592" t="s">
        <v>30</v>
      </c>
      <c r="S1592">
        <v>8</v>
      </c>
      <c r="T1592" t="s">
        <v>49</v>
      </c>
      <c r="U1592" t="s">
        <v>52</v>
      </c>
      <c r="V1592" s="1">
        <v>45293</v>
      </c>
      <c r="W1592">
        <f>Table1[[#This Row],[customer_purchase count]]+1</f>
        <v>9</v>
      </c>
      <c r="X1592">
        <f>Table1[[#This Row],[customer_purchase count]]*Rules!$B$3</f>
        <v>478.11487179487182</v>
      </c>
      <c r="Y1592" t="str">
        <f>IF(Table1[[#This Row],[customer_subscription]]=1,"Subscribed","Not Subscribed")</f>
        <v>Not Subscribed</v>
      </c>
      <c r="Z1592" t="s">
        <v>194</v>
      </c>
    </row>
    <row r="1593" spans="1:26" x14ac:dyDescent="0.25">
      <c r="A1593">
        <v>1592</v>
      </c>
      <c r="B1593">
        <v>18</v>
      </c>
      <c r="C1593" t="s">
        <v>22</v>
      </c>
      <c r="D1593">
        <v>1592</v>
      </c>
      <c r="E1593" t="s">
        <v>90</v>
      </c>
      <c r="F1593" t="s">
        <v>24</v>
      </c>
      <c r="G1593">
        <v>1592</v>
      </c>
      <c r="H1593">
        <v>2109</v>
      </c>
      <c r="I1593">
        <v>100</v>
      </c>
      <c r="J1593" t="s">
        <v>150</v>
      </c>
      <c r="K1593" t="s">
        <v>26</v>
      </c>
      <c r="L1593" t="s">
        <v>83</v>
      </c>
      <c r="M1593" t="s">
        <v>28</v>
      </c>
      <c r="N1593">
        <v>2.9</v>
      </c>
      <c r="O1593">
        <v>0</v>
      </c>
      <c r="P1593" t="s">
        <v>48</v>
      </c>
      <c r="Q1593" t="s">
        <v>30</v>
      </c>
      <c r="R1593" t="s">
        <v>30</v>
      </c>
      <c r="S1593">
        <v>24</v>
      </c>
      <c r="T1593" t="s">
        <v>49</v>
      </c>
      <c r="U1593" t="s">
        <v>52</v>
      </c>
      <c r="V1593" s="1">
        <v>45635</v>
      </c>
      <c r="W1593">
        <f>Table1[[#This Row],[customer_purchase count]]+1</f>
        <v>25</v>
      </c>
      <c r="X1593">
        <f>Table1[[#This Row],[customer_purchase count]]*Rules!$B$3</f>
        <v>1434.3446153846155</v>
      </c>
      <c r="Y1593" t="str">
        <f>IF(Table1[[#This Row],[customer_subscription]]=1,"Subscribed","Not Subscribed")</f>
        <v>Not Subscribed</v>
      </c>
    </row>
    <row r="1594" spans="1:26" x14ac:dyDescent="0.25">
      <c r="A1594">
        <v>1593</v>
      </c>
      <c r="B1594">
        <v>56</v>
      </c>
      <c r="C1594" t="s">
        <v>22</v>
      </c>
      <c r="D1594">
        <v>1593</v>
      </c>
      <c r="E1594" t="s">
        <v>74</v>
      </c>
      <c r="F1594" t="s">
        <v>45</v>
      </c>
      <c r="G1594">
        <v>1593</v>
      </c>
      <c r="H1594">
        <v>2110</v>
      </c>
      <c r="I1594">
        <v>83</v>
      </c>
      <c r="J1594" t="s">
        <v>149</v>
      </c>
      <c r="K1594" t="s">
        <v>47</v>
      </c>
      <c r="L1594" t="s">
        <v>112</v>
      </c>
      <c r="M1594" t="s">
        <v>56</v>
      </c>
      <c r="N1594">
        <v>3.3</v>
      </c>
      <c r="O1594">
        <v>0</v>
      </c>
      <c r="P1594" t="s">
        <v>41</v>
      </c>
      <c r="Q1594" t="s">
        <v>30</v>
      </c>
      <c r="R1594" t="s">
        <v>30</v>
      </c>
      <c r="S1594">
        <v>10</v>
      </c>
      <c r="T1594" t="s">
        <v>78</v>
      </c>
      <c r="U1594" t="s">
        <v>100</v>
      </c>
      <c r="V1594" s="1">
        <v>45455</v>
      </c>
      <c r="W1594">
        <f>Table1[[#This Row],[customer_purchase count]]+1</f>
        <v>11</v>
      </c>
      <c r="X1594">
        <f>Table1[[#This Row],[customer_purchase count]]*Rules!$B$3</f>
        <v>597.64358974358981</v>
      </c>
      <c r="Y1594" t="str">
        <f>IF(Table1[[#This Row],[customer_subscription]]=1,"Subscribed","Not Subscribed")</f>
        <v>Not Subscribed</v>
      </c>
      <c r="Z1594" t="s">
        <v>194</v>
      </c>
    </row>
    <row r="1595" spans="1:26" x14ac:dyDescent="0.25">
      <c r="A1595">
        <v>1594</v>
      </c>
      <c r="B1595">
        <v>61</v>
      </c>
      <c r="C1595" t="s">
        <v>22</v>
      </c>
      <c r="D1595">
        <v>1594</v>
      </c>
      <c r="E1595" t="s">
        <v>84</v>
      </c>
      <c r="F1595" t="s">
        <v>24</v>
      </c>
      <c r="G1595">
        <v>1594</v>
      </c>
      <c r="H1595">
        <v>2111</v>
      </c>
      <c r="I1595">
        <v>95</v>
      </c>
      <c r="J1595" t="s">
        <v>131</v>
      </c>
      <c r="K1595" t="s">
        <v>47</v>
      </c>
      <c r="L1595" t="s">
        <v>97</v>
      </c>
      <c r="M1595" t="s">
        <v>40</v>
      </c>
      <c r="N1595">
        <v>4.9000000000000004</v>
      </c>
      <c r="O1595">
        <v>0</v>
      </c>
      <c r="P1595" t="s">
        <v>73</v>
      </c>
      <c r="Q1595" t="s">
        <v>30</v>
      </c>
      <c r="R1595" t="s">
        <v>30</v>
      </c>
      <c r="S1595">
        <v>25</v>
      </c>
      <c r="T1595" t="s">
        <v>78</v>
      </c>
      <c r="U1595" t="s">
        <v>91</v>
      </c>
      <c r="V1595" s="1">
        <v>45364</v>
      </c>
      <c r="W1595">
        <f>Table1[[#This Row],[customer_purchase count]]+1</f>
        <v>26</v>
      </c>
      <c r="X1595">
        <f>Table1[[#This Row],[customer_purchase count]]*Rules!$B$3</f>
        <v>1494.1089743589744</v>
      </c>
      <c r="Y1595" t="str">
        <f>IF(Table1[[#This Row],[customer_subscription]]=1,"Subscribed","Not Subscribed")</f>
        <v>Not Subscribed</v>
      </c>
    </row>
    <row r="1596" spans="1:26" x14ac:dyDescent="0.25">
      <c r="A1596">
        <v>1595</v>
      </c>
      <c r="B1596">
        <v>40</v>
      </c>
      <c r="C1596" t="s">
        <v>22</v>
      </c>
      <c r="D1596">
        <v>1595</v>
      </c>
      <c r="E1596" t="s">
        <v>69</v>
      </c>
      <c r="F1596" t="s">
        <v>70</v>
      </c>
      <c r="G1596">
        <v>1595</v>
      </c>
      <c r="H1596">
        <v>2113</v>
      </c>
      <c r="I1596">
        <v>41</v>
      </c>
      <c r="J1596" t="s">
        <v>115</v>
      </c>
      <c r="K1596" t="s">
        <v>95</v>
      </c>
      <c r="L1596" t="s">
        <v>64</v>
      </c>
      <c r="M1596" t="s">
        <v>56</v>
      </c>
      <c r="N1596">
        <v>3.7</v>
      </c>
      <c r="O1596">
        <v>0</v>
      </c>
      <c r="P1596" t="s">
        <v>77</v>
      </c>
      <c r="Q1596" t="s">
        <v>30</v>
      </c>
      <c r="R1596" t="s">
        <v>30</v>
      </c>
      <c r="S1596">
        <v>3</v>
      </c>
      <c r="T1596" t="s">
        <v>36</v>
      </c>
      <c r="U1596" t="s">
        <v>32</v>
      </c>
      <c r="V1596" s="1">
        <v>45462</v>
      </c>
      <c r="W1596">
        <f>Table1[[#This Row],[customer_purchase count]]+1</f>
        <v>4</v>
      </c>
      <c r="X1596">
        <f>Table1[[#This Row],[customer_purchase count]]*Rules!$B$3</f>
        <v>179.29307692307694</v>
      </c>
      <c r="Y1596" t="str">
        <f>IF(Table1[[#This Row],[customer_subscription]]=1,"Subscribed","Not Subscribed")</f>
        <v>Not Subscribed</v>
      </c>
      <c r="Z1596" t="s">
        <v>194</v>
      </c>
    </row>
    <row r="1597" spans="1:26" x14ac:dyDescent="0.25">
      <c r="A1597">
        <v>1596</v>
      </c>
      <c r="B1597">
        <v>34</v>
      </c>
      <c r="C1597" t="s">
        <v>22</v>
      </c>
      <c r="D1597">
        <v>1596</v>
      </c>
      <c r="E1597" t="s">
        <v>135</v>
      </c>
      <c r="F1597" t="s">
        <v>70</v>
      </c>
      <c r="G1597">
        <v>1596</v>
      </c>
      <c r="H1597">
        <v>2114</v>
      </c>
      <c r="I1597">
        <v>35</v>
      </c>
      <c r="J1597" t="s">
        <v>153</v>
      </c>
      <c r="K1597" t="s">
        <v>39</v>
      </c>
      <c r="L1597" t="s">
        <v>139</v>
      </c>
      <c r="M1597" t="s">
        <v>40</v>
      </c>
      <c r="N1597">
        <v>3.5</v>
      </c>
      <c r="O1597">
        <v>0</v>
      </c>
      <c r="P1597" t="s">
        <v>57</v>
      </c>
      <c r="Q1597" t="s">
        <v>30</v>
      </c>
      <c r="R1597" t="s">
        <v>30</v>
      </c>
      <c r="S1597">
        <v>45</v>
      </c>
      <c r="T1597" t="s">
        <v>89</v>
      </c>
      <c r="U1597" t="s">
        <v>32</v>
      </c>
      <c r="V1597" s="1">
        <v>45383</v>
      </c>
      <c r="W1597">
        <f>Table1[[#This Row],[customer_purchase count]]+1</f>
        <v>46</v>
      </c>
      <c r="X1597">
        <f>Table1[[#This Row],[customer_purchase count]]*Rules!$B$3</f>
        <v>2689.396153846154</v>
      </c>
      <c r="Y1597" t="str">
        <f>IF(Table1[[#This Row],[customer_subscription]]=1,"Subscribed","Not Subscribed")</f>
        <v>Not Subscribed</v>
      </c>
    </row>
    <row r="1598" spans="1:26" x14ac:dyDescent="0.25">
      <c r="A1598">
        <v>1597</v>
      </c>
      <c r="B1598">
        <v>42</v>
      </c>
      <c r="C1598" t="s">
        <v>22</v>
      </c>
      <c r="D1598">
        <v>1597</v>
      </c>
      <c r="E1598" t="s">
        <v>109</v>
      </c>
      <c r="F1598" t="s">
        <v>70</v>
      </c>
      <c r="G1598">
        <v>1597</v>
      </c>
      <c r="H1598">
        <v>2115</v>
      </c>
      <c r="I1598">
        <v>30</v>
      </c>
      <c r="J1598" t="s">
        <v>94</v>
      </c>
      <c r="K1598" t="s">
        <v>39</v>
      </c>
      <c r="L1598" t="s">
        <v>72</v>
      </c>
      <c r="M1598" t="s">
        <v>60</v>
      </c>
      <c r="N1598">
        <v>4.7</v>
      </c>
      <c r="O1598">
        <v>0</v>
      </c>
      <c r="P1598" t="s">
        <v>77</v>
      </c>
      <c r="Q1598" t="s">
        <v>30</v>
      </c>
      <c r="R1598" t="s">
        <v>30</v>
      </c>
      <c r="S1598">
        <v>15</v>
      </c>
      <c r="T1598" t="s">
        <v>89</v>
      </c>
      <c r="U1598" t="s">
        <v>91</v>
      </c>
      <c r="V1598" s="1">
        <v>45577</v>
      </c>
      <c r="W1598">
        <f>Table1[[#This Row],[customer_purchase count]]+1</f>
        <v>16</v>
      </c>
      <c r="X1598">
        <f>Table1[[#This Row],[customer_purchase count]]*Rules!$B$3</f>
        <v>896.46538461538466</v>
      </c>
      <c r="Y1598" t="str">
        <f>IF(Table1[[#This Row],[customer_subscription]]=1,"Subscribed","Not Subscribed")</f>
        <v>Not Subscribed</v>
      </c>
      <c r="Z1598" t="s">
        <v>194</v>
      </c>
    </row>
    <row r="1599" spans="1:26" x14ac:dyDescent="0.25">
      <c r="A1599">
        <v>1598</v>
      </c>
      <c r="B1599">
        <v>43</v>
      </c>
      <c r="C1599" t="s">
        <v>22</v>
      </c>
      <c r="D1599">
        <v>1598</v>
      </c>
      <c r="E1599" t="s">
        <v>127</v>
      </c>
      <c r="F1599" t="s">
        <v>70</v>
      </c>
      <c r="G1599">
        <v>1598</v>
      </c>
      <c r="H1599">
        <v>2116</v>
      </c>
      <c r="I1599">
        <v>21</v>
      </c>
      <c r="J1599" t="s">
        <v>94</v>
      </c>
      <c r="K1599" t="s">
        <v>95</v>
      </c>
      <c r="L1599" t="s">
        <v>35</v>
      </c>
      <c r="M1599" t="s">
        <v>28</v>
      </c>
      <c r="N1599">
        <v>2.6</v>
      </c>
      <c r="O1599">
        <v>0</v>
      </c>
      <c r="P1599" t="s">
        <v>77</v>
      </c>
      <c r="Q1599" t="s">
        <v>30</v>
      </c>
      <c r="R1599" t="s">
        <v>30</v>
      </c>
      <c r="S1599">
        <v>34</v>
      </c>
      <c r="T1599" t="s">
        <v>78</v>
      </c>
      <c r="U1599" t="s">
        <v>61</v>
      </c>
      <c r="V1599" s="1">
        <v>45303</v>
      </c>
      <c r="W1599">
        <f>Table1[[#This Row],[customer_purchase count]]+1</f>
        <v>35</v>
      </c>
      <c r="X1599">
        <f>Table1[[#This Row],[customer_purchase count]]*Rules!$B$3</f>
        <v>2031.9882051282052</v>
      </c>
      <c r="Y1599" t="str">
        <f>IF(Table1[[#This Row],[customer_subscription]]=1,"Subscribed","Not Subscribed")</f>
        <v>Not Subscribed</v>
      </c>
    </row>
    <row r="1600" spans="1:26" x14ac:dyDescent="0.25">
      <c r="A1600">
        <v>1599</v>
      </c>
      <c r="B1600">
        <v>47</v>
      </c>
      <c r="C1600" t="s">
        <v>22</v>
      </c>
      <c r="D1600">
        <v>1599</v>
      </c>
      <c r="E1600" t="s">
        <v>109</v>
      </c>
      <c r="F1600" t="s">
        <v>70</v>
      </c>
      <c r="G1600">
        <v>1599</v>
      </c>
      <c r="H1600">
        <v>2117</v>
      </c>
      <c r="I1600">
        <v>85</v>
      </c>
      <c r="J1600" t="s">
        <v>102</v>
      </c>
      <c r="K1600" t="s">
        <v>47</v>
      </c>
      <c r="L1600" t="s">
        <v>88</v>
      </c>
      <c r="M1600" t="s">
        <v>60</v>
      </c>
      <c r="N1600">
        <v>4.0999999999999996</v>
      </c>
      <c r="O1600">
        <v>0</v>
      </c>
      <c r="P1600" t="s">
        <v>29</v>
      </c>
      <c r="Q1600" t="s">
        <v>30</v>
      </c>
      <c r="R1600" t="s">
        <v>30</v>
      </c>
      <c r="S1600">
        <v>21</v>
      </c>
      <c r="T1600" t="s">
        <v>31</v>
      </c>
      <c r="U1600" t="s">
        <v>79</v>
      </c>
      <c r="V1600" s="1">
        <v>45618</v>
      </c>
      <c r="W1600">
        <f>Table1[[#This Row],[customer_purchase count]]+1</f>
        <v>22</v>
      </c>
      <c r="X1600">
        <f>Table1[[#This Row],[customer_purchase count]]*Rules!$B$3</f>
        <v>1255.0515384615385</v>
      </c>
      <c r="Y1600" t="str">
        <f>IF(Table1[[#This Row],[customer_subscription]]=1,"Subscribed","Not Subscribed")</f>
        <v>Not Subscribed</v>
      </c>
    </row>
    <row r="1601" spans="1:26" x14ac:dyDescent="0.25">
      <c r="A1601">
        <v>1600</v>
      </c>
      <c r="B1601">
        <v>48</v>
      </c>
      <c r="C1601" t="s">
        <v>22</v>
      </c>
      <c r="D1601">
        <v>1600</v>
      </c>
      <c r="E1601" t="s">
        <v>58</v>
      </c>
      <c r="F1601" t="s">
        <v>24</v>
      </c>
      <c r="G1601">
        <v>1600</v>
      </c>
      <c r="H1601">
        <v>2119</v>
      </c>
      <c r="I1601">
        <v>54</v>
      </c>
      <c r="J1601" t="s">
        <v>82</v>
      </c>
      <c r="K1601" t="s">
        <v>47</v>
      </c>
      <c r="L1601" t="s">
        <v>124</v>
      </c>
      <c r="M1601" t="s">
        <v>28</v>
      </c>
      <c r="N1601">
        <v>2.8</v>
      </c>
      <c r="O1601">
        <v>0</v>
      </c>
      <c r="P1601" t="s">
        <v>73</v>
      </c>
      <c r="Q1601" t="s">
        <v>30</v>
      </c>
      <c r="R1601" t="s">
        <v>30</v>
      </c>
      <c r="S1601">
        <v>22</v>
      </c>
      <c r="T1601" t="s">
        <v>89</v>
      </c>
      <c r="U1601" t="s">
        <v>79</v>
      </c>
      <c r="V1601" s="1">
        <v>45653</v>
      </c>
      <c r="W1601">
        <f>Table1[[#This Row],[customer_purchase count]]+1</f>
        <v>23</v>
      </c>
      <c r="X1601">
        <f>Table1[[#This Row],[customer_purchase count]]*Rules!$B$3</f>
        <v>1314.8158974358976</v>
      </c>
      <c r="Y1601" t="str">
        <f>IF(Table1[[#This Row],[customer_subscription]]=1,"Subscribed","Not Subscribed")</f>
        <v>Not Subscribed</v>
      </c>
    </row>
    <row r="1602" spans="1:26" x14ac:dyDescent="0.25">
      <c r="A1602">
        <v>1601</v>
      </c>
      <c r="B1602">
        <v>20</v>
      </c>
      <c r="C1602" t="s">
        <v>22</v>
      </c>
      <c r="D1602">
        <v>1601</v>
      </c>
      <c r="E1602" t="s">
        <v>140</v>
      </c>
      <c r="F1602" t="s">
        <v>45</v>
      </c>
      <c r="G1602">
        <v>1601</v>
      </c>
      <c r="H1602">
        <v>2120</v>
      </c>
      <c r="I1602">
        <v>26</v>
      </c>
      <c r="J1602" t="s">
        <v>59</v>
      </c>
      <c r="K1602" t="s">
        <v>39</v>
      </c>
      <c r="L1602" t="s">
        <v>137</v>
      </c>
      <c r="M1602" t="s">
        <v>40</v>
      </c>
      <c r="N1602">
        <v>4.7</v>
      </c>
      <c r="O1602">
        <v>0</v>
      </c>
      <c r="P1602" t="s">
        <v>48</v>
      </c>
      <c r="Q1602" t="s">
        <v>30</v>
      </c>
      <c r="R1602" t="s">
        <v>30</v>
      </c>
      <c r="S1602">
        <v>24</v>
      </c>
      <c r="T1602" t="s">
        <v>49</v>
      </c>
      <c r="U1602" t="s">
        <v>43</v>
      </c>
      <c r="V1602" s="1">
        <v>45355</v>
      </c>
      <c r="W1602">
        <f>Table1[[#This Row],[customer_purchase count]]+1</f>
        <v>25</v>
      </c>
      <c r="X1602">
        <f>Table1[[#This Row],[customer_purchase count]]*Rules!$B$3</f>
        <v>1434.3446153846155</v>
      </c>
      <c r="Y1602" t="str">
        <f>IF(Table1[[#This Row],[customer_subscription]]=1,"Subscribed","Not Subscribed")</f>
        <v>Not Subscribed</v>
      </c>
    </row>
    <row r="1603" spans="1:26" x14ac:dyDescent="0.25">
      <c r="A1603">
        <v>1602</v>
      </c>
      <c r="B1603">
        <v>65</v>
      </c>
      <c r="C1603" t="s">
        <v>22</v>
      </c>
      <c r="D1603">
        <v>1602</v>
      </c>
      <c r="E1603" t="s">
        <v>58</v>
      </c>
      <c r="F1603" t="s">
        <v>24</v>
      </c>
      <c r="G1603">
        <v>1602</v>
      </c>
      <c r="H1603">
        <v>2121</v>
      </c>
      <c r="I1603">
        <v>59</v>
      </c>
      <c r="J1603" t="s">
        <v>119</v>
      </c>
      <c r="K1603" t="s">
        <v>95</v>
      </c>
      <c r="L1603" t="s">
        <v>111</v>
      </c>
      <c r="M1603" t="s">
        <v>40</v>
      </c>
      <c r="N1603">
        <v>2.9</v>
      </c>
      <c r="O1603">
        <v>0</v>
      </c>
      <c r="P1603" t="s">
        <v>77</v>
      </c>
      <c r="Q1603" t="s">
        <v>30</v>
      </c>
      <c r="R1603" t="s">
        <v>30</v>
      </c>
      <c r="S1603">
        <v>33</v>
      </c>
      <c r="T1603" t="s">
        <v>42</v>
      </c>
      <c r="U1603" t="s">
        <v>91</v>
      </c>
      <c r="V1603" s="1">
        <v>45440</v>
      </c>
      <c r="W1603">
        <f>Table1[[#This Row],[customer_purchase count]]+1</f>
        <v>34</v>
      </c>
      <c r="X1603">
        <f>Table1[[#This Row],[customer_purchase count]]*Rules!$B$3</f>
        <v>1972.2238461538464</v>
      </c>
      <c r="Y1603" t="str">
        <f>IF(Table1[[#This Row],[customer_subscription]]=1,"Subscribed","Not Subscribed")</f>
        <v>Not Subscribed</v>
      </c>
    </row>
    <row r="1604" spans="1:26" x14ac:dyDescent="0.25">
      <c r="A1604">
        <v>1603</v>
      </c>
      <c r="B1604">
        <v>54</v>
      </c>
      <c r="C1604" t="s">
        <v>22</v>
      </c>
      <c r="D1604">
        <v>1603</v>
      </c>
      <c r="E1604" t="s">
        <v>92</v>
      </c>
      <c r="F1604" t="s">
        <v>70</v>
      </c>
      <c r="G1604">
        <v>1603</v>
      </c>
      <c r="H1604">
        <v>2122</v>
      </c>
      <c r="I1604">
        <v>48</v>
      </c>
      <c r="J1604" t="s">
        <v>67</v>
      </c>
      <c r="K1604" t="s">
        <v>39</v>
      </c>
      <c r="L1604" t="s">
        <v>64</v>
      </c>
      <c r="M1604" t="s">
        <v>28</v>
      </c>
      <c r="N1604">
        <v>2.8</v>
      </c>
      <c r="O1604">
        <v>0</v>
      </c>
      <c r="P1604" t="s">
        <v>41</v>
      </c>
      <c r="Q1604" t="s">
        <v>30</v>
      </c>
      <c r="R1604" t="s">
        <v>30</v>
      </c>
      <c r="S1604">
        <v>13</v>
      </c>
      <c r="T1604" t="s">
        <v>31</v>
      </c>
      <c r="U1604" t="s">
        <v>32</v>
      </c>
      <c r="V1604" s="1">
        <v>45311</v>
      </c>
      <c r="W1604">
        <f>Table1[[#This Row],[customer_purchase count]]+1</f>
        <v>14</v>
      </c>
      <c r="X1604">
        <f>Table1[[#This Row],[customer_purchase count]]*Rules!$B$3</f>
        <v>776.93666666666672</v>
      </c>
      <c r="Y1604" t="str">
        <f>IF(Table1[[#This Row],[customer_subscription]]=1,"Subscribed","Not Subscribed")</f>
        <v>Not Subscribed</v>
      </c>
      <c r="Z1604" t="s">
        <v>194</v>
      </c>
    </row>
    <row r="1605" spans="1:26" x14ac:dyDescent="0.25">
      <c r="A1605">
        <v>1604</v>
      </c>
      <c r="B1605">
        <v>23</v>
      </c>
      <c r="C1605" t="s">
        <v>22</v>
      </c>
      <c r="D1605">
        <v>1604</v>
      </c>
      <c r="E1605" t="s">
        <v>62</v>
      </c>
      <c r="F1605" t="s">
        <v>24</v>
      </c>
      <c r="G1605">
        <v>1604</v>
      </c>
      <c r="H1605">
        <v>2123</v>
      </c>
      <c r="I1605">
        <v>98</v>
      </c>
      <c r="J1605" t="s">
        <v>149</v>
      </c>
      <c r="K1605" t="s">
        <v>26</v>
      </c>
      <c r="L1605" t="s">
        <v>97</v>
      </c>
      <c r="M1605" t="s">
        <v>56</v>
      </c>
      <c r="N1605">
        <v>4.3</v>
      </c>
      <c r="O1605">
        <v>0</v>
      </c>
      <c r="P1605" t="s">
        <v>48</v>
      </c>
      <c r="Q1605" t="s">
        <v>30</v>
      </c>
      <c r="R1605" t="s">
        <v>30</v>
      </c>
      <c r="S1605">
        <v>17</v>
      </c>
      <c r="T1605" t="s">
        <v>89</v>
      </c>
      <c r="U1605" t="s">
        <v>79</v>
      </c>
      <c r="V1605" s="1">
        <v>45458</v>
      </c>
      <c r="W1605">
        <f>Table1[[#This Row],[customer_purchase count]]+1</f>
        <v>18</v>
      </c>
      <c r="X1605">
        <f>Table1[[#This Row],[customer_purchase count]]*Rules!$B$3</f>
        <v>1015.9941025641026</v>
      </c>
      <c r="Y1605" t="str">
        <f>IF(Table1[[#This Row],[customer_subscription]]=1,"Subscribed","Not Subscribed")</f>
        <v>Not Subscribed</v>
      </c>
      <c r="Z1605" t="s">
        <v>187</v>
      </c>
    </row>
    <row r="1606" spans="1:26" x14ac:dyDescent="0.25">
      <c r="A1606">
        <v>1605</v>
      </c>
      <c r="B1606">
        <v>18</v>
      </c>
      <c r="C1606" t="s">
        <v>22</v>
      </c>
      <c r="D1606">
        <v>1605</v>
      </c>
      <c r="E1606" t="s">
        <v>33</v>
      </c>
      <c r="F1606" t="s">
        <v>24</v>
      </c>
      <c r="G1606">
        <v>1605</v>
      </c>
      <c r="H1606">
        <v>2125</v>
      </c>
      <c r="I1606">
        <v>92</v>
      </c>
      <c r="J1606" t="s">
        <v>34</v>
      </c>
      <c r="K1606" t="s">
        <v>47</v>
      </c>
      <c r="L1606" t="s">
        <v>55</v>
      </c>
      <c r="M1606" t="s">
        <v>56</v>
      </c>
      <c r="N1606">
        <v>4.8</v>
      </c>
      <c r="O1606">
        <v>0</v>
      </c>
      <c r="P1606" t="s">
        <v>73</v>
      </c>
      <c r="Q1606" t="s">
        <v>30</v>
      </c>
      <c r="R1606" t="s">
        <v>30</v>
      </c>
      <c r="S1606">
        <v>25</v>
      </c>
      <c r="T1606" t="s">
        <v>42</v>
      </c>
      <c r="U1606" t="s">
        <v>100</v>
      </c>
      <c r="V1606" s="1">
        <v>45444</v>
      </c>
      <c r="W1606">
        <f>Table1[[#This Row],[customer_purchase count]]+1</f>
        <v>26</v>
      </c>
      <c r="X1606">
        <f>Table1[[#This Row],[customer_purchase count]]*Rules!$B$3</f>
        <v>1494.1089743589744</v>
      </c>
      <c r="Y1606" t="str">
        <f>IF(Table1[[#This Row],[customer_subscription]]=1,"Subscribed","Not Subscribed")</f>
        <v>Not Subscribed</v>
      </c>
    </row>
    <row r="1607" spans="1:26" x14ac:dyDescent="0.25">
      <c r="A1607">
        <v>1606</v>
      </c>
      <c r="B1607">
        <v>70</v>
      </c>
      <c r="C1607" t="s">
        <v>22</v>
      </c>
      <c r="D1607">
        <v>1606</v>
      </c>
      <c r="E1607" t="s">
        <v>136</v>
      </c>
      <c r="F1607" t="s">
        <v>70</v>
      </c>
      <c r="G1607">
        <v>1606</v>
      </c>
      <c r="H1607">
        <v>2126</v>
      </c>
      <c r="I1607">
        <v>46</v>
      </c>
      <c r="J1607" t="s">
        <v>142</v>
      </c>
      <c r="K1607" t="s">
        <v>47</v>
      </c>
      <c r="L1607" t="s">
        <v>96</v>
      </c>
      <c r="M1607" t="s">
        <v>28</v>
      </c>
      <c r="N1607">
        <v>3.4</v>
      </c>
      <c r="O1607">
        <v>0</v>
      </c>
      <c r="P1607" t="s">
        <v>48</v>
      </c>
      <c r="Q1607" t="s">
        <v>30</v>
      </c>
      <c r="R1607" t="s">
        <v>30</v>
      </c>
      <c r="S1607">
        <v>15</v>
      </c>
      <c r="T1607" t="s">
        <v>42</v>
      </c>
      <c r="U1607" t="s">
        <v>79</v>
      </c>
      <c r="V1607" s="1">
        <v>45629</v>
      </c>
      <c r="W1607">
        <f>Table1[[#This Row],[customer_purchase count]]+1</f>
        <v>16</v>
      </c>
      <c r="X1607">
        <f>Table1[[#This Row],[customer_purchase count]]*Rules!$B$3</f>
        <v>896.46538461538466</v>
      </c>
      <c r="Y1607" t="str">
        <f>IF(Table1[[#This Row],[customer_subscription]]=1,"Subscribed","Not Subscribed")</f>
        <v>Not Subscribed</v>
      </c>
      <c r="Z1607" t="s">
        <v>194</v>
      </c>
    </row>
    <row r="1608" spans="1:26" x14ac:dyDescent="0.25">
      <c r="A1608">
        <v>1607</v>
      </c>
      <c r="B1608">
        <v>55</v>
      </c>
      <c r="C1608" t="s">
        <v>22</v>
      </c>
      <c r="D1608">
        <v>1607</v>
      </c>
      <c r="E1608" t="s">
        <v>116</v>
      </c>
      <c r="F1608" t="s">
        <v>24</v>
      </c>
      <c r="G1608">
        <v>1607</v>
      </c>
      <c r="H1608">
        <v>2127</v>
      </c>
      <c r="I1608">
        <v>21</v>
      </c>
      <c r="J1608" t="s">
        <v>114</v>
      </c>
      <c r="K1608" t="s">
        <v>39</v>
      </c>
      <c r="L1608" t="s">
        <v>55</v>
      </c>
      <c r="M1608" t="s">
        <v>40</v>
      </c>
      <c r="N1608">
        <v>4.3</v>
      </c>
      <c r="O1608">
        <v>0</v>
      </c>
      <c r="P1608" t="s">
        <v>57</v>
      </c>
      <c r="Q1608" t="s">
        <v>30</v>
      </c>
      <c r="R1608" t="s">
        <v>30</v>
      </c>
      <c r="S1608">
        <v>4</v>
      </c>
      <c r="T1608" t="s">
        <v>49</v>
      </c>
      <c r="U1608" t="s">
        <v>32</v>
      </c>
      <c r="V1608" s="1">
        <v>45424</v>
      </c>
      <c r="W1608">
        <f>Table1[[#This Row],[customer_purchase count]]+1</f>
        <v>5</v>
      </c>
      <c r="X1608">
        <f>Table1[[#This Row],[customer_purchase count]]*Rules!$B$3</f>
        <v>239.05743589743591</v>
      </c>
      <c r="Y1608" t="str">
        <f>IF(Table1[[#This Row],[customer_subscription]]=1,"Subscribed","Not Subscribed")</f>
        <v>Not Subscribed</v>
      </c>
      <c r="Z1608" t="s">
        <v>194</v>
      </c>
    </row>
    <row r="1609" spans="1:26" x14ac:dyDescent="0.25">
      <c r="A1609">
        <v>1608</v>
      </c>
      <c r="B1609">
        <v>49</v>
      </c>
      <c r="C1609" t="s">
        <v>22</v>
      </c>
      <c r="D1609">
        <v>1608</v>
      </c>
      <c r="E1609" t="s">
        <v>62</v>
      </c>
      <c r="F1609" t="s">
        <v>24</v>
      </c>
      <c r="G1609">
        <v>1608</v>
      </c>
      <c r="H1609">
        <v>2128</v>
      </c>
      <c r="I1609">
        <v>72</v>
      </c>
      <c r="J1609" t="s">
        <v>132</v>
      </c>
      <c r="K1609" t="s">
        <v>39</v>
      </c>
      <c r="L1609" t="s">
        <v>27</v>
      </c>
      <c r="M1609" t="s">
        <v>60</v>
      </c>
      <c r="N1609">
        <v>2.7</v>
      </c>
      <c r="O1609">
        <v>0</v>
      </c>
      <c r="P1609" t="s">
        <v>41</v>
      </c>
      <c r="Q1609" t="s">
        <v>30</v>
      </c>
      <c r="R1609" t="s">
        <v>30</v>
      </c>
      <c r="S1609">
        <v>43</v>
      </c>
      <c r="T1609" t="s">
        <v>89</v>
      </c>
      <c r="U1609" t="s">
        <v>61</v>
      </c>
      <c r="V1609" s="1">
        <v>45619</v>
      </c>
      <c r="W1609">
        <f>Table1[[#This Row],[customer_purchase count]]+1</f>
        <v>44</v>
      </c>
      <c r="X1609">
        <f>Table1[[#This Row],[customer_purchase count]]*Rules!$B$3</f>
        <v>2569.8674358974358</v>
      </c>
      <c r="Y1609" t="str">
        <f>IF(Table1[[#This Row],[customer_subscription]]=1,"Subscribed","Not Subscribed")</f>
        <v>Not Subscribed</v>
      </c>
    </row>
    <row r="1610" spans="1:26" x14ac:dyDescent="0.25">
      <c r="A1610">
        <v>1609</v>
      </c>
      <c r="B1610">
        <v>26</v>
      </c>
      <c r="C1610" t="s">
        <v>22</v>
      </c>
      <c r="D1610">
        <v>1609</v>
      </c>
      <c r="E1610" t="s">
        <v>44</v>
      </c>
      <c r="F1610" t="s">
        <v>45</v>
      </c>
      <c r="G1610">
        <v>1609</v>
      </c>
      <c r="H1610">
        <v>2129</v>
      </c>
      <c r="I1610">
        <v>58</v>
      </c>
      <c r="J1610" t="s">
        <v>148</v>
      </c>
      <c r="K1610" t="s">
        <v>95</v>
      </c>
      <c r="L1610" t="s">
        <v>112</v>
      </c>
      <c r="M1610" t="s">
        <v>60</v>
      </c>
      <c r="N1610">
        <v>4.5999999999999996</v>
      </c>
      <c r="O1610">
        <v>0</v>
      </c>
      <c r="P1610" t="s">
        <v>48</v>
      </c>
      <c r="Q1610" t="s">
        <v>30</v>
      </c>
      <c r="R1610" t="s">
        <v>30</v>
      </c>
      <c r="S1610">
        <v>12</v>
      </c>
      <c r="T1610" t="s">
        <v>78</v>
      </c>
      <c r="U1610" t="s">
        <v>79</v>
      </c>
      <c r="V1610" s="1">
        <v>45560</v>
      </c>
      <c r="W1610">
        <f>Table1[[#This Row],[customer_purchase count]]+1</f>
        <v>13</v>
      </c>
      <c r="X1610">
        <f>Table1[[#This Row],[customer_purchase count]]*Rules!$B$3</f>
        <v>717.17230769230775</v>
      </c>
      <c r="Y1610" t="str">
        <f>IF(Table1[[#This Row],[customer_subscription]]=1,"Subscribed","Not Subscribed")</f>
        <v>Not Subscribed</v>
      </c>
      <c r="Z1610" t="s">
        <v>187</v>
      </c>
    </row>
    <row r="1611" spans="1:26" x14ac:dyDescent="0.25">
      <c r="A1611">
        <v>1610</v>
      </c>
      <c r="B1611">
        <v>33</v>
      </c>
      <c r="C1611" t="s">
        <v>22</v>
      </c>
      <c r="D1611">
        <v>1610</v>
      </c>
      <c r="E1611" t="s">
        <v>58</v>
      </c>
      <c r="F1611" t="s">
        <v>24</v>
      </c>
      <c r="G1611">
        <v>1610</v>
      </c>
      <c r="H1611">
        <v>2131</v>
      </c>
      <c r="I1611">
        <v>93</v>
      </c>
      <c r="J1611" t="s">
        <v>110</v>
      </c>
      <c r="K1611" t="s">
        <v>39</v>
      </c>
      <c r="L1611" t="s">
        <v>113</v>
      </c>
      <c r="M1611" t="s">
        <v>60</v>
      </c>
      <c r="N1611">
        <v>4.0999999999999996</v>
      </c>
      <c r="O1611">
        <v>0</v>
      </c>
      <c r="P1611" t="s">
        <v>57</v>
      </c>
      <c r="Q1611" t="s">
        <v>30</v>
      </c>
      <c r="R1611" t="s">
        <v>30</v>
      </c>
      <c r="S1611">
        <v>3</v>
      </c>
      <c r="T1611" t="s">
        <v>31</v>
      </c>
      <c r="U1611" t="s">
        <v>91</v>
      </c>
      <c r="V1611" s="1">
        <v>45563</v>
      </c>
      <c r="W1611">
        <f>Table1[[#This Row],[customer_purchase count]]+1</f>
        <v>4</v>
      </c>
      <c r="X1611">
        <f>Table1[[#This Row],[customer_purchase count]]*Rules!$B$3</f>
        <v>179.29307692307694</v>
      </c>
      <c r="Y1611" t="str">
        <f>IF(Table1[[#This Row],[customer_subscription]]=1,"Subscribed","Not Subscribed")</f>
        <v>Not Subscribed</v>
      </c>
      <c r="Z1611" t="s">
        <v>194</v>
      </c>
    </row>
    <row r="1612" spans="1:26" x14ac:dyDescent="0.25">
      <c r="A1612">
        <v>1611</v>
      </c>
      <c r="B1612">
        <v>20</v>
      </c>
      <c r="C1612" t="s">
        <v>22</v>
      </c>
      <c r="D1612">
        <v>1611</v>
      </c>
      <c r="E1612" t="s">
        <v>128</v>
      </c>
      <c r="F1612" t="s">
        <v>24</v>
      </c>
      <c r="G1612">
        <v>1611</v>
      </c>
      <c r="H1612">
        <v>2132</v>
      </c>
      <c r="I1612">
        <v>31</v>
      </c>
      <c r="J1612" t="s">
        <v>125</v>
      </c>
      <c r="K1612" t="s">
        <v>26</v>
      </c>
      <c r="L1612" t="s">
        <v>76</v>
      </c>
      <c r="M1612" t="s">
        <v>40</v>
      </c>
      <c r="N1612">
        <v>3.4</v>
      </c>
      <c r="O1612">
        <v>0</v>
      </c>
      <c r="P1612" t="s">
        <v>73</v>
      </c>
      <c r="Q1612" t="s">
        <v>30</v>
      </c>
      <c r="R1612" t="s">
        <v>30</v>
      </c>
      <c r="S1612">
        <v>1</v>
      </c>
      <c r="T1612" t="s">
        <v>49</v>
      </c>
      <c r="U1612" t="s">
        <v>52</v>
      </c>
      <c r="V1612" s="1">
        <v>45405</v>
      </c>
      <c r="W1612">
        <f>Table1[[#This Row],[customer_purchase count]]+1</f>
        <v>2</v>
      </c>
      <c r="X1612">
        <f>Table1[[#This Row],[customer_purchase count]]*Rules!$B$3</f>
        <v>59.764358974358977</v>
      </c>
      <c r="Y1612" t="str">
        <f>IF(Table1[[#This Row],[customer_subscription]]=1,"Subscribed","Not Subscribed")</f>
        <v>Not Subscribed</v>
      </c>
      <c r="Z1612" t="s">
        <v>194</v>
      </c>
    </row>
    <row r="1613" spans="1:26" x14ac:dyDescent="0.25">
      <c r="A1613">
        <v>1612</v>
      </c>
      <c r="B1613">
        <v>41</v>
      </c>
      <c r="C1613" t="s">
        <v>22</v>
      </c>
      <c r="D1613">
        <v>1612</v>
      </c>
      <c r="E1613" t="s">
        <v>98</v>
      </c>
      <c r="F1613" t="s">
        <v>24</v>
      </c>
      <c r="G1613">
        <v>1612</v>
      </c>
      <c r="H1613">
        <v>2133</v>
      </c>
      <c r="I1613">
        <v>26</v>
      </c>
      <c r="J1613" t="s">
        <v>75</v>
      </c>
      <c r="K1613" t="s">
        <v>26</v>
      </c>
      <c r="L1613" t="s">
        <v>137</v>
      </c>
      <c r="M1613" t="s">
        <v>28</v>
      </c>
      <c r="N1613">
        <v>4.5</v>
      </c>
      <c r="O1613">
        <v>0</v>
      </c>
      <c r="P1613" t="s">
        <v>48</v>
      </c>
      <c r="Q1613" t="s">
        <v>30</v>
      </c>
      <c r="R1613" t="s">
        <v>30</v>
      </c>
      <c r="S1613">
        <v>6</v>
      </c>
      <c r="T1613" t="s">
        <v>89</v>
      </c>
      <c r="U1613" t="s">
        <v>91</v>
      </c>
      <c r="V1613" s="1">
        <v>45325</v>
      </c>
      <c r="W1613">
        <f>Table1[[#This Row],[customer_purchase count]]+1</f>
        <v>7</v>
      </c>
      <c r="X1613">
        <f>Table1[[#This Row],[customer_purchase count]]*Rules!$B$3</f>
        <v>358.58615384615388</v>
      </c>
      <c r="Y1613" t="str">
        <f>IF(Table1[[#This Row],[customer_subscription]]=1,"Subscribed","Not Subscribed")</f>
        <v>Not Subscribed</v>
      </c>
      <c r="Z1613" t="s">
        <v>194</v>
      </c>
    </row>
    <row r="1614" spans="1:26" x14ac:dyDescent="0.25">
      <c r="A1614">
        <v>1613</v>
      </c>
      <c r="B1614">
        <v>18</v>
      </c>
      <c r="C1614" t="s">
        <v>22</v>
      </c>
      <c r="D1614">
        <v>1613</v>
      </c>
      <c r="E1614" t="s">
        <v>90</v>
      </c>
      <c r="F1614" t="s">
        <v>24</v>
      </c>
      <c r="G1614">
        <v>1613</v>
      </c>
      <c r="H1614">
        <v>2134</v>
      </c>
      <c r="I1614">
        <v>68</v>
      </c>
      <c r="J1614" t="s">
        <v>153</v>
      </c>
      <c r="K1614" t="s">
        <v>47</v>
      </c>
      <c r="L1614" t="s">
        <v>129</v>
      </c>
      <c r="M1614" t="s">
        <v>56</v>
      </c>
      <c r="N1614">
        <v>4.4000000000000004</v>
      </c>
      <c r="O1614">
        <v>0</v>
      </c>
      <c r="P1614" t="s">
        <v>57</v>
      </c>
      <c r="Q1614" t="s">
        <v>30</v>
      </c>
      <c r="R1614" t="s">
        <v>30</v>
      </c>
      <c r="S1614">
        <v>26</v>
      </c>
      <c r="T1614" t="s">
        <v>31</v>
      </c>
      <c r="U1614" t="s">
        <v>91</v>
      </c>
      <c r="V1614" s="1">
        <v>45501</v>
      </c>
      <c r="W1614">
        <f>Table1[[#This Row],[customer_purchase count]]+1</f>
        <v>27</v>
      </c>
      <c r="X1614">
        <f>Table1[[#This Row],[customer_purchase count]]*Rules!$B$3</f>
        <v>1553.8733333333334</v>
      </c>
      <c r="Y1614" t="str">
        <f>IF(Table1[[#This Row],[customer_subscription]]=1,"Subscribed","Not Subscribed")</f>
        <v>Not Subscribed</v>
      </c>
    </row>
    <row r="1615" spans="1:26" x14ac:dyDescent="0.25">
      <c r="A1615">
        <v>1614</v>
      </c>
      <c r="B1615">
        <v>26</v>
      </c>
      <c r="C1615" t="s">
        <v>22</v>
      </c>
      <c r="D1615">
        <v>1614</v>
      </c>
      <c r="E1615" t="s">
        <v>109</v>
      </c>
      <c r="F1615" t="s">
        <v>70</v>
      </c>
      <c r="G1615">
        <v>1614</v>
      </c>
      <c r="H1615">
        <v>2135</v>
      </c>
      <c r="I1615">
        <v>31</v>
      </c>
      <c r="J1615" t="s">
        <v>118</v>
      </c>
      <c r="K1615" t="s">
        <v>39</v>
      </c>
      <c r="L1615" t="s">
        <v>97</v>
      </c>
      <c r="M1615" t="s">
        <v>56</v>
      </c>
      <c r="N1615">
        <v>4</v>
      </c>
      <c r="O1615">
        <v>0</v>
      </c>
      <c r="P1615" t="s">
        <v>48</v>
      </c>
      <c r="Q1615" t="s">
        <v>30</v>
      </c>
      <c r="R1615" t="s">
        <v>30</v>
      </c>
      <c r="S1615">
        <v>6</v>
      </c>
      <c r="T1615" t="s">
        <v>42</v>
      </c>
      <c r="U1615" t="s">
        <v>32</v>
      </c>
      <c r="V1615" s="1">
        <v>45449</v>
      </c>
      <c r="W1615">
        <f>Table1[[#This Row],[customer_purchase count]]+1</f>
        <v>7</v>
      </c>
      <c r="X1615">
        <f>Table1[[#This Row],[customer_purchase count]]*Rules!$B$3</f>
        <v>358.58615384615388</v>
      </c>
      <c r="Y1615" t="str">
        <f>IF(Table1[[#This Row],[customer_subscription]]=1,"Subscribed","Not Subscribed")</f>
        <v>Not Subscribed</v>
      </c>
      <c r="Z1615" t="s">
        <v>194</v>
      </c>
    </row>
    <row r="1616" spans="1:26" x14ac:dyDescent="0.25">
      <c r="A1616">
        <v>1615</v>
      </c>
      <c r="B1616">
        <v>30</v>
      </c>
      <c r="C1616" t="s">
        <v>22</v>
      </c>
      <c r="D1616">
        <v>1615</v>
      </c>
      <c r="E1616" t="s">
        <v>116</v>
      </c>
      <c r="F1616" t="s">
        <v>24</v>
      </c>
      <c r="G1616">
        <v>1615</v>
      </c>
      <c r="H1616">
        <v>2137</v>
      </c>
      <c r="I1616">
        <v>41</v>
      </c>
      <c r="J1616" t="s">
        <v>114</v>
      </c>
      <c r="K1616" t="s">
        <v>39</v>
      </c>
      <c r="L1616" t="s">
        <v>27</v>
      </c>
      <c r="M1616" t="s">
        <v>56</v>
      </c>
      <c r="N1616">
        <v>3.4</v>
      </c>
      <c r="O1616">
        <v>0</v>
      </c>
      <c r="P1616" t="s">
        <v>41</v>
      </c>
      <c r="Q1616" t="s">
        <v>30</v>
      </c>
      <c r="R1616" t="s">
        <v>30</v>
      </c>
      <c r="S1616">
        <v>22</v>
      </c>
      <c r="T1616" t="s">
        <v>36</v>
      </c>
      <c r="U1616" t="s">
        <v>79</v>
      </c>
      <c r="V1616" s="1">
        <v>45479</v>
      </c>
      <c r="W1616">
        <f>Table1[[#This Row],[customer_purchase count]]+1</f>
        <v>23</v>
      </c>
      <c r="X1616">
        <f>Table1[[#This Row],[customer_purchase count]]*Rules!$B$3</f>
        <v>1314.8158974358976</v>
      </c>
      <c r="Y1616" t="str">
        <f>IF(Table1[[#This Row],[customer_subscription]]=1,"Subscribed","Not Subscribed")</f>
        <v>Not Subscribed</v>
      </c>
    </row>
    <row r="1617" spans="1:26" x14ac:dyDescent="0.25">
      <c r="A1617">
        <v>1616</v>
      </c>
      <c r="B1617">
        <v>64</v>
      </c>
      <c r="C1617" t="s">
        <v>22</v>
      </c>
      <c r="D1617">
        <v>1616</v>
      </c>
      <c r="E1617" t="s">
        <v>109</v>
      </c>
      <c r="F1617" t="s">
        <v>70</v>
      </c>
      <c r="G1617">
        <v>1616</v>
      </c>
      <c r="H1617">
        <v>2138</v>
      </c>
      <c r="I1617">
        <v>62</v>
      </c>
      <c r="J1617" t="s">
        <v>87</v>
      </c>
      <c r="K1617" t="s">
        <v>47</v>
      </c>
      <c r="L1617" t="s">
        <v>129</v>
      </c>
      <c r="M1617" t="s">
        <v>60</v>
      </c>
      <c r="N1617">
        <v>3.2</v>
      </c>
      <c r="O1617">
        <v>0</v>
      </c>
      <c r="P1617" t="s">
        <v>57</v>
      </c>
      <c r="Q1617" t="s">
        <v>30</v>
      </c>
      <c r="R1617" t="s">
        <v>30</v>
      </c>
      <c r="S1617">
        <v>45</v>
      </c>
      <c r="T1617" t="s">
        <v>36</v>
      </c>
      <c r="U1617" t="s">
        <v>79</v>
      </c>
      <c r="V1617" s="1">
        <v>45601</v>
      </c>
      <c r="W1617">
        <f>Table1[[#This Row],[customer_purchase count]]+1</f>
        <v>46</v>
      </c>
      <c r="X1617">
        <f>Table1[[#This Row],[customer_purchase count]]*Rules!$B$3</f>
        <v>2689.396153846154</v>
      </c>
      <c r="Y1617" t="str">
        <f>IF(Table1[[#This Row],[customer_subscription]]=1,"Subscribed","Not Subscribed")</f>
        <v>Not Subscribed</v>
      </c>
    </row>
    <row r="1618" spans="1:26" x14ac:dyDescent="0.25">
      <c r="A1618">
        <v>1617</v>
      </c>
      <c r="B1618">
        <v>26</v>
      </c>
      <c r="C1618" t="s">
        <v>22</v>
      </c>
      <c r="D1618">
        <v>1617</v>
      </c>
      <c r="E1618" t="s">
        <v>127</v>
      </c>
      <c r="F1618" t="s">
        <v>70</v>
      </c>
      <c r="G1618">
        <v>1617</v>
      </c>
      <c r="H1618">
        <v>2139</v>
      </c>
      <c r="I1618">
        <v>41</v>
      </c>
      <c r="J1618" t="s">
        <v>115</v>
      </c>
      <c r="K1618" t="s">
        <v>47</v>
      </c>
      <c r="L1618" t="s">
        <v>99</v>
      </c>
      <c r="M1618" t="s">
        <v>40</v>
      </c>
      <c r="N1618">
        <v>3.4</v>
      </c>
      <c r="O1618">
        <v>0</v>
      </c>
      <c r="P1618" t="s">
        <v>57</v>
      </c>
      <c r="Q1618" t="s">
        <v>30</v>
      </c>
      <c r="R1618" t="s">
        <v>30</v>
      </c>
      <c r="S1618">
        <v>50</v>
      </c>
      <c r="T1618" t="s">
        <v>36</v>
      </c>
      <c r="U1618" t="s">
        <v>61</v>
      </c>
      <c r="V1618" s="1">
        <v>45427</v>
      </c>
      <c r="W1618">
        <f>Table1[[#This Row],[customer_purchase count]]+1</f>
        <v>51</v>
      </c>
      <c r="X1618">
        <f>Table1[[#This Row],[customer_purchase count]]*Rules!$B$3</f>
        <v>2988.2179487179487</v>
      </c>
      <c r="Y1618" t="str">
        <f>IF(Table1[[#This Row],[customer_subscription]]=1,"Subscribed","Not Subscribed")</f>
        <v>Not Subscribed</v>
      </c>
    </row>
    <row r="1619" spans="1:26" x14ac:dyDescent="0.25">
      <c r="A1619">
        <v>1618</v>
      </c>
      <c r="B1619">
        <v>43</v>
      </c>
      <c r="C1619" t="s">
        <v>22</v>
      </c>
      <c r="D1619">
        <v>1618</v>
      </c>
      <c r="E1619" t="s">
        <v>23</v>
      </c>
      <c r="F1619" t="s">
        <v>24</v>
      </c>
      <c r="G1619">
        <v>1618</v>
      </c>
      <c r="H1619">
        <v>2140</v>
      </c>
      <c r="I1619">
        <v>64</v>
      </c>
      <c r="J1619" t="s">
        <v>153</v>
      </c>
      <c r="K1619" t="s">
        <v>47</v>
      </c>
      <c r="L1619" t="s">
        <v>103</v>
      </c>
      <c r="M1619" t="s">
        <v>28</v>
      </c>
      <c r="N1619">
        <v>4.3</v>
      </c>
      <c r="O1619">
        <v>0</v>
      </c>
      <c r="P1619" t="s">
        <v>57</v>
      </c>
      <c r="Q1619" t="s">
        <v>30</v>
      </c>
      <c r="R1619" t="s">
        <v>30</v>
      </c>
      <c r="S1619">
        <v>50</v>
      </c>
      <c r="T1619" t="s">
        <v>42</v>
      </c>
      <c r="U1619" t="s">
        <v>32</v>
      </c>
      <c r="V1619" s="1">
        <v>45341</v>
      </c>
      <c r="W1619">
        <f>Table1[[#This Row],[customer_purchase count]]+1</f>
        <v>51</v>
      </c>
      <c r="X1619">
        <f>Table1[[#This Row],[customer_purchase count]]*Rules!$B$3</f>
        <v>2988.2179487179487</v>
      </c>
      <c r="Y1619" t="str">
        <f>IF(Table1[[#This Row],[customer_subscription]]=1,"Subscribed","Not Subscribed")</f>
        <v>Not Subscribed</v>
      </c>
    </row>
    <row r="1620" spans="1:26" x14ac:dyDescent="0.25">
      <c r="A1620">
        <v>1619</v>
      </c>
      <c r="B1620">
        <v>63</v>
      </c>
      <c r="C1620" t="s">
        <v>22</v>
      </c>
      <c r="D1620">
        <v>1619</v>
      </c>
      <c r="E1620" t="s">
        <v>44</v>
      </c>
      <c r="F1620" t="s">
        <v>45</v>
      </c>
      <c r="G1620">
        <v>1619</v>
      </c>
      <c r="H1620">
        <v>2141</v>
      </c>
      <c r="I1620">
        <v>72</v>
      </c>
      <c r="J1620" t="s">
        <v>154</v>
      </c>
      <c r="K1620" t="s">
        <v>26</v>
      </c>
      <c r="L1620" t="s">
        <v>76</v>
      </c>
      <c r="M1620" t="s">
        <v>56</v>
      </c>
      <c r="N1620">
        <v>5</v>
      </c>
      <c r="O1620">
        <v>0</v>
      </c>
      <c r="P1620" t="s">
        <v>57</v>
      </c>
      <c r="Q1620" t="s">
        <v>30</v>
      </c>
      <c r="R1620" t="s">
        <v>30</v>
      </c>
      <c r="S1620">
        <v>39</v>
      </c>
      <c r="T1620" t="s">
        <v>89</v>
      </c>
      <c r="U1620" t="s">
        <v>61</v>
      </c>
      <c r="V1620" s="1">
        <v>45447</v>
      </c>
      <c r="W1620">
        <f>Table1[[#This Row],[customer_purchase count]]+1</f>
        <v>40</v>
      </c>
      <c r="X1620">
        <f>Table1[[#This Row],[customer_purchase count]]*Rules!$B$3</f>
        <v>2330.81</v>
      </c>
      <c r="Y1620" t="str">
        <f>IF(Table1[[#This Row],[customer_subscription]]=1,"Subscribed","Not Subscribed")</f>
        <v>Not Subscribed</v>
      </c>
    </row>
    <row r="1621" spans="1:26" x14ac:dyDescent="0.25">
      <c r="A1621">
        <v>1620</v>
      </c>
      <c r="B1621">
        <v>57</v>
      </c>
      <c r="C1621" t="s">
        <v>22</v>
      </c>
      <c r="D1621">
        <v>1620</v>
      </c>
      <c r="E1621" t="s">
        <v>69</v>
      </c>
      <c r="F1621" t="s">
        <v>70</v>
      </c>
      <c r="G1621">
        <v>1620</v>
      </c>
      <c r="H1621">
        <v>2143</v>
      </c>
      <c r="I1621">
        <v>78</v>
      </c>
      <c r="J1621" t="s">
        <v>80</v>
      </c>
      <c r="K1621" t="s">
        <v>26</v>
      </c>
      <c r="L1621" t="s">
        <v>121</v>
      </c>
      <c r="M1621" t="s">
        <v>28</v>
      </c>
      <c r="N1621">
        <v>3.5</v>
      </c>
      <c r="O1621">
        <v>0</v>
      </c>
      <c r="P1621" t="s">
        <v>77</v>
      </c>
      <c r="Q1621" t="s">
        <v>30</v>
      </c>
      <c r="R1621" t="s">
        <v>30</v>
      </c>
      <c r="S1621">
        <v>50</v>
      </c>
      <c r="T1621" t="s">
        <v>31</v>
      </c>
      <c r="U1621" t="s">
        <v>79</v>
      </c>
      <c r="V1621" s="1">
        <v>45333</v>
      </c>
      <c r="W1621">
        <f>Table1[[#This Row],[customer_purchase count]]+1</f>
        <v>51</v>
      </c>
      <c r="X1621">
        <f>Table1[[#This Row],[customer_purchase count]]*Rules!$B$3</f>
        <v>2988.2179487179487</v>
      </c>
      <c r="Y1621" t="str">
        <f>IF(Table1[[#This Row],[customer_subscription]]=1,"Subscribed","Not Subscribed")</f>
        <v>Not Subscribed</v>
      </c>
    </row>
    <row r="1622" spans="1:26" x14ac:dyDescent="0.25">
      <c r="A1622">
        <v>1621</v>
      </c>
      <c r="B1622">
        <v>25</v>
      </c>
      <c r="C1622" t="s">
        <v>22</v>
      </c>
      <c r="D1622">
        <v>1621</v>
      </c>
      <c r="E1622" t="s">
        <v>127</v>
      </c>
      <c r="F1622" t="s">
        <v>70</v>
      </c>
      <c r="G1622">
        <v>1621</v>
      </c>
      <c r="H1622">
        <v>2144</v>
      </c>
      <c r="I1622">
        <v>47</v>
      </c>
      <c r="J1622" t="s">
        <v>144</v>
      </c>
      <c r="K1622" t="s">
        <v>47</v>
      </c>
      <c r="L1622" t="s">
        <v>64</v>
      </c>
      <c r="M1622" t="s">
        <v>28</v>
      </c>
      <c r="N1622">
        <v>3.1</v>
      </c>
      <c r="O1622">
        <v>0</v>
      </c>
      <c r="P1622" t="s">
        <v>73</v>
      </c>
      <c r="Q1622" t="s">
        <v>30</v>
      </c>
      <c r="R1622" t="s">
        <v>30</v>
      </c>
      <c r="S1622">
        <v>27</v>
      </c>
      <c r="T1622" t="s">
        <v>49</v>
      </c>
      <c r="U1622" t="s">
        <v>100</v>
      </c>
      <c r="V1622" s="1">
        <v>45344</v>
      </c>
      <c r="W1622">
        <f>Table1[[#This Row],[customer_purchase count]]+1</f>
        <v>28</v>
      </c>
      <c r="X1622">
        <f>Table1[[#This Row],[customer_purchase count]]*Rules!$B$3</f>
        <v>1613.6376923076923</v>
      </c>
      <c r="Y1622" t="str">
        <f>IF(Table1[[#This Row],[customer_subscription]]=1,"Subscribed","Not Subscribed")</f>
        <v>Not Subscribed</v>
      </c>
    </row>
    <row r="1623" spans="1:26" x14ac:dyDescent="0.25">
      <c r="A1623">
        <v>1622</v>
      </c>
      <c r="B1623">
        <v>68</v>
      </c>
      <c r="C1623" t="s">
        <v>22</v>
      </c>
      <c r="D1623">
        <v>1622</v>
      </c>
      <c r="E1623" t="s">
        <v>122</v>
      </c>
      <c r="F1623" t="s">
        <v>70</v>
      </c>
      <c r="G1623">
        <v>1622</v>
      </c>
      <c r="H1623">
        <v>2145</v>
      </c>
      <c r="I1623">
        <v>46</v>
      </c>
      <c r="J1623" t="s">
        <v>126</v>
      </c>
      <c r="K1623" t="s">
        <v>26</v>
      </c>
      <c r="L1623" t="s">
        <v>27</v>
      </c>
      <c r="M1623" t="s">
        <v>56</v>
      </c>
      <c r="N1623">
        <v>3.9</v>
      </c>
      <c r="O1623">
        <v>0</v>
      </c>
      <c r="P1623" t="s">
        <v>73</v>
      </c>
      <c r="Q1623" t="s">
        <v>30</v>
      </c>
      <c r="R1623" t="s">
        <v>30</v>
      </c>
      <c r="S1623">
        <v>38</v>
      </c>
      <c r="T1623" t="s">
        <v>89</v>
      </c>
      <c r="U1623" t="s">
        <v>32</v>
      </c>
      <c r="V1623" s="1">
        <v>45453</v>
      </c>
      <c r="W1623">
        <f>Table1[[#This Row],[customer_purchase count]]+1</f>
        <v>39</v>
      </c>
      <c r="X1623">
        <f>Table1[[#This Row],[customer_purchase count]]*Rules!$B$3</f>
        <v>2271.0456410256411</v>
      </c>
      <c r="Y1623" t="str">
        <f>IF(Table1[[#This Row],[customer_subscription]]=1,"Subscribed","Not Subscribed")</f>
        <v>Not Subscribed</v>
      </c>
    </row>
    <row r="1624" spans="1:26" x14ac:dyDescent="0.25">
      <c r="A1624">
        <v>1623</v>
      </c>
      <c r="B1624">
        <v>31</v>
      </c>
      <c r="C1624" t="s">
        <v>22</v>
      </c>
      <c r="D1624">
        <v>1623</v>
      </c>
      <c r="E1624" t="s">
        <v>62</v>
      </c>
      <c r="F1624" t="s">
        <v>24</v>
      </c>
      <c r="G1624">
        <v>1623</v>
      </c>
      <c r="H1624">
        <v>2146</v>
      </c>
      <c r="I1624">
        <v>43</v>
      </c>
      <c r="J1624" t="s">
        <v>71</v>
      </c>
      <c r="K1624" t="s">
        <v>39</v>
      </c>
      <c r="L1624" t="s">
        <v>113</v>
      </c>
      <c r="M1624" t="s">
        <v>28</v>
      </c>
      <c r="N1624">
        <v>4</v>
      </c>
      <c r="O1624">
        <v>0</v>
      </c>
      <c r="P1624" t="s">
        <v>77</v>
      </c>
      <c r="Q1624" t="s">
        <v>30</v>
      </c>
      <c r="R1624" t="s">
        <v>30</v>
      </c>
      <c r="S1624">
        <v>37</v>
      </c>
      <c r="T1624" t="s">
        <v>78</v>
      </c>
      <c r="U1624" t="s">
        <v>100</v>
      </c>
      <c r="V1624" s="1">
        <v>45653</v>
      </c>
      <c r="W1624">
        <f>Table1[[#This Row],[customer_purchase count]]+1</f>
        <v>38</v>
      </c>
      <c r="X1624">
        <f>Table1[[#This Row],[customer_purchase count]]*Rules!$B$3</f>
        <v>2211.2812820512822</v>
      </c>
      <c r="Y1624" t="str">
        <f>IF(Table1[[#This Row],[customer_subscription]]=1,"Subscribed","Not Subscribed")</f>
        <v>Not Subscribed</v>
      </c>
    </row>
    <row r="1625" spans="1:26" x14ac:dyDescent="0.25">
      <c r="A1625">
        <v>1624</v>
      </c>
      <c r="B1625">
        <v>64</v>
      </c>
      <c r="C1625" t="s">
        <v>22</v>
      </c>
      <c r="D1625">
        <v>1624</v>
      </c>
      <c r="E1625" t="s">
        <v>135</v>
      </c>
      <c r="F1625" t="s">
        <v>70</v>
      </c>
      <c r="G1625">
        <v>1624</v>
      </c>
      <c r="H1625">
        <v>2147</v>
      </c>
      <c r="I1625">
        <v>58</v>
      </c>
      <c r="J1625" t="s">
        <v>119</v>
      </c>
      <c r="K1625" t="s">
        <v>47</v>
      </c>
      <c r="L1625" t="s">
        <v>112</v>
      </c>
      <c r="M1625" t="s">
        <v>56</v>
      </c>
      <c r="N1625">
        <v>3.5</v>
      </c>
      <c r="O1625">
        <v>0</v>
      </c>
      <c r="P1625" t="s">
        <v>48</v>
      </c>
      <c r="Q1625" t="s">
        <v>30</v>
      </c>
      <c r="R1625" t="s">
        <v>30</v>
      </c>
      <c r="S1625">
        <v>50</v>
      </c>
      <c r="T1625" t="s">
        <v>89</v>
      </c>
      <c r="U1625" t="s">
        <v>52</v>
      </c>
      <c r="V1625" s="1">
        <v>45508</v>
      </c>
      <c r="W1625">
        <f>Table1[[#This Row],[customer_purchase count]]+1</f>
        <v>51</v>
      </c>
      <c r="X1625">
        <f>Table1[[#This Row],[customer_purchase count]]*Rules!$B$3</f>
        <v>2988.2179487179487</v>
      </c>
      <c r="Y1625" t="str">
        <f>IF(Table1[[#This Row],[customer_subscription]]=1,"Subscribed","Not Subscribed")</f>
        <v>Not Subscribed</v>
      </c>
    </row>
    <row r="1626" spans="1:26" x14ac:dyDescent="0.25">
      <c r="A1626">
        <v>1625</v>
      </c>
      <c r="B1626">
        <v>38</v>
      </c>
      <c r="C1626" t="s">
        <v>22</v>
      </c>
      <c r="D1626">
        <v>1625</v>
      </c>
      <c r="E1626" t="s">
        <v>33</v>
      </c>
      <c r="F1626" t="s">
        <v>24</v>
      </c>
      <c r="G1626">
        <v>1625</v>
      </c>
      <c r="H1626">
        <v>2149</v>
      </c>
      <c r="I1626">
        <v>32</v>
      </c>
      <c r="J1626" t="s">
        <v>106</v>
      </c>
      <c r="K1626" t="s">
        <v>47</v>
      </c>
      <c r="L1626" t="s">
        <v>55</v>
      </c>
      <c r="M1626" t="s">
        <v>28</v>
      </c>
      <c r="N1626">
        <v>3.6</v>
      </c>
      <c r="O1626">
        <v>0</v>
      </c>
      <c r="P1626" t="s">
        <v>41</v>
      </c>
      <c r="Q1626" t="s">
        <v>30</v>
      </c>
      <c r="R1626" t="s">
        <v>30</v>
      </c>
      <c r="S1626">
        <v>40</v>
      </c>
      <c r="T1626" t="s">
        <v>49</v>
      </c>
      <c r="U1626" t="s">
        <v>100</v>
      </c>
      <c r="V1626" s="1">
        <v>45325</v>
      </c>
      <c r="W1626">
        <f>Table1[[#This Row],[customer_purchase count]]+1</f>
        <v>41</v>
      </c>
      <c r="X1626">
        <f>Table1[[#This Row],[customer_purchase count]]*Rules!$B$3</f>
        <v>2390.5743589743593</v>
      </c>
      <c r="Y1626" t="str">
        <f>IF(Table1[[#This Row],[customer_subscription]]=1,"Subscribed","Not Subscribed")</f>
        <v>Not Subscribed</v>
      </c>
    </row>
    <row r="1627" spans="1:26" x14ac:dyDescent="0.25">
      <c r="A1627">
        <v>1626</v>
      </c>
      <c r="B1627">
        <v>34</v>
      </c>
      <c r="C1627" t="s">
        <v>22</v>
      </c>
      <c r="D1627">
        <v>1626</v>
      </c>
      <c r="E1627" t="s">
        <v>90</v>
      </c>
      <c r="F1627" t="s">
        <v>24</v>
      </c>
      <c r="G1627">
        <v>1626</v>
      </c>
      <c r="H1627">
        <v>2150</v>
      </c>
      <c r="I1627">
        <v>45</v>
      </c>
      <c r="J1627" t="s">
        <v>151</v>
      </c>
      <c r="K1627" t="s">
        <v>26</v>
      </c>
      <c r="L1627" t="s">
        <v>121</v>
      </c>
      <c r="M1627" t="s">
        <v>28</v>
      </c>
      <c r="N1627">
        <v>3</v>
      </c>
      <c r="O1627">
        <v>0</v>
      </c>
      <c r="P1627" t="s">
        <v>48</v>
      </c>
      <c r="Q1627" t="s">
        <v>30</v>
      </c>
      <c r="R1627" t="s">
        <v>30</v>
      </c>
      <c r="S1627">
        <v>3</v>
      </c>
      <c r="T1627" t="s">
        <v>49</v>
      </c>
      <c r="U1627" t="s">
        <v>79</v>
      </c>
      <c r="V1627" s="1">
        <v>45323</v>
      </c>
      <c r="W1627">
        <f>Table1[[#This Row],[customer_purchase count]]+1</f>
        <v>4</v>
      </c>
      <c r="X1627">
        <f>Table1[[#This Row],[customer_purchase count]]*Rules!$B$3</f>
        <v>179.29307692307694</v>
      </c>
      <c r="Y1627" t="str">
        <f>IF(Table1[[#This Row],[customer_subscription]]=1,"Subscribed","Not Subscribed")</f>
        <v>Not Subscribed</v>
      </c>
      <c r="Z1627" t="s">
        <v>194</v>
      </c>
    </row>
    <row r="1628" spans="1:26" x14ac:dyDescent="0.25">
      <c r="A1628">
        <v>1627</v>
      </c>
      <c r="B1628">
        <v>32</v>
      </c>
      <c r="C1628" t="s">
        <v>22</v>
      </c>
      <c r="D1628">
        <v>1627</v>
      </c>
      <c r="E1628" t="s">
        <v>53</v>
      </c>
      <c r="F1628" t="s">
        <v>45</v>
      </c>
      <c r="G1628">
        <v>1627</v>
      </c>
      <c r="H1628">
        <v>2151</v>
      </c>
      <c r="I1628">
        <v>35</v>
      </c>
      <c r="J1628" t="s">
        <v>110</v>
      </c>
      <c r="K1628" t="s">
        <v>26</v>
      </c>
      <c r="L1628" t="s">
        <v>124</v>
      </c>
      <c r="M1628" t="s">
        <v>56</v>
      </c>
      <c r="N1628">
        <v>2.6</v>
      </c>
      <c r="O1628">
        <v>0</v>
      </c>
      <c r="P1628" t="s">
        <v>48</v>
      </c>
      <c r="Q1628" t="s">
        <v>30</v>
      </c>
      <c r="R1628" t="s">
        <v>30</v>
      </c>
      <c r="S1628">
        <v>45</v>
      </c>
      <c r="T1628" t="s">
        <v>42</v>
      </c>
      <c r="U1628" t="s">
        <v>79</v>
      </c>
      <c r="V1628" s="1">
        <v>45495</v>
      </c>
      <c r="W1628">
        <f>Table1[[#This Row],[customer_purchase count]]+1</f>
        <v>46</v>
      </c>
      <c r="X1628">
        <f>Table1[[#This Row],[customer_purchase count]]*Rules!$B$3</f>
        <v>2689.396153846154</v>
      </c>
      <c r="Y1628" t="str">
        <f>IF(Table1[[#This Row],[customer_subscription]]=1,"Subscribed","Not Subscribed")</f>
        <v>Not Subscribed</v>
      </c>
    </row>
    <row r="1629" spans="1:26" x14ac:dyDescent="0.25">
      <c r="A1629">
        <v>1628</v>
      </c>
      <c r="B1629">
        <v>69</v>
      </c>
      <c r="C1629" t="s">
        <v>22</v>
      </c>
      <c r="D1629">
        <v>1628</v>
      </c>
      <c r="E1629" t="s">
        <v>92</v>
      </c>
      <c r="F1629" t="s">
        <v>70</v>
      </c>
      <c r="G1629">
        <v>1628</v>
      </c>
      <c r="H1629">
        <v>2152</v>
      </c>
      <c r="I1629">
        <v>21</v>
      </c>
      <c r="J1629" t="s">
        <v>34</v>
      </c>
      <c r="K1629" t="s">
        <v>47</v>
      </c>
      <c r="L1629" t="s">
        <v>81</v>
      </c>
      <c r="M1629" t="s">
        <v>28</v>
      </c>
      <c r="N1629">
        <v>2.9</v>
      </c>
      <c r="O1629">
        <v>0</v>
      </c>
      <c r="P1629" t="s">
        <v>48</v>
      </c>
      <c r="Q1629" t="s">
        <v>30</v>
      </c>
      <c r="R1629" t="s">
        <v>30</v>
      </c>
      <c r="S1629">
        <v>8</v>
      </c>
      <c r="T1629" t="s">
        <v>42</v>
      </c>
      <c r="U1629" t="s">
        <v>52</v>
      </c>
      <c r="V1629" s="1">
        <v>45328</v>
      </c>
      <c r="W1629">
        <f>Table1[[#This Row],[customer_purchase count]]+1</f>
        <v>9</v>
      </c>
      <c r="X1629">
        <f>Table1[[#This Row],[customer_purchase count]]*Rules!$B$3</f>
        <v>478.11487179487182</v>
      </c>
      <c r="Y1629" t="str">
        <f>IF(Table1[[#This Row],[customer_subscription]]=1,"Subscribed","Not Subscribed")</f>
        <v>Not Subscribed</v>
      </c>
      <c r="Z1629" t="s">
        <v>194</v>
      </c>
    </row>
    <row r="1630" spans="1:26" x14ac:dyDescent="0.25">
      <c r="A1630">
        <v>1629</v>
      </c>
      <c r="B1630">
        <v>45</v>
      </c>
      <c r="C1630" t="s">
        <v>22</v>
      </c>
      <c r="D1630">
        <v>1629</v>
      </c>
      <c r="E1630" t="s">
        <v>84</v>
      </c>
      <c r="F1630" t="s">
        <v>24</v>
      </c>
      <c r="G1630">
        <v>1629</v>
      </c>
      <c r="H1630">
        <v>2153</v>
      </c>
      <c r="I1630">
        <v>64</v>
      </c>
      <c r="J1630" t="s">
        <v>38</v>
      </c>
      <c r="K1630" t="s">
        <v>39</v>
      </c>
      <c r="L1630" t="s">
        <v>88</v>
      </c>
      <c r="M1630" t="s">
        <v>28</v>
      </c>
      <c r="N1630">
        <v>3.1</v>
      </c>
      <c r="O1630">
        <v>0</v>
      </c>
      <c r="P1630" t="s">
        <v>48</v>
      </c>
      <c r="Q1630" t="s">
        <v>30</v>
      </c>
      <c r="R1630" t="s">
        <v>30</v>
      </c>
      <c r="S1630">
        <v>7</v>
      </c>
      <c r="T1630" t="s">
        <v>36</v>
      </c>
      <c r="U1630" t="s">
        <v>91</v>
      </c>
      <c r="V1630" s="1">
        <v>45631</v>
      </c>
      <c r="W1630">
        <f>Table1[[#This Row],[customer_purchase count]]+1</f>
        <v>8</v>
      </c>
      <c r="X1630">
        <f>Table1[[#This Row],[customer_purchase count]]*Rules!$B$3</f>
        <v>418.35051282051285</v>
      </c>
      <c r="Y1630" t="str">
        <f>IF(Table1[[#This Row],[customer_subscription]]=1,"Subscribed","Not Subscribed")</f>
        <v>Not Subscribed</v>
      </c>
      <c r="Z1630" t="s">
        <v>194</v>
      </c>
    </row>
    <row r="1631" spans="1:26" x14ac:dyDescent="0.25">
      <c r="A1631">
        <v>1630</v>
      </c>
      <c r="B1631">
        <v>35</v>
      </c>
      <c r="C1631" t="s">
        <v>22</v>
      </c>
      <c r="D1631">
        <v>1630</v>
      </c>
      <c r="E1631" t="s">
        <v>23</v>
      </c>
      <c r="F1631" t="s">
        <v>24</v>
      </c>
      <c r="G1631">
        <v>1630</v>
      </c>
      <c r="H1631">
        <v>2155</v>
      </c>
      <c r="I1631">
        <v>88</v>
      </c>
      <c r="J1631" t="s">
        <v>117</v>
      </c>
      <c r="K1631" t="s">
        <v>39</v>
      </c>
      <c r="L1631" t="s">
        <v>68</v>
      </c>
      <c r="M1631" t="s">
        <v>40</v>
      </c>
      <c r="N1631">
        <v>3.3</v>
      </c>
      <c r="O1631">
        <v>0</v>
      </c>
      <c r="P1631" t="s">
        <v>48</v>
      </c>
      <c r="Q1631" t="s">
        <v>30</v>
      </c>
      <c r="R1631" t="s">
        <v>30</v>
      </c>
      <c r="S1631">
        <v>13</v>
      </c>
      <c r="T1631" t="s">
        <v>31</v>
      </c>
      <c r="U1631" t="s">
        <v>61</v>
      </c>
      <c r="V1631" s="1">
        <v>45413</v>
      </c>
      <c r="W1631">
        <f>Table1[[#This Row],[customer_purchase count]]+1</f>
        <v>14</v>
      </c>
      <c r="X1631">
        <f>Table1[[#This Row],[customer_purchase count]]*Rules!$B$3</f>
        <v>776.93666666666672</v>
      </c>
      <c r="Y1631" t="str">
        <f>IF(Table1[[#This Row],[customer_subscription]]=1,"Subscribed","Not Subscribed")</f>
        <v>Not Subscribed</v>
      </c>
      <c r="Z1631" t="s">
        <v>194</v>
      </c>
    </row>
    <row r="1632" spans="1:26" x14ac:dyDescent="0.25">
      <c r="A1632">
        <v>1631</v>
      </c>
      <c r="B1632">
        <v>63</v>
      </c>
      <c r="C1632" t="s">
        <v>22</v>
      </c>
      <c r="D1632">
        <v>1631</v>
      </c>
      <c r="E1632" t="s">
        <v>74</v>
      </c>
      <c r="F1632" t="s">
        <v>45</v>
      </c>
      <c r="G1632">
        <v>1631</v>
      </c>
      <c r="H1632">
        <v>2156</v>
      </c>
      <c r="I1632">
        <v>48</v>
      </c>
      <c r="J1632" t="s">
        <v>130</v>
      </c>
      <c r="K1632" t="s">
        <v>47</v>
      </c>
      <c r="L1632" t="s">
        <v>83</v>
      </c>
      <c r="M1632" t="s">
        <v>56</v>
      </c>
      <c r="N1632">
        <v>2.9</v>
      </c>
      <c r="O1632">
        <v>0</v>
      </c>
      <c r="P1632" t="s">
        <v>77</v>
      </c>
      <c r="Q1632" t="s">
        <v>30</v>
      </c>
      <c r="R1632" t="s">
        <v>30</v>
      </c>
      <c r="S1632">
        <v>29</v>
      </c>
      <c r="T1632" t="s">
        <v>31</v>
      </c>
      <c r="U1632" t="s">
        <v>100</v>
      </c>
      <c r="V1632" s="1">
        <v>45509</v>
      </c>
      <c r="W1632">
        <f>Table1[[#This Row],[customer_purchase count]]+1</f>
        <v>30</v>
      </c>
      <c r="X1632">
        <f>Table1[[#This Row],[customer_purchase count]]*Rules!$B$3</f>
        <v>1733.1664102564102</v>
      </c>
      <c r="Y1632" t="str">
        <f>IF(Table1[[#This Row],[customer_subscription]]=1,"Subscribed","Not Subscribed")</f>
        <v>Not Subscribed</v>
      </c>
    </row>
    <row r="1633" spans="1:26" x14ac:dyDescent="0.25">
      <c r="A1633">
        <v>1632</v>
      </c>
      <c r="B1633">
        <v>65</v>
      </c>
      <c r="C1633" t="s">
        <v>22</v>
      </c>
      <c r="D1633">
        <v>1632</v>
      </c>
      <c r="E1633" t="s">
        <v>33</v>
      </c>
      <c r="F1633" t="s">
        <v>24</v>
      </c>
      <c r="G1633">
        <v>1632</v>
      </c>
      <c r="H1633">
        <v>2157</v>
      </c>
      <c r="I1633">
        <v>36</v>
      </c>
      <c r="J1633" t="s">
        <v>119</v>
      </c>
      <c r="K1633" t="s">
        <v>26</v>
      </c>
      <c r="L1633" t="s">
        <v>86</v>
      </c>
      <c r="M1633" t="s">
        <v>56</v>
      </c>
      <c r="N1633">
        <v>3.9</v>
      </c>
      <c r="O1633">
        <v>0</v>
      </c>
      <c r="P1633" t="s">
        <v>73</v>
      </c>
      <c r="Q1633" t="s">
        <v>30</v>
      </c>
      <c r="R1633" t="s">
        <v>30</v>
      </c>
      <c r="S1633">
        <v>7</v>
      </c>
      <c r="T1633" t="s">
        <v>78</v>
      </c>
      <c r="U1633" t="s">
        <v>32</v>
      </c>
      <c r="V1633" s="1">
        <v>45521</v>
      </c>
      <c r="W1633">
        <f>Table1[[#This Row],[customer_purchase count]]+1</f>
        <v>8</v>
      </c>
      <c r="X1633">
        <f>Table1[[#This Row],[customer_purchase count]]*Rules!$B$3</f>
        <v>418.35051282051285</v>
      </c>
      <c r="Y1633" t="str">
        <f>IF(Table1[[#This Row],[customer_subscription]]=1,"Subscribed","Not Subscribed")</f>
        <v>Not Subscribed</v>
      </c>
      <c r="Z1633" t="s">
        <v>194</v>
      </c>
    </row>
    <row r="1634" spans="1:26" x14ac:dyDescent="0.25">
      <c r="A1634">
        <v>1633</v>
      </c>
      <c r="B1634">
        <v>35</v>
      </c>
      <c r="C1634" t="s">
        <v>22</v>
      </c>
      <c r="D1634">
        <v>1633</v>
      </c>
      <c r="E1634" t="s">
        <v>146</v>
      </c>
      <c r="F1634" t="s">
        <v>70</v>
      </c>
      <c r="G1634">
        <v>1633</v>
      </c>
      <c r="H1634">
        <v>2158</v>
      </c>
      <c r="I1634">
        <v>28</v>
      </c>
      <c r="J1634" t="s">
        <v>50</v>
      </c>
      <c r="K1634" t="s">
        <v>39</v>
      </c>
      <c r="L1634" t="s">
        <v>55</v>
      </c>
      <c r="M1634" t="s">
        <v>56</v>
      </c>
      <c r="N1634">
        <v>4.7</v>
      </c>
      <c r="O1634">
        <v>0</v>
      </c>
      <c r="P1634" t="s">
        <v>73</v>
      </c>
      <c r="Q1634" t="s">
        <v>30</v>
      </c>
      <c r="R1634" t="s">
        <v>30</v>
      </c>
      <c r="S1634">
        <v>50</v>
      </c>
      <c r="T1634" t="s">
        <v>89</v>
      </c>
      <c r="U1634" t="s">
        <v>100</v>
      </c>
      <c r="V1634" s="1">
        <v>45475</v>
      </c>
      <c r="W1634">
        <f>Table1[[#This Row],[customer_purchase count]]+1</f>
        <v>51</v>
      </c>
      <c r="X1634">
        <f>Table1[[#This Row],[customer_purchase count]]*Rules!$B$3</f>
        <v>2988.2179487179487</v>
      </c>
      <c r="Y1634" t="str">
        <f>IF(Table1[[#This Row],[customer_subscription]]=1,"Subscribed","Not Subscribed")</f>
        <v>Not Subscribed</v>
      </c>
    </row>
    <row r="1635" spans="1:26" x14ac:dyDescent="0.25">
      <c r="A1635">
        <v>1634</v>
      </c>
      <c r="B1635">
        <v>54</v>
      </c>
      <c r="C1635" t="s">
        <v>22</v>
      </c>
      <c r="D1635">
        <v>1634</v>
      </c>
      <c r="E1635" t="s">
        <v>128</v>
      </c>
      <c r="F1635" t="s">
        <v>24</v>
      </c>
      <c r="G1635">
        <v>1634</v>
      </c>
      <c r="H1635">
        <v>2159</v>
      </c>
      <c r="I1635">
        <v>80</v>
      </c>
      <c r="J1635" t="s">
        <v>117</v>
      </c>
      <c r="K1635" t="s">
        <v>47</v>
      </c>
      <c r="L1635" t="s">
        <v>103</v>
      </c>
      <c r="M1635" t="s">
        <v>40</v>
      </c>
      <c r="N1635">
        <v>4.4000000000000004</v>
      </c>
      <c r="O1635">
        <v>0</v>
      </c>
      <c r="P1635" t="s">
        <v>73</v>
      </c>
      <c r="Q1635" t="s">
        <v>30</v>
      </c>
      <c r="R1635" t="s">
        <v>30</v>
      </c>
      <c r="S1635">
        <v>33</v>
      </c>
      <c r="T1635" t="s">
        <v>89</v>
      </c>
      <c r="U1635" t="s">
        <v>79</v>
      </c>
      <c r="V1635" s="1">
        <v>45370</v>
      </c>
      <c r="W1635">
        <f>Table1[[#This Row],[customer_purchase count]]+1</f>
        <v>34</v>
      </c>
      <c r="X1635">
        <f>Table1[[#This Row],[customer_purchase count]]*Rules!$B$3</f>
        <v>1972.2238461538464</v>
      </c>
      <c r="Y1635" t="str">
        <f>IF(Table1[[#This Row],[customer_subscription]]=1,"Subscribed","Not Subscribed")</f>
        <v>Not Subscribed</v>
      </c>
    </row>
    <row r="1636" spans="1:26" x14ac:dyDescent="0.25">
      <c r="A1636">
        <v>1635</v>
      </c>
      <c r="B1636">
        <v>28</v>
      </c>
      <c r="C1636" t="s">
        <v>22</v>
      </c>
      <c r="D1636">
        <v>1635</v>
      </c>
      <c r="E1636" t="s">
        <v>65</v>
      </c>
      <c r="F1636" t="s">
        <v>66</v>
      </c>
      <c r="G1636">
        <v>1635</v>
      </c>
      <c r="H1636">
        <v>2161</v>
      </c>
      <c r="I1636">
        <v>23</v>
      </c>
      <c r="J1636" t="s">
        <v>134</v>
      </c>
      <c r="K1636" t="s">
        <v>39</v>
      </c>
      <c r="L1636" t="s">
        <v>124</v>
      </c>
      <c r="M1636" t="s">
        <v>56</v>
      </c>
      <c r="N1636">
        <v>3.6</v>
      </c>
      <c r="O1636">
        <v>0</v>
      </c>
      <c r="P1636" t="s">
        <v>77</v>
      </c>
      <c r="Q1636" t="s">
        <v>30</v>
      </c>
      <c r="R1636" t="s">
        <v>30</v>
      </c>
      <c r="S1636">
        <v>30</v>
      </c>
      <c r="T1636" t="s">
        <v>36</v>
      </c>
      <c r="U1636" t="s">
        <v>100</v>
      </c>
      <c r="V1636" s="1">
        <v>45457</v>
      </c>
      <c r="W1636">
        <f>Table1[[#This Row],[customer_purchase count]]+1</f>
        <v>31</v>
      </c>
      <c r="X1636">
        <f>Table1[[#This Row],[customer_purchase count]]*Rules!$B$3</f>
        <v>1792.9307692307693</v>
      </c>
      <c r="Y1636" t="str">
        <f>IF(Table1[[#This Row],[customer_subscription]]=1,"Subscribed","Not Subscribed")</f>
        <v>Not Subscribed</v>
      </c>
    </row>
    <row r="1637" spans="1:26" x14ac:dyDescent="0.25">
      <c r="A1637">
        <v>1636</v>
      </c>
      <c r="B1637">
        <v>68</v>
      </c>
      <c r="C1637" t="s">
        <v>22</v>
      </c>
      <c r="D1637">
        <v>1636</v>
      </c>
      <c r="E1637" t="s">
        <v>92</v>
      </c>
      <c r="F1637" t="s">
        <v>70</v>
      </c>
      <c r="G1637">
        <v>1636</v>
      </c>
      <c r="H1637">
        <v>2162</v>
      </c>
      <c r="I1637">
        <v>24</v>
      </c>
      <c r="J1637" t="s">
        <v>101</v>
      </c>
      <c r="K1637" t="s">
        <v>26</v>
      </c>
      <c r="L1637" t="s">
        <v>86</v>
      </c>
      <c r="M1637" t="s">
        <v>56</v>
      </c>
      <c r="N1637">
        <v>3.2</v>
      </c>
      <c r="O1637">
        <v>0</v>
      </c>
      <c r="P1637" t="s">
        <v>57</v>
      </c>
      <c r="Q1637" t="s">
        <v>30</v>
      </c>
      <c r="R1637" t="s">
        <v>30</v>
      </c>
      <c r="S1637">
        <v>40</v>
      </c>
      <c r="T1637" t="s">
        <v>36</v>
      </c>
      <c r="U1637" t="s">
        <v>52</v>
      </c>
      <c r="V1637" s="1">
        <v>45480</v>
      </c>
      <c r="W1637">
        <f>Table1[[#This Row],[customer_purchase count]]+1</f>
        <v>41</v>
      </c>
      <c r="X1637">
        <f>Table1[[#This Row],[customer_purchase count]]*Rules!$B$3</f>
        <v>2390.5743589743593</v>
      </c>
      <c r="Y1637" t="str">
        <f>IF(Table1[[#This Row],[customer_subscription]]=1,"Subscribed","Not Subscribed")</f>
        <v>Not Subscribed</v>
      </c>
    </row>
    <row r="1638" spans="1:26" x14ac:dyDescent="0.25">
      <c r="A1638">
        <v>1637</v>
      </c>
      <c r="B1638">
        <v>58</v>
      </c>
      <c r="C1638" t="s">
        <v>22</v>
      </c>
      <c r="D1638">
        <v>1637</v>
      </c>
      <c r="E1638" t="s">
        <v>140</v>
      </c>
      <c r="F1638" t="s">
        <v>45</v>
      </c>
      <c r="G1638">
        <v>1637</v>
      </c>
      <c r="H1638">
        <v>2163</v>
      </c>
      <c r="I1638">
        <v>22</v>
      </c>
      <c r="J1638" t="s">
        <v>117</v>
      </c>
      <c r="K1638" t="s">
        <v>26</v>
      </c>
      <c r="L1638" t="s">
        <v>99</v>
      </c>
      <c r="M1638" t="s">
        <v>60</v>
      </c>
      <c r="N1638">
        <v>4</v>
      </c>
      <c r="O1638">
        <v>0</v>
      </c>
      <c r="P1638" t="s">
        <v>41</v>
      </c>
      <c r="Q1638" t="s">
        <v>30</v>
      </c>
      <c r="R1638" t="s">
        <v>30</v>
      </c>
      <c r="S1638">
        <v>49</v>
      </c>
      <c r="T1638" t="s">
        <v>36</v>
      </c>
      <c r="U1638" t="s">
        <v>32</v>
      </c>
      <c r="V1638" s="1">
        <v>45599</v>
      </c>
      <c r="W1638">
        <f>Table1[[#This Row],[customer_purchase count]]+1</f>
        <v>50</v>
      </c>
      <c r="X1638">
        <f>Table1[[#This Row],[customer_purchase count]]*Rules!$B$3</f>
        <v>2928.4535897435899</v>
      </c>
      <c r="Y1638" t="str">
        <f>IF(Table1[[#This Row],[customer_subscription]]=1,"Subscribed","Not Subscribed")</f>
        <v>Not Subscribed</v>
      </c>
    </row>
    <row r="1639" spans="1:26" x14ac:dyDescent="0.25">
      <c r="A1639">
        <v>1638</v>
      </c>
      <c r="B1639">
        <v>35</v>
      </c>
      <c r="C1639" t="s">
        <v>22</v>
      </c>
      <c r="D1639">
        <v>1638</v>
      </c>
      <c r="E1639" t="s">
        <v>84</v>
      </c>
      <c r="F1639" t="s">
        <v>24</v>
      </c>
      <c r="G1639">
        <v>1638</v>
      </c>
      <c r="H1639">
        <v>2164</v>
      </c>
      <c r="I1639">
        <v>21</v>
      </c>
      <c r="J1639" t="s">
        <v>38</v>
      </c>
      <c r="K1639" t="s">
        <v>47</v>
      </c>
      <c r="L1639" t="s">
        <v>103</v>
      </c>
      <c r="M1639" t="s">
        <v>40</v>
      </c>
      <c r="N1639">
        <v>3.5</v>
      </c>
      <c r="O1639">
        <v>0</v>
      </c>
      <c r="P1639" t="s">
        <v>48</v>
      </c>
      <c r="Q1639" t="s">
        <v>30</v>
      </c>
      <c r="R1639" t="s">
        <v>30</v>
      </c>
      <c r="S1639">
        <v>32</v>
      </c>
      <c r="T1639" t="s">
        <v>31</v>
      </c>
      <c r="U1639" t="s">
        <v>32</v>
      </c>
      <c r="V1639" s="1">
        <v>45370</v>
      </c>
      <c r="W1639">
        <f>Table1[[#This Row],[customer_purchase count]]+1</f>
        <v>33</v>
      </c>
      <c r="X1639">
        <f>Table1[[#This Row],[customer_purchase count]]*Rules!$B$3</f>
        <v>1912.4594871794873</v>
      </c>
      <c r="Y1639" t="str">
        <f>IF(Table1[[#This Row],[customer_subscription]]=1,"Subscribed","Not Subscribed")</f>
        <v>Not Subscribed</v>
      </c>
    </row>
    <row r="1640" spans="1:26" x14ac:dyDescent="0.25">
      <c r="A1640">
        <v>1639</v>
      </c>
      <c r="B1640">
        <v>68</v>
      </c>
      <c r="C1640" t="s">
        <v>22</v>
      </c>
      <c r="D1640">
        <v>1639</v>
      </c>
      <c r="E1640" t="s">
        <v>105</v>
      </c>
      <c r="F1640" t="s">
        <v>66</v>
      </c>
      <c r="G1640">
        <v>1639</v>
      </c>
      <c r="H1640">
        <v>2165</v>
      </c>
      <c r="I1640">
        <v>51</v>
      </c>
      <c r="J1640" t="s">
        <v>125</v>
      </c>
      <c r="K1640" t="s">
        <v>47</v>
      </c>
      <c r="L1640" t="s">
        <v>97</v>
      </c>
      <c r="M1640" t="s">
        <v>40</v>
      </c>
      <c r="N1640">
        <v>4.5999999999999996</v>
      </c>
      <c r="O1640">
        <v>0</v>
      </c>
      <c r="P1640" t="s">
        <v>41</v>
      </c>
      <c r="Q1640" t="s">
        <v>30</v>
      </c>
      <c r="R1640" t="s">
        <v>30</v>
      </c>
      <c r="S1640">
        <v>18</v>
      </c>
      <c r="T1640" t="s">
        <v>31</v>
      </c>
      <c r="U1640" t="s">
        <v>43</v>
      </c>
      <c r="V1640" s="1">
        <v>45439</v>
      </c>
      <c r="W1640">
        <f>Table1[[#This Row],[customer_purchase count]]+1</f>
        <v>19</v>
      </c>
      <c r="X1640">
        <f>Table1[[#This Row],[customer_purchase count]]*Rules!$B$3</f>
        <v>1075.7584615384617</v>
      </c>
      <c r="Y1640" t="str">
        <f>IF(Table1[[#This Row],[customer_subscription]]=1,"Subscribed","Not Subscribed")</f>
        <v>Not Subscribed</v>
      </c>
    </row>
    <row r="1641" spans="1:26" x14ac:dyDescent="0.25">
      <c r="A1641">
        <v>1640</v>
      </c>
      <c r="B1641">
        <v>41</v>
      </c>
      <c r="C1641" t="s">
        <v>22</v>
      </c>
      <c r="D1641">
        <v>1640</v>
      </c>
      <c r="E1641" t="s">
        <v>146</v>
      </c>
      <c r="F1641" t="s">
        <v>70</v>
      </c>
      <c r="G1641">
        <v>1640</v>
      </c>
      <c r="H1641">
        <v>2167</v>
      </c>
      <c r="I1641">
        <v>65</v>
      </c>
      <c r="J1641" t="s">
        <v>71</v>
      </c>
      <c r="K1641" t="s">
        <v>26</v>
      </c>
      <c r="L1641" t="s">
        <v>147</v>
      </c>
      <c r="M1641" t="s">
        <v>56</v>
      </c>
      <c r="N1641">
        <v>3.3</v>
      </c>
      <c r="O1641">
        <v>0</v>
      </c>
      <c r="P1641" t="s">
        <v>41</v>
      </c>
      <c r="Q1641" t="s">
        <v>30</v>
      </c>
      <c r="R1641" t="s">
        <v>30</v>
      </c>
      <c r="S1641">
        <v>50</v>
      </c>
      <c r="T1641" t="s">
        <v>49</v>
      </c>
      <c r="U1641" t="s">
        <v>52</v>
      </c>
      <c r="V1641" s="1">
        <v>45465</v>
      </c>
      <c r="W1641">
        <f>Table1[[#This Row],[customer_purchase count]]+1</f>
        <v>51</v>
      </c>
      <c r="X1641">
        <f>Table1[[#This Row],[customer_purchase count]]*Rules!$B$3</f>
        <v>2988.2179487179487</v>
      </c>
      <c r="Y1641" t="str">
        <f>IF(Table1[[#This Row],[customer_subscription]]=1,"Subscribed","Not Subscribed")</f>
        <v>Not Subscribed</v>
      </c>
    </row>
    <row r="1642" spans="1:26" x14ac:dyDescent="0.25">
      <c r="A1642">
        <v>1641</v>
      </c>
      <c r="B1642">
        <v>65</v>
      </c>
      <c r="C1642" t="s">
        <v>22</v>
      </c>
      <c r="D1642">
        <v>1641</v>
      </c>
      <c r="E1642" t="s">
        <v>122</v>
      </c>
      <c r="F1642" t="s">
        <v>70</v>
      </c>
      <c r="G1642">
        <v>1641</v>
      </c>
      <c r="H1642">
        <v>2168</v>
      </c>
      <c r="I1642">
        <v>51</v>
      </c>
      <c r="J1642" t="s">
        <v>125</v>
      </c>
      <c r="K1642" t="s">
        <v>39</v>
      </c>
      <c r="L1642" t="s">
        <v>139</v>
      </c>
      <c r="M1642" t="s">
        <v>40</v>
      </c>
      <c r="N1642">
        <v>4</v>
      </c>
      <c r="O1642">
        <v>0</v>
      </c>
      <c r="P1642" t="s">
        <v>73</v>
      </c>
      <c r="Q1642" t="s">
        <v>30</v>
      </c>
      <c r="R1642" t="s">
        <v>30</v>
      </c>
      <c r="S1642">
        <v>13</v>
      </c>
      <c r="T1642" t="s">
        <v>49</v>
      </c>
      <c r="U1642" t="s">
        <v>43</v>
      </c>
      <c r="V1642" s="1">
        <v>45366</v>
      </c>
      <c r="W1642">
        <f>Table1[[#This Row],[customer_purchase count]]+1</f>
        <v>14</v>
      </c>
      <c r="X1642">
        <f>Table1[[#This Row],[customer_purchase count]]*Rules!$B$3</f>
        <v>776.93666666666672</v>
      </c>
      <c r="Y1642" t="str">
        <f>IF(Table1[[#This Row],[customer_subscription]]=1,"Subscribed","Not Subscribed")</f>
        <v>Not Subscribed</v>
      </c>
      <c r="Z1642" t="s">
        <v>194</v>
      </c>
    </row>
    <row r="1643" spans="1:26" x14ac:dyDescent="0.25">
      <c r="A1643">
        <v>1642</v>
      </c>
      <c r="B1643">
        <v>50</v>
      </c>
      <c r="C1643" t="s">
        <v>22</v>
      </c>
      <c r="D1643">
        <v>1642</v>
      </c>
      <c r="E1643" t="s">
        <v>107</v>
      </c>
      <c r="F1643" t="s">
        <v>24</v>
      </c>
      <c r="G1643">
        <v>1642</v>
      </c>
      <c r="H1643">
        <v>2169</v>
      </c>
      <c r="I1643">
        <v>32</v>
      </c>
      <c r="J1643" t="s">
        <v>115</v>
      </c>
      <c r="K1643" t="s">
        <v>26</v>
      </c>
      <c r="L1643" t="s">
        <v>86</v>
      </c>
      <c r="M1643" t="s">
        <v>56</v>
      </c>
      <c r="N1643">
        <v>3.4</v>
      </c>
      <c r="O1643">
        <v>0</v>
      </c>
      <c r="P1643" t="s">
        <v>41</v>
      </c>
      <c r="Q1643" t="s">
        <v>30</v>
      </c>
      <c r="R1643" t="s">
        <v>30</v>
      </c>
      <c r="S1643">
        <v>1</v>
      </c>
      <c r="T1643" t="s">
        <v>78</v>
      </c>
      <c r="U1643" t="s">
        <v>100</v>
      </c>
      <c r="V1643" s="1">
        <v>45446</v>
      </c>
      <c r="W1643">
        <f>Table1[[#This Row],[customer_purchase count]]+1</f>
        <v>2</v>
      </c>
      <c r="X1643">
        <f>Table1[[#This Row],[customer_purchase count]]*Rules!$B$3</f>
        <v>59.764358974358977</v>
      </c>
      <c r="Y1643" t="str">
        <f>IF(Table1[[#This Row],[customer_subscription]]=1,"Subscribed","Not Subscribed")</f>
        <v>Not Subscribed</v>
      </c>
      <c r="Z1643" t="s">
        <v>194</v>
      </c>
    </row>
    <row r="1644" spans="1:26" x14ac:dyDescent="0.25">
      <c r="A1644">
        <v>1643</v>
      </c>
      <c r="B1644">
        <v>18</v>
      </c>
      <c r="C1644" t="s">
        <v>22</v>
      </c>
      <c r="D1644">
        <v>1643</v>
      </c>
      <c r="E1644" t="s">
        <v>65</v>
      </c>
      <c r="F1644" t="s">
        <v>66</v>
      </c>
      <c r="G1644">
        <v>1643</v>
      </c>
      <c r="H1644">
        <v>2170</v>
      </c>
      <c r="I1644">
        <v>70</v>
      </c>
      <c r="J1644" t="s">
        <v>94</v>
      </c>
      <c r="K1644" t="s">
        <v>47</v>
      </c>
      <c r="L1644" t="s">
        <v>121</v>
      </c>
      <c r="M1644" t="s">
        <v>40</v>
      </c>
      <c r="N1644">
        <v>4.2</v>
      </c>
      <c r="O1644">
        <v>0</v>
      </c>
      <c r="P1644" t="s">
        <v>77</v>
      </c>
      <c r="Q1644" t="s">
        <v>30</v>
      </c>
      <c r="R1644" t="s">
        <v>30</v>
      </c>
      <c r="S1644">
        <v>16</v>
      </c>
      <c r="T1644" t="s">
        <v>49</v>
      </c>
      <c r="U1644" t="s">
        <v>32</v>
      </c>
      <c r="V1644" s="1">
        <v>45378</v>
      </c>
      <c r="W1644">
        <f>Table1[[#This Row],[customer_purchase count]]+1</f>
        <v>17</v>
      </c>
      <c r="X1644">
        <f>Table1[[#This Row],[customer_purchase count]]*Rules!$B$3</f>
        <v>956.22974358974363</v>
      </c>
      <c r="Y1644" t="str">
        <f>IF(Table1[[#This Row],[customer_subscription]]=1,"Subscribed","Not Subscribed")</f>
        <v>Not Subscribed</v>
      </c>
      <c r="Z1644" t="s">
        <v>187</v>
      </c>
    </row>
    <row r="1645" spans="1:26" x14ac:dyDescent="0.25">
      <c r="A1645">
        <v>1644</v>
      </c>
      <c r="B1645">
        <v>38</v>
      </c>
      <c r="C1645" t="s">
        <v>22</v>
      </c>
      <c r="D1645">
        <v>1644</v>
      </c>
      <c r="E1645" t="s">
        <v>122</v>
      </c>
      <c r="F1645" t="s">
        <v>70</v>
      </c>
      <c r="G1645">
        <v>1644</v>
      </c>
      <c r="H1645">
        <v>2171</v>
      </c>
      <c r="I1645">
        <v>77</v>
      </c>
      <c r="J1645" t="s">
        <v>126</v>
      </c>
      <c r="K1645" t="s">
        <v>26</v>
      </c>
      <c r="L1645" t="s">
        <v>72</v>
      </c>
      <c r="M1645" t="s">
        <v>56</v>
      </c>
      <c r="N1645">
        <v>3.9</v>
      </c>
      <c r="O1645">
        <v>0</v>
      </c>
      <c r="P1645" t="s">
        <v>73</v>
      </c>
      <c r="Q1645" t="s">
        <v>30</v>
      </c>
      <c r="R1645" t="s">
        <v>30</v>
      </c>
      <c r="S1645">
        <v>6</v>
      </c>
      <c r="T1645" t="s">
        <v>49</v>
      </c>
      <c r="U1645" t="s">
        <v>91</v>
      </c>
      <c r="V1645" s="1">
        <v>45447</v>
      </c>
      <c r="W1645">
        <f>Table1[[#This Row],[customer_purchase count]]+1</f>
        <v>7</v>
      </c>
      <c r="X1645">
        <f>Table1[[#This Row],[customer_purchase count]]*Rules!$B$3</f>
        <v>358.58615384615388</v>
      </c>
      <c r="Y1645" t="str">
        <f>IF(Table1[[#This Row],[customer_subscription]]=1,"Subscribed","Not Subscribed")</f>
        <v>Not Subscribed</v>
      </c>
      <c r="Z1645" t="s">
        <v>194</v>
      </c>
    </row>
    <row r="1646" spans="1:26" x14ac:dyDescent="0.25">
      <c r="A1646">
        <v>1645</v>
      </c>
      <c r="B1646">
        <v>68</v>
      </c>
      <c r="C1646" t="s">
        <v>22</v>
      </c>
      <c r="D1646">
        <v>1645</v>
      </c>
      <c r="E1646" t="s">
        <v>65</v>
      </c>
      <c r="F1646" t="s">
        <v>66</v>
      </c>
      <c r="G1646">
        <v>1645</v>
      </c>
      <c r="H1646">
        <v>2173</v>
      </c>
      <c r="I1646">
        <v>90</v>
      </c>
      <c r="J1646" t="s">
        <v>101</v>
      </c>
      <c r="K1646" t="s">
        <v>39</v>
      </c>
      <c r="L1646" t="s">
        <v>121</v>
      </c>
      <c r="M1646" t="s">
        <v>56</v>
      </c>
      <c r="N1646">
        <v>3.9</v>
      </c>
      <c r="O1646">
        <v>0</v>
      </c>
      <c r="P1646" t="s">
        <v>48</v>
      </c>
      <c r="Q1646" t="s">
        <v>30</v>
      </c>
      <c r="R1646" t="s">
        <v>30</v>
      </c>
      <c r="S1646">
        <v>21</v>
      </c>
      <c r="T1646" t="s">
        <v>89</v>
      </c>
      <c r="U1646" t="s">
        <v>91</v>
      </c>
      <c r="V1646" s="1">
        <v>45501</v>
      </c>
      <c r="W1646">
        <f>Table1[[#This Row],[customer_purchase count]]+1</f>
        <v>22</v>
      </c>
      <c r="X1646">
        <f>Table1[[#This Row],[customer_purchase count]]*Rules!$B$3</f>
        <v>1255.0515384615385</v>
      </c>
      <c r="Y1646" t="str">
        <f>IF(Table1[[#This Row],[customer_subscription]]=1,"Subscribed","Not Subscribed")</f>
        <v>Not Subscribed</v>
      </c>
    </row>
    <row r="1647" spans="1:26" x14ac:dyDescent="0.25">
      <c r="A1647">
        <v>1646</v>
      </c>
      <c r="B1647">
        <v>53</v>
      </c>
      <c r="C1647" t="s">
        <v>22</v>
      </c>
      <c r="D1647">
        <v>1646</v>
      </c>
      <c r="E1647" t="s">
        <v>122</v>
      </c>
      <c r="F1647" t="s">
        <v>70</v>
      </c>
      <c r="G1647">
        <v>1646</v>
      </c>
      <c r="H1647">
        <v>2174</v>
      </c>
      <c r="I1647">
        <v>36</v>
      </c>
      <c r="J1647" t="s">
        <v>126</v>
      </c>
      <c r="K1647" t="s">
        <v>26</v>
      </c>
      <c r="L1647" t="s">
        <v>99</v>
      </c>
      <c r="M1647" t="s">
        <v>56</v>
      </c>
      <c r="N1647">
        <v>2.8</v>
      </c>
      <c r="O1647">
        <v>0</v>
      </c>
      <c r="P1647" t="s">
        <v>57</v>
      </c>
      <c r="Q1647" t="s">
        <v>30</v>
      </c>
      <c r="R1647" t="s">
        <v>30</v>
      </c>
      <c r="S1647">
        <v>36</v>
      </c>
      <c r="T1647" t="s">
        <v>31</v>
      </c>
      <c r="U1647" t="s">
        <v>100</v>
      </c>
      <c r="V1647" s="1">
        <v>45532</v>
      </c>
      <c r="W1647">
        <f>Table1[[#This Row],[customer_purchase count]]+1</f>
        <v>37</v>
      </c>
      <c r="X1647">
        <f>Table1[[#This Row],[customer_purchase count]]*Rules!$B$3</f>
        <v>2151.5169230769234</v>
      </c>
      <c r="Y1647" t="str">
        <f>IF(Table1[[#This Row],[customer_subscription]]=1,"Subscribed","Not Subscribed")</f>
        <v>Not Subscribed</v>
      </c>
    </row>
    <row r="1648" spans="1:26" x14ac:dyDescent="0.25">
      <c r="A1648">
        <v>1647</v>
      </c>
      <c r="B1648">
        <v>58</v>
      </c>
      <c r="C1648" t="s">
        <v>22</v>
      </c>
      <c r="D1648">
        <v>1647</v>
      </c>
      <c r="E1648" t="s">
        <v>69</v>
      </c>
      <c r="F1648" t="s">
        <v>70</v>
      </c>
      <c r="G1648">
        <v>1647</v>
      </c>
      <c r="H1648">
        <v>2175</v>
      </c>
      <c r="I1648">
        <v>77</v>
      </c>
      <c r="J1648" t="s">
        <v>148</v>
      </c>
      <c r="K1648" t="s">
        <v>39</v>
      </c>
      <c r="L1648" t="s">
        <v>68</v>
      </c>
      <c r="M1648" t="s">
        <v>56</v>
      </c>
      <c r="N1648">
        <v>3.7</v>
      </c>
      <c r="O1648">
        <v>0</v>
      </c>
      <c r="P1648" t="s">
        <v>57</v>
      </c>
      <c r="Q1648" t="s">
        <v>30</v>
      </c>
      <c r="R1648" t="s">
        <v>30</v>
      </c>
      <c r="S1648">
        <v>20</v>
      </c>
      <c r="T1648" t="s">
        <v>78</v>
      </c>
      <c r="U1648" t="s">
        <v>100</v>
      </c>
      <c r="V1648" s="1">
        <v>45447</v>
      </c>
      <c r="W1648">
        <f>Table1[[#This Row],[customer_purchase count]]+1</f>
        <v>21</v>
      </c>
      <c r="X1648">
        <f>Table1[[#This Row],[customer_purchase count]]*Rules!$B$3</f>
        <v>1195.2871794871796</v>
      </c>
      <c r="Y1648" t="str">
        <f>IF(Table1[[#This Row],[customer_subscription]]=1,"Subscribed","Not Subscribed")</f>
        <v>Not Subscribed</v>
      </c>
    </row>
    <row r="1649" spans="1:26" x14ac:dyDescent="0.25">
      <c r="A1649">
        <v>1648</v>
      </c>
      <c r="B1649">
        <v>34</v>
      </c>
      <c r="C1649" t="s">
        <v>22</v>
      </c>
      <c r="D1649">
        <v>1648</v>
      </c>
      <c r="E1649" t="s">
        <v>140</v>
      </c>
      <c r="F1649" t="s">
        <v>45</v>
      </c>
      <c r="G1649">
        <v>1648</v>
      </c>
      <c r="H1649">
        <v>2176</v>
      </c>
      <c r="I1649">
        <v>78</v>
      </c>
      <c r="J1649" t="s">
        <v>80</v>
      </c>
      <c r="K1649" t="s">
        <v>47</v>
      </c>
      <c r="L1649" t="s">
        <v>76</v>
      </c>
      <c r="M1649" t="s">
        <v>56</v>
      </c>
      <c r="N1649">
        <v>4.9000000000000004</v>
      </c>
      <c r="O1649">
        <v>0</v>
      </c>
      <c r="P1649" t="s">
        <v>77</v>
      </c>
      <c r="Q1649" t="s">
        <v>30</v>
      </c>
      <c r="R1649" t="s">
        <v>30</v>
      </c>
      <c r="S1649">
        <v>8</v>
      </c>
      <c r="T1649" t="s">
        <v>89</v>
      </c>
      <c r="U1649" t="s">
        <v>61</v>
      </c>
      <c r="V1649" s="1">
        <v>45490</v>
      </c>
      <c r="W1649">
        <f>Table1[[#This Row],[customer_purchase count]]+1</f>
        <v>9</v>
      </c>
      <c r="X1649">
        <f>Table1[[#This Row],[customer_purchase count]]*Rules!$B$3</f>
        <v>478.11487179487182</v>
      </c>
      <c r="Y1649" t="str">
        <f>IF(Table1[[#This Row],[customer_subscription]]=1,"Subscribed","Not Subscribed")</f>
        <v>Not Subscribed</v>
      </c>
      <c r="Z1649" t="s">
        <v>194</v>
      </c>
    </row>
    <row r="1650" spans="1:26" x14ac:dyDescent="0.25">
      <c r="A1650">
        <v>1649</v>
      </c>
      <c r="B1650">
        <v>36</v>
      </c>
      <c r="C1650" t="s">
        <v>22</v>
      </c>
      <c r="D1650">
        <v>1649</v>
      </c>
      <c r="E1650" t="s">
        <v>98</v>
      </c>
      <c r="F1650" t="s">
        <v>24</v>
      </c>
      <c r="G1650">
        <v>1649</v>
      </c>
      <c r="H1650">
        <v>2177</v>
      </c>
      <c r="I1650">
        <v>69</v>
      </c>
      <c r="J1650" t="s">
        <v>104</v>
      </c>
      <c r="K1650" t="s">
        <v>47</v>
      </c>
      <c r="L1650" t="s">
        <v>27</v>
      </c>
      <c r="M1650" t="s">
        <v>56</v>
      </c>
      <c r="N1650">
        <v>2.6</v>
      </c>
      <c r="O1650">
        <v>0</v>
      </c>
      <c r="P1650" t="s">
        <v>29</v>
      </c>
      <c r="Q1650" t="s">
        <v>30</v>
      </c>
      <c r="R1650" t="s">
        <v>30</v>
      </c>
      <c r="S1650">
        <v>22</v>
      </c>
      <c r="T1650" t="s">
        <v>42</v>
      </c>
      <c r="U1650" t="s">
        <v>91</v>
      </c>
      <c r="V1650" s="1">
        <v>45510</v>
      </c>
      <c r="W1650">
        <f>Table1[[#This Row],[customer_purchase count]]+1</f>
        <v>23</v>
      </c>
      <c r="X1650">
        <f>Table1[[#This Row],[customer_purchase count]]*Rules!$B$3</f>
        <v>1314.8158974358976</v>
      </c>
      <c r="Y1650" t="str">
        <f>IF(Table1[[#This Row],[customer_subscription]]=1,"Subscribed","Not Subscribed")</f>
        <v>Not Subscribed</v>
      </c>
    </row>
    <row r="1651" spans="1:26" x14ac:dyDescent="0.25">
      <c r="A1651">
        <v>1650</v>
      </c>
      <c r="B1651">
        <v>58</v>
      </c>
      <c r="C1651" t="s">
        <v>22</v>
      </c>
      <c r="D1651">
        <v>1650</v>
      </c>
      <c r="E1651" t="s">
        <v>116</v>
      </c>
      <c r="F1651" t="s">
        <v>24</v>
      </c>
      <c r="G1651">
        <v>1650</v>
      </c>
      <c r="H1651">
        <v>2179</v>
      </c>
      <c r="I1651">
        <v>63</v>
      </c>
      <c r="J1651" t="s">
        <v>153</v>
      </c>
      <c r="K1651" t="s">
        <v>47</v>
      </c>
      <c r="L1651" t="s">
        <v>55</v>
      </c>
      <c r="M1651" t="s">
        <v>56</v>
      </c>
      <c r="N1651">
        <v>4.9000000000000004</v>
      </c>
      <c r="O1651">
        <v>0</v>
      </c>
      <c r="P1651" t="s">
        <v>41</v>
      </c>
      <c r="Q1651" t="s">
        <v>30</v>
      </c>
      <c r="R1651" t="s">
        <v>30</v>
      </c>
      <c r="S1651">
        <v>3</v>
      </c>
      <c r="T1651" t="s">
        <v>42</v>
      </c>
      <c r="U1651" t="s">
        <v>61</v>
      </c>
      <c r="V1651" s="1">
        <v>45532</v>
      </c>
      <c r="W1651">
        <f>Table1[[#This Row],[customer_purchase count]]+1</f>
        <v>4</v>
      </c>
      <c r="X1651">
        <f>Table1[[#This Row],[customer_purchase count]]*Rules!$B$3</f>
        <v>179.29307692307694</v>
      </c>
      <c r="Y1651" t="str">
        <f>IF(Table1[[#This Row],[customer_subscription]]=1,"Subscribed","Not Subscribed")</f>
        <v>Not Subscribed</v>
      </c>
      <c r="Z1651" t="s">
        <v>194</v>
      </c>
    </row>
    <row r="1652" spans="1:26" x14ac:dyDescent="0.25">
      <c r="A1652">
        <v>1651</v>
      </c>
      <c r="B1652">
        <v>60</v>
      </c>
      <c r="C1652" t="s">
        <v>22</v>
      </c>
      <c r="D1652">
        <v>1651</v>
      </c>
      <c r="E1652" t="s">
        <v>122</v>
      </c>
      <c r="F1652" t="s">
        <v>70</v>
      </c>
      <c r="G1652">
        <v>1651</v>
      </c>
      <c r="H1652">
        <v>2180</v>
      </c>
      <c r="I1652">
        <v>36</v>
      </c>
      <c r="J1652" t="s">
        <v>75</v>
      </c>
      <c r="K1652" t="s">
        <v>47</v>
      </c>
      <c r="L1652" t="s">
        <v>68</v>
      </c>
      <c r="M1652" t="s">
        <v>28</v>
      </c>
      <c r="N1652">
        <v>3.4</v>
      </c>
      <c r="O1652">
        <v>0</v>
      </c>
      <c r="P1652" t="s">
        <v>48</v>
      </c>
      <c r="Q1652" t="s">
        <v>30</v>
      </c>
      <c r="R1652" t="s">
        <v>30</v>
      </c>
      <c r="S1652">
        <v>46</v>
      </c>
      <c r="T1652" t="s">
        <v>42</v>
      </c>
      <c r="U1652" t="s">
        <v>32</v>
      </c>
      <c r="V1652" s="1">
        <v>45307</v>
      </c>
      <c r="W1652">
        <f>Table1[[#This Row],[customer_purchase count]]+1</f>
        <v>47</v>
      </c>
      <c r="X1652">
        <f>Table1[[#This Row],[customer_purchase count]]*Rules!$B$3</f>
        <v>2749.1605128205128</v>
      </c>
      <c r="Y1652" t="str">
        <f>IF(Table1[[#This Row],[customer_subscription]]=1,"Subscribed","Not Subscribed")</f>
        <v>Not Subscribed</v>
      </c>
    </row>
    <row r="1653" spans="1:26" x14ac:dyDescent="0.25">
      <c r="A1653">
        <v>1652</v>
      </c>
      <c r="B1653">
        <v>59</v>
      </c>
      <c r="C1653" t="s">
        <v>22</v>
      </c>
      <c r="D1653">
        <v>1652</v>
      </c>
      <c r="E1653" t="s">
        <v>65</v>
      </c>
      <c r="F1653" t="s">
        <v>66</v>
      </c>
      <c r="G1653">
        <v>1652</v>
      </c>
      <c r="H1653">
        <v>2181</v>
      </c>
      <c r="I1653">
        <v>80</v>
      </c>
      <c r="J1653" t="s">
        <v>108</v>
      </c>
      <c r="K1653" t="s">
        <v>47</v>
      </c>
      <c r="L1653" t="s">
        <v>147</v>
      </c>
      <c r="M1653" t="s">
        <v>28</v>
      </c>
      <c r="N1653">
        <v>3.9</v>
      </c>
      <c r="O1653">
        <v>0</v>
      </c>
      <c r="P1653" t="s">
        <v>57</v>
      </c>
      <c r="Q1653" t="s">
        <v>30</v>
      </c>
      <c r="R1653" t="s">
        <v>30</v>
      </c>
      <c r="S1653">
        <v>42</v>
      </c>
      <c r="T1653" t="s">
        <v>89</v>
      </c>
      <c r="U1653" t="s">
        <v>91</v>
      </c>
      <c r="V1653" s="1">
        <v>45653</v>
      </c>
      <c r="W1653">
        <f>Table1[[#This Row],[customer_purchase count]]+1</f>
        <v>43</v>
      </c>
      <c r="X1653">
        <f>Table1[[#This Row],[customer_purchase count]]*Rules!$B$3</f>
        <v>2510.103076923077</v>
      </c>
      <c r="Y1653" t="str">
        <f>IF(Table1[[#This Row],[customer_subscription]]=1,"Subscribed","Not Subscribed")</f>
        <v>Not Subscribed</v>
      </c>
    </row>
    <row r="1654" spans="1:26" x14ac:dyDescent="0.25">
      <c r="A1654">
        <v>1653</v>
      </c>
      <c r="B1654">
        <v>65</v>
      </c>
      <c r="C1654" t="s">
        <v>22</v>
      </c>
      <c r="D1654">
        <v>1653</v>
      </c>
      <c r="E1654" t="s">
        <v>33</v>
      </c>
      <c r="F1654" t="s">
        <v>24</v>
      </c>
      <c r="G1654">
        <v>1653</v>
      </c>
      <c r="H1654">
        <v>2182</v>
      </c>
      <c r="I1654">
        <v>35</v>
      </c>
      <c r="J1654" t="s">
        <v>133</v>
      </c>
      <c r="K1654" t="s">
        <v>47</v>
      </c>
      <c r="L1654" t="s">
        <v>124</v>
      </c>
      <c r="M1654" t="s">
        <v>56</v>
      </c>
      <c r="N1654">
        <v>4</v>
      </c>
      <c r="O1654">
        <v>0</v>
      </c>
      <c r="P1654" t="s">
        <v>48</v>
      </c>
      <c r="Q1654" t="s">
        <v>30</v>
      </c>
      <c r="R1654" t="s">
        <v>30</v>
      </c>
      <c r="S1654">
        <v>1</v>
      </c>
      <c r="T1654" t="s">
        <v>78</v>
      </c>
      <c r="U1654" t="s">
        <v>32</v>
      </c>
      <c r="V1654" s="1">
        <v>45464</v>
      </c>
      <c r="W1654">
        <f>Table1[[#This Row],[customer_purchase count]]+1</f>
        <v>2</v>
      </c>
      <c r="X1654">
        <f>Table1[[#This Row],[customer_purchase count]]*Rules!$B$3</f>
        <v>59.764358974358977</v>
      </c>
      <c r="Y1654" t="str">
        <f>IF(Table1[[#This Row],[customer_subscription]]=1,"Subscribed","Not Subscribed")</f>
        <v>Not Subscribed</v>
      </c>
      <c r="Z1654" t="s">
        <v>194</v>
      </c>
    </row>
    <row r="1655" spans="1:26" x14ac:dyDescent="0.25">
      <c r="A1655">
        <v>1654</v>
      </c>
      <c r="B1655">
        <v>31</v>
      </c>
      <c r="C1655" t="s">
        <v>22</v>
      </c>
      <c r="D1655">
        <v>1654</v>
      </c>
      <c r="E1655" t="s">
        <v>136</v>
      </c>
      <c r="F1655" t="s">
        <v>70</v>
      </c>
      <c r="G1655">
        <v>1654</v>
      </c>
      <c r="H1655">
        <v>2183</v>
      </c>
      <c r="I1655">
        <v>93</v>
      </c>
      <c r="J1655" t="s">
        <v>115</v>
      </c>
      <c r="K1655" t="s">
        <v>26</v>
      </c>
      <c r="L1655" t="s">
        <v>68</v>
      </c>
      <c r="M1655" t="s">
        <v>28</v>
      </c>
      <c r="N1655">
        <v>3</v>
      </c>
      <c r="O1655">
        <v>0</v>
      </c>
      <c r="P1655" t="s">
        <v>73</v>
      </c>
      <c r="Q1655" t="s">
        <v>30</v>
      </c>
      <c r="R1655" t="s">
        <v>30</v>
      </c>
      <c r="S1655">
        <v>29</v>
      </c>
      <c r="T1655" t="s">
        <v>89</v>
      </c>
      <c r="U1655" t="s">
        <v>79</v>
      </c>
      <c r="V1655" s="1">
        <v>45349</v>
      </c>
      <c r="W1655">
        <f>Table1[[#This Row],[customer_purchase count]]+1</f>
        <v>30</v>
      </c>
      <c r="X1655">
        <f>Table1[[#This Row],[customer_purchase count]]*Rules!$B$3</f>
        <v>1733.1664102564102</v>
      </c>
      <c r="Y1655" t="str">
        <f>IF(Table1[[#This Row],[customer_subscription]]=1,"Subscribed","Not Subscribed")</f>
        <v>Not Subscribed</v>
      </c>
    </row>
    <row r="1656" spans="1:26" x14ac:dyDescent="0.25">
      <c r="A1656">
        <v>1655</v>
      </c>
      <c r="B1656">
        <v>43</v>
      </c>
      <c r="C1656" t="s">
        <v>22</v>
      </c>
      <c r="D1656">
        <v>1655</v>
      </c>
      <c r="E1656" t="s">
        <v>136</v>
      </c>
      <c r="F1656" t="s">
        <v>70</v>
      </c>
      <c r="G1656">
        <v>1655</v>
      </c>
      <c r="H1656">
        <v>2185</v>
      </c>
      <c r="I1656">
        <v>25</v>
      </c>
      <c r="J1656" t="s">
        <v>119</v>
      </c>
      <c r="K1656" t="s">
        <v>26</v>
      </c>
      <c r="L1656" t="s">
        <v>27</v>
      </c>
      <c r="M1656" t="s">
        <v>40</v>
      </c>
      <c r="N1656">
        <v>2.6</v>
      </c>
      <c r="O1656">
        <v>0</v>
      </c>
      <c r="P1656" t="s">
        <v>77</v>
      </c>
      <c r="Q1656" t="s">
        <v>30</v>
      </c>
      <c r="R1656" t="s">
        <v>30</v>
      </c>
      <c r="S1656">
        <v>14</v>
      </c>
      <c r="T1656" t="s">
        <v>42</v>
      </c>
      <c r="U1656" t="s">
        <v>61</v>
      </c>
      <c r="V1656" s="1">
        <v>45385</v>
      </c>
      <c r="W1656">
        <f>Table1[[#This Row],[customer_purchase count]]+1</f>
        <v>15</v>
      </c>
      <c r="X1656">
        <f>Table1[[#This Row],[customer_purchase count]]*Rules!$B$3</f>
        <v>836.70102564102569</v>
      </c>
      <c r="Y1656" t="str">
        <f>IF(Table1[[#This Row],[customer_subscription]]=1,"Subscribed","Not Subscribed")</f>
        <v>Not Subscribed</v>
      </c>
      <c r="Z1656" t="s">
        <v>194</v>
      </c>
    </row>
    <row r="1657" spans="1:26" x14ac:dyDescent="0.25">
      <c r="A1657">
        <v>1656</v>
      </c>
      <c r="B1657">
        <v>37</v>
      </c>
      <c r="C1657" t="s">
        <v>22</v>
      </c>
      <c r="D1657">
        <v>1656</v>
      </c>
      <c r="E1657" t="s">
        <v>33</v>
      </c>
      <c r="F1657" t="s">
        <v>24</v>
      </c>
      <c r="G1657">
        <v>1656</v>
      </c>
      <c r="H1657">
        <v>2186</v>
      </c>
      <c r="I1657">
        <v>81</v>
      </c>
      <c r="J1657" t="s">
        <v>120</v>
      </c>
      <c r="K1657" t="s">
        <v>26</v>
      </c>
      <c r="L1657" t="s">
        <v>83</v>
      </c>
      <c r="M1657" t="s">
        <v>40</v>
      </c>
      <c r="N1657">
        <v>3.2</v>
      </c>
      <c r="O1657">
        <v>0</v>
      </c>
      <c r="P1657" t="s">
        <v>48</v>
      </c>
      <c r="Q1657" t="s">
        <v>30</v>
      </c>
      <c r="R1657" t="s">
        <v>30</v>
      </c>
      <c r="S1657">
        <v>4</v>
      </c>
      <c r="T1657" t="s">
        <v>49</v>
      </c>
      <c r="U1657" t="s">
        <v>91</v>
      </c>
      <c r="V1657" s="1">
        <v>45405</v>
      </c>
      <c r="W1657">
        <f>Table1[[#This Row],[customer_purchase count]]+1</f>
        <v>5</v>
      </c>
      <c r="X1657">
        <f>Table1[[#This Row],[customer_purchase count]]*Rules!$B$3</f>
        <v>239.05743589743591</v>
      </c>
      <c r="Y1657" t="str">
        <f>IF(Table1[[#This Row],[customer_subscription]]=1,"Subscribed","Not Subscribed")</f>
        <v>Not Subscribed</v>
      </c>
      <c r="Z1657" t="s">
        <v>194</v>
      </c>
    </row>
    <row r="1658" spans="1:26" x14ac:dyDescent="0.25">
      <c r="A1658">
        <v>1657</v>
      </c>
      <c r="B1658">
        <v>21</v>
      </c>
      <c r="C1658" t="s">
        <v>22</v>
      </c>
      <c r="D1658">
        <v>1657</v>
      </c>
      <c r="E1658" t="s">
        <v>23</v>
      </c>
      <c r="F1658" t="s">
        <v>24</v>
      </c>
      <c r="G1658">
        <v>1657</v>
      </c>
      <c r="H1658">
        <v>2187</v>
      </c>
      <c r="I1658">
        <v>42</v>
      </c>
      <c r="J1658" t="s">
        <v>119</v>
      </c>
      <c r="K1658" t="s">
        <v>26</v>
      </c>
      <c r="L1658" t="s">
        <v>113</v>
      </c>
      <c r="M1658" t="s">
        <v>40</v>
      </c>
      <c r="N1658">
        <v>2.6</v>
      </c>
      <c r="O1658">
        <v>0</v>
      </c>
      <c r="P1658" t="s">
        <v>73</v>
      </c>
      <c r="Q1658" t="s">
        <v>30</v>
      </c>
      <c r="R1658" t="s">
        <v>30</v>
      </c>
      <c r="S1658">
        <v>41</v>
      </c>
      <c r="T1658" t="s">
        <v>49</v>
      </c>
      <c r="U1658" t="s">
        <v>100</v>
      </c>
      <c r="V1658" s="1">
        <v>45436</v>
      </c>
      <c r="W1658">
        <f>Table1[[#This Row],[customer_purchase count]]+1</f>
        <v>42</v>
      </c>
      <c r="X1658">
        <f>Table1[[#This Row],[customer_purchase count]]*Rules!$B$3</f>
        <v>2450.3387179487181</v>
      </c>
      <c r="Y1658" t="str">
        <f>IF(Table1[[#This Row],[customer_subscription]]=1,"Subscribed","Not Subscribed")</f>
        <v>Not Subscribed</v>
      </c>
    </row>
    <row r="1659" spans="1:26" x14ac:dyDescent="0.25">
      <c r="A1659">
        <v>1658</v>
      </c>
      <c r="B1659">
        <v>69</v>
      </c>
      <c r="C1659" t="s">
        <v>22</v>
      </c>
      <c r="D1659">
        <v>1658</v>
      </c>
      <c r="E1659" t="s">
        <v>90</v>
      </c>
      <c r="F1659" t="s">
        <v>24</v>
      </c>
      <c r="G1659">
        <v>1658</v>
      </c>
      <c r="H1659">
        <v>2188</v>
      </c>
      <c r="I1659">
        <v>36</v>
      </c>
      <c r="J1659" t="s">
        <v>119</v>
      </c>
      <c r="K1659" t="s">
        <v>26</v>
      </c>
      <c r="L1659" t="s">
        <v>51</v>
      </c>
      <c r="M1659" t="s">
        <v>40</v>
      </c>
      <c r="N1659">
        <v>3.2</v>
      </c>
      <c r="O1659">
        <v>0</v>
      </c>
      <c r="P1659" t="s">
        <v>77</v>
      </c>
      <c r="Q1659" t="s">
        <v>30</v>
      </c>
      <c r="R1659" t="s">
        <v>30</v>
      </c>
      <c r="S1659">
        <v>4</v>
      </c>
      <c r="T1659" t="s">
        <v>89</v>
      </c>
      <c r="U1659" t="s">
        <v>79</v>
      </c>
      <c r="V1659" s="1">
        <v>45369</v>
      </c>
      <c r="W1659">
        <f>Table1[[#This Row],[customer_purchase count]]+1</f>
        <v>5</v>
      </c>
      <c r="X1659">
        <f>Table1[[#This Row],[customer_purchase count]]*Rules!$B$3</f>
        <v>239.05743589743591</v>
      </c>
      <c r="Y1659" t="str">
        <f>IF(Table1[[#This Row],[customer_subscription]]=1,"Subscribed","Not Subscribed")</f>
        <v>Not Subscribed</v>
      </c>
      <c r="Z1659" t="s">
        <v>194</v>
      </c>
    </row>
    <row r="1660" spans="1:26" x14ac:dyDescent="0.25">
      <c r="A1660">
        <v>1659</v>
      </c>
      <c r="B1660">
        <v>32</v>
      </c>
      <c r="C1660" t="s">
        <v>22</v>
      </c>
      <c r="D1660">
        <v>1659</v>
      </c>
      <c r="E1660" t="s">
        <v>109</v>
      </c>
      <c r="F1660" t="s">
        <v>70</v>
      </c>
      <c r="G1660">
        <v>1659</v>
      </c>
      <c r="H1660">
        <v>2189</v>
      </c>
      <c r="I1660">
        <v>66</v>
      </c>
      <c r="J1660" t="s">
        <v>123</v>
      </c>
      <c r="K1660" t="s">
        <v>39</v>
      </c>
      <c r="L1660" t="s">
        <v>72</v>
      </c>
      <c r="M1660" t="s">
        <v>40</v>
      </c>
      <c r="N1660">
        <v>4.0999999999999996</v>
      </c>
      <c r="O1660">
        <v>0</v>
      </c>
      <c r="P1660" t="s">
        <v>77</v>
      </c>
      <c r="Q1660" t="s">
        <v>30</v>
      </c>
      <c r="R1660" t="s">
        <v>30</v>
      </c>
      <c r="S1660">
        <v>47</v>
      </c>
      <c r="T1660" t="s">
        <v>36</v>
      </c>
      <c r="U1660" t="s">
        <v>43</v>
      </c>
      <c r="V1660" s="1">
        <v>45371</v>
      </c>
      <c r="W1660">
        <f>Table1[[#This Row],[customer_purchase count]]+1</f>
        <v>48</v>
      </c>
      <c r="X1660">
        <f>Table1[[#This Row],[customer_purchase count]]*Rules!$B$3</f>
        <v>2808.9248717948717</v>
      </c>
      <c r="Y1660" t="str">
        <f>IF(Table1[[#This Row],[customer_subscription]]=1,"Subscribed","Not Subscribed")</f>
        <v>Not Subscribed</v>
      </c>
    </row>
    <row r="1661" spans="1:26" x14ac:dyDescent="0.25">
      <c r="A1661">
        <v>1660</v>
      </c>
      <c r="B1661">
        <v>53</v>
      </c>
      <c r="C1661" t="s">
        <v>22</v>
      </c>
      <c r="D1661">
        <v>1660</v>
      </c>
      <c r="E1661" t="s">
        <v>146</v>
      </c>
      <c r="F1661" t="s">
        <v>70</v>
      </c>
      <c r="G1661">
        <v>1660</v>
      </c>
      <c r="H1661">
        <v>2191</v>
      </c>
      <c r="I1661">
        <v>37</v>
      </c>
      <c r="J1661" t="s">
        <v>143</v>
      </c>
      <c r="K1661" t="s">
        <v>47</v>
      </c>
      <c r="L1661" t="s">
        <v>97</v>
      </c>
      <c r="M1661" t="s">
        <v>60</v>
      </c>
      <c r="N1661">
        <v>3.9</v>
      </c>
      <c r="O1661">
        <v>0</v>
      </c>
      <c r="P1661" t="s">
        <v>48</v>
      </c>
      <c r="Q1661" t="s">
        <v>30</v>
      </c>
      <c r="R1661" t="s">
        <v>30</v>
      </c>
      <c r="S1661">
        <v>44</v>
      </c>
      <c r="T1661" t="s">
        <v>31</v>
      </c>
      <c r="U1661" t="s">
        <v>52</v>
      </c>
      <c r="V1661" s="1">
        <v>45599</v>
      </c>
      <c r="W1661">
        <f>Table1[[#This Row],[customer_purchase count]]+1</f>
        <v>45</v>
      </c>
      <c r="X1661">
        <f>Table1[[#This Row],[customer_purchase count]]*Rules!$B$3</f>
        <v>2629.6317948717951</v>
      </c>
      <c r="Y1661" t="str">
        <f>IF(Table1[[#This Row],[customer_subscription]]=1,"Subscribed","Not Subscribed")</f>
        <v>Not Subscribed</v>
      </c>
    </row>
    <row r="1662" spans="1:26" x14ac:dyDescent="0.25">
      <c r="A1662">
        <v>1661</v>
      </c>
      <c r="B1662">
        <v>59</v>
      </c>
      <c r="C1662" t="s">
        <v>22</v>
      </c>
      <c r="D1662">
        <v>1661</v>
      </c>
      <c r="E1662" t="s">
        <v>116</v>
      </c>
      <c r="F1662" t="s">
        <v>24</v>
      </c>
      <c r="G1662">
        <v>1661</v>
      </c>
      <c r="H1662">
        <v>2192</v>
      </c>
      <c r="I1662">
        <v>45</v>
      </c>
      <c r="J1662" t="s">
        <v>63</v>
      </c>
      <c r="K1662" t="s">
        <v>26</v>
      </c>
      <c r="L1662" t="s">
        <v>137</v>
      </c>
      <c r="M1662" t="s">
        <v>28</v>
      </c>
      <c r="N1662">
        <v>4.0999999999999996</v>
      </c>
      <c r="O1662">
        <v>0</v>
      </c>
      <c r="P1662" t="s">
        <v>57</v>
      </c>
      <c r="Q1662" t="s">
        <v>30</v>
      </c>
      <c r="R1662" t="s">
        <v>30</v>
      </c>
      <c r="S1662">
        <v>37</v>
      </c>
      <c r="T1662" t="s">
        <v>31</v>
      </c>
      <c r="U1662" t="s">
        <v>91</v>
      </c>
      <c r="V1662" s="1">
        <v>45638</v>
      </c>
      <c r="W1662">
        <f>Table1[[#This Row],[customer_purchase count]]+1</f>
        <v>38</v>
      </c>
      <c r="X1662">
        <f>Table1[[#This Row],[customer_purchase count]]*Rules!$B$3</f>
        <v>2211.2812820512822</v>
      </c>
      <c r="Y1662" t="str">
        <f>IF(Table1[[#This Row],[customer_subscription]]=1,"Subscribed","Not Subscribed")</f>
        <v>Not Subscribed</v>
      </c>
    </row>
    <row r="1663" spans="1:26" x14ac:dyDescent="0.25">
      <c r="A1663">
        <v>1662</v>
      </c>
      <c r="B1663">
        <v>64</v>
      </c>
      <c r="C1663" t="s">
        <v>22</v>
      </c>
      <c r="D1663">
        <v>1662</v>
      </c>
      <c r="E1663" t="s">
        <v>146</v>
      </c>
      <c r="F1663" t="s">
        <v>70</v>
      </c>
      <c r="G1663">
        <v>1662</v>
      </c>
      <c r="H1663">
        <v>2193</v>
      </c>
      <c r="I1663">
        <v>86</v>
      </c>
      <c r="J1663" t="s">
        <v>149</v>
      </c>
      <c r="K1663" t="s">
        <v>39</v>
      </c>
      <c r="L1663" t="s">
        <v>121</v>
      </c>
      <c r="M1663" t="s">
        <v>56</v>
      </c>
      <c r="N1663">
        <v>2.7</v>
      </c>
      <c r="O1663">
        <v>0</v>
      </c>
      <c r="P1663" t="s">
        <v>73</v>
      </c>
      <c r="Q1663" t="s">
        <v>30</v>
      </c>
      <c r="R1663" t="s">
        <v>30</v>
      </c>
      <c r="S1663">
        <v>21</v>
      </c>
      <c r="T1663" t="s">
        <v>89</v>
      </c>
      <c r="U1663" t="s">
        <v>61</v>
      </c>
      <c r="V1663" s="1">
        <v>45471</v>
      </c>
      <c r="W1663">
        <f>Table1[[#This Row],[customer_purchase count]]+1</f>
        <v>22</v>
      </c>
      <c r="X1663">
        <f>Table1[[#This Row],[customer_purchase count]]*Rules!$B$3</f>
        <v>1255.0515384615385</v>
      </c>
      <c r="Y1663" t="str">
        <f>IF(Table1[[#This Row],[customer_subscription]]=1,"Subscribed","Not Subscribed")</f>
        <v>Not Subscribed</v>
      </c>
    </row>
    <row r="1664" spans="1:26" x14ac:dyDescent="0.25">
      <c r="A1664">
        <v>1663</v>
      </c>
      <c r="B1664">
        <v>63</v>
      </c>
      <c r="C1664" t="s">
        <v>22</v>
      </c>
      <c r="D1664">
        <v>1663</v>
      </c>
      <c r="E1664" t="s">
        <v>92</v>
      </c>
      <c r="F1664" t="s">
        <v>70</v>
      </c>
      <c r="G1664">
        <v>1663</v>
      </c>
      <c r="H1664">
        <v>2194</v>
      </c>
      <c r="I1664">
        <v>24</v>
      </c>
      <c r="J1664" t="s">
        <v>133</v>
      </c>
      <c r="K1664" t="s">
        <v>47</v>
      </c>
      <c r="L1664" t="s">
        <v>81</v>
      </c>
      <c r="M1664" t="s">
        <v>28</v>
      </c>
      <c r="N1664">
        <v>4.5999999999999996</v>
      </c>
      <c r="O1664">
        <v>0</v>
      </c>
      <c r="P1664" t="s">
        <v>41</v>
      </c>
      <c r="Q1664" t="s">
        <v>30</v>
      </c>
      <c r="R1664" t="s">
        <v>30</v>
      </c>
      <c r="S1664">
        <v>46</v>
      </c>
      <c r="T1664" t="s">
        <v>89</v>
      </c>
      <c r="U1664" t="s">
        <v>32</v>
      </c>
      <c r="V1664" s="1">
        <v>45647</v>
      </c>
      <c r="W1664">
        <f>Table1[[#This Row],[customer_purchase count]]+1</f>
        <v>47</v>
      </c>
      <c r="X1664">
        <f>Table1[[#This Row],[customer_purchase count]]*Rules!$B$3</f>
        <v>2749.1605128205128</v>
      </c>
      <c r="Y1664" t="str">
        <f>IF(Table1[[#This Row],[customer_subscription]]=1,"Subscribed","Not Subscribed")</f>
        <v>Not Subscribed</v>
      </c>
    </row>
    <row r="1665" spans="1:26" x14ac:dyDescent="0.25">
      <c r="A1665">
        <v>1664</v>
      </c>
      <c r="B1665">
        <v>43</v>
      </c>
      <c r="C1665" t="s">
        <v>22</v>
      </c>
      <c r="D1665">
        <v>1664</v>
      </c>
      <c r="E1665" t="s">
        <v>58</v>
      </c>
      <c r="F1665" t="s">
        <v>24</v>
      </c>
      <c r="G1665">
        <v>1664</v>
      </c>
      <c r="H1665">
        <v>2195</v>
      </c>
      <c r="I1665">
        <v>22</v>
      </c>
      <c r="J1665" t="s">
        <v>34</v>
      </c>
      <c r="K1665" t="s">
        <v>95</v>
      </c>
      <c r="L1665" t="s">
        <v>83</v>
      </c>
      <c r="M1665" t="s">
        <v>56</v>
      </c>
      <c r="N1665">
        <v>3.5</v>
      </c>
      <c r="O1665">
        <v>0</v>
      </c>
      <c r="P1665" t="s">
        <v>57</v>
      </c>
      <c r="Q1665" t="s">
        <v>30</v>
      </c>
      <c r="R1665" t="s">
        <v>30</v>
      </c>
      <c r="S1665">
        <v>1</v>
      </c>
      <c r="T1665" t="s">
        <v>36</v>
      </c>
      <c r="U1665" t="s">
        <v>79</v>
      </c>
      <c r="V1665" s="1">
        <v>45460</v>
      </c>
      <c r="W1665">
        <f>Table1[[#This Row],[customer_purchase count]]+1</f>
        <v>2</v>
      </c>
      <c r="X1665">
        <f>Table1[[#This Row],[customer_purchase count]]*Rules!$B$3</f>
        <v>59.764358974358977</v>
      </c>
      <c r="Y1665" t="str">
        <f>IF(Table1[[#This Row],[customer_subscription]]=1,"Subscribed","Not Subscribed")</f>
        <v>Not Subscribed</v>
      </c>
      <c r="Z1665" t="s">
        <v>194</v>
      </c>
    </row>
    <row r="1666" spans="1:26" x14ac:dyDescent="0.25">
      <c r="A1666">
        <v>1665</v>
      </c>
      <c r="B1666">
        <v>19</v>
      </c>
      <c r="C1666" t="s">
        <v>22</v>
      </c>
      <c r="D1666">
        <v>1665</v>
      </c>
      <c r="E1666" t="s">
        <v>69</v>
      </c>
      <c r="F1666" t="s">
        <v>70</v>
      </c>
      <c r="G1666">
        <v>1665</v>
      </c>
      <c r="H1666">
        <v>2197</v>
      </c>
      <c r="I1666">
        <v>53</v>
      </c>
      <c r="J1666" t="s">
        <v>151</v>
      </c>
      <c r="K1666" t="s">
        <v>47</v>
      </c>
      <c r="L1666" t="s">
        <v>76</v>
      </c>
      <c r="M1666" t="s">
        <v>40</v>
      </c>
      <c r="N1666">
        <v>5</v>
      </c>
      <c r="O1666">
        <v>0</v>
      </c>
      <c r="P1666" t="s">
        <v>48</v>
      </c>
      <c r="Q1666" t="s">
        <v>30</v>
      </c>
      <c r="R1666" t="s">
        <v>30</v>
      </c>
      <c r="S1666">
        <v>35</v>
      </c>
      <c r="T1666" t="s">
        <v>49</v>
      </c>
      <c r="U1666" t="s">
        <v>43</v>
      </c>
      <c r="V1666" s="1">
        <v>45429</v>
      </c>
      <c r="W1666">
        <f>Table1[[#This Row],[customer_purchase count]]+1</f>
        <v>36</v>
      </c>
      <c r="X1666">
        <f>Table1[[#This Row],[customer_purchase count]]*Rules!$B$3</f>
        <v>2091.7525641025641</v>
      </c>
      <c r="Y1666" t="str">
        <f>IF(Table1[[#This Row],[customer_subscription]]=1,"Subscribed","Not Subscribed")</f>
        <v>Not Subscribed</v>
      </c>
    </row>
    <row r="1667" spans="1:26" x14ac:dyDescent="0.25">
      <c r="A1667">
        <v>1666</v>
      </c>
      <c r="B1667">
        <v>40</v>
      </c>
      <c r="C1667" t="s">
        <v>22</v>
      </c>
      <c r="D1667">
        <v>1666</v>
      </c>
      <c r="E1667" t="s">
        <v>105</v>
      </c>
      <c r="F1667" t="s">
        <v>66</v>
      </c>
      <c r="G1667">
        <v>1666</v>
      </c>
      <c r="H1667">
        <v>2198</v>
      </c>
      <c r="I1667">
        <v>41</v>
      </c>
      <c r="J1667" t="s">
        <v>133</v>
      </c>
      <c r="K1667" t="s">
        <v>26</v>
      </c>
      <c r="L1667" t="s">
        <v>72</v>
      </c>
      <c r="M1667" t="s">
        <v>60</v>
      </c>
      <c r="N1667">
        <v>3.4</v>
      </c>
      <c r="O1667">
        <v>0</v>
      </c>
      <c r="P1667" t="s">
        <v>48</v>
      </c>
      <c r="Q1667" t="s">
        <v>30</v>
      </c>
      <c r="R1667" t="s">
        <v>30</v>
      </c>
      <c r="S1667">
        <v>49</v>
      </c>
      <c r="T1667" t="s">
        <v>31</v>
      </c>
      <c r="U1667" t="s">
        <v>91</v>
      </c>
      <c r="V1667" s="1">
        <v>45559</v>
      </c>
      <c r="W1667">
        <f>Table1[[#This Row],[customer_purchase count]]+1</f>
        <v>50</v>
      </c>
      <c r="X1667">
        <f>Table1[[#This Row],[customer_purchase count]]*Rules!$B$3</f>
        <v>2928.4535897435899</v>
      </c>
      <c r="Y1667" t="str">
        <f>IF(Table1[[#This Row],[customer_subscription]]=1,"Subscribed","Not Subscribed")</f>
        <v>Not Subscribed</v>
      </c>
    </row>
    <row r="1668" spans="1:26" x14ac:dyDescent="0.25">
      <c r="A1668">
        <v>1667</v>
      </c>
      <c r="B1668">
        <v>51</v>
      </c>
      <c r="C1668" t="s">
        <v>22</v>
      </c>
      <c r="D1668">
        <v>1667</v>
      </c>
      <c r="E1668" t="s">
        <v>90</v>
      </c>
      <c r="F1668" t="s">
        <v>24</v>
      </c>
      <c r="G1668">
        <v>1667</v>
      </c>
      <c r="H1668">
        <v>2199</v>
      </c>
      <c r="I1668">
        <v>64</v>
      </c>
      <c r="J1668" t="s">
        <v>75</v>
      </c>
      <c r="K1668" t="s">
        <v>47</v>
      </c>
      <c r="L1668" t="s">
        <v>147</v>
      </c>
      <c r="M1668" t="s">
        <v>56</v>
      </c>
      <c r="N1668">
        <v>3.1</v>
      </c>
      <c r="O1668">
        <v>0</v>
      </c>
      <c r="P1668" t="s">
        <v>77</v>
      </c>
      <c r="Q1668" t="s">
        <v>30</v>
      </c>
      <c r="R1668" t="s">
        <v>30</v>
      </c>
      <c r="S1668">
        <v>47</v>
      </c>
      <c r="T1668" t="s">
        <v>49</v>
      </c>
      <c r="U1668" t="s">
        <v>52</v>
      </c>
      <c r="V1668" s="1">
        <v>45487</v>
      </c>
      <c r="W1668">
        <f>Table1[[#This Row],[customer_purchase count]]+1</f>
        <v>48</v>
      </c>
      <c r="X1668">
        <f>Table1[[#This Row],[customer_purchase count]]*Rules!$B$3</f>
        <v>2808.9248717948717</v>
      </c>
      <c r="Y1668" t="str">
        <f>IF(Table1[[#This Row],[customer_subscription]]=1,"Subscribed","Not Subscribed")</f>
        <v>Not Subscribed</v>
      </c>
    </row>
    <row r="1669" spans="1:26" x14ac:dyDescent="0.25">
      <c r="A1669">
        <v>1668</v>
      </c>
      <c r="B1669">
        <v>51</v>
      </c>
      <c r="C1669" t="s">
        <v>22</v>
      </c>
      <c r="D1669">
        <v>1668</v>
      </c>
      <c r="E1669" t="s">
        <v>69</v>
      </c>
      <c r="F1669" t="s">
        <v>70</v>
      </c>
      <c r="G1669">
        <v>1668</v>
      </c>
      <c r="H1669">
        <v>2200</v>
      </c>
      <c r="I1669">
        <v>40</v>
      </c>
      <c r="J1669" t="s">
        <v>104</v>
      </c>
      <c r="K1669" t="s">
        <v>26</v>
      </c>
      <c r="L1669" t="s">
        <v>113</v>
      </c>
      <c r="M1669" t="s">
        <v>28</v>
      </c>
      <c r="N1669">
        <v>3.4</v>
      </c>
      <c r="O1669">
        <v>0</v>
      </c>
      <c r="P1669" t="s">
        <v>73</v>
      </c>
      <c r="Q1669" t="s">
        <v>30</v>
      </c>
      <c r="R1669" t="s">
        <v>30</v>
      </c>
      <c r="S1669">
        <v>24</v>
      </c>
      <c r="T1669" t="s">
        <v>78</v>
      </c>
      <c r="U1669" t="s">
        <v>100</v>
      </c>
      <c r="V1669" s="1">
        <v>45337</v>
      </c>
      <c r="W1669">
        <f>Table1[[#This Row],[customer_purchase count]]+1</f>
        <v>25</v>
      </c>
      <c r="X1669">
        <f>Table1[[#This Row],[customer_purchase count]]*Rules!$B$3</f>
        <v>1434.3446153846155</v>
      </c>
      <c r="Y1669" t="str">
        <f>IF(Table1[[#This Row],[customer_subscription]]=1,"Subscribed","Not Subscribed")</f>
        <v>Not Subscribed</v>
      </c>
    </row>
    <row r="1670" spans="1:26" x14ac:dyDescent="0.25">
      <c r="A1670">
        <v>1669</v>
      </c>
      <c r="B1670">
        <v>66</v>
      </c>
      <c r="C1670" t="s">
        <v>22</v>
      </c>
      <c r="D1670">
        <v>1669</v>
      </c>
      <c r="E1670" t="s">
        <v>23</v>
      </c>
      <c r="F1670" t="s">
        <v>24</v>
      </c>
      <c r="G1670">
        <v>1669</v>
      </c>
      <c r="H1670">
        <v>2201</v>
      </c>
      <c r="I1670">
        <v>33</v>
      </c>
      <c r="J1670" t="s">
        <v>143</v>
      </c>
      <c r="K1670" t="s">
        <v>26</v>
      </c>
      <c r="L1670" t="s">
        <v>64</v>
      </c>
      <c r="M1670" t="s">
        <v>56</v>
      </c>
      <c r="N1670">
        <v>4</v>
      </c>
      <c r="O1670">
        <v>0</v>
      </c>
      <c r="P1670" t="s">
        <v>57</v>
      </c>
      <c r="Q1670" t="s">
        <v>30</v>
      </c>
      <c r="R1670" t="s">
        <v>30</v>
      </c>
      <c r="S1670">
        <v>28</v>
      </c>
      <c r="T1670" t="s">
        <v>89</v>
      </c>
      <c r="U1670" t="s">
        <v>32</v>
      </c>
      <c r="V1670" s="1">
        <v>45471</v>
      </c>
      <c r="W1670">
        <f>Table1[[#This Row],[customer_purchase count]]+1</f>
        <v>29</v>
      </c>
      <c r="X1670">
        <f>Table1[[#This Row],[customer_purchase count]]*Rules!$B$3</f>
        <v>1673.4020512820514</v>
      </c>
      <c r="Y1670" t="str">
        <f>IF(Table1[[#This Row],[customer_subscription]]=1,"Subscribed","Not Subscribed")</f>
        <v>Not Subscribed</v>
      </c>
    </row>
    <row r="1671" spans="1:26" x14ac:dyDescent="0.25">
      <c r="A1671">
        <v>1670</v>
      </c>
      <c r="B1671">
        <v>42</v>
      </c>
      <c r="C1671" t="s">
        <v>22</v>
      </c>
      <c r="D1671">
        <v>1670</v>
      </c>
      <c r="E1671" t="s">
        <v>116</v>
      </c>
      <c r="F1671" t="s">
        <v>24</v>
      </c>
      <c r="G1671">
        <v>1670</v>
      </c>
      <c r="H1671">
        <v>2203</v>
      </c>
      <c r="I1671">
        <v>59</v>
      </c>
      <c r="J1671" t="s">
        <v>153</v>
      </c>
      <c r="K1671" t="s">
        <v>26</v>
      </c>
      <c r="L1671" t="s">
        <v>35</v>
      </c>
      <c r="M1671" t="s">
        <v>28</v>
      </c>
      <c r="N1671">
        <v>2.7</v>
      </c>
      <c r="O1671">
        <v>0</v>
      </c>
      <c r="P1671" t="s">
        <v>77</v>
      </c>
      <c r="Q1671" t="s">
        <v>30</v>
      </c>
      <c r="R1671" t="s">
        <v>30</v>
      </c>
      <c r="S1671">
        <v>22</v>
      </c>
      <c r="T1671" t="s">
        <v>78</v>
      </c>
      <c r="U1671" t="s">
        <v>61</v>
      </c>
      <c r="V1671" s="1">
        <v>45331</v>
      </c>
      <c r="W1671">
        <f>Table1[[#This Row],[customer_purchase count]]+1</f>
        <v>23</v>
      </c>
      <c r="X1671">
        <f>Table1[[#This Row],[customer_purchase count]]*Rules!$B$3</f>
        <v>1314.8158974358976</v>
      </c>
      <c r="Y1671" t="str">
        <f>IF(Table1[[#This Row],[customer_subscription]]=1,"Subscribed","Not Subscribed")</f>
        <v>Not Subscribed</v>
      </c>
    </row>
    <row r="1672" spans="1:26" x14ac:dyDescent="0.25">
      <c r="A1672">
        <v>1671</v>
      </c>
      <c r="B1672">
        <v>22</v>
      </c>
      <c r="C1672" t="s">
        <v>22</v>
      </c>
      <c r="D1672">
        <v>1671</v>
      </c>
      <c r="E1672" t="s">
        <v>98</v>
      </c>
      <c r="F1672" t="s">
        <v>24</v>
      </c>
      <c r="G1672">
        <v>1671</v>
      </c>
      <c r="H1672">
        <v>2204</v>
      </c>
      <c r="I1672">
        <v>73</v>
      </c>
      <c r="J1672" t="s">
        <v>143</v>
      </c>
      <c r="K1672" t="s">
        <v>26</v>
      </c>
      <c r="L1672" t="s">
        <v>112</v>
      </c>
      <c r="M1672" t="s">
        <v>60</v>
      </c>
      <c r="N1672">
        <v>3.6</v>
      </c>
      <c r="O1672">
        <v>0</v>
      </c>
      <c r="P1672" t="s">
        <v>41</v>
      </c>
      <c r="Q1672" t="s">
        <v>30</v>
      </c>
      <c r="R1672" t="s">
        <v>30</v>
      </c>
      <c r="S1672">
        <v>20</v>
      </c>
      <c r="T1672" t="s">
        <v>36</v>
      </c>
      <c r="U1672" t="s">
        <v>43</v>
      </c>
      <c r="V1672" s="1">
        <v>45556</v>
      </c>
      <c r="W1672">
        <f>Table1[[#This Row],[customer_purchase count]]+1</f>
        <v>21</v>
      </c>
      <c r="X1672">
        <f>Table1[[#This Row],[customer_purchase count]]*Rules!$B$3</f>
        <v>1195.2871794871796</v>
      </c>
      <c r="Y1672" t="str">
        <f>IF(Table1[[#This Row],[customer_subscription]]=1,"Subscribed","Not Subscribed")</f>
        <v>Not Subscribed</v>
      </c>
    </row>
    <row r="1673" spans="1:26" x14ac:dyDescent="0.25">
      <c r="A1673">
        <v>1672</v>
      </c>
      <c r="B1673">
        <v>31</v>
      </c>
      <c r="C1673" t="s">
        <v>22</v>
      </c>
      <c r="D1673">
        <v>1672</v>
      </c>
      <c r="E1673" t="s">
        <v>107</v>
      </c>
      <c r="F1673" t="s">
        <v>24</v>
      </c>
      <c r="G1673">
        <v>1672</v>
      </c>
      <c r="H1673">
        <v>2205</v>
      </c>
      <c r="I1673">
        <v>22</v>
      </c>
      <c r="J1673" t="s">
        <v>143</v>
      </c>
      <c r="K1673" t="s">
        <v>47</v>
      </c>
      <c r="L1673" t="s">
        <v>81</v>
      </c>
      <c r="M1673" t="s">
        <v>28</v>
      </c>
      <c r="N1673">
        <v>4</v>
      </c>
      <c r="O1673">
        <v>0</v>
      </c>
      <c r="P1673" t="s">
        <v>41</v>
      </c>
      <c r="Q1673" t="s">
        <v>30</v>
      </c>
      <c r="R1673" t="s">
        <v>30</v>
      </c>
      <c r="S1673">
        <v>25</v>
      </c>
      <c r="T1673" t="s">
        <v>78</v>
      </c>
      <c r="U1673" t="s">
        <v>43</v>
      </c>
      <c r="V1673" s="1">
        <v>45641</v>
      </c>
      <c r="W1673">
        <f>Table1[[#This Row],[customer_purchase count]]+1</f>
        <v>26</v>
      </c>
      <c r="X1673">
        <f>Table1[[#This Row],[customer_purchase count]]*Rules!$B$3</f>
        <v>1494.1089743589744</v>
      </c>
      <c r="Y1673" t="str">
        <f>IF(Table1[[#This Row],[customer_subscription]]=1,"Subscribed","Not Subscribed")</f>
        <v>Not Subscribed</v>
      </c>
    </row>
    <row r="1674" spans="1:26" x14ac:dyDescent="0.25">
      <c r="A1674">
        <v>1673</v>
      </c>
      <c r="B1674">
        <v>18</v>
      </c>
      <c r="C1674" t="s">
        <v>22</v>
      </c>
      <c r="D1674">
        <v>1673</v>
      </c>
      <c r="E1674" t="s">
        <v>140</v>
      </c>
      <c r="F1674" t="s">
        <v>45</v>
      </c>
      <c r="G1674">
        <v>1673</v>
      </c>
      <c r="H1674">
        <v>2206</v>
      </c>
      <c r="I1674">
        <v>73</v>
      </c>
      <c r="J1674" t="s">
        <v>134</v>
      </c>
      <c r="K1674" t="s">
        <v>26</v>
      </c>
      <c r="L1674" t="s">
        <v>83</v>
      </c>
      <c r="M1674" t="s">
        <v>60</v>
      </c>
      <c r="N1674">
        <v>3.8</v>
      </c>
      <c r="O1674">
        <v>0</v>
      </c>
      <c r="P1674" t="s">
        <v>41</v>
      </c>
      <c r="Q1674" t="s">
        <v>30</v>
      </c>
      <c r="R1674" t="s">
        <v>30</v>
      </c>
      <c r="S1674">
        <v>15</v>
      </c>
      <c r="T1674" t="s">
        <v>31</v>
      </c>
      <c r="U1674" t="s">
        <v>61</v>
      </c>
      <c r="V1674" s="1">
        <v>45588</v>
      </c>
      <c r="W1674">
        <f>Table1[[#This Row],[customer_purchase count]]+1</f>
        <v>16</v>
      </c>
      <c r="X1674">
        <f>Table1[[#This Row],[customer_purchase count]]*Rules!$B$3</f>
        <v>896.46538461538466</v>
      </c>
      <c r="Y1674" t="str">
        <f>IF(Table1[[#This Row],[customer_subscription]]=1,"Subscribed","Not Subscribed")</f>
        <v>Not Subscribed</v>
      </c>
      <c r="Z1674" t="s">
        <v>187</v>
      </c>
    </row>
    <row r="1675" spans="1:26" x14ac:dyDescent="0.25">
      <c r="A1675">
        <v>1674</v>
      </c>
      <c r="B1675">
        <v>21</v>
      </c>
      <c r="C1675" t="s">
        <v>22</v>
      </c>
      <c r="D1675">
        <v>1674</v>
      </c>
      <c r="E1675" t="s">
        <v>23</v>
      </c>
      <c r="F1675" t="s">
        <v>24</v>
      </c>
      <c r="G1675">
        <v>1674</v>
      </c>
      <c r="H1675">
        <v>2207</v>
      </c>
      <c r="I1675">
        <v>62</v>
      </c>
      <c r="J1675" t="s">
        <v>80</v>
      </c>
      <c r="K1675" t="s">
        <v>47</v>
      </c>
      <c r="L1675" t="s">
        <v>86</v>
      </c>
      <c r="M1675" t="s">
        <v>60</v>
      </c>
      <c r="N1675">
        <v>3.4</v>
      </c>
      <c r="O1675">
        <v>0</v>
      </c>
      <c r="P1675" t="s">
        <v>48</v>
      </c>
      <c r="Q1675" t="s">
        <v>30</v>
      </c>
      <c r="R1675" t="s">
        <v>30</v>
      </c>
      <c r="S1675">
        <v>49</v>
      </c>
      <c r="T1675" t="s">
        <v>31</v>
      </c>
      <c r="U1675" t="s">
        <v>79</v>
      </c>
      <c r="V1675" s="1">
        <v>45551</v>
      </c>
      <c r="W1675">
        <f>Table1[[#This Row],[customer_purchase count]]+1</f>
        <v>50</v>
      </c>
      <c r="X1675">
        <f>Table1[[#This Row],[customer_purchase count]]*Rules!$B$3</f>
        <v>2928.4535897435899</v>
      </c>
      <c r="Y1675" t="str">
        <f>IF(Table1[[#This Row],[customer_subscription]]=1,"Subscribed","Not Subscribed")</f>
        <v>Not Subscribed</v>
      </c>
    </row>
    <row r="1676" spans="1:26" x14ac:dyDescent="0.25">
      <c r="A1676">
        <v>1675</v>
      </c>
      <c r="B1676">
        <v>35</v>
      </c>
      <c r="C1676" t="s">
        <v>22</v>
      </c>
      <c r="D1676">
        <v>1675</v>
      </c>
      <c r="E1676" t="s">
        <v>65</v>
      </c>
      <c r="F1676" t="s">
        <v>66</v>
      </c>
      <c r="G1676">
        <v>1675</v>
      </c>
      <c r="H1676">
        <v>2209</v>
      </c>
      <c r="I1676">
        <v>56</v>
      </c>
      <c r="J1676" t="s">
        <v>123</v>
      </c>
      <c r="K1676" t="s">
        <v>47</v>
      </c>
      <c r="L1676" t="s">
        <v>103</v>
      </c>
      <c r="M1676" t="s">
        <v>28</v>
      </c>
      <c r="N1676">
        <v>3.2</v>
      </c>
      <c r="O1676">
        <v>0</v>
      </c>
      <c r="P1676" t="s">
        <v>41</v>
      </c>
      <c r="Q1676" t="s">
        <v>30</v>
      </c>
      <c r="R1676" t="s">
        <v>30</v>
      </c>
      <c r="S1676">
        <v>10</v>
      </c>
      <c r="T1676" t="s">
        <v>89</v>
      </c>
      <c r="U1676" t="s">
        <v>32</v>
      </c>
      <c r="V1676" s="1">
        <v>45348</v>
      </c>
      <c r="W1676">
        <f>Table1[[#This Row],[customer_purchase count]]+1</f>
        <v>11</v>
      </c>
      <c r="X1676">
        <f>Table1[[#This Row],[customer_purchase count]]*Rules!$B$3</f>
        <v>597.64358974358981</v>
      </c>
      <c r="Y1676" t="str">
        <f>IF(Table1[[#This Row],[customer_subscription]]=1,"Subscribed","Not Subscribed")</f>
        <v>Not Subscribed</v>
      </c>
      <c r="Z1676" t="s">
        <v>194</v>
      </c>
    </row>
    <row r="1677" spans="1:26" x14ac:dyDescent="0.25">
      <c r="A1677">
        <v>1676</v>
      </c>
      <c r="B1677">
        <v>35</v>
      </c>
      <c r="C1677" t="s">
        <v>22</v>
      </c>
      <c r="D1677">
        <v>1676</v>
      </c>
      <c r="E1677" t="s">
        <v>98</v>
      </c>
      <c r="F1677" t="s">
        <v>24</v>
      </c>
      <c r="G1677">
        <v>1676</v>
      </c>
      <c r="H1677">
        <v>2210</v>
      </c>
      <c r="I1677">
        <v>90</v>
      </c>
      <c r="J1677" t="s">
        <v>115</v>
      </c>
      <c r="K1677" t="s">
        <v>47</v>
      </c>
      <c r="L1677" t="s">
        <v>121</v>
      </c>
      <c r="M1677" t="s">
        <v>40</v>
      </c>
      <c r="N1677">
        <v>4.7</v>
      </c>
      <c r="O1677">
        <v>0</v>
      </c>
      <c r="P1677" t="s">
        <v>48</v>
      </c>
      <c r="Q1677" t="s">
        <v>30</v>
      </c>
      <c r="R1677" t="s">
        <v>30</v>
      </c>
      <c r="S1677">
        <v>21</v>
      </c>
      <c r="T1677" t="s">
        <v>42</v>
      </c>
      <c r="U1677" t="s">
        <v>52</v>
      </c>
      <c r="V1677" s="1">
        <v>45391</v>
      </c>
      <c r="W1677">
        <f>Table1[[#This Row],[customer_purchase count]]+1</f>
        <v>22</v>
      </c>
      <c r="X1677">
        <f>Table1[[#This Row],[customer_purchase count]]*Rules!$B$3</f>
        <v>1255.0515384615385</v>
      </c>
      <c r="Y1677" t="str">
        <f>IF(Table1[[#This Row],[customer_subscription]]=1,"Subscribed","Not Subscribed")</f>
        <v>Not Subscribed</v>
      </c>
    </row>
    <row r="1678" spans="1:26" x14ac:dyDescent="0.25">
      <c r="A1678">
        <v>1677</v>
      </c>
      <c r="B1678">
        <v>27</v>
      </c>
      <c r="C1678" t="s">
        <v>22</v>
      </c>
      <c r="D1678">
        <v>1677</v>
      </c>
      <c r="E1678" t="s">
        <v>92</v>
      </c>
      <c r="F1678" t="s">
        <v>70</v>
      </c>
      <c r="G1678">
        <v>1677</v>
      </c>
      <c r="H1678">
        <v>2211</v>
      </c>
      <c r="I1678">
        <v>44</v>
      </c>
      <c r="J1678" t="s">
        <v>67</v>
      </c>
      <c r="K1678" t="s">
        <v>47</v>
      </c>
      <c r="L1678" t="s">
        <v>112</v>
      </c>
      <c r="M1678" t="s">
        <v>28</v>
      </c>
      <c r="N1678">
        <v>3.1</v>
      </c>
      <c r="O1678">
        <v>0</v>
      </c>
      <c r="P1678" t="s">
        <v>48</v>
      </c>
      <c r="Q1678" t="s">
        <v>30</v>
      </c>
      <c r="R1678" t="s">
        <v>30</v>
      </c>
      <c r="S1678">
        <v>34</v>
      </c>
      <c r="T1678" t="s">
        <v>78</v>
      </c>
      <c r="U1678" t="s">
        <v>43</v>
      </c>
      <c r="V1678" s="1">
        <v>45334</v>
      </c>
      <c r="W1678">
        <f>Table1[[#This Row],[customer_purchase count]]+1</f>
        <v>35</v>
      </c>
      <c r="X1678">
        <f>Table1[[#This Row],[customer_purchase count]]*Rules!$B$3</f>
        <v>2031.9882051282052</v>
      </c>
      <c r="Y1678" t="str">
        <f>IF(Table1[[#This Row],[customer_subscription]]=1,"Subscribed","Not Subscribed")</f>
        <v>Not Subscribed</v>
      </c>
    </row>
    <row r="1679" spans="1:26" x14ac:dyDescent="0.25">
      <c r="A1679">
        <v>1678</v>
      </c>
      <c r="B1679">
        <v>65</v>
      </c>
      <c r="C1679" t="s">
        <v>22</v>
      </c>
      <c r="D1679">
        <v>1678</v>
      </c>
      <c r="E1679" t="s">
        <v>37</v>
      </c>
      <c r="F1679" t="s">
        <v>24</v>
      </c>
      <c r="G1679">
        <v>1678</v>
      </c>
      <c r="H1679">
        <v>2212</v>
      </c>
      <c r="I1679">
        <v>35</v>
      </c>
      <c r="J1679" t="s">
        <v>50</v>
      </c>
      <c r="K1679" t="s">
        <v>26</v>
      </c>
      <c r="L1679" t="s">
        <v>68</v>
      </c>
      <c r="M1679" t="s">
        <v>56</v>
      </c>
      <c r="N1679">
        <v>3.3</v>
      </c>
      <c r="O1679">
        <v>0</v>
      </c>
      <c r="P1679" t="s">
        <v>48</v>
      </c>
      <c r="Q1679" t="s">
        <v>155</v>
      </c>
      <c r="R1679" t="s">
        <v>155</v>
      </c>
      <c r="S1679">
        <v>41</v>
      </c>
      <c r="T1679" t="s">
        <v>89</v>
      </c>
      <c r="U1679" t="s">
        <v>43</v>
      </c>
      <c r="V1679" s="1">
        <v>45523</v>
      </c>
      <c r="W1679">
        <f>Table1[[#This Row],[customer_purchase count]]+1</f>
        <v>42</v>
      </c>
      <c r="X1679">
        <f>Table1[[#This Row],[customer_purchase count]]*Rules!$B$3</f>
        <v>2450.3387179487181</v>
      </c>
      <c r="Y1679" t="str">
        <f>IF(Table1[[#This Row],[customer_subscription]]=1,"Subscribed","Not Subscribed")</f>
        <v>Not Subscribed</v>
      </c>
    </row>
    <row r="1680" spans="1:26" x14ac:dyDescent="0.25">
      <c r="A1680">
        <v>1679</v>
      </c>
      <c r="B1680">
        <v>41</v>
      </c>
      <c r="C1680" t="s">
        <v>22</v>
      </c>
      <c r="D1680">
        <v>1679</v>
      </c>
      <c r="E1680" t="s">
        <v>98</v>
      </c>
      <c r="F1680" t="s">
        <v>24</v>
      </c>
      <c r="G1680">
        <v>1679</v>
      </c>
      <c r="H1680">
        <v>2213</v>
      </c>
      <c r="I1680">
        <v>71</v>
      </c>
      <c r="J1680" t="s">
        <v>126</v>
      </c>
      <c r="K1680" t="s">
        <v>39</v>
      </c>
      <c r="L1680" t="s">
        <v>139</v>
      </c>
      <c r="M1680" t="s">
        <v>56</v>
      </c>
      <c r="N1680">
        <v>4.8</v>
      </c>
      <c r="O1680">
        <v>0</v>
      </c>
      <c r="P1680" t="s">
        <v>73</v>
      </c>
      <c r="Q1680" t="s">
        <v>155</v>
      </c>
      <c r="R1680" t="s">
        <v>155</v>
      </c>
      <c r="S1680">
        <v>30</v>
      </c>
      <c r="T1680" t="s">
        <v>31</v>
      </c>
      <c r="U1680" t="s">
        <v>32</v>
      </c>
      <c r="V1680" s="1">
        <v>45488</v>
      </c>
      <c r="W1680">
        <f>Table1[[#This Row],[customer_purchase count]]+1</f>
        <v>31</v>
      </c>
      <c r="X1680">
        <f>Table1[[#This Row],[customer_purchase count]]*Rules!$B$3</f>
        <v>1792.9307692307693</v>
      </c>
      <c r="Y1680" t="str">
        <f>IF(Table1[[#This Row],[customer_subscription]]=1,"Subscribed","Not Subscribed")</f>
        <v>Not Subscribed</v>
      </c>
    </row>
    <row r="1681" spans="1:26" x14ac:dyDescent="0.25">
      <c r="A1681">
        <v>1680</v>
      </c>
      <c r="B1681">
        <v>60</v>
      </c>
      <c r="C1681" t="s">
        <v>22</v>
      </c>
      <c r="D1681">
        <v>1680</v>
      </c>
      <c r="E1681" t="s">
        <v>84</v>
      </c>
      <c r="F1681" t="s">
        <v>24</v>
      </c>
      <c r="G1681">
        <v>1680</v>
      </c>
      <c r="H1681">
        <v>2215</v>
      </c>
      <c r="I1681">
        <v>52</v>
      </c>
      <c r="J1681" t="s">
        <v>38</v>
      </c>
      <c r="K1681" t="s">
        <v>39</v>
      </c>
      <c r="L1681" t="s">
        <v>97</v>
      </c>
      <c r="M1681" t="s">
        <v>60</v>
      </c>
      <c r="N1681">
        <v>4.5</v>
      </c>
      <c r="O1681">
        <v>0</v>
      </c>
      <c r="P1681" t="s">
        <v>48</v>
      </c>
      <c r="Q1681" t="s">
        <v>155</v>
      </c>
      <c r="R1681" t="s">
        <v>155</v>
      </c>
      <c r="S1681">
        <v>24</v>
      </c>
      <c r="T1681" t="s">
        <v>89</v>
      </c>
      <c r="U1681" t="s">
        <v>79</v>
      </c>
      <c r="V1681" s="1">
        <v>45616</v>
      </c>
      <c r="W1681">
        <f>Table1[[#This Row],[customer_purchase count]]+1</f>
        <v>25</v>
      </c>
      <c r="X1681">
        <f>Table1[[#This Row],[customer_purchase count]]*Rules!$B$3</f>
        <v>1434.3446153846155</v>
      </c>
      <c r="Y1681" t="str">
        <f>IF(Table1[[#This Row],[customer_subscription]]=1,"Subscribed","Not Subscribed")</f>
        <v>Not Subscribed</v>
      </c>
    </row>
    <row r="1682" spans="1:26" x14ac:dyDescent="0.25">
      <c r="A1682">
        <v>1681</v>
      </c>
      <c r="B1682">
        <v>61</v>
      </c>
      <c r="C1682" t="s">
        <v>22</v>
      </c>
      <c r="D1682">
        <v>1681</v>
      </c>
      <c r="E1682" t="s">
        <v>74</v>
      </c>
      <c r="F1682" t="s">
        <v>45</v>
      </c>
      <c r="G1682">
        <v>1681</v>
      </c>
      <c r="H1682">
        <v>2216</v>
      </c>
      <c r="I1682">
        <v>37</v>
      </c>
      <c r="J1682" t="s">
        <v>63</v>
      </c>
      <c r="K1682" t="s">
        <v>47</v>
      </c>
      <c r="L1682" t="s">
        <v>81</v>
      </c>
      <c r="M1682" t="s">
        <v>56</v>
      </c>
      <c r="N1682">
        <v>3.4</v>
      </c>
      <c r="O1682">
        <v>0</v>
      </c>
      <c r="P1682" t="s">
        <v>77</v>
      </c>
      <c r="Q1682" t="s">
        <v>155</v>
      </c>
      <c r="R1682" t="s">
        <v>155</v>
      </c>
      <c r="S1682">
        <v>6</v>
      </c>
      <c r="T1682" t="s">
        <v>42</v>
      </c>
      <c r="U1682" t="s">
        <v>52</v>
      </c>
      <c r="V1682" s="1">
        <v>45462</v>
      </c>
      <c r="W1682">
        <f>Table1[[#This Row],[customer_purchase count]]+1</f>
        <v>7</v>
      </c>
      <c r="X1682">
        <f>Table1[[#This Row],[customer_purchase count]]*Rules!$B$3</f>
        <v>358.58615384615388</v>
      </c>
      <c r="Y1682" t="str">
        <f>IF(Table1[[#This Row],[customer_subscription]]=1,"Subscribed","Not Subscribed")</f>
        <v>Not Subscribed</v>
      </c>
      <c r="Z1682" t="s">
        <v>194</v>
      </c>
    </row>
    <row r="1683" spans="1:26" x14ac:dyDescent="0.25">
      <c r="A1683">
        <v>1682</v>
      </c>
      <c r="B1683">
        <v>24</v>
      </c>
      <c r="C1683" t="s">
        <v>22</v>
      </c>
      <c r="D1683">
        <v>1682</v>
      </c>
      <c r="E1683" t="s">
        <v>53</v>
      </c>
      <c r="F1683" t="s">
        <v>45</v>
      </c>
      <c r="G1683">
        <v>1682</v>
      </c>
      <c r="H1683">
        <v>2217</v>
      </c>
      <c r="I1683">
        <v>95</v>
      </c>
      <c r="J1683" t="s">
        <v>144</v>
      </c>
      <c r="K1683" t="s">
        <v>26</v>
      </c>
      <c r="L1683" t="s">
        <v>99</v>
      </c>
      <c r="M1683" t="s">
        <v>28</v>
      </c>
      <c r="N1683">
        <v>3.7</v>
      </c>
      <c r="O1683">
        <v>0</v>
      </c>
      <c r="P1683" t="s">
        <v>73</v>
      </c>
      <c r="Q1683" t="s">
        <v>155</v>
      </c>
      <c r="R1683" t="s">
        <v>155</v>
      </c>
      <c r="S1683">
        <v>14</v>
      </c>
      <c r="T1683" t="s">
        <v>42</v>
      </c>
      <c r="U1683" t="s">
        <v>79</v>
      </c>
      <c r="V1683" s="1">
        <v>45306</v>
      </c>
      <c r="W1683">
        <f>Table1[[#This Row],[customer_purchase count]]+1</f>
        <v>15</v>
      </c>
      <c r="X1683">
        <f>Table1[[#This Row],[customer_purchase count]]*Rules!$B$3</f>
        <v>836.70102564102569</v>
      </c>
      <c r="Y1683" t="str">
        <f>IF(Table1[[#This Row],[customer_subscription]]=1,"Subscribed","Not Subscribed")</f>
        <v>Not Subscribed</v>
      </c>
      <c r="Z1683" t="s">
        <v>187</v>
      </c>
    </row>
    <row r="1684" spans="1:26" x14ac:dyDescent="0.25">
      <c r="A1684">
        <v>1683</v>
      </c>
      <c r="B1684">
        <v>65</v>
      </c>
      <c r="C1684" t="s">
        <v>22</v>
      </c>
      <c r="D1684">
        <v>1683</v>
      </c>
      <c r="E1684" t="s">
        <v>128</v>
      </c>
      <c r="F1684" t="s">
        <v>24</v>
      </c>
      <c r="G1684">
        <v>1683</v>
      </c>
      <c r="H1684">
        <v>2218</v>
      </c>
      <c r="I1684">
        <v>97</v>
      </c>
      <c r="J1684" t="s">
        <v>87</v>
      </c>
      <c r="K1684" t="s">
        <v>47</v>
      </c>
      <c r="L1684" t="s">
        <v>137</v>
      </c>
      <c r="M1684" t="s">
        <v>60</v>
      </c>
      <c r="N1684">
        <v>4.9000000000000004</v>
      </c>
      <c r="O1684">
        <v>0</v>
      </c>
      <c r="P1684" t="s">
        <v>73</v>
      </c>
      <c r="Q1684" t="s">
        <v>155</v>
      </c>
      <c r="R1684" t="s">
        <v>155</v>
      </c>
      <c r="S1684">
        <v>37</v>
      </c>
      <c r="T1684" t="s">
        <v>42</v>
      </c>
      <c r="U1684" t="s">
        <v>79</v>
      </c>
      <c r="V1684" s="1">
        <v>45555</v>
      </c>
      <c r="W1684">
        <f>Table1[[#This Row],[customer_purchase count]]+1</f>
        <v>38</v>
      </c>
      <c r="X1684">
        <f>Table1[[#This Row],[customer_purchase count]]*Rules!$B$3</f>
        <v>2211.2812820512822</v>
      </c>
      <c r="Y1684" t="str">
        <f>IF(Table1[[#This Row],[customer_subscription]]=1,"Subscribed","Not Subscribed")</f>
        <v>Not Subscribed</v>
      </c>
    </row>
    <row r="1685" spans="1:26" x14ac:dyDescent="0.25">
      <c r="A1685">
        <v>1684</v>
      </c>
      <c r="B1685">
        <v>23</v>
      </c>
      <c r="C1685" t="s">
        <v>22</v>
      </c>
      <c r="D1685">
        <v>1684</v>
      </c>
      <c r="E1685" t="s">
        <v>65</v>
      </c>
      <c r="F1685" t="s">
        <v>66</v>
      </c>
      <c r="G1685">
        <v>1684</v>
      </c>
      <c r="H1685">
        <v>2219</v>
      </c>
      <c r="I1685">
        <v>57</v>
      </c>
      <c r="J1685" t="s">
        <v>75</v>
      </c>
      <c r="K1685" t="s">
        <v>39</v>
      </c>
      <c r="L1685" t="s">
        <v>96</v>
      </c>
      <c r="M1685" t="s">
        <v>40</v>
      </c>
      <c r="N1685">
        <v>3.5</v>
      </c>
      <c r="O1685">
        <v>0</v>
      </c>
      <c r="P1685" t="s">
        <v>48</v>
      </c>
      <c r="Q1685" t="s">
        <v>155</v>
      </c>
      <c r="R1685" t="s">
        <v>155</v>
      </c>
      <c r="S1685">
        <v>37</v>
      </c>
      <c r="T1685" t="s">
        <v>31</v>
      </c>
      <c r="U1685" t="s">
        <v>61</v>
      </c>
      <c r="V1685" s="1">
        <v>45357</v>
      </c>
      <c r="W1685">
        <f>Table1[[#This Row],[customer_purchase count]]+1</f>
        <v>38</v>
      </c>
      <c r="X1685">
        <f>Table1[[#This Row],[customer_purchase count]]*Rules!$B$3</f>
        <v>2211.2812820512822</v>
      </c>
      <c r="Y1685" t="str">
        <f>IF(Table1[[#This Row],[customer_subscription]]=1,"Subscribed","Not Subscribed")</f>
        <v>Not Subscribed</v>
      </c>
    </row>
    <row r="1686" spans="1:26" x14ac:dyDescent="0.25">
      <c r="A1686">
        <v>1685</v>
      </c>
      <c r="B1686">
        <v>30</v>
      </c>
      <c r="C1686" t="s">
        <v>22</v>
      </c>
      <c r="D1686">
        <v>1685</v>
      </c>
      <c r="E1686" t="s">
        <v>58</v>
      </c>
      <c r="F1686" t="s">
        <v>24</v>
      </c>
      <c r="G1686">
        <v>1685</v>
      </c>
      <c r="H1686">
        <v>2221</v>
      </c>
      <c r="I1686">
        <v>93</v>
      </c>
      <c r="J1686" t="s">
        <v>133</v>
      </c>
      <c r="K1686" t="s">
        <v>47</v>
      </c>
      <c r="L1686" t="s">
        <v>129</v>
      </c>
      <c r="M1686" t="s">
        <v>40</v>
      </c>
      <c r="N1686">
        <v>4.5999999999999996</v>
      </c>
      <c r="O1686">
        <v>0</v>
      </c>
      <c r="P1686" t="s">
        <v>57</v>
      </c>
      <c r="Q1686" t="s">
        <v>155</v>
      </c>
      <c r="R1686" t="s">
        <v>155</v>
      </c>
      <c r="S1686">
        <v>28</v>
      </c>
      <c r="T1686" t="s">
        <v>49</v>
      </c>
      <c r="U1686" t="s">
        <v>43</v>
      </c>
      <c r="V1686" s="1">
        <v>45363</v>
      </c>
      <c r="W1686">
        <f>Table1[[#This Row],[customer_purchase count]]+1</f>
        <v>29</v>
      </c>
      <c r="X1686">
        <f>Table1[[#This Row],[customer_purchase count]]*Rules!$B$3</f>
        <v>1673.4020512820514</v>
      </c>
      <c r="Y1686" t="str">
        <f>IF(Table1[[#This Row],[customer_subscription]]=1,"Subscribed","Not Subscribed")</f>
        <v>Not Subscribed</v>
      </c>
    </row>
    <row r="1687" spans="1:26" x14ac:dyDescent="0.25">
      <c r="A1687">
        <v>1686</v>
      </c>
      <c r="B1687">
        <v>33</v>
      </c>
      <c r="C1687" t="s">
        <v>22</v>
      </c>
      <c r="D1687">
        <v>1686</v>
      </c>
      <c r="E1687" t="s">
        <v>23</v>
      </c>
      <c r="F1687" t="s">
        <v>24</v>
      </c>
      <c r="G1687">
        <v>1686</v>
      </c>
      <c r="H1687">
        <v>2222</v>
      </c>
      <c r="I1687">
        <v>48</v>
      </c>
      <c r="J1687" t="s">
        <v>151</v>
      </c>
      <c r="K1687" t="s">
        <v>47</v>
      </c>
      <c r="L1687" t="s">
        <v>72</v>
      </c>
      <c r="M1687" t="s">
        <v>28</v>
      </c>
      <c r="N1687">
        <v>4.5999999999999996</v>
      </c>
      <c r="O1687">
        <v>0</v>
      </c>
      <c r="P1687" t="s">
        <v>57</v>
      </c>
      <c r="Q1687" t="s">
        <v>155</v>
      </c>
      <c r="R1687" t="s">
        <v>155</v>
      </c>
      <c r="S1687">
        <v>43</v>
      </c>
      <c r="T1687" t="s">
        <v>49</v>
      </c>
      <c r="U1687" t="s">
        <v>79</v>
      </c>
      <c r="V1687" s="1">
        <v>45319</v>
      </c>
      <c r="W1687">
        <f>Table1[[#This Row],[customer_purchase count]]+1</f>
        <v>44</v>
      </c>
      <c r="X1687">
        <f>Table1[[#This Row],[customer_purchase count]]*Rules!$B$3</f>
        <v>2569.8674358974358</v>
      </c>
      <c r="Y1687" t="str">
        <f>IF(Table1[[#This Row],[customer_subscription]]=1,"Subscribed","Not Subscribed")</f>
        <v>Not Subscribed</v>
      </c>
    </row>
    <row r="1688" spans="1:26" x14ac:dyDescent="0.25">
      <c r="A1688">
        <v>1687</v>
      </c>
      <c r="B1688">
        <v>22</v>
      </c>
      <c r="C1688" t="s">
        <v>22</v>
      </c>
      <c r="D1688">
        <v>1687</v>
      </c>
      <c r="E1688" t="s">
        <v>146</v>
      </c>
      <c r="F1688" t="s">
        <v>70</v>
      </c>
      <c r="G1688">
        <v>1687</v>
      </c>
      <c r="H1688">
        <v>2223</v>
      </c>
      <c r="I1688">
        <v>75</v>
      </c>
      <c r="J1688" t="s">
        <v>118</v>
      </c>
      <c r="K1688" t="s">
        <v>26</v>
      </c>
      <c r="L1688" t="s">
        <v>111</v>
      </c>
      <c r="M1688" t="s">
        <v>60</v>
      </c>
      <c r="N1688">
        <v>4.2</v>
      </c>
      <c r="O1688">
        <v>0</v>
      </c>
      <c r="P1688" t="s">
        <v>77</v>
      </c>
      <c r="Q1688" t="s">
        <v>155</v>
      </c>
      <c r="R1688" t="s">
        <v>155</v>
      </c>
      <c r="S1688">
        <v>25</v>
      </c>
      <c r="T1688" t="s">
        <v>36</v>
      </c>
      <c r="U1688" t="s">
        <v>52</v>
      </c>
      <c r="V1688" s="1">
        <v>45548</v>
      </c>
      <c r="W1688">
        <f>Table1[[#This Row],[customer_purchase count]]+1</f>
        <v>26</v>
      </c>
      <c r="X1688">
        <f>Table1[[#This Row],[customer_purchase count]]*Rules!$B$3</f>
        <v>1494.1089743589744</v>
      </c>
      <c r="Y1688" t="str">
        <f>IF(Table1[[#This Row],[customer_subscription]]=1,"Subscribed","Not Subscribed")</f>
        <v>Not Subscribed</v>
      </c>
    </row>
    <row r="1689" spans="1:26" x14ac:dyDescent="0.25">
      <c r="A1689">
        <v>1688</v>
      </c>
      <c r="B1689">
        <v>67</v>
      </c>
      <c r="C1689" t="s">
        <v>22</v>
      </c>
      <c r="D1689">
        <v>1688</v>
      </c>
      <c r="E1689" t="s">
        <v>90</v>
      </c>
      <c r="F1689" t="s">
        <v>24</v>
      </c>
      <c r="G1689">
        <v>1688</v>
      </c>
      <c r="H1689">
        <v>2224</v>
      </c>
      <c r="I1689">
        <v>70</v>
      </c>
      <c r="J1689" t="s">
        <v>145</v>
      </c>
      <c r="K1689" t="s">
        <v>39</v>
      </c>
      <c r="L1689" t="s">
        <v>139</v>
      </c>
      <c r="M1689" t="s">
        <v>28</v>
      </c>
      <c r="N1689">
        <v>3.7</v>
      </c>
      <c r="O1689">
        <v>0</v>
      </c>
      <c r="P1689" t="s">
        <v>41</v>
      </c>
      <c r="Q1689" t="s">
        <v>155</v>
      </c>
      <c r="R1689" t="s">
        <v>155</v>
      </c>
      <c r="S1689">
        <v>4</v>
      </c>
      <c r="T1689" t="s">
        <v>49</v>
      </c>
      <c r="U1689" t="s">
        <v>52</v>
      </c>
      <c r="V1689" s="1">
        <v>45311</v>
      </c>
      <c r="W1689">
        <f>Table1[[#This Row],[customer_purchase count]]+1</f>
        <v>5</v>
      </c>
      <c r="X1689">
        <f>Table1[[#This Row],[customer_purchase count]]*Rules!$B$3</f>
        <v>239.05743589743591</v>
      </c>
      <c r="Y1689" t="str">
        <f>IF(Table1[[#This Row],[customer_subscription]]=1,"Subscribed","Not Subscribed")</f>
        <v>Not Subscribed</v>
      </c>
      <c r="Z1689" t="s">
        <v>194</v>
      </c>
    </row>
    <row r="1690" spans="1:26" x14ac:dyDescent="0.25">
      <c r="A1690">
        <v>1689</v>
      </c>
      <c r="B1690">
        <v>28</v>
      </c>
      <c r="C1690" t="s">
        <v>22</v>
      </c>
      <c r="D1690">
        <v>1689</v>
      </c>
      <c r="E1690" t="s">
        <v>69</v>
      </c>
      <c r="F1690" t="s">
        <v>70</v>
      </c>
      <c r="G1690">
        <v>1689</v>
      </c>
      <c r="H1690">
        <v>2225</v>
      </c>
      <c r="I1690">
        <v>26</v>
      </c>
      <c r="J1690" t="s">
        <v>94</v>
      </c>
      <c r="K1690" t="s">
        <v>39</v>
      </c>
      <c r="L1690" t="s">
        <v>103</v>
      </c>
      <c r="M1690" t="s">
        <v>28</v>
      </c>
      <c r="N1690">
        <v>3</v>
      </c>
      <c r="O1690">
        <v>0</v>
      </c>
      <c r="P1690" t="s">
        <v>48</v>
      </c>
      <c r="Q1690" t="s">
        <v>155</v>
      </c>
      <c r="R1690" t="s">
        <v>155</v>
      </c>
      <c r="S1690">
        <v>13</v>
      </c>
      <c r="T1690" t="s">
        <v>31</v>
      </c>
      <c r="U1690" t="s">
        <v>32</v>
      </c>
      <c r="V1690" s="1">
        <v>45345</v>
      </c>
      <c r="W1690">
        <f>Table1[[#This Row],[customer_purchase count]]+1</f>
        <v>14</v>
      </c>
      <c r="X1690">
        <f>Table1[[#This Row],[customer_purchase count]]*Rules!$B$3</f>
        <v>776.93666666666672</v>
      </c>
      <c r="Y1690" t="str">
        <f>IF(Table1[[#This Row],[customer_subscription]]=1,"Subscribed","Not Subscribed")</f>
        <v>Not Subscribed</v>
      </c>
      <c r="Z1690" t="s">
        <v>187</v>
      </c>
    </row>
    <row r="1691" spans="1:26" x14ac:dyDescent="0.25">
      <c r="A1691">
        <v>1690</v>
      </c>
      <c r="B1691">
        <v>32</v>
      </c>
      <c r="C1691" t="s">
        <v>22</v>
      </c>
      <c r="D1691">
        <v>1690</v>
      </c>
      <c r="E1691" t="s">
        <v>58</v>
      </c>
      <c r="F1691" t="s">
        <v>24</v>
      </c>
      <c r="G1691">
        <v>1690</v>
      </c>
      <c r="H1691">
        <v>2227</v>
      </c>
      <c r="I1691">
        <v>73</v>
      </c>
      <c r="J1691" t="s">
        <v>101</v>
      </c>
      <c r="K1691" t="s">
        <v>26</v>
      </c>
      <c r="L1691" t="s">
        <v>51</v>
      </c>
      <c r="M1691" t="s">
        <v>28</v>
      </c>
      <c r="N1691">
        <v>4.5999999999999996</v>
      </c>
      <c r="O1691">
        <v>0</v>
      </c>
      <c r="P1691" t="s">
        <v>77</v>
      </c>
      <c r="Q1691" t="s">
        <v>155</v>
      </c>
      <c r="R1691" t="s">
        <v>155</v>
      </c>
      <c r="S1691">
        <v>32</v>
      </c>
      <c r="T1691" t="s">
        <v>78</v>
      </c>
      <c r="U1691" t="s">
        <v>91</v>
      </c>
      <c r="V1691" s="1">
        <v>45634</v>
      </c>
      <c r="W1691">
        <f>Table1[[#This Row],[customer_purchase count]]+1</f>
        <v>33</v>
      </c>
      <c r="X1691">
        <f>Table1[[#This Row],[customer_purchase count]]*Rules!$B$3</f>
        <v>1912.4594871794873</v>
      </c>
      <c r="Y1691" t="str">
        <f>IF(Table1[[#This Row],[customer_subscription]]=1,"Subscribed","Not Subscribed")</f>
        <v>Not Subscribed</v>
      </c>
    </row>
    <row r="1692" spans="1:26" x14ac:dyDescent="0.25">
      <c r="A1692">
        <v>1691</v>
      </c>
      <c r="B1692">
        <v>40</v>
      </c>
      <c r="C1692" t="s">
        <v>22</v>
      </c>
      <c r="D1692">
        <v>1691</v>
      </c>
      <c r="E1692" t="s">
        <v>65</v>
      </c>
      <c r="F1692" t="s">
        <v>66</v>
      </c>
      <c r="G1692">
        <v>1691</v>
      </c>
      <c r="H1692">
        <v>2228</v>
      </c>
      <c r="I1692">
        <v>30</v>
      </c>
      <c r="J1692" t="s">
        <v>110</v>
      </c>
      <c r="K1692" t="s">
        <v>47</v>
      </c>
      <c r="L1692" t="s">
        <v>97</v>
      </c>
      <c r="M1692" t="s">
        <v>56</v>
      </c>
      <c r="N1692">
        <v>3.2</v>
      </c>
      <c r="O1692">
        <v>0</v>
      </c>
      <c r="P1692" t="s">
        <v>41</v>
      </c>
      <c r="Q1692" t="s">
        <v>155</v>
      </c>
      <c r="R1692" t="s">
        <v>155</v>
      </c>
      <c r="S1692">
        <v>1</v>
      </c>
      <c r="T1692" t="s">
        <v>36</v>
      </c>
      <c r="U1692" t="s">
        <v>52</v>
      </c>
      <c r="V1692" s="1">
        <v>45480</v>
      </c>
      <c r="W1692">
        <f>Table1[[#This Row],[customer_purchase count]]+1</f>
        <v>2</v>
      </c>
      <c r="X1692">
        <f>Table1[[#This Row],[customer_purchase count]]*Rules!$B$3</f>
        <v>59.764358974358977</v>
      </c>
      <c r="Y1692" t="str">
        <f>IF(Table1[[#This Row],[customer_subscription]]=1,"Subscribed","Not Subscribed")</f>
        <v>Not Subscribed</v>
      </c>
      <c r="Z1692" t="s">
        <v>194</v>
      </c>
    </row>
    <row r="1693" spans="1:26" x14ac:dyDescent="0.25">
      <c r="A1693">
        <v>1692</v>
      </c>
      <c r="B1693">
        <v>64</v>
      </c>
      <c r="C1693" t="s">
        <v>22</v>
      </c>
      <c r="D1693">
        <v>1692</v>
      </c>
      <c r="E1693" t="s">
        <v>74</v>
      </c>
      <c r="F1693" t="s">
        <v>45</v>
      </c>
      <c r="G1693">
        <v>1692</v>
      </c>
      <c r="H1693">
        <v>2229</v>
      </c>
      <c r="I1693">
        <v>61</v>
      </c>
      <c r="J1693" t="s">
        <v>142</v>
      </c>
      <c r="K1693" t="s">
        <v>26</v>
      </c>
      <c r="L1693" t="s">
        <v>147</v>
      </c>
      <c r="M1693" t="s">
        <v>56</v>
      </c>
      <c r="N1693">
        <v>3.5</v>
      </c>
      <c r="O1693">
        <v>0</v>
      </c>
      <c r="P1693" t="s">
        <v>48</v>
      </c>
      <c r="Q1693" t="s">
        <v>155</v>
      </c>
      <c r="R1693" t="s">
        <v>155</v>
      </c>
      <c r="S1693">
        <v>4</v>
      </c>
      <c r="T1693" t="s">
        <v>36</v>
      </c>
      <c r="U1693" t="s">
        <v>52</v>
      </c>
      <c r="V1693" s="1">
        <v>45507</v>
      </c>
      <c r="W1693">
        <f>Table1[[#This Row],[customer_purchase count]]+1</f>
        <v>5</v>
      </c>
      <c r="X1693">
        <f>Table1[[#This Row],[customer_purchase count]]*Rules!$B$3</f>
        <v>239.05743589743591</v>
      </c>
      <c r="Y1693" t="str">
        <f>IF(Table1[[#This Row],[customer_subscription]]=1,"Subscribed","Not Subscribed")</f>
        <v>Not Subscribed</v>
      </c>
      <c r="Z1693" t="s">
        <v>194</v>
      </c>
    </row>
    <row r="1694" spans="1:26" x14ac:dyDescent="0.25">
      <c r="A1694">
        <v>1693</v>
      </c>
      <c r="B1694">
        <v>56</v>
      </c>
      <c r="C1694" t="s">
        <v>22</v>
      </c>
      <c r="D1694">
        <v>1693</v>
      </c>
      <c r="E1694" t="s">
        <v>69</v>
      </c>
      <c r="F1694" t="s">
        <v>70</v>
      </c>
      <c r="G1694">
        <v>1693</v>
      </c>
      <c r="H1694">
        <v>2230</v>
      </c>
      <c r="I1694">
        <v>75</v>
      </c>
      <c r="J1694" t="s">
        <v>143</v>
      </c>
      <c r="K1694" t="s">
        <v>47</v>
      </c>
      <c r="L1694" t="s">
        <v>121</v>
      </c>
      <c r="M1694" t="s">
        <v>28</v>
      </c>
      <c r="N1694">
        <v>2.6</v>
      </c>
      <c r="O1694">
        <v>0</v>
      </c>
      <c r="P1694" t="s">
        <v>57</v>
      </c>
      <c r="Q1694" t="s">
        <v>155</v>
      </c>
      <c r="R1694" t="s">
        <v>155</v>
      </c>
      <c r="S1694">
        <v>33</v>
      </c>
      <c r="T1694" t="s">
        <v>36</v>
      </c>
      <c r="U1694" t="s">
        <v>79</v>
      </c>
      <c r="V1694" s="1">
        <v>45296</v>
      </c>
      <c r="W1694">
        <f>Table1[[#This Row],[customer_purchase count]]+1</f>
        <v>34</v>
      </c>
      <c r="X1694">
        <f>Table1[[#This Row],[customer_purchase count]]*Rules!$B$3</f>
        <v>1972.2238461538464</v>
      </c>
      <c r="Y1694" t="str">
        <f>IF(Table1[[#This Row],[customer_subscription]]=1,"Subscribed","Not Subscribed")</f>
        <v>Not Subscribed</v>
      </c>
    </row>
    <row r="1695" spans="1:26" x14ac:dyDescent="0.25">
      <c r="A1695">
        <v>1694</v>
      </c>
      <c r="B1695">
        <v>63</v>
      </c>
      <c r="C1695" t="s">
        <v>22</v>
      </c>
      <c r="D1695">
        <v>1694</v>
      </c>
      <c r="E1695" t="s">
        <v>105</v>
      </c>
      <c r="F1695" t="s">
        <v>66</v>
      </c>
      <c r="G1695">
        <v>1694</v>
      </c>
      <c r="H1695">
        <v>2231</v>
      </c>
      <c r="I1695">
        <v>88</v>
      </c>
      <c r="J1695" t="s">
        <v>125</v>
      </c>
      <c r="K1695" t="s">
        <v>95</v>
      </c>
      <c r="L1695" t="s">
        <v>81</v>
      </c>
      <c r="M1695" t="s">
        <v>60</v>
      </c>
      <c r="N1695">
        <v>4.9000000000000004</v>
      </c>
      <c r="O1695">
        <v>0</v>
      </c>
      <c r="P1695" t="s">
        <v>57</v>
      </c>
      <c r="Q1695" t="s">
        <v>155</v>
      </c>
      <c r="R1695" t="s">
        <v>155</v>
      </c>
      <c r="S1695">
        <v>45</v>
      </c>
      <c r="T1695" t="s">
        <v>78</v>
      </c>
      <c r="U1695" t="s">
        <v>32</v>
      </c>
      <c r="V1695" s="1">
        <v>45539</v>
      </c>
      <c r="W1695">
        <f>Table1[[#This Row],[customer_purchase count]]+1</f>
        <v>46</v>
      </c>
      <c r="X1695">
        <f>Table1[[#This Row],[customer_purchase count]]*Rules!$B$3</f>
        <v>2689.396153846154</v>
      </c>
      <c r="Y1695" t="str">
        <f>IF(Table1[[#This Row],[customer_subscription]]=1,"Subscribed","Not Subscribed")</f>
        <v>Not Subscribed</v>
      </c>
    </row>
    <row r="1696" spans="1:26" x14ac:dyDescent="0.25">
      <c r="A1696">
        <v>1695</v>
      </c>
      <c r="B1696">
        <v>20</v>
      </c>
      <c r="C1696" t="s">
        <v>22</v>
      </c>
      <c r="D1696">
        <v>1695</v>
      </c>
      <c r="E1696" t="s">
        <v>58</v>
      </c>
      <c r="F1696" t="s">
        <v>24</v>
      </c>
      <c r="G1696">
        <v>1695</v>
      </c>
      <c r="H1696">
        <v>2233</v>
      </c>
      <c r="I1696">
        <v>67</v>
      </c>
      <c r="J1696" t="s">
        <v>94</v>
      </c>
      <c r="K1696" t="s">
        <v>47</v>
      </c>
      <c r="L1696" t="s">
        <v>51</v>
      </c>
      <c r="M1696" t="s">
        <v>56</v>
      </c>
      <c r="N1696">
        <v>2.7</v>
      </c>
      <c r="O1696">
        <v>0</v>
      </c>
      <c r="P1696" t="s">
        <v>29</v>
      </c>
      <c r="Q1696" t="s">
        <v>155</v>
      </c>
      <c r="R1696" t="s">
        <v>155</v>
      </c>
      <c r="S1696">
        <v>20</v>
      </c>
      <c r="T1696" t="s">
        <v>89</v>
      </c>
      <c r="U1696" t="s">
        <v>32</v>
      </c>
      <c r="V1696" s="1">
        <v>45475</v>
      </c>
      <c r="W1696">
        <f>Table1[[#This Row],[customer_purchase count]]+1</f>
        <v>21</v>
      </c>
      <c r="X1696">
        <f>Table1[[#This Row],[customer_purchase count]]*Rules!$B$3</f>
        <v>1195.2871794871796</v>
      </c>
      <c r="Y1696" t="str">
        <f>IF(Table1[[#This Row],[customer_subscription]]=1,"Subscribed","Not Subscribed")</f>
        <v>Not Subscribed</v>
      </c>
    </row>
    <row r="1697" spans="1:26" x14ac:dyDescent="0.25">
      <c r="A1697">
        <v>1696</v>
      </c>
      <c r="B1697">
        <v>54</v>
      </c>
      <c r="C1697" t="s">
        <v>22</v>
      </c>
      <c r="D1697">
        <v>1696</v>
      </c>
      <c r="E1697" t="s">
        <v>127</v>
      </c>
      <c r="F1697" t="s">
        <v>70</v>
      </c>
      <c r="G1697">
        <v>1696</v>
      </c>
      <c r="H1697">
        <v>2234</v>
      </c>
      <c r="I1697">
        <v>95</v>
      </c>
      <c r="J1697" t="s">
        <v>148</v>
      </c>
      <c r="K1697" t="s">
        <v>39</v>
      </c>
      <c r="L1697" t="s">
        <v>137</v>
      </c>
      <c r="M1697" t="s">
        <v>60</v>
      </c>
      <c r="N1697">
        <v>4.7</v>
      </c>
      <c r="O1697">
        <v>0</v>
      </c>
      <c r="P1697" t="s">
        <v>73</v>
      </c>
      <c r="Q1697" t="s">
        <v>155</v>
      </c>
      <c r="R1697" t="s">
        <v>155</v>
      </c>
      <c r="S1697">
        <v>1</v>
      </c>
      <c r="T1697" t="s">
        <v>49</v>
      </c>
      <c r="U1697" t="s">
        <v>32</v>
      </c>
      <c r="V1697" s="1">
        <v>45548</v>
      </c>
      <c r="W1697">
        <f>Table1[[#This Row],[customer_purchase count]]+1</f>
        <v>2</v>
      </c>
      <c r="X1697">
        <f>Table1[[#This Row],[customer_purchase count]]*Rules!$B$3</f>
        <v>59.764358974358977</v>
      </c>
      <c r="Y1697" t="str">
        <f>IF(Table1[[#This Row],[customer_subscription]]=1,"Subscribed","Not Subscribed")</f>
        <v>Not Subscribed</v>
      </c>
      <c r="Z1697" t="s">
        <v>194</v>
      </c>
    </row>
    <row r="1698" spans="1:26" x14ac:dyDescent="0.25">
      <c r="A1698">
        <v>1697</v>
      </c>
      <c r="B1698">
        <v>31</v>
      </c>
      <c r="C1698" t="s">
        <v>22</v>
      </c>
      <c r="D1698">
        <v>1697</v>
      </c>
      <c r="E1698" t="s">
        <v>92</v>
      </c>
      <c r="F1698" t="s">
        <v>70</v>
      </c>
      <c r="G1698">
        <v>1697</v>
      </c>
      <c r="H1698">
        <v>2235</v>
      </c>
      <c r="I1698">
        <v>69</v>
      </c>
      <c r="J1698" t="s">
        <v>67</v>
      </c>
      <c r="K1698" t="s">
        <v>39</v>
      </c>
      <c r="L1698" t="s">
        <v>51</v>
      </c>
      <c r="M1698" t="s">
        <v>40</v>
      </c>
      <c r="N1698">
        <v>4</v>
      </c>
      <c r="O1698">
        <v>0</v>
      </c>
      <c r="P1698" t="s">
        <v>41</v>
      </c>
      <c r="Q1698" t="s">
        <v>155</v>
      </c>
      <c r="R1698" t="s">
        <v>155</v>
      </c>
      <c r="S1698">
        <v>7</v>
      </c>
      <c r="T1698" t="s">
        <v>42</v>
      </c>
      <c r="U1698" t="s">
        <v>79</v>
      </c>
      <c r="V1698" s="1">
        <v>45420</v>
      </c>
      <c r="W1698">
        <f>Table1[[#This Row],[customer_purchase count]]+1</f>
        <v>8</v>
      </c>
      <c r="X1698">
        <f>Table1[[#This Row],[customer_purchase count]]*Rules!$B$3</f>
        <v>418.35051282051285</v>
      </c>
      <c r="Y1698" t="str">
        <f>IF(Table1[[#This Row],[customer_subscription]]=1,"Subscribed","Not Subscribed")</f>
        <v>Not Subscribed</v>
      </c>
      <c r="Z1698" t="s">
        <v>194</v>
      </c>
    </row>
    <row r="1699" spans="1:26" x14ac:dyDescent="0.25">
      <c r="A1699">
        <v>1698</v>
      </c>
      <c r="B1699">
        <v>36</v>
      </c>
      <c r="C1699" t="s">
        <v>22</v>
      </c>
      <c r="D1699">
        <v>1698</v>
      </c>
      <c r="E1699" t="s">
        <v>58</v>
      </c>
      <c r="F1699" t="s">
        <v>24</v>
      </c>
      <c r="G1699">
        <v>1698</v>
      </c>
      <c r="H1699">
        <v>2236</v>
      </c>
      <c r="I1699">
        <v>87</v>
      </c>
      <c r="J1699" t="s">
        <v>134</v>
      </c>
      <c r="K1699" t="s">
        <v>26</v>
      </c>
      <c r="L1699" t="s">
        <v>96</v>
      </c>
      <c r="M1699" t="s">
        <v>60</v>
      </c>
      <c r="N1699">
        <v>3.5</v>
      </c>
      <c r="O1699">
        <v>0</v>
      </c>
      <c r="P1699" t="s">
        <v>48</v>
      </c>
      <c r="Q1699" t="s">
        <v>155</v>
      </c>
      <c r="R1699" t="s">
        <v>155</v>
      </c>
      <c r="S1699">
        <v>48</v>
      </c>
      <c r="T1699" t="s">
        <v>42</v>
      </c>
      <c r="U1699" t="s">
        <v>100</v>
      </c>
      <c r="V1699" s="1">
        <v>45600</v>
      </c>
      <c r="W1699">
        <f>Table1[[#This Row],[customer_purchase count]]+1</f>
        <v>49</v>
      </c>
      <c r="X1699">
        <f>Table1[[#This Row],[customer_purchase count]]*Rules!$B$3</f>
        <v>2868.689230769231</v>
      </c>
      <c r="Y1699" t="str">
        <f>IF(Table1[[#This Row],[customer_subscription]]=1,"Subscribed","Not Subscribed")</f>
        <v>Not Subscribed</v>
      </c>
    </row>
    <row r="1700" spans="1:26" x14ac:dyDescent="0.25">
      <c r="A1700">
        <v>1699</v>
      </c>
      <c r="B1700">
        <v>25</v>
      </c>
      <c r="C1700" t="s">
        <v>22</v>
      </c>
      <c r="D1700">
        <v>1699</v>
      </c>
      <c r="E1700" t="s">
        <v>136</v>
      </c>
      <c r="F1700" t="s">
        <v>70</v>
      </c>
      <c r="G1700">
        <v>1699</v>
      </c>
      <c r="H1700">
        <v>2237</v>
      </c>
      <c r="I1700">
        <v>41</v>
      </c>
      <c r="J1700" t="s">
        <v>149</v>
      </c>
      <c r="K1700" t="s">
        <v>95</v>
      </c>
      <c r="L1700" t="s">
        <v>51</v>
      </c>
      <c r="M1700" t="s">
        <v>28</v>
      </c>
      <c r="N1700">
        <v>4.8</v>
      </c>
      <c r="O1700">
        <v>0</v>
      </c>
      <c r="P1700" t="s">
        <v>57</v>
      </c>
      <c r="Q1700" t="s">
        <v>155</v>
      </c>
      <c r="R1700" t="s">
        <v>155</v>
      </c>
      <c r="S1700">
        <v>46</v>
      </c>
      <c r="T1700" t="s">
        <v>78</v>
      </c>
      <c r="U1700" t="s">
        <v>61</v>
      </c>
      <c r="V1700" s="1">
        <v>45653</v>
      </c>
      <c r="W1700">
        <f>Table1[[#This Row],[customer_purchase count]]+1</f>
        <v>47</v>
      </c>
      <c r="X1700">
        <f>Table1[[#This Row],[customer_purchase count]]*Rules!$B$3</f>
        <v>2749.1605128205128</v>
      </c>
      <c r="Y1700" t="str">
        <f>IF(Table1[[#This Row],[customer_subscription]]=1,"Subscribed","Not Subscribed")</f>
        <v>Not Subscribed</v>
      </c>
    </row>
    <row r="1701" spans="1:26" x14ac:dyDescent="0.25">
      <c r="A1701">
        <v>1700</v>
      </c>
      <c r="B1701">
        <v>20</v>
      </c>
      <c r="C1701" t="s">
        <v>22</v>
      </c>
      <c r="D1701">
        <v>1700</v>
      </c>
      <c r="E1701" t="s">
        <v>33</v>
      </c>
      <c r="F1701" t="s">
        <v>24</v>
      </c>
      <c r="G1701">
        <v>1700</v>
      </c>
      <c r="H1701">
        <v>2239</v>
      </c>
      <c r="I1701">
        <v>67</v>
      </c>
      <c r="J1701" t="s">
        <v>117</v>
      </c>
      <c r="K1701" t="s">
        <v>26</v>
      </c>
      <c r="L1701" t="s">
        <v>88</v>
      </c>
      <c r="M1701" t="s">
        <v>40</v>
      </c>
      <c r="N1701">
        <v>4</v>
      </c>
      <c r="O1701">
        <v>0</v>
      </c>
      <c r="P1701" t="s">
        <v>41</v>
      </c>
      <c r="Q1701" t="s">
        <v>155</v>
      </c>
      <c r="R1701" t="s">
        <v>155</v>
      </c>
      <c r="S1701">
        <v>34</v>
      </c>
      <c r="T1701" t="s">
        <v>89</v>
      </c>
      <c r="U1701" t="s">
        <v>52</v>
      </c>
      <c r="V1701" s="1">
        <v>45369</v>
      </c>
      <c r="W1701">
        <f>Table1[[#This Row],[customer_purchase count]]+1</f>
        <v>35</v>
      </c>
      <c r="X1701">
        <f>Table1[[#This Row],[customer_purchase count]]*Rules!$B$3</f>
        <v>2031.9882051282052</v>
      </c>
      <c r="Y1701" t="str">
        <f>IF(Table1[[#This Row],[customer_subscription]]=1,"Subscribed","Not Subscribed")</f>
        <v>Not Subscribed</v>
      </c>
    </row>
    <row r="1702" spans="1:26" x14ac:dyDescent="0.25">
      <c r="A1702">
        <v>1701</v>
      </c>
      <c r="B1702">
        <v>62</v>
      </c>
      <c r="C1702" t="s">
        <v>22</v>
      </c>
      <c r="D1702">
        <v>1701</v>
      </c>
      <c r="E1702" t="s">
        <v>107</v>
      </c>
      <c r="F1702" t="s">
        <v>24</v>
      </c>
      <c r="G1702">
        <v>1701</v>
      </c>
      <c r="H1702">
        <v>2240</v>
      </c>
      <c r="I1702">
        <v>70</v>
      </c>
      <c r="J1702" t="s">
        <v>67</v>
      </c>
      <c r="K1702" t="s">
        <v>26</v>
      </c>
      <c r="L1702" t="s">
        <v>97</v>
      </c>
      <c r="M1702" t="s">
        <v>60</v>
      </c>
      <c r="N1702">
        <v>4.0999999999999996</v>
      </c>
      <c r="O1702">
        <v>0</v>
      </c>
      <c r="P1702" t="s">
        <v>29</v>
      </c>
      <c r="Q1702" t="s">
        <v>155</v>
      </c>
      <c r="R1702" t="s">
        <v>155</v>
      </c>
      <c r="S1702">
        <v>36</v>
      </c>
      <c r="T1702" t="s">
        <v>78</v>
      </c>
      <c r="U1702" t="s">
        <v>91</v>
      </c>
      <c r="V1702" s="1">
        <v>45618</v>
      </c>
      <c r="W1702">
        <f>Table1[[#This Row],[customer_purchase count]]+1</f>
        <v>37</v>
      </c>
      <c r="X1702">
        <f>Table1[[#This Row],[customer_purchase count]]*Rules!$B$3</f>
        <v>2151.5169230769234</v>
      </c>
      <c r="Y1702" t="str">
        <f>IF(Table1[[#This Row],[customer_subscription]]=1,"Subscribed","Not Subscribed")</f>
        <v>Not Subscribed</v>
      </c>
    </row>
    <row r="1703" spans="1:26" x14ac:dyDescent="0.25">
      <c r="A1703">
        <v>1702</v>
      </c>
      <c r="B1703">
        <v>69</v>
      </c>
      <c r="C1703" t="s">
        <v>22</v>
      </c>
      <c r="D1703">
        <v>1702</v>
      </c>
      <c r="E1703" t="s">
        <v>69</v>
      </c>
      <c r="F1703" t="s">
        <v>70</v>
      </c>
      <c r="G1703">
        <v>1702</v>
      </c>
      <c r="H1703">
        <v>2241</v>
      </c>
      <c r="I1703">
        <v>41</v>
      </c>
      <c r="J1703" t="s">
        <v>94</v>
      </c>
      <c r="K1703" t="s">
        <v>95</v>
      </c>
      <c r="L1703" t="s">
        <v>147</v>
      </c>
      <c r="M1703" t="s">
        <v>28</v>
      </c>
      <c r="N1703">
        <v>3.8</v>
      </c>
      <c r="O1703">
        <v>0</v>
      </c>
      <c r="P1703" t="s">
        <v>48</v>
      </c>
      <c r="Q1703" t="s">
        <v>155</v>
      </c>
      <c r="R1703" t="s">
        <v>155</v>
      </c>
      <c r="S1703">
        <v>44</v>
      </c>
      <c r="T1703" t="s">
        <v>89</v>
      </c>
      <c r="U1703" t="s">
        <v>100</v>
      </c>
      <c r="V1703" s="1">
        <v>45628</v>
      </c>
      <c r="W1703">
        <f>Table1[[#This Row],[customer_purchase count]]+1</f>
        <v>45</v>
      </c>
      <c r="X1703">
        <f>Table1[[#This Row],[customer_purchase count]]*Rules!$B$3</f>
        <v>2629.6317948717951</v>
      </c>
      <c r="Y1703" t="str">
        <f>IF(Table1[[#This Row],[customer_subscription]]=1,"Subscribed","Not Subscribed")</f>
        <v>Not Subscribed</v>
      </c>
    </row>
    <row r="1704" spans="1:26" x14ac:dyDescent="0.25">
      <c r="A1704">
        <v>1703</v>
      </c>
      <c r="B1704">
        <v>54</v>
      </c>
      <c r="C1704" t="s">
        <v>22</v>
      </c>
      <c r="D1704">
        <v>1703</v>
      </c>
      <c r="E1704" t="s">
        <v>37</v>
      </c>
      <c r="F1704" t="s">
        <v>24</v>
      </c>
      <c r="G1704">
        <v>1703</v>
      </c>
      <c r="H1704">
        <v>2242</v>
      </c>
      <c r="I1704">
        <v>83</v>
      </c>
      <c r="J1704" t="s">
        <v>93</v>
      </c>
      <c r="K1704" t="s">
        <v>95</v>
      </c>
      <c r="L1704" t="s">
        <v>137</v>
      </c>
      <c r="M1704" t="s">
        <v>56</v>
      </c>
      <c r="N1704">
        <v>5</v>
      </c>
      <c r="O1704">
        <v>0</v>
      </c>
      <c r="P1704" t="s">
        <v>29</v>
      </c>
      <c r="Q1704" t="s">
        <v>155</v>
      </c>
      <c r="R1704" t="s">
        <v>155</v>
      </c>
      <c r="S1704">
        <v>48</v>
      </c>
      <c r="T1704" t="s">
        <v>78</v>
      </c>
      <c r="U1704" t="s">
        <v>43</v>
      </c>
      <c r="V1704" s="1">
        <v>45531</v>
      </c>
      <c r="W1704">
        <f>Table1[[#This Row],[customer_purchase count]]+1</f>
        <v>49</v>
      </c>
      <c r="X1704">
        <f>Table1[[#This Row],[customer_purchase count]]*Rules!$B$3</f>
        <v>2868.689230769231</v>
      </c>
      <c r="Y1704" t="str">
        <f>IF(Table1[[#This Row],[customer_subscription]]=1,"Subscribed","Not Subscribed")</f>
        <v>Not Subscribed</v>
      </c>
    </row>
    <row r="1705" spans="1:26" x14ac:dyDescent="0.25">
      <c r="A1705">
        <v>1704</v>
      </c>
      <c r="B1705">
        <v>39</v>
      </c>
      <c r="C1705" t="s">
        <v>22</v>
      </c>
      <c r="D1705">
        <v>1704</v>
      </c>
      <c r="E1705" t="s">
        <v>135</v>
      </c>
      <c r="F1705" t="s">
        <v>70</v>
      </c>
      <c r="G1705">
        <v>1704</v>
      </c>
      <c r="H1705">
        <v>2243</v>
      </c>
      <c r="I1705">
        <v>22</v>
      </c>
      <c r="J1705" t="s">
        <v>102</v>
      </c>
      <c r="K1705" t="s">
        <v>47</v>
      </c>
      <c r="L1705" t="s">
        <v>97</v>
      </c>
      <c r="M1705" t="s">
        <v>40</v>
      </c>
      <c r="N1705">
        <v>4</v>
      </c>
      <c r="O1705">
        <v>0</v>
      </c>
      <c r="P1705" t="s">
        <v>48</v>
      </c>
      <c r="Q1705" t="s">
        <v>155</v>
      </c>
      <c r="R1705" t="s">
        <v>155</v>
      </c>
      <c r="S1705">
        <v>12</v>
      </c>
      <c r="T1705" t="s">
        <v>78</v>
      </c>
      <c r="U1705" t="s">
        <v>52</v>
      </c>
      <c r="V1705" s="1">
        <v>45438</v>
      </c>
      <c r="W1705">
        <f>Table1[[#This Row],[customer_purchase count]]+1</f>
        <v>13</v>
      </c>
      <c r="X1705">
        <f>Table1[[#This Row],[customer_purchase count]]*Rules!$B$3</f>
        <v>717.17230769230775</v>
      </c>
      <c r="Y1705" t="str">
        <f>IF(Table1[[#This Row],[customer_subscription]]=1,"Subscribed","Not Subscribed")</f>
        <v>Not Subscribed</v>
      </c>
      <c r="Z1705" t="s">
        <v>194</v>
      </c>
    </row>
    <row r="1706" spans="1:26" x14ac:dyDescent="0.25">
      <c r="A1706">
        <v>1705</v>
      </c>
      <c r="B1706">
        <v>56</v>
      </c>
      <c r="C1706" t="s">
        <v>22</v>
      </c>
      <c r="D1706">
        <v>1705</v>
      </c>
      <c r="E1706" t="s">
        <v>53</v>
      </c>
      <c r="F1706" t="s">
        <v>45</v>
      </c>
      <c r="G1706">
        <v>1705</v>
      </c>
      <c r="H1706">
        <v>2245</v>
      </c>
      <c r="I1706">
        <v>20</v>
      </c>
      <c r="J1706" t="s">
        <v>138</v>
      </c>
      <c r="K1706" t="s">
        <v>47</v>
      </c>
      <c r="L1706" t="s">
        <v>96</v>
      </c>
      <c r="M1706" t="s">
        <v>56</v>
      </c>
      <c r="N1706">
        <v>3.9</v>
      </c>
      <c r="O1706">
        <v>0</v>
      </c>
      <c r="P1706" t="s">
        <v>77</v>
      </c>
      <c r="Q1706" t="s">
        <v>155</v>
      </c>
      <c r="R1706" t="s">
        <v>155</v>
      </c>
      <c r="S1706">
        <v>19</v>
      </c>
      <c r="T1706" t="s">
        <v>36</v>
      </c>
      <c r="U1706" t="s">
        <v>100</v>
      </c>
      <c r="V1706" s="1">
        <v>45465</v>
      </c>
      <c r="W1706">
        <f>Table1[[#This Row],[customer_purchase count]]+1</f>
        <v>20</v>
      </c>
      <c r="X1706">
        <f>Table1[[#This Row],[customer_purchase count]]*Rules!$B$3</f>
        <v>1135.5228205128205</v>
      </c>
      <c r="Y1706" t="str">
        <f>IF(Table1[[#This Row],[customer_subscription]]=1,"Subscribed","Not Subscribed")</f>
        <v>Not Subscribed</v>
      </c>
    </row>
    <row r="1707" spans="1:26" x14ac:dyDescent="0.25">
      <c r="A1707">
        <v>1706</v>
      </c>
      <c r="B1707">
        <v>39</v>
      </c>
      <c r="C1707" t="s">
        <v>22</v>
      </c>
      <c r="D1707">
        <v>1706</v>
      </c>
      <c r="E1707" t="s">
        <v>109</v>
      </c>
      <c r="F1707" t="s">
        <v>70</v>
      </c>
      <c r="G1707">
        <v>1706</v>
      </c>
      <c r="H1707">
        <v>2246</v>
      </c>
      <c r="I1707">
        <v>29</v>
      </c>
      <c r="J1707" t="s">
        <v>150</v>
      </c>
      <c r="K1707" t="s">
        <v>26</v>
      </c>
      <c r="L1707" t="s">
        <v>112</v>
      </c>
      <c r="M1707" t="s">
        <v>56</v>
      </c>
      <c r="N1707">
        <v>3.4</v>
      </c>
      <c r="O1707">
        <v>0</v>
      </c>
      <c r="P1707" t="s">
        <v>73</v>
      </c>
      <c r="Q1707" t="s">
        <v>155</v>
      </c>
      <c r="R1707" t="s">
        <v>155</v>
      </c>
      <c r="S1707">
        <v>49</v>
      </c>
      <c r="T1707" t="s">
        <v>31</v>
      </c>
      <c r="U1707" t="s">
        <v>79</v>
      </c>
      <c r="V1707" s="1">
        <v>45459</v>
      </c>
      <c r="W1707">
        <f>Table1[[#This Row],[customer_purchase count]]+1</f>
        <v>50</v>
      </c>
      <c r="X1707">
        <f>Table1[[#This Row],[customer_purchase count]]*Rules!$B$3</f>
        <v>2928.4535897435899</v>
      </c>
      <c r="Y1707" t="str">
        <f>IF(Table1[[#This Row],[customer_subscription]]=1,"Subscribed","Not Subscribed")</f>
        <v>Not Subscribed</v>
      </c>
    </row>
    <row r="1708" spans="1:26" x14ac:dyDescent="0.25">
      <c r="A1708">
        <v>1707</v>
      </c>
      <c r="B1708">
        <v>37</v>
      </c>
      <c r="C1708" t="s">
        <v>22</v>
      </c>
      <c r="D1708">
        <v>1707</v>
      </c>
      <c r="E1708" t="s">
        <v>92</v>
      </c>
      <c r="F1708" t="s">
        <v>70</v>
      </c>
      <c r="G1708">
        <v>1707</v>
      </c>
      <c r="H1708">
        <v>2247</v>
      </c>
      <c r="I1708">
        <v>87</v>
      </c>
      <c r="J1708" t="s">
        <v>117</v>
      </c>
      <c r="K1708" t="s">
        <v>47</v>
      </c>
      <c r="L1708" t="s">
        <v>113</v>
      </c>
      <c r="M1708" t="s">
        <v>40</v>
      </c>
      <c r="N1708">
        <v>3</v>
      </c>
      <c r="O1708">
        <v>0</v>
      </c>
      <c r="P1708" t="s">
        <v>57</v>
      </c>
      <c r="Q1708" t="s">
        <v>155</v>
      </c>
      <c r="R1708" t="s">
        <v>155</v>
      </c>
      <c r="S1708">
        <v>25</v>
      </c>
      <c r="T1708" t="s">
        <v>31</v>
      </c>
      <c r="U1708" t="s">
        <v>32</v>
      </c>
      <c r="V1708" s="1">
        <v>45378</v>
      </c>
      <c r="W1708">
        <f>Table1[[#This Row],[customer_purchase count]]+1</f>
        <v>26</v>
      </c>
      <c r="X1708">
        <f>Table1[[#This Row],[customer_purchase count]]*Rules!$B$3</f>
        <v>1494.1089743589744</v>
      </c>
      <c r="Y1708" t="str">
        <f>IF(Table1[[#This Row],[customer_subscription]]=1,"Subscribed","Not Subscribed")</f>
        <v>Not Subscribed</v>
      </c>
    </row>
    <row r="1709" spans="1:26" x14ac:dyDescent="0.25">
      <c r="A1709">
        <v>1708</v>
      </c>
      <c r="B1709">
        <v>25</v>
      </c>
      <c r="C1709" t="s">
        <v>22</v>
      </c>
      <c r="D1709">
        <v>1708</v>
      </c>
      <c r="E1709" t="s">
        <v>62</v>
      </c>
      <c r="F1709" t="s">
        <v>24</v>
      </c>
      <c r="G1709">
        <v>1708</v>
      </c>
      <c r="H1709">
        <v>2248</v>
      </c>
      <c r="I1709">
        <v>81</v>
      </c>
      <c r="J1709" t="s">
        <v>110</v>
      </c>
      <c r="K1709" t="s">
        <v>26</v>
      </c>
      <c r="L1709" t="s">
        <v>35</v>
      </c>
      <c r="M1709" t="s">
        <v>60</v>
      </c>
      <c r="N1709">
        <v>4.9000000000000004</v>
      </c>
      <c r="O1709">
        <v>0</v>
      </c>
      <c r="P1709" t="s">
        <v>73</v>
      </c>
      <c r="Q1709" t="s">
        <v>155</v>
      </c>
      <c r="R1709" t="s">
        <v>155</v>
      </c>
      <c r="S1709">
        <v>25</v>
      </c>
      <c r="T1709" t="s">
        <v>36</v>
      </c>
      <c r="U1709" t="s">
        <v>79</v>
      </c>
      <c r="V1709" s="1">
        <v>45599</v>
      </c>
      <c r="W1709">
        <f>Table1[[#This Row],[customer_purchase count]]+1</f>
        <v>26</v>
      </c>
      <c r="X1709">
        <f>Table1[[#This Row],[customer_purchase count]]*Rules!$B$3</f>
        <v>1494.1089743589744</v>
      </c>
      <c r="Y1709" t="str">
        <f>IF(Table1[[#This Row],[customer_subscription]]=1,"Subscribed","Not Subscribed")</f>
        <v>Not Subscribed</v>
      </c>
    </row>
    <row r="1710" spans="1:26" x14ac:dyDescent="0.25">
      <c r="A1710">
        <v>1709</v>
      </c>
      <c r="B1710">
        <v>35</v>
      </c>
      <c r="C1710" t="s">
        <v>22</v>
      </c>
      <c r="D1710">
        <v>1709</v>
      </c>
      <c r="E1710" t="s">
        <v>140</v>
      </c>
      <c r="F1710" t="s">
        <v>45</v>
      </c>
      <c r="G1710">
        <v>1709</v>
      </c>
      <c r="H1710">
        <v>2249</v>
      </c>
      <c r="I1710">
        <v>58</v>
      </c>
      <c r="J1710" t="s">
        <v>106</v>
      </c>
      <c r="K1710" t="s">
        <v>26</v>
      </c>
      <c r="L1710" t="s">
        <v>112</v>
      </c>
      <c r="M1710" t="s">
        <v>40</v>
      </c>
      <c r="N1710">
        <v>3.2</v>
      </c>
      <c r="O1710">
        <v>0</v>
      </c>
      <c r="P1710" t="s">
        <v>29</v>
      </c>
      <c r="Q1710" t="s">
        <v>155</v>
      </c>
      <c r="R1710" t="s">
        <v>155</v>
      </c>
      <c r="S1710">
        <v>1</v>
      </c>
      <c r="T1710" t="s">
        <v>42</v>
      </c>
      <c r="U1710" t="s">
        <v>61</v>
      </c>
      <c r="V1710" s="1">
        <v>45388</v>
      </c>
      <c r="W1710">
        <f>Table1[[#This Row],[customer_purchase count]]+1</f>
        <v>2</v>
      </c>
      <c r="X1710">
        <f>Table1[[#This Row],[customer_purchase count]]*Rules!$B$3</f>
        <v>59.764358974358977</v>
      </c>
      <c r="Y1710" t="str">
        <f>IF(Table1[[#This Row],[customer_subscription]]=1,"Subscribed","Not Subscribed")</f>
        <v>Not Subscribed</v>
      </c>
      <c r="Z1710" t="s">
        <v>194</v>
      </c>
    </row>
    <row r="1711" spans="1:26" x14ac:dyDescent="0.25">
      <c r="A1711">
        <v>1710</v>
      </c>
      <c r="B1711">
        <v>45</v>
      </c>
      <c r="C1711" t="s">
        <v>22</v>
      </c>
      <c r="D1711">
        <v>1710</v>
      </c>
      <c r="E1711" t="s">
        <v>90</v>
      </c>
      <c r="F1711" t="s">
        <v>24</v>
      </c>
      <c r="G1711">
        <v>1710</v>
      </c>
      <c r="H1711">
        <v>2251</v>
      </c>
      <c r="I1711">
        <v>83</v>
      </c>
      <c r="J1711" t="s">
        <v>119</v>
      </c>
      <c r="K1711" t="s">
        <v>47</v>
      </c>
      <c r="L1711" t="s">
        <v>72</v>
      </c>
      <c r="M1711" t="s">
        <v>28</v>
      </c>
      <c r="N1711">
        <v>3.8</v>
      </c>
      <c r="O1711">
        <v>0</v>
      </c>
      <c r="P1711" t="s">
        <v>57</v>
      </c>
      <c r="Q1711" t="s">
        <v>155</v>
      </c>
      <c r="R1711" t="s">
        <v>155</v>
      </c>
      <c r="S1711">
        <v>19</v>
      </c>
      <c r="T1711" t="s">
        <v>78</v>
      </c>
      <c r="U1711" t="s">
        <v>52</v>
      </c>
      <c r="V1711" s="1">
        <v>45300</v>
      </c>
      <c r="W1711">
        <f>Table1[[#This Row],[customer_purchase count]]+1</f>
        <v>20</v>
      </c>
      <c r="X1711">
        <f>Table1[[#This Row],[customer_purchase count]]*Rules!$B$3</f>
        <v>1135.5228205128205</v>
      </c>
      <c r="Y1711" t="str">
        <f>IF(Table1[[#This Row],[customer_subscription]]=1,"Subscribed","Not Subscribed")</f>
        <v>Not Subscribed</v>
      </c>
    </row>
    <row r="1712" spans="1:26" x14ac:dyDescent="0.25">
      <c r="A1712">
        <v>1711</v>
      </c>
      <c r="B1712">
        <v>19</v>
      </c>
      <c r="C1712" t="s">
        <v>22</v>
      </c>
      <c r="D1712">
        <v>1711</v>
      </c>
      <c r="E1712" t="s">
        <v>98</v>
      </c>
      <c r="F1712" t="s">
        <v>24</v>
      </c>
      <c r="G1712">
        <v>1711</v>
      </c>
      <c r="H1712">
        <v>2252</v>
      </c>
      <c r="I1712">
        <v>59</v>
      </c>
      <c r="J1712" t="s">
        <v>75</v>
      </c>
      <c r="K1712" t="s">
        <v>95</v>
      </c>
      <c r="L1712" t="s">
        <v>124</v>
      </c>
      <c r="M1712" t="s">
        <v>60</v>
      </c>
      <c r="N1712">
        <v>3.8</v>
      </c>
      <c r="O1712">
        <v>0</v>
      </c>
      <c r="P1712" t="s">
        <v>77</v>
      </c>
      <c r="Q1712" t="s">
        <v>155</v>
      </c>
      <c r="R1712" t="s">
        <v>155</v>
      </c>
      <c r="S1712">
        <v>7</v>
      </c>
      <c r="T1712" t="s">
        <v>42</v>
      </c>
      <c r="U1712" t="s">
        <v>61</v>
      </c>
      <c r="V1712" s="1">
        <v>45544</v>
      </c>
      <c r="W1712">
        <f>Table1[[#This Row],[customer_purchase count]]+1</f>
        <v>8</v>
      </c>
      <c r="X1712">
        <f>Table1[[#This Row],[customer_purchase count]]*Rules!$B$3</f>
        <v>418.35051282051285</v>
      </c>
      <c r="Y1712" t="str">
        <f>IF(Table1[[#This Row],[customer_subscription]]=1,"Subscribed","Not Subscribed")</f>
        <v>Not Subscribed</v>
      </c>
      <c r="Z1712" t="s">
        <v>194</v>
      </c>
    </row>
    <row r="1713" spans="1:26" x14ac:dyDescent="0.25">
      <c r="A1713">
        <v>1712</v>
      </c>
      <c r="B1713">
        <v>21</v>
      </c>
      <c r="C1713" t="s">
        <v>22</v>
      </c>
      <c r="D1713">
        <v>1712</v>
      </c>
      <c r="E1713" t="s">
        <v>116</v>
      </c>
      <c r="F1713" t="s">
        <v>24</v>
      </c>
      <c r="G1713">
        <v>1712</v>
      </c>
      <c r="H1713">
        <v>2253</v>
      </c>
      <c r="I1713">
        <v>93</v>
      </c>
      <c r="J1713" t="s">
        <v>101</v>
      </c>
      <c r="K1713" t="s">
        <v>47</v>
      </c>
      <c r="L1713" t="s">
        <v>96</v>
      </c>
      <c r="M1713" t="s">
        <v>40</v>
      </c>
      <c r="N1713">
        <v>4.7</v>
      </c>
      <c r="O1713">
        <v>0</v>
      </c>
      <c r="P1713" t="s">
        <v>29</v>
      </c>
      <c r="Q1713" t="s">
        <v>155</v>
      </c>
      <c r="R1713" t="s">
        <v>155</v>
      </c>
      <c r="S1713">
        <v>19</v>
      </c>
      <c r="T1713" t="s">
        <v>42</v>
      </c>
      <c r="U1713" t="s">
        <v>91</v>
      </c>
      <c r="V1713" s="1">
        <v>45370</v>
      </c>
      <c r="W1713">
        <f>Table1[[#This Row],[customer_purchase count]]+1</f>
        <v>20</v>
      </c>
      <c r="X1713">
        <f>Table1[[#This Row],[customer_purchase count]]*Rules!$B$3</f>
        <v>1135.5228205128205</v>
      </c>
      <c r="Y1713" t="str">
        <f>IF(Table1[[#This Row],[customer_subscription]]=1,"Subscribed","Not Subscribed")</f>
        <v>Not Subscribed</v>
      </c>
    </row>
    <row r="1714" spans="1:26" x14ac:dyDescent="0.25">
      <c r="A1714">
        <v>1713</v>
      </c>
      <c r="B1714">
        <v>65</v>
      </c>
      <c r="C1714" t="s">
        <v>22</v>
      </c>
      <c r="D1714">
        <v>1713</v>
      </c>
      <c r="E1714" t="s">
        <v>116</v>
      </c>
      <c r="F1714" t="s">
        <v>24</v>
      </c>
      <c r="G1714">
        <v>1713</v>
      </c>
      <c r="H1714">
        <v>2254</v>
      </c>
      <c r="I1714">
        <v>87</v>
      </c>
      <c r="J1714" t="s">
        <v>118</v>
      </c>
      <c r="K1714" t="s">
        <v>39</v>
      </c>
      <c r="L1714" t="s">
        <v>121</v>
      </c>
      <c r="M1714" t="s">
        <v>60</v>
      </c>
      <c r="N1714">
        <v>3.8</v>
      </c>
      <c r="O1714">
        <v>0</v>
      </c>
      <c r="P1714" t="s">
        <v>73</v>
      </c>
      <c r="Q1714" t="s">
        <v>155</v>
      </c>
      <c r="R1714" t="s">
        <v>155</v>
      </c>
      <c r="S1714">
        <v>9</v>
      </c>
      <c r="T1714" t="s">
        <v>36</v>
      </c>
      <c r="U1714" t="s">
        <v>32</v>
      </c>
      <c r="V1714" s="1">
        <v>45607</v>
      </c>
      <c r="W1714">
        <f>Table1[[#This Row],[customer_purchase count]]+1</f>
        <v>10</v>
      </c>
      <c r="X1714">
        <f>Table1[[#This Row],[customer_purchase count]]*Rules!$B$3</f>
        <v>537.87923076923084</v>
      </c>
      <c r="Y1714" t="str">
        <f>IF(Table1[[#This Row],[customer_subscription]]=1,"Subscribed","Not Subscribed")</f>
        <v>Not Subscribed</v>
      </c>
      <c r="Z1714" t="s">
        <v>194</v>
      </c>
    </row>
    <row r="1715" spans="1:26" x14ac:dyDescent="0.25">
      <c r="A1715">
        <v>1714</v>
      </c>
      <c r="B1715">
        <v>49</v>
      </c>
      <c r="C1715" t="s">
        <v>22</v>
      </c>
      <c r="D1715">
        <v>1714</v>
      </c>
      <c r="E1715" t="s">
        <v>105</v>
      </c>
      <c r="F1715" t="s">
        <v>66</v>
      </c>
      <c r="G1715">
        <v>1714</v>
      </c>
      <c r="H1715">
        <v>2255</v>
      </c>
      <c r="I1715">
        <v>22</v>
      </c>
      <c r="J1715" t="s">
        <v>71</v>
      </c>
      <c r="K1715" t="s">
        <v>47</v>
      </c>
      <c r="L1715" t="s">
        <v>72</v>
      </c>
      <c r="M1715" t="s">
        <v>28</v>
      </c>
      <c r="N1715">
        <v>4.5999999999999996</v>
      </c>
      <c r="O1715">
        <v>0</v>
      </c>
      <c r="P1715" t="s">
        <v>41</v>
      </c>
      <c r="Q1715" t="s">
        <v>155</v>
      </c>
      <c r="R1715" t="s">
        <v>155</v>
      </c>
      <c r="S1715">
        <v>37</v>
      </c>
      <c r="T1715" t="s">
        <v>49</v>
      </c>
      <c r="U1715" t="s">
        <v>61</v>
      </c>
      <c r="V1715" s="1">
        <v>45333</v>
      </c>
      <c r="W1715">
        <f>Table1[[#This Row],[customer_purchase count]]+1</f>
        <v>38</v>
      </c>
      <c r="X1715">
        <f>Table1[[#This Row],[customer_purchase count]]*Rules!$B$3</f>
        <v>2211.2812820512822</v>
      </c>
      <c r="Y1715" t="str">
        <f>IF(Table1[[#This Row],[customer_subscription]]=1,"Subscribed","Not Subscribed")</f>
        <v>Not Subscribed</v>
      </c>
    </row>
    <row r="1716" spans="1:26" x14ac:dyDescent="0.25">
      <c r="A1716">
        <v>1715</v>
      </c>
      <c r="B1716">
        <v>30</v>
      </c>
      <c r="C1716" t="s">
        <v>22</v>
      </c>
      <c r="D1716">
        <v>1715</v>
      </c>
      <c r="E1716" t="s">
        <v>37</v>
      </c>
      <c r="F1716" t="s">
        <v>24</v>
      </c>
      <c r="G1716">
        <v>1715</v>
      </c>
      <c r="H1716">
        <v>2257</v>
      </c>
      <c r="I1716">
        <v>71</v>
      </c>
      <c r="J1716" t="s">
        <v>150</v>
      </c>
      <c r="K1716" t="s">
        <v>39</v>
      </c>
      <c r="L1716" t="s">
        <v>64</v>
      </c>
      <c r="M1716" t="s">
        <v>56</v>
      </c>
      <c r="N1716">
        <v>4.4000000000000004</v>
      </c>
      <c r="O1716">
        <v>0</v>
      </c>
      <c r="P1716" t="s">
        <v>57</v>
      </c>
      <c r="Q1716" t="s">
        <v>155</v>
      </c>
      <c r="R1716" t="s">
        <v>155</v>
      </c>
      <c r="S1716">
        <v>15</v>
      </c>
      <c r="T1716" t="s">
        <v>36</v>
      </c>
      <c r="U1716" t="s">
        <v>91</v>
      </c>
      <c r="V1716" s="1">
        <v>45507</v>
      </c>
      <c r="W1716">
        <f>Table1[[#This Row],[customer_purchase count]]+1</f>
        <v>16</v>
      </c>
      <c r="X1716">
        <f>Table1[[#This Row],[customer_purchase count]]*Rules!$B$3</f>
        <v>896.46538461538466</v>
      </c>
      <c r="Y1716" t="str">
        <f>IF(Table1[[#This Row],[customer_subscription]]=1,"Subscribed","Not Subscribed")</f>
        <v>Not Subscribed</v>
      </c>
      <c r="Z1716" t="s">
        <v>194</v>
      </c>
    </row>
    <row r="1717" spans="1:26" x14ac:dyDescent="0.25">
      <c r="A1717">
        <v>1716</v>
      </c>
      <c r="B1717">
        <v>23</v>
      </c>
      <c r="C1717" t="s">
        <v>22</v>
      </c>
      <c r="D1717">
        <v>1716</v>
      </c>
      <c r="E1717" t="s">
        <v>84</v>
      </c>
      <c r="F1717" t="s">
        <v>24</v>
      </c>
      <c r="G1717">
        <v>1716</v>
      </c>
      <c r="H1717">
        <v>2258</v>
      </c>
      <c r="I1717">
        <v>69</v>
      </c>
      <c r="J1717" t="s">
        <v>138</v>
      </c>
      <c r="K1717" t="s">
        <v>95</v>
      </c>
      <c r="L1717" t="s">
        <v>27</v>
      </c>
      <c r="M1717" t="s">
        <v>40</v>
      </c>
      <c r="N1717">
        <v>3.4</v>
      </c>
      <c r="O1717">
        <v>0</v>
      </c>
      <c r="P1717" t="s">
        <v>73</v>
      </c>
      <c r="Q1717" t="s">
        <v>155</v>
      </c>
      <c r="R1717" t="s">
        <v>155</v>
      </c>
      <c r="S1717">
        <v>30</v>
      </c>
      <c r="T1717" t="s">
        <v>49</v>
      </c>
      <c r="U1717" t="s">
        <v>79</v>
      </c>
      <c r="V1717" s="1">
        <v>45359</v>
      </c>
      <c r="W1717">
        <f>Table1[[#This Row],[customer_purchase count]]+1</f>
        <v>31</v>
      </c>
      <c r="X1717">
        <f>Table1[[#This Row],[customer_purchase count]]*Rules!$B$3</f>
        <v>1792.9307692307693</v>
      </c>
      <c r="Y1717" t="str">
        <f>IF(Table1[[#This Row],[customer_subscription]]=1,"Subscribed","Not Subscribed")</f>
        <v>Not Subscribed</v>
      </c>
    </row>
    <row r="1718" spans="1:26" x14ac:dyDescent="0.25">
      <c r="A1718">
        <v>1717</v>
      </c>
      <c r="B1718">
        <v>69</v>
      </c>
      <c r="C1718" t="s">
        <v>22</v>
      </c>
      <c r="D1718">
        <v>1717</v>
      </c>
      <c r="E1718" t="s">
        <v>23</v>
      </c>
      <c r="F1718" t="s">
        <v>24</v>
      </c>
      <c r="G1718">
        <v>1717</v>
      </c>
      <c r="H1718">
        <v>2259</v>
      </c>
      <c r="I1718">
        <v>47</v>
      </c>
      <c r="J1718" t="s">
        <v>142</v>
      </c>
      <c r="K1718" t="s">
        <v>47</v>
      </c>
      <c r="L1718" t="s">
        <v>112</v>
      </c>
      <c r="M1718" t="s">
        <v>28</v>
      </c>
      <c r="N1718">
        <v>4.7</v>
      </c>
      <c r="O1718">
        <v>0</v>
      </c>
      <c r="P1718" t="s">
        <v>57</v>
      </c>
      <c r="Q1718" t="s">
        <v>155</v>
      </c>
      <c r="R1718" t="s">
        <v>155</v>
      </c>
      <c r="S1718">
        <v>30</v>
      </c>
      <c r="T1718" t="s">
        <v>36</v>
      </c>
      <c r="U1718" t="s">
        <v>100</v>
      </c>
      <c r="V1718" s="1">
        <v>45630</v>
      </c>
      <c r="W1718">
        <f>Table1[[#This Row],[customer_purchase count]]+1</f>
        <v>31</v>
      </c>
      <c r="X1718">
        <f>Table1[[#This Row],[customer_purchase count]]*Rules!$B$3</f>
        <v>1792.9307692307693</v>
      </c>
      <c r="Y1718" t="str">
        <f>IF(Table1[[#This Row],[customer_subscription]]=1,"Subscribed","Not Subscribed")</f>
        <v>Not Subscribed</v>
      </c>
    </row>
    <row r="1719" spans="1:26" x14ac:dyDescent="0.25">
      <c r="A1719">
        <v>1718</v>
      </c>
      <c r="B1719">
        <v>29</v>
      </c>
      <c r="C1719" t="s">
        <v>22</v>
      </c>
      <c r="D1719">
        <v>1718</v>
      </c>
      <c r="E1719" t="s">
        <v>107</v>
      </c>
      <c r="F1719" t="s">
        <v>24</v>
      </c>
      <c r="G1719">
        <v>1718</v>
      </c>
      <c r="H1719">
        <v>2260</v>
      </c>
      <c r="I1719">
        <v>50</v>
      </c>
      <c r="J1719" t="s">
        <v>80</v>
      </c>
      <c r="K1719" t="s">
        <v>26</v>
      </c>
      <c r="L1719" t="s">
        <v>124</v>
      </c>
      <c r="M1719" t="s">
        <v>56</v>
      </c>
      <c r="N1719">
        <v>2.9</v>
      </c>
      <c r="O1719">
        <v>0</v>
      </c>
      <c r="P1719" t="s">
        <v>29</v>
      </c>
      <c r="Q1719" t="s">
        <v>155</v>
      </c>
      <c r="R1719" t="s">
        <v>155</v>
      </c>
      <c r="S1719">
        <v>16</v>
      </c>
      <c r="T1719" t="s">
        <v>89</v>
      </c>
      <c r="U1719" t="s">
        <v>79</v>
      </c>
      <c r="V1719" s="1">
        <v>45459</v>
      </c>
      <c r="W1719">
        <f>Table1[[#This Row],[customer_purchase count]]+1</f>
        <v>17</v>
      </c>
      <c r="X1719">
        <f>Table1[[#This Row],[customer_purchase count]]*Rules!$B$3</f>
        <v>956.22974358974363</v>
      </c>
      <c r="Y1719" t="str">
        <f>IF(Table1[[#This Row],[customer_subscription]]=1,"Subscribed","Not Subscribed")</f>
        <v>Not Subscribed</v>
      </c>
      <c r="Z1719" t="s">
        <v>187</v>
      </c>
    </row>
    <row r="1720" spans="1:26" x14ac:dyDescent="0.25">
      <c r="A1720">
        <v>1719</v>
      </c>
      <c r="B1720">
        <v>54</v>
      </c>
      <c r="C1720" t="s">
        <v>22</v>
      </c>
      <c r="D1720">
        <v>1719</v>
      </c>
      <c r="E1720" t="s">
        <v>116</v>
      </c>
      <c r="F1720" t="s">
        <v>24</v>
      </c>
      <c r="G1720">
        <v>1719</v>
      </c>
      <c r="H1720">
        <v>2261</v>
      </c>
      <c r="I1720">
        <v>96</v>
      </c>
      <c r="J1720" t="s">
        <v>131</v>
      </c>
      <c r="K1720" t="s">
        <v>26</v>
      </c>
      <c r="L1720" t="s">
        <v>72</v>
      </c>
      <c r="M1720" t="s">
        <v>28</v>
      </c>
      <c r="N1720">
        <v>3.4</v>
      </c>
      <c r="O1720">
        <v>0</v>
      </c>
      <c r="P1720" t="s">
        <v>73</v>
      </c>
      <c r="Q1720" t="s">
        <v>155</v>
      </c>
      <c r="R1720" t="s">
        <v>155</v>
      </c>
      <c r="S1720">
        <v>14</v>
      </c>
      <c r="T1720" t="s">
        <v>49</v>
      </c>
      <c r="U1720" t="s">
        <v>100</v>
      </c>
      <c r="V1720" s="1">
        <v>45637</v>
      </c>
      <c r="W1720">
        <f>Table1[[#This Row],[customer_purchase count]]+1</f>
        <v>15</v>
      </c>
      <c r="X1720">
        <f>Table1[[#This Row],[customer_purchase count]]*Rules!$B$3</f>
        <v>836.70102564102569</v>
      </c>
      <c r="Y1720" t="str">
        <f>IF(Table1[[#This Row],[customer_subscription]]=1,"Subscribed","Not Subscribed")</f>
        <v>Not Subscribed</v>
      </c>
      <c r="Z1720" t="s">
        <v>194</v>
      </c>
    </row>
    <row r="1721" spans="1:26" x14ac:dyDescent="0.25">
      <c r="A1721">
        <v>1720</v>
      </c>
      <c r="B1721">
        <v>45</v>
      </c>
      <c r="C1721" t="s">
        <v>22</v>
      </c>
      <c r="D1721">
        <v>1720</v>
      </c>
      <c r="E1721" t="s">
        <v>33</v>
      </c>
      <c r="F1721" t="s">
        <v>24</v>
      </c>
      <c r="G1721">
        <v>1720</v>
      </c>
      <c r="H1721">
        <v>2263</v>
      </c>
      <c r="I1721">
        <v>39</v>
      </c>
      <c r="J1721" t="s">
        <v>131</v>
      </c>
      <c r="K1721" t="s">
        <v>47</v>
      </c>
      <c r="L1721" t="s">
        <v>55</v>
      </c>
      <c r="M1721" t="s">
        <v>28</v>
      </c>
      <c r="N1721">
        <v>3.2</v>
      </c>
      <c r="O1721">
        <v>0</v>
      </c>
      <c r="P1721" t="s">
        <v>41</v>
      </c>
      <c r="Q1721" t="s">
        <v>155</v>
      </c>
      <c r="R1721" t="s">
        <v>155</v>
      </c>
      <c r="S1721">
        <v>8</v>
      </c>
      <c r="T1721" t="s">
        <v>31</v>
      </c>
      <c r="U1721" t="s">
        <v>61</v>
      </c>
      <c r="V1721" s="1">
        <v>45319</v>
      </c>
      <c r="W1721">
        <f>Table1[[#This Row],[customer_purchase count]]+1</f>
        <v>9</v>
      </c>
      <c r="X1721">
        <f>Table1[[#This Row],[customer_purchase count]]*Rules!$B$3</f>
        <v>478.11487179487182</v>
      </c>
      <c r="Y1721" t="str">
        <f>IF(Table1[[#This Row],[customer_subscription]]=1,"Subscribed","Not Subscribed")</f>
        <v>Not Subscribed</v>
      </c>
      <c r="Z1721" t="s">
        <v>194</v>
      </c>
    </row>
    <row r="1722" spans="1:26" x14ac:dyDescent="0.25">
      <c r="A1722">
        <v>1721</v>
      </c>
      <c r="B1722">
        <v>25</v>
      </c>
      <c r="C1722" t="s">
        <v>22</v>
      </c>
      <c r="D1722">
        <v>1721</v>
      </c>
      <c r="E1722" t="s">
        <v>62</v>
      </c>
      <c r="F1722" t="s">
        <v>24</v>
      </c>
      <c r="G1722">
        <v>1721</v>
      </c>
      <c r="H1722">
        <v>2264</v>
      </c>
      <c r="I1722">
        <v>84</v>
      </c>
      <c r="J1722" t="s">
        <v>38</v>
      </c>
      <c r="K1722" t="s">
        <v>39</v>
      </c>
      <c r="L1722" t="s">
        <v>121</v>
      </c>
      <c r="M1722" t="s">
        <v>28</v>
      </c>
      <c r="N1722">
        <v>2.8</v>
      </c>
      <c r="O1722">
        <v>0</v>
      </c>
      <c r="P1722" t="s">
        <v>29</v>
      </c>
      <c r="Q1722" t="s">
        <v>155</v>
      </c>
      <c r="R1722" t="s">
        <v>155</v>
      </c>
      <c r="S1722">
        <v>40</v>
      </c>
      <c r="T1722" t="s">
        <v>89</v>
      </c>
      <c r="U1722" t="s">
        <v>79</v>
      </c>
      <c r="V1722" s="1">
        <v>45315</v>
      </c>
      <c r="W1722">
        <f>Table1[[#This Row],[customer_purchase count]]+1</f>
        <v>41</v>
      </c>
      <c r="X1722">
        <f>Table1[[#This Row],[customer_purchase count]]*Rules!$B$3</f>
        <v>2390.5743589743593</v>
      </c>
      <c r="Y1722" t="str">
        <f>IF(Table1[[#This Row],[customer_subscription]]=1,"Subscribed","Not Subscribed")</f>
        <v>Not Subscribed</v>
      </c>
    </row>
    <row r="1723" spans="1:26" x14ac:dyDescent="0.25">
      <c r="A1723">
        <v>1722</v>
      </c>
      <c r="B1723">
        <v>34</v>
      </c>
      <c r="C1723" t="s">
        <v>22</v>
      </c>
      <c r="D1723">
        <v>1722</v>
      </c>
      <c r="E1723" t="s">
        <v>109</v>
      </c>
      <c r="F1723" t="s">
        <v>70</v>
      </c>
      <c r="G1723">
        <v>1722</v>
      </c>
      <c r="H1723">
        <v>2265</v>
      </c>
      <c r="I1723">
        <v>28</v>
      </c>
      <c r="J1723" t="s">
        <v>82</v>
      </c>
      <c r="K1723" t="s">
        <v>39</v>
      </c>
      <c r="L1723" t="s">
        <v>139</v>
      </c>
      <c r="M1723" t="s">
        <v>40</v>
      </c>
      <c r="N1723">
        <v>4.3</v>
      </c>
      <c r="O1723">
        <v>0</v>
      </c>
      <c r="P1723" t="s">
        <v>41</v>
      </c>
      <c r="Q1723" t="s">
        <v>155</v>
      </c>
      <c r="R1723" t="s">
        <v>155</v>
      </c>
      <c r="S1723">
        <v>24</v>
      </c>
      <c r="T1723" t="s">
        <v>42</v>
      </c>
      <c r="U1723" t="s">
        <v>91</v>
      </c>
      <c r="V1723" s="1">
        <v>45413</v>
      </c>
      <c r="W1723">
        <f>Table1[[#This Row],[customer_purchase count]]+1</f>
        <v>25</v>
      </c>
      <c r="X1723">
        <f>Table1[[#This Row],[customer_purchase count]]*Rules!$B$3</f>
        <v>1434.3446153846155</v>
      </c>
      <c r="Y1723" t="str">
        <f>IF(Table1[[#This Row],[customer_subscription]]=1,"Subscribed","Not Subscribed")</f>
        <v>Not Subscribed</v>
      </c>
    </row>
    <row r="1724" spans="1:26" x14ac:dyDescent="0.25">
      <c r="A1724">
        <v>1723</v>
      </c>
      <c r="B1724">
        <v>46</v>
      </c>
      <c r="C1724" t="s">
        <v>22</v>
      </c>
      <c r="D1724">
        <v>1723</v>
      </c>
      <c r="E1724" t="s">
        <v>116</v>
      </c>
      <c r="F1724" t="s">
        <v>24</v>
      </c>
      <c r="G1724">
        <v>1723</v>
      </c>
      <c r="H1724">
        <v>2266</v>
      </c>
      <c r="I1724">
        <v>51</v>
      </c>
      <c r="J1724" t="s">
        <v>38</v>
      </c>
      <c r="K1724" t="s">
        <v>26</v>
      </c>
      <c r="L1724" t="s">
        <v>86</v>
      </c>
      <c r="M1724" t="s">
        <v>56</v>
      </c>
      <c r="N1724">
        <v>3.3</v>
      </c>
      <c r="O1724">
        <v>0</v>
      </c>
      <c r="P1724" t="s">
        <v>57</v>
      </c>
      <c r="Q1724" t="s">
        <v>155</v>
      </c>
      <c r="R1724" t="s">
        <v>155</v>
      </c>
      <c r="S1724">
        <v>14</v>
      </c>
      <c r="T1724" t="s">
        <v>36</v>
      </c>
      <c r="U1724" t="s">
        <v>32</v>
      </c>
      <c r="V1724" s="1">
        <v>45489</v>
      </c>
      <c r="W1724">
        <f>Table1[[#This Row],[customer_purchase count]]+1</f>
        <v>15</v>
      </c>
      <c r="X1724">
        <f>Table1[[#This Row],[customer_purchase count]]*Rules!$B$3</f>
        <v>836.70102564102569</v>
      </c>
      <c r="Y1724" t="str">
        <f>IF(Table1[[#This Row],[customer_subscription]]=1,"Subscribed","Not Subscribed")</f>
        <v>Not Subscribed</v>
      </c>
      <c r="Z1724" t="s">
        <v>194</v>
      </c>
    </row>
    <row r="1725" spans="1:26" x14ac:dyDescent="0.25">
      <c r="A1725">
        <v>1724</v>
      </c>
      <c r="B1725">
        <v>70</v>
      </c>
      <c r="C1725" t="s">
        <v>22</v>
      </c>
      <c r="D1725">
        <v>1724</v>
      </c>
      <c r="E1725" t="s">
        <v>122</v>
      </c>
      <c r="F1725" t="s">
        <v>70</v>
      </c>
      <c r="G1725">
        <v>1724</v>
      </c>
      <c r="H1725">
        <v>2267</v>
      </c>
      <c r="I1725">
        <v>20</v>
      </c>
      <c r="J1725" t="s">
        <v>87</v>
      </c>
      <c r="K1725" t="s">
        <v>95</v>
      </c>
      <c r="L1725" t="s">
        <v>83</v>
      </c>
      <c r="M1725" t="s">
        <v>40</v>
      </c>
      <c r="N1725">
        <v>3.3</v>
      </c>
      <c r="O1725">
        <v>0</v>
      </c>
      <c r="P1725" t="s">
        <v>57</v>
      </c>
      <c r="Q1725" t="s">
        <v>155</v>
      </c>
      <c r="R1725" t="s">
        <v>155</v>
      </c>
      <c r="S1725">
        <v>39</v>
      </c>
      <c r="T1725" t="s">
        <v>49</v>
      </c>
      <c r="U1725" t="s">
        <v>52</v>
      </c>
      <c r="V1725" s="1">
        <v>45398</v>
      </c>
      <c r="W1725">
        <f>Table1[[#This Row],[customer_purchase count]]+1</f>
        <v>40</v>
      </c>
      <c r="X1725">
        <f>Table1[[#This Row],[customer_purchase count]]*Rules!$B$3</f>
        <v>2330.81</v>
      </c>
      <c r="Y1725" t="str">
        <f>IF(Table1[[#This Row],[customer_subscription]]=1,"Subscribed","Not Subscribed")</f>
        <v>Not Subscribed</v>
      </c>
    </row>
    <row r="1726" spans="1:26" x14ac:dyDescent="0.25">
      <c r="A1726">
        <v>1725</v>
      </c>
      <c r="B1726">
        <v>42</v>
      </c>
      <c r="C1726" t="s">
        <v>22</v>
      </c>
      <c r="D1726">
        <v>1725</v>
      </c>
      <c r="E1726" t="s">
        <v>74</v>
      </c>
      <c r="F1726" t="s">
        <v>45</v>
      </c>
      <c r="G1726">
        <v>1725</v>
      </c>
      <c r="H1726">
        <v>2269</v>
      </c>
      <c r="I1726">
        <v>72</v>
      </c>
      <c r="J1726" t="s">
        <v>82</v>
      </c>
      <c r="K1726" t="s">
        <v>39</v>
      </c>
      <c r="L1726" t="s">
        <v>88</v>
      </c>
      <c r="M1726" t="s">
        <v>28</v>
      </c>
      <c r="N1726">
        <v>3.3</v>
      </c>
      <c r="O1726">
        <v>0</v>
      </c>
      <c r="P1726" t="s">
        <v>41</v>
      </c>
      <c r="Q1726" t="s">
        <v>155</v>
      </c>
      <c r="R1726" t="s">
        <v>155</v>
      </c>
      <c r="S1726">
        <v>21</v>
      </c>
      <c r="T1726" t="s">
        <v>49</v>
      </c>
      <c r="U1726" t="s">
        <v>43</v>
      </c>
      <c r="V1726" s="1">
        <v>45636</v>
      </c>
      <c r="W1726">
        <f>Table1[[#This Row],[customer_purchase count]]+1</f>
        <v>22</v>
      </c>
      <c r="X1726">
        <f>Table1[[#This Row],[customer_purchase count]]*Rules!$B$3</f>
        <v>1255.0515384615385</v>
      </c>
      <c r="Y1726" t="str">
        <f>IF(Table1[[#This Row],[customer_subscription]]=1,"Subscribed","Not Subscribed")</f>
        <v>Not Subscribed</v>
      </c>
    </row>
    <row r="1727" spans="1:26" x14ac:dyDescent="0.25">
      <c r="A1727">
        <v>1726</v>
      </c>
      <c r="B1727">
        <v>45</v>
      </c>
      <c r="C1727" t="s">
        <v>22</v>
      </c>
      <c r="D1727">
        <v>1726</v>
      </c>
      <c r="E1727" t="s">
        <v>92</v>
      </c>
      <c r="F1727" t="s">
        <v>70</v>
      </c>
      <c r="G1727">
        <v>1726</v>
      </c>
      <c r="H1727">
        <v>2270</v>
      </c>
      <c r="I1727">
        <v>33</v>
      </c>
      <c r="J1727" t="s">
        <v>38</v>
      </c>
      <c r="K1727" t="s">
        <v>47</v>
      </c>
      <c r="L1727" t="s">
        <v>129</v>
      </c>
      <c r="M1727" t="s">
        <v>40</v>
      </c>
      <c r="N1727">
        <v>3</v>
      </c>
      <c r="O1727">
        <v>0</v>
      </c>
      <c r="P1727" t="s">
        <v>48</v>
      </c>
      <c r="Q1727" t="s">
        <v>155</v>
      </c>
      <c r="R1727" t="s">
        <v>155</v>
      </c>
      <c r="S1727">
        <v>32</v>
      </c>
      <c r="T1727" t="s">
        <v>31</v>
      </c>
      <c r="U1727" t="s">
        <v>61</v>
      </c>
      <c r="V1727" s="1">
        <v>45402</v>
      </c>
      <c r="W1727">
        <f>Table1[[#This Row],[customer_purchase count]]+1</f>
        <v>33</v>
      </c>
      <c r="X1727">
        <f>Table1[[#This Row],[customer_purchase count]]*Rules!$B$3</f>
        <v>1912.4594871794873</v>
      </c>
      <c r="Y1727" t="str">
        <f>IF(Table1[[#This Row],[customer_subscription]]=1,"Subscribed","Not Subscribed")</f>
        <v>Not Subscribed</v>
      </c>
    </row>
    <row r="1728" spans="1:26" x14ac:dyDescent="0.25">
      <c r="A1728">
        <v>1727</v>
      </c>
      <c r="B1728">
        <v>57</v>
      </c>
      <c r="C1728" t="s">
        <v>22</v>
      </c>
      <c r="D1728">
        <v>1727</v>
      </c>
      <c r="E1728" t="s">
        <v>65</v>
      </c>
      <c r="F1728" t="s">
        <v>66</v>
      </c>
      <c r="G1728">
        <v>1727</v>
      </c>
      <c r="H1728">
        <v>2271</v>
      </c>
      <c r="I1728">
        <v>28</v>
      </c>
      <c r="J1728" t="s">
        <v>119</v>
      </c>
      <c r="K1728" t="s">
        <v>39</v>
      </c>
      <c r="L1728" t="s">
        <v>81</v>
      </c>
      <c r="M1728" t="s">
        <v>56</v>
      </c>
      <c r="N1728">
        <v>2.8</v>
      </c>
      <c r="O1728">
        <v>0</v>
      </c>
      <c r="P1728" t="s">
        <v>29</v>
      </c>
      <c r="Q1728" t="s">
        <v>155</v>
      </c>
      <c r="R1728" t="s">
        <v>155</v>
      </c>
      <c r="S1728">
        <v>45</v>
      </c>
      <c r="T1728" t="s">
        <v>89</v>
      </c>
      <c r="U1728" t="s">
        <v>43</v>
      </c>
      <c r="V1728" s="1">
        <v>45447</v>
      </c>
      <c r="W1728">
        <f>Table1[[#This Row],[customer_purchase count]]+1</f>
        <v>46</v>
      </c>
      <c r="X1728">
        <f>Table1[[#This Row],[customer_purchase count]]*Rules!$B$3</f>
        <v>2689.396153846154</v>
      </c>
      <c r="Y1728" t="str">
        <f>IF(Table1[[#This Row],[customer_subscription]]=1,"Subscribed","Not Subscribed")</f>
        <v>Not Subscribed</v>
      </c>
    </row>
    <row r="1729" spans="1:26" x14ac:dyDescent="0.25">
      <c r="A1729">
        <v>1728</v>
      </c>
      <c r="B1729">
        <v>49</v>
      </c>
      <c r="C1729" t="s">
        <v>22</v>
      </c>
      <c r="D1729">
        <v>1728</v>
      </c>
      <c r="E1729" t="s">
        <v>23</v>
      </c>
      <c r="F1729" t="s">
        <v>24</v>
      </c>
      <c r="G1729">
        <v>1728</v>
      </c>
      <c r="H1729">
        <v>2272</v>
      </c>
      <c r="I1729">
        <v>53</v>
      </c>
      <c r="J1729" t="s">
        <v>144</v>
      </c>
      <c r="K1729" t="s">
        <v>39</v>
      </c>
      <c r="L1729" t="s">
        <v>86</v>
      </c>
      <c r="M1729" t="s">
        <v>40</v>
      </c>
      <c r="N1729">
        <v>4</v>
      </c>
      <c r="O1729">
        <v>0</v>
      </c>
      <c r="P1729" t="s">
        <v>29</v>
      </c>
      <c r="Q1729" t="s">
        <v>155</v>
      </c>
      <c r="R1729" t="s">
        <v>155</v>
      </c>
      <c r="S1729">
        <v>19</v>
      </c>
      <c r="T1729" t="s">
        <v>49</v>
      </c>
      <c r="U1729" t="s">
        <v>91</v>
      </c>
      <c r="V1729" s="1">
        <v>45429</v>
      </c>
      <c r="W1729">
        <f>Table1[[#This Row],[customer_purchase count]]+1</f>
        <v>20</v>
      </c>
      <c r="X1729">
        <f>Table1[[#This Row],[customer_purchase count]]*Rules!$B$3</f>
        <v>1135.5228205128205</v>
      </c>
      <c r="Y1729" t="str">
        <f>IF(Table1[[#This Row],[customer_subscription]]=1,"Subscribed","Not Subscribed")</f>
        <v>Not Subscribed</v>
      </c>
    </row>
    <row r="1730" spans="1:26" x14ac:dyDescent="0.25">
      <c r="A1730">
        <v>1729</v>
      </c>
      <c r="B1730">
        <v>23</v>
      </c>
      <c r="C1730" t="s">
        <v>22</v>
      </c>
      <c r="D1730">
        <v>1729</v>
      </c>
      <c r="E1730" t="s">
        <v>37</v>
      </c>
      <c r="F1730" t="s">
        <v>24</v>
      </c>
      <c r="G1730">
        <v>1729</v>
      </c>
      <c r="H1730">
        <v>2273</v>
      </c>
      <c r="I1730">
        <v>48</v>
      </c>
      <c r="J1730" t="s">
        <v>54</v>
      </c>
      <c r="K1730" t="s">
        <v>26</v>
      </c>
      <c r="L1730" t="s">
        <v>97</v>
      </c>
      <c r="M1730" t="s">
        <v>60</v>
      </c>
      <c r="N1730">
        <v>4.3</v>
      </c>
      <c r="O1730">
        <v>0</v>
      </c>
      <c r="P1730" t="s">
        <v>29</v>
      </c>
      <c r="Q1730" t="s">
        <v>155</v>
      </c>
      <c r="R1730" t="s">
        <v>155</v>
      </c>
      <c r="S1730">
        <v>1</v>
      </c>
      <c r="T1730" t="s">
        <v>89</v>
      </c>
      <c r="U1730" t="s">
        <v>100</v>
      </c>
      <c r="V1730" s="1">
        <v>45590</v>
      </c>
      <c r="W1730">
        <f>Table1[[#This Row],[customer_purchase count]]+1</f>
        <v>2</v>
      </c>
      <c r="X1730">
        <f>Table1[[#This Row],[customer_purchase count]]*Rules!$B$3</f>
        <v>59.764358974358977</v>
      </c>
      <c r="Y1730" t="str">
        <f>IF(Table1[[#This Row],[customer_subscription]]=1,"Subscribed","Not Subscribed")</f>
        <v>Not Subscribed</v>
      </c>
      <c r="Z1730" t="s">
        <v>194</v>
      </c>
    </row>
    <row r="1731" spans="1:26" x14ac:dyDescent="0.25">
      <c r="A1731">
        <v>1730</v>
      </c>
      <c r="B1731">
        <v>47</v>
      </c>
      <c r="C1731" t="s">
        <v>22</v>
      </c>
      <c r="D1731">
        <v>1730</v>
      </c>
      <c r="E1731" t="s">
        <v>62</v>
      </c>
      <c r="F1731" t="s">
        <v>24</v>
      </c>
      <c r="G1731">
        <v>1730</v>
      </c>
      <c r="H1731">
        <v>2275</v>
      </c>
      <c r="I1731">
        <v>21</v>
      </c>
      <c r="J1731" t="s">
        <v>118</v>
      </c>
      <c r="K1731" t="s">
        <v>47</v>
      </c>
      <c r="L1731" t="s">
        <v>113</v>
      </c>
      <c r="M1731" t="s">
        <v>28</v>
      </c>
      <c r="N1731">
        <v>3.8</v>
      </c>
      <c r="O1731">
        <v>0</v>
      </c>
      <c r="P1731" t="s">
        <v>77</v>
      </c>
      <c r="Q1731" t="s">
        <v>155</v>
      </c>
      <c r="R1731" t="s">
        <v>155</v>
      </c>
      <c r="S1731">
        <v>12</v>
      </c>
      <c r="T1731" t="s">
        <v>31</v>
      </c>
      <c r="U1731" t="s">
        <v>32</v>
      </c>
      <c r="V1731" s="1">
        <v>45310</v>
      </c>
      <c r="W1731">
        <f>Table1[[#This Row],[customer_purchase count]]+1</f>
        <v>13</v>
      </c>
      <c r="X1731">
        <f>Table1[[#This Row],[customer_purchase count]]*Rules!$B$3</f>
        <v>717.17230769230775</v>
      </c>
      <c r="Y1731" t="str">
        <f>IF(Table1[[#This Row],[customer_subscription]]=1,"Subscribed","Not Subscribed")</f>
        <v>Not Subscribed</v>
      </c>
      <c r="Z1731" t="s">
        <v>194</v>
      </c>
    </row>
    <row r="1732" spans="1:26" x14ac:dyDescent="0.25">
      <c r="A1732">
        <v>1731</v>
      </c>
      <c r="B1732">
        <v>23</v>
      </c>
      <c r="C1732" t="s">
        <v>22</v>
      </c>
      <c r="D1732">
        <v>1731</v>
      </c>
      <c r="E1732" t="s">
        <v>58</v>
      </c>
      <c r="F1732" t="s">
        <v>24</v>
      </c>
      <c r="G1732">
        <v>1731</v>
      </c>
      <c r="H1732">
        <v>2276</v>
      </c>
      <c r="I1732">
        <v>22</v>
      </c>
      <c r="J1732" t="s">
        <v>93</v>
      </c>
      <c r="K1732" t="s">
        <v>39</v>
      </c>
      <c r="L1732" t="s">
        <v>68</v>
      </c>
      <c r="M1732" t="s">
        <v>60</v>
      </c>
      <c r="N1732">
        <v>4.2</v>
      </c>
      <c r="O1732">
        <v>0</v>
      </c>
      <c r="P1732" t="s">
        <v>41</v>
      </c>
      <c r="Q1732" t="s">
        <v>155</v>
      </c>
      <c r="R1732" t="s">
        <v>155</v>
      </c>
      <c r="S1732">
        <v>26</v>
      </c>
      <c r="T1732" t="s">
        <v>42</v>
      </c>
      <c r="U1732" t="s">
        <v>43</v>
      </c>
      <c r="V1732" s="1">
        <v>45538</v>
      </c>
      <c r="W1732">
        <f>Table1[[#This Row],[customer_purchase count]]+1</f>
        <v>27</v>
      </c>
      <c r="X1732">
        <f>Table1[[#This Row],[customer_purchase count]]*Rules!$B$3</f>
        <v>1553.8733333333334</v>
      </c>
      <c r="Y1732" t="str">
        <f>IF(Table1[[#This Row],[customer_subscription]]=1,"Subscribed","Not Subscribed")</f>
        <v>Not Subscribed</v>
      </c>
    </row>
    <row r="1733" spans="1:26" x14ac:dyDescent="0.25">
      <c r="A1733">
        <v>1732</v>
      </c>
      <c r="B1733">
        <v>21</v>
      </c>
      <c r="C1733" t="s">
        <v>22</v>
      </c>
      <c r="D1733">
        <v>1732</v>
      </c>
      <c r="E1733" t="s">
        <v>135</v>
      </c>
      <c r="F1733" t="s">
        <v>70</v>
      </c>
      <c r="G1733">
        <v>1732</v>
      </c>
      <c r="H1733">
        <v>2277</v>
      </c>
      <c r="I1733">
        <v>87</v>
      </c>
      <c r="J1733" t="s">
        <v>138</v>
      </c>
      <c r="K1733" t="s">
        <v>47</v>
      </c>
      <c r="L1733" t="s">
        <v>27</v>
      </c>
      <c r="M1733" t="s">
        <v>60</v>
      </c>
      <c r="N1733">
        <v>3.1</v>
      </c>
      <c r="O1733">
        <v>0</v>
      </c>
      <c r="P1733" t="s">
        <v>48</v>
      </c>
      <c r="Q1733" t="s">
        <v>155</v>
      </c>
      <c r="R1733" t="s">
        <v>155</v>
      </c>
      <c r="S1733">
        <v>12</v>
      </c>
      <c r="T1733" t="s">
        <v>36</v>
      </c>
      <c r="U1733" t="s">
        <v>91</v>
      </c>
      <c r="V1733" s="1">
        <v>45597</v>
      </c>
      <c r="W1733">
        <f>Table1[[#This Row],[customer_purchase count]]+1</f>
        <v>13</v>
      </c>
      <c r="X1733">
        <f>Table1[[#This Row],[customer_purchase count]]*Rules!$B$3</f>
        <v>717.17230769230775</v>
      </c>
      <c r="Y1733" t="str">
        <f>IF(Table1[[#This Row],[customer_subscription]]=1,"Subscribed","Not Subscribed")</f>
        <v>Not Subscribed</v>
      </c>
      <c r="Z1733" t="s">
        <v>187</v>
      </c>
    </row>
    <row r="1734" spans="1:26" x14ac:dyDescent="0.25">
      <c r="A1734">
        <v>1733</v>
      </c>
      <c r="B1734">
        <v>45</v>
      </c>
      <c r="C1734" t="s">
        <v>22</v>
      </c>
      <c r="D1734">
        <v>1733</v>
      </c>
      <c r="E1734" t="s">
        <v>136</v>
      </c>
      <c r="F1734" t="s">
        <v>70</v>
      </c>
      <c r="G1734">
        <v>1733</v>
      </c>
      <c r="H1734">
        <v>2278</v>
      </c>
      <c r="I1734">
        <v>50</v>
      </c>
      <c r="J1734" t="s">
        <v>46</v>
      </c>
      <c r="K1734" t="s">
        <v>39</v>
      </c>
      <c r="L1734" t="s">
        <v>64</v>
      </c>
      <c r="M1734" t="s">
        <v>28</v>
      </c>
      <c r="N1734">
        <v>2.6</v>
      </c>
      <c r="O1734">
        <v>0</v>
      </c>
      <c r="P1734" t="s">
        <v>41</v>
      </c>
      <c r="Q1734" t="s">
        <v>155</v>
      </c>
      <c r="R1734" t="s">
        <v>155</v>
      </c>
      <c r="S1734">
        <v>36</v>
      </c>
      <c r="T1734" t="s">
        <v>36</v>
      </c>
      <c r="U1734" t="s">
        <v>100</v>
      </c>
      <c r="V1734" s="1">
        <v>45649</v>
      </c>
      <c r="W1734">
        <f>Table1[[#This Row],[customer_purchase count]]+1</f>
        <v>37</v>
      </c>
      <c r="X1734">
        <f>Table1[[#This Row],[customer_purchase count]]*Rules!$B$3</f>
        <v>2151.5169230769234</v>
      </c>
      <c r="Y1734" t="str">
        <f>IF(Table1[[#This Row],[customer_subscription]]=1,"Subscribed","Not Subscribed")</f>
        <v>Not Subscribed</v>
      </c>
    </row>
    <row r="1735" spans="1:26" x14ac:dyDescent="0.25">
      <c r="A1735">
        <v>1734</v>
      </c>
      <c r="B1735">
        <v>67</v>
      </c>
      <c r="C1735" t="s">
        <v>22</v>
      </c>
      <c r="D1735">
        <v>1734</v>
      </c>
      <c r="E1735" t="s">
        <v>23</v>
      </c>
      <c r="F1735" t="s">
        <v>24</v>
      </c>
      <c r="G1735">
        <v>1734</v>
      </c>
      <c r="H1735">
        <v>2279</v>
      </c>
      <c r="I1735">
        <v>85</v>
      </c>
      <c r="J1735" t="s">
        <v>87</v>
      </c>
      <c r="K1735" t="s">
        <v>26</v>
      </c>
      <c r="L1735" t="s">
        <v>97</v>
      </c>
      <c r="M1735" t="s">
        <v>56</v>
      </c>
      <c r="N1735">
        <v>3.4</v>
      </c>
      <c r="O1735">
        <v>0</v>
      </c>
      <c r="P1735" t="s">
        <v>29</v>
      </c>
      <c r="Q1735" t="s">
        <v>155</v>
      </c>
      <c r="R1735" t="s">
        <v>155</v>
      </c>
      <c r="S1735">
        <v>22</v>
      </c>
      <c r="T1735" t="s">
        <v>42</v>
      </c>
      <c r="U1735" t="s">
        <v>52</v>
      </c>
      <c r="V1735" s="1">
        <v>45506</v>
      </c>
      <c r="W1735">
        <f>Table1[[#This Row],[customer_purchase count]]+1</f>
        <v>23</v>
      </c>
      <c r="X1735">
        <f>Table1[[#This Row],[customer_purchase count]]*Rules!$B$3</f>
        <v>1314.8158974358976</v>
      </c>
      <c r="Y1735" t="str">
        <f>IF(Table1[[#This Row],[customer_subscription]]=1,"Subscribed","Not Subscribed")</f>
        <v>Not Subscribed</v>
      </c>
    </row>
    <row r="1736" spans="1:26" x14ac:dyDescent="0.25">
      <c r="A1736">
        <v>1735</v>
      </c>
      <c r="B1736">
        <v>31</v>
      </c>
      <c r="C1736" t="s">
        <v>22</v>
      </c>
      <c r="D1736">
        <v>1735</v>
      </c>
      <c r="E1736" t="s">
        <v>37</v>
      </c>
      <c r="F1736" t="s">
        <v>24</v>
      </c>
      <c r="G1736">
        <v>1735</v>
      </c>
      <c r="H1736">
        <v>2281</v>
      </c>
      <c r="I1736">
        <v>98</v>
      </c>
      <c r="J1736" t="s">
        <v>71</v>
      </c>
      <c r="K1736" t="s">
        <v>26</v>
      </c>
      <c r="L1736" t="s">
        <v>113</v>
      </c>
      <c r="M1736" t="s">
        <v>40</v>
      </c>
      <c r="N1736">
        <v>3.1</v>
      </c>
      <c r="O1736">
        <v>0</v>
      </c>
      <c r="P1736" t="s">
        <v>48</v>
      </c>
      <c r="Q1736" t="s">
        <v>155</v>
      </c>
      <c r="R1736" t="s">
        <v>155</v>
      </c>
      <c r="S1736">
        <v>16</v>
      </c>
      <c r="T1736" t="s">
        <v>49</v>
      </c>
      <c r="U1736" t="s">
        <v>61</v>
      </c>
      <c r="V1736" s="1">
        <v>45371</v>
      </c>
      <c r="W1736">
        <f>Table1[[#This Row],[customer_purchase count]]+1</f>
        <v>17</v>
      </c>
      <c r="X1736">
        <f>Table1[[#This Row],[customer_purchase count]]*Rules!$B$3</f>
        <v>956.22974358974363</v>
      </c>
      <c r="Y1736" t="str">
        <f>IF(Table1[[#This Row],[customer_subscription]]=1,"Subscribed","Not Subscribed")</f>
        <v>Not Subscribed</v>
      </c>
      <c r="Z1736" t="s">
        <v>194</v>
      </c>
    </row>
    <row r="1737" spans="1:26" x14ac:dyDescent="0.25">
      <c r="A1737">
        <v>1736</v>
      </c>
      <c r="B1737">
        <v>58</v>
      </c>
      <c r="C1737" t="s">
        <v>22</v>
      </c>
      <c r="D1737">
        <v>1736</v>
      </c>
      <c r="E1737" t="s">
        <v>84</v>
      </c>
      <c r="F1737" t="s">
        <v>24</v>
      </c>
      <c r="G1737">
        <v>1736</v>
      </c>
      <c r="H1737">
        <v>2282</v>
      </c>
      <c r="I1737">
        <v>34</v>
      </c>
      <c r="J1737" t="s">
        <v>108</v>
      </c>
      <c r="K1737" t="s">
        <v>47</v>
      </c>
      <c r="L1737" t="s">
        <v>76</v>
      </c>
      <c r="M1737" t="s">
        <v>28</v>
      </c>
      <c r="N1737">
        <v>3.6</v>
      </c>
      <c r="O1737">
        <v>0</v>
      </c>
      <c r="P1737" t="s">
        <v>29</v>
      </c>
      <c r="Q1737" t="s">
        <v>155</v>
      </c>
      <c r="R1737" t="s">
        <v>155</v>
      </c>
      <c r="S1737">
        <v>31</v>
      </c>
      <c r="T1737" t="s">
        <v>31</v>
      </c>
      <c r="U1737" t="s">
        <v>52</v>
      </c>
      <c r="V1737" s="1">
        <v>45627</v>
      </c>
      <c r="W1737">
        <f>Table1[[#This Row],[customer_purchase count]]+1</f>
        <v>32</v>
      </c>
      <c r="X1737">
        <f>Table1[[#This Row],[customer_purchase count]]*Rules!$B$3</f>
        <v>1852.6951282051282</v>
      </c>
      <c r="Y1737" t="str">
        <f>IF(Table1[[#This Row],[customer_subscription]]=1,"Subscribed","Not Subscribed")</f>
        <v>Not Subscribed</v>
      </c>
    </row>
    <row r="1738" spans="1:26" x14ac:dyDescent="0.25">
      <c r="A1738">
        <v>1737</v>
      </c>
      <c r="B1738">
        <v>57</v>
      </c>
      <c r="C1738" t="s">
        <v>22</v>
      </c>
      <c r="D1738">
        <v>1737</v>
      </c>
      <c r="E1738" t="s">
        <v>62</v>
      </c>
      <c r="F1738" t="s">
        <v>24</v>
      </c>
      <c r="G1738">
        <v>1737</v>
      </c>
      <c r="H1738">
        <v>2283</v>
      </c>
      <c r="I1738">
        <v>61</v>
      </c>
      <c r="J1738" t="s">
        <v>125</v>
      </c>
      <c r="K1738" t="s">
        <v>47</v>
      </c>
      <c r="L1738" t="s">
        <v>76</v>
      </c>
      <c r="M1738" t="s">
        <v>56</v>
      </c>
      <c r="N1738">
        <v>2.6</v>
      </c>
      <c r="O1738">
        <v>0</v>
      </c>
      <c r="P1738" t="s">
        <v>73</v>
      </c>
      <c r="Q1738" t="s">
        <v>155</v>
      </c>
      <c r="R1738" t="s">
        <v>155</v>
      </c>
      <c r="S1738">
        <v>43</v>
      </c>
      <c r="T1738" t="s">
        <v>36</v>
      </c>
      <c r="U1738" t="s">
        <v>61</v>
      </c>
      <c r="V1738" s="1">
        <v>45461</v>
      </c>
      <c r="W1738">
        <f>Table1[[#This Row],[customer_purchase count]]+1</f>
        <v>44</v>
      </c>
      <c r="X1738">
        <f>Table1[[#This Row],[customer_purchase count]]*Rules!$B$3</f>
        <v>2569.8674358974358</v>
      </c>
      <c r="Y1738" t="str">
        <f>IF(Table1[[#This Row],[customer_subscription]]=1,"Subscribed","Not Subscribed")</f>
        <v>Not Subscribed</v>
      </c>
    </row>
    <row r="1739" spans="1:26" x14ac:dyDescent="0.25">
      <c r="A1739">
        <v>1738</v>
      </c>
      <c r="B1739">
        <v>42</v>
      </c>
      <c r="C1739" t="s">
        <v>22</v>
      </c>
      <c r="D1739">
        <v>1738</v>
      </c>
      <c r="E1739" t="s">
        <v>109</v>
      </c>
      <c r="F1739" t="s">
        <v>70</v>
      </c>
      <c r="G1739">
        <v>1738</v>
      </c>
      <c r="H1739">
        <v>2284</v>
      </c>
      <c r="I1739">
        <v>98</v>
      </c>
      <c r="J1739" t="s">
        <v>126</v>
      </c>
      <c r="K1739" t="s">
        <v>26</v>
      </c>
      <c r="L1739" t="s">
        <v>27</v>
      </c>
      <c r="M1739" t="s">
        <v>56</v>
      </c>
      <c r="N1739">
        <v>4.2</v>
      </c>
      <c r="O1739">
        <v>0</v>
      </c>
      <c r="P1739" t="s">
        <v>77</v>
      </c>
      <c r="Q1739" t="s">
        <v>155</v>
      </c>
      <c r="R1739" t="s">
        <v>155</v>
      </c>
      <c r="S1739">
        <v>50</v>
      </c>
      <c r="T1739" t="s">
        <v>31</v>
      </c>
      <c r="U1739" t="s">
        <v>79</v>
      </c>
      <c r="V1739" s="1">
        <v>45481</v>
      </c>
      <c r="W1739">
        <f>Table1[[#This Row],[customer_purchase count]]+1</f>
        <v>51</v>
      </c>
      <c r="X1739">
        <f>Table1[[#This Row],[customer_purchase count]]*Rules!$B$3</f>
        <v>2988.2179487179487</v>
      </c>
      <c r="Y1739" t="str">
        <f>IF(Table1[[#This Row],[customer_subscription]]=1,"Subscribed","Not Subscribed")</f>
        <v>Not Subscribed</v>
      </c>
    </row>
    <row r="1740" spans="1:26" x14ac:dyDescent="0.25">
      <c r="A1740">
        <v>1739</v>
      </c>
      <c r="B1740">
        <v>60</v>
      </c>
      <c r="C1740" t="s">
        <v>22</v>
      </c>
      <c r="D1740">
        <v>1739</v>
      </c>
      <c r="E1740" t="s">
        <v>69</v>
      </c>
      <c r="F1740" t="s">
        <v>70</v>
      </c>
      <c r="G1740">
        <v>1739</v>
      </c>
      <c r="H1740">
        <v>2285</v>
      </c>
      <c r="I1740">
        <v>61</v>
      </c>
      <c r="J1740" t="s">
        <v>125</v>
      </c>
      <c r="K1740" t="s">
        <v>47</v>
      </c>
      <c r="L1740" t="s">
        <v>99</v>
      </c>
      <c r="M1740" t="s">
        <v>40</v>
      </c>
      <c r="N1740">
        <v>2.9</v>
      </c>
      <c r="O1740">
        <v>0</v>
      </c>
      <c r="P1740" t="s">
        <v>73</v>
      </c>
      <c r="Q1740" t="s">
        <v>155</v>
      </c>
      <c r="R1740" t="s">
        <v>155</v>
      </c>
      <c r="S1740">
        <v>37</v>
      </c>
      <c r="T1740" t="s">
        <v>42</v>
      </c>
      <c r="U1740" t="s">
        <v>43</v>
      </c>
      <c r="V1740" s="1">
        <v>45360</v>
      </c>
      <c r="W1740">
        <f>Table1[[#This Row],[customer_purchase count]]+1</f>
        <v>38</v>
      </c>
      <c r="X1740">
        <f>Table1[[#This Row],[customer_purchase count]]*Rules!$B$3</f>
        <v>2211.2812820512822</v>
      </c>
      <c r="Y1740" t="str">
        <f>IF(Table1[[#This Row],[customer_subscription]]=1,"Subscribed","Not Subscribed")</f>
        <v>Not Subscribed</v>
      </c>
    </row>
    <row r="1741" spans="1:26" x14ac:dyDescent="0.25">
      <c r="A1741">
        <v>1740</v>
      </c>
      <c r="B1741">
        <v>21</v>
      </c>
      <c r="C1741" t="s">
        <v>22</v>
      </c>
      <c r="D1741">
        <v>1740</v>
      </c>
      <c r="E1741" t="s">
        <v>109</v>
      </c>
      <c r="F1741" t="s">
        <v>70</v>
      </c>
      <c r="G1741">
        <v>1740</v>
      </c>
      <c r="H1741">
        <v>2287</v>
      </c>
      <c r="I1741">
        <v>98</v>
      </c>
      <c r="J1741" t="s">
        <v>151</v>
      </c>
      <c r="K1741" t="s">
        <v>26</v>
      </c>
      <c r="L1741" t="s">
        <v>68</v>
      </c>
      <c r="M1741" t="s">
        <v>28</v>
      </c>
      <c r="N1741">
        <v>4.2</v>
      </c>
      <c r="O1741">
        <v>0</v>
      </c>
      <c r="P1741" t="s">
        <v>29</v>
      </c>
      <c r="Q1741" t="s">
        <v>155</v>
      </c>
      <c r="R1741" t="s">
        <v>155</v>
      </c>
      <c r="S1741">
        <v>23</v>
      </c>
      <c r="T1741" t="s">
        <v>36</v>
      </c>
      <c r="U1741" t="s">
        <v>43</v>
      </c>
      <c r="V1741" s="1">
        <v>45638</v>
      </c>
      <c r="W1741">
        <f>Table1[[#This Row],[customer_purchase count]]+1</f>
        <v>24</v>
      </c>
      <c r="X1741">
        <f>Table1[[#This Row],[customer_purchase count]]*Rules!$B$3</f>
        <v>1374.5802564102564</v>
      </c>
      <c r="Y1741" t="str">
        <f>IF(Table1[[#This Row],[customer_subscription]]=1,"Subscribed","Not Subscribed")</f>
        <v>Not Subscribed</v>
      </c>
    </row>
    <row r="1742" spans="1:26" x14ac:dyDescent="0.25">
      <c r="A1742">
        <v>1741</v>
      </c>
      <c r="B1742">
        <v>69</v>
      </c>
      <c r="C1742" t="s">
        <v>22</v>
      </c>
      <c r="D1742">
        <v>1741</v>
      </c>
      <c r="E1742" t="s">
        <v>98</v>
      </c>
      <c r="F1742" t="s">
        <v>24</v>
      </c>
      <c r="G1742">
        <v>1741</v>
      </c>
      <c r="H1742">
        <v>2288</v>
      </c>
      <c r="I1742">
        <v>21</v>
      </c>
      <c r="J1742" t="s">
        <v>153</v>
      </c>
      <c r="K1742" t="s">
        <v>26</v>
      </c>
      <c r="L1742" t="s">
        <v>64</v>
      </c>
      <c r="M1742" t="s">
        <v>60</v>
      </c>
      <c r="N1742">
        <v>3.3</v>
      </c>
      <c r="O1742">
        <v>0</v>
      </c>
      <c r="P1742" t="s">
        <v>48</v>
      </c>
      <c r="Q1742" t="s">
        <v>155</v>
      </c>
      <c r="R1742" t="s">
        <v>155</v>
      </c>
      <c r="S1742">
        <v>10</v>
      </c>
      <c r="T1742" t="s">
        <v>78</v>
      </c>
      <c r="U1742" t="s">
        <v>100</v>
      </c>
      <c r="V1742" s="1">
        <v>45593</v>
      </c>
      <c r="W1742">
        <f>Table1[[#This Row],[customer_purchase count]]+1</f>
        <v>11</v>
      </c>
      <c r="X1742">
        <f>Table1[[#This Row],[customer_purchase count]]*Rules!$B$3</f>
        <v>597.64358974358981</v>
      </c>
      <c r="Y1742" t="str">
        <f>IF(Table1[[#This Row],[customer_subscription]]=1,"Subscribed","Not Subscribed")</f>
        <v>Not Subscribed</v>
      </c>
      <c r="Z1742" t="s">
        <v>194</v>
      </c>
    </row>
    <row r="1743" spans="1:26" x14ac:dyDescent="0.25">
      <c r="A1743">
        <v>1742</v>
      </c>
      <c r="B1743">
        <v>41</v>
      </c>
      <c r="C1743" t="s">
        <v>22</v>
      </c>
      <c r="D1743">
        <v>1742</v>
      </c>
      <c r="E1743" t="s">
        <v>98</v>
      </c>
      <c r="F1743" t="s">
        <v>24</v>
      </c>
      <c r="G1743">
        <v>1742</v>
      </c>
      <c r="H1743">
        <v>2289</v>
      </c>
      <c r="I1743">
        <v>51</v>
      </c>
      <c r="J1743" t="s">
        <v>82</v>
      </c>
      <c r="K1743" t="s">
        <v>95</v>
      </c>
      <c r="L1743" t="s">
        <v>88</v>
      </c>
      <c r="M1743" t="s">
        <v>28</v>
      </c>
      <c r="N1743">
        <v>3.6</v>
      </c>
      <c r="O1743">
        <v>0</v>
      </c>
      <c r="P1743" t="s">
        <v>48</v>
      </c>
      <c r="Q1743" t="s">
        <v>155</v>
      </c>
      <c r="R1743" t="s">
        <v>155</v>
      </c>
      <c r="S1743">
        <v>20</v>
      </c>
      <c r="T1743" t="s">
        <v>78</v>
      </c>
      <c r="U1743" t="s">
        <v>91</v>
      </c>
      <c r="V1743" s="1">
        <v>45301</v>
      </c>
      <c r="W1743">
        <f>Table1[[#This Row],[customer_purchase count]]+1</f>
        <v>21</v>
      </c>
      <c r="X1743">
        <f>Table1[[#This Row],[customer_purchase count]]*Rules!$B$3</f>
        <v>1195.2871794871796</v>
      </c>
      <c r="Y1743" t="str">
        <f>IF(Table1[[#This Row],[customer_subscription]]=1,"Subscribed","Not Subscribed")</f>
        <v>Not Subscribed</v>
      </c>
    </row>
    <row r="1744" spans="1:26" x14ac:dyDescent="0.25">
      <c r="A1744">
        <v>1743</v>
      </c>
      <c r="B1744">
        <v>51</v>
      </c>
      <c r="C1744" t="s">
        <v>22</v>
      </c>
      <c r="D1744">
        <v>1743</v>
      </c>
      <c r="E1744" t="s">
        <v>44</v>
      </c>
      <c r="F1744" t="s">
        <v>45</v>
      </c>
      <c r="G1744">
        <v>1743</v>
      </c>
      <c r="H1744">
        <v>2290</v>
      </c>
      <c r="I1744">
        <v>80</v>
      </c>
      <c r="J1744" t="s">
        <v>114</v>
      </c>
      <c r="K1744" t="s">
        <v>95</v>
      </c>
      <c r="L1744" t="s">
        <v>55</v>
      </c>
      <c r="M1744" t="s">
        <v>40</v>
      </c>
      <c r="N1744">
        <v>4.3</v>
      </c>
      <c r="O1744">
        <v>0</v>
      </c>
      <c r="P1744" t="s">
        <v>29</v>
      </c>
      <c r="Q1744" t="s">
        <v>155</v>
      </c>
      <c r="R1744" t="s">
        <v>155</v>
      </c>
      <c r="S1744">
        <v>18</v>
      </c>
      <c r="T1744" t="s">
        <v>31</v>
      </c>
      <c r="U1744" t="s">
        <v>100</v>
      </c>
      <c r="V1744" s="1">
        <v>45374</v>
      </c>
      <c r="W1744">
        <f>Table1[[#This Row],[customer_purchase count]]+1</f>
        <v>19</v>
      </c>
      <c r="X1744">
        <f>Table1[[#This Row],[customer_purchase count]]*Rules!$B$3</f>
        <v>1075.7584615384617</v>
      </c>
      <c r="Y1744" t="str">
        <f>IF(Table1[[#This Row],[customer_subscription]]=1,"Subscribed","Not Subscribed")</f>
        <v>Not Subscribed</v>
      </c>
    </row>
    <row r="1745" spans="1:26" x14ac:dyDescent="0.25">
      <c r="A1745">
        <v>1744</v>
      </c>
      <c r="B1745">
        <v>23</v>
      </c>
      <c r="C1745" t="s">
        <v>22</v>
      </c>
      <c r="D1745">
        <v>1744</v>
      </c>
      <c r="E1745" t="s">
        <v>90</v>
      </c>
      <c r="F1745" t="s">
        <v>24</v>
      </c>
      <c r="G1745">
        <v>1744</v>
      </c>
      <c r="H1745">
        <v>2291</v>
      </c>
      <c r="I1745">
        <v>72</v>
      </c>
      <c r="J1745" t="s">
        <v>71</v>
      </c>
      <c r="K1745" t="s">
        <v>95</v>
      </c>
      <c r="L1745" t="s">
        <v>113</v>
      </c>
      <c r="M1745" t="s">
        <v>28</v>
      </c>
      <c r="N1745">
        <v>3.3</v>
      </c>
      <c r="O1745">
        <v>0</v>
      </c>
      <c r="P1745" t="s">
        <v>57</v>
      </c>
      <c r="Q1745" t="s">
        <v>155</v>
      </c>
      <c r="R1745" t="s">
        <v>155</v>
      </c>
      <c r="S1745">
        <v>3</v>
      </c>
      <c r="T1745" t="s">
        <v>78</v>
      </c>
      <c r="U1745" t="s">
        <v>43</v>
      </c>
      <c r="V1745" s="1">
        <v>45327</v>
      </c>
      <c r="W1745">
        <f>Table1[[#This Row],[customer_purchase count]]+1</f>
        <v>4</v>
      </c>
      <c r="X1745">
        <f>Table1[[#This Row],[customer_purchase count]]*Rules!$B$3</f>
        <v>179.29307692307694</v>
      </c>
      <c r="Y1745" t="str">
        <f>IF(Table1[[#This Row],[customer_subscription]]=1,"Subscribed","Not Subscribed")</f>
        <v>Not Subscribed</v>
      </c>
      <c r="Z1745" t="s">
        <v>194</v>
      </c>
    </row>
    <row r="1746" spans="1:26" x14ac:dyDescent="0.25">
      <c r="A1746">
        <v>1745</v>
      </c>
      <c r="B1746">
        <v>57</v>
      </c>
      <c r="C1746" t="s">
        <v>22</v>
      </c>
      <c r="D1746">
        <v>1745</v>
      </c>
      <c r="E1746" t="s">
        <v>92</v>
      </c>
      <c r="F1746" t="s">
        <v>70</v>
      </c>
      <c r="G1746">
        <v>1745</v>
      </c>
      <c r="H1746">
        <v>2293</v>
      </c>
      <c r="I1746">
        <v>63</v>
      </c>
      <c r="J1746" t="s">
        <v>154</v>
      </c>
      <c r="K1746" t="s">
        <v>26</v>
      </c>
      <c r="L1746" t="s">
        <v>88</v>
      </c>
      <c r="M1746" t="s">
        <v>28</v>
      </c>
      <c r="N1746">
        <v>3</v>
      </c>
      <c r="O1746">
        <v>0</v>
      </c>
      <c r="P1746" t="s">
        <v>57</v>
      </c>
      <c r="Q1746" t="s">
        <v>155</v>
      </c>
      <c r="R1746" t="s">
        <v>155</v>
      </c>
      <c r="S1746">
        <v>23</v>
      </c>
      <c r="T1746" t="s">
        <v>49</v>
      </c>
      <c r="U1746" t="s">
        <v>43</v>
      </c>
      <c r="V1746" s="1">
        <v>45311</v>
      </c>
      <c r="W1746">
        <f>Table1[[#This Row],[customer_purchase count]]+1</f>
        <v>24</v>
      </c>
      <c r="X1746">
        <f>Table1[[#This Row],[customer_purchase count]]*Rules!$B$3</f>
        <v>1374.5802564102564</v>
      </c>
      <c r="Y1746" t="str">
        <f>IF(Table1[[#This Row],[customer_subscription]]=1,"Subscribed","Not Subscribed")</f>
        <v>Not Subscribed</v>
      </c>
    </row>
    <row r="1747" spans="1:26" x14ac:dyDescent="0.25">
      <c r="A1747">
        <v>1746</v>
      </c>
      <c r="B1747">
        <v>40</v>
      </c>
      <c r="C1747" t="s">
        <v>22</v>
      </c>
      <c r="D1747">
        <v>1746</v>
      </c>
      <c r="E1747" t="s">
        <v>90</v>
      </c>
      <c r="F1747" t="s">
        <v>24</v>
      </c>
      <c r="G1747">
        <v>1746</v>
      </c>
      <c r="H1747">
        <v>2294</v>
      </c>
      <c r="I1747">
        <v>27</v>
      </c>
      <c r="J1747" t="s">
        <v>67</v>
      </c>
      <c r="K1747" t="s">
        <v>26</v>
      </c>
      <c r="L1747" t="s">
        <v>111</v>
      </c>
      <c r="M1747" t="s">
        <v>28</v>
      </c>
      <c r="N1747">
        <v>3.6</v>
      </c>
      <c r="O1747">
        <v>0</v>
      </c>
      <c r="P1747" t="s">
        <v>77</v>
      </c>
      <c r="Q1747" t="s">
        <v>155</v>
      </c>
      <c r="R1747" t="s">
        <v>155</v>
      </c>
      <c r="S1747">
        <v>27</v>
      </c>
      <c r="T1747" t="s">
        <v>36</v>
      </c>
      <c r="U1747" t="s">
        <v>43</v>
      </c>
      <c r="V1747" s="1">
        <v>45293</v>
      </c>
      <c r="W1747">
        <f>Table1[[#This Row],[customer_purchase count]]+1</f>
        <v>28</v>
      </c>
      <c r="X1747">
        <f>Table1[[#This Row],[customer_purchase count]]*Rules!$B$3</f>
        <v>1613.6376923076923</v>
      </c>
      <c r="Y1747" t="str">
        <f>IF(Table1[[#This Row],[customer_subscription]]=1,"Subscribed","Not Subscribed")</f>
        <v>Not Subscribed</v>
      </c>
    </row>
    <row r="1748" spans="1:26" x14ac:dyDescent="0.25">
      <c r="A1748">
        <v>1747</v>
      </c>
      <c r="B1748">
        <v>65</v>
      </c>
      <c r="C1748" t="s">
        <v>22</v>
      </c>
      <c r="D1748">
        <v>1747</v>
      </c>
      <c r="E1748" t="s">
        <v>69</v>
      </c>
      <c r="F1748" t="s">
        <v>70</v>
      </c>
      <c r="G1748">
        <v>1747</v>
      </c>
      <c r="H1748">
        <v>2295</v>
      </c>
      <c r="I1748">
        <v>44</v>
      </c>
      <c r="J1748" t="s">
        <v>93</v>
      </c>
      <c r="K1748" t="s">
        <v>26</v>
      </c>
      <c r="L1748" t="s">
        <v>113</v>
      </c>
      <c r="M1748" t="s">
        <v>56</v>
      </c>
      <c r="N1748">
        <v>3.1</v>
      </c>
      <c r="O1748">
        <v>0</v>
      </c>
      <c r="P1748" t="s">
        <v>77</v>
      </c>
      <c r="Q1748" t="s">
        <v>155</v>
      </c>
      <c r="R1748" t="s">
        <v>155</v>
      </c>
      <c r="S1748">
        <v>44</v>
      </c>
      <c r="T1748" t="s">
        <v>78</v>
      </c>
      <c r="U1748" t="s">
        <v>32</v>
      </c>
      <c r="V1748" s="1">
        <v>45454</v>
      </c>
      <c r="W1748">
        <f>Table1[[#This Row],[customer_purchase count]]+1</f>
        <v>45</v>
      </c>
      <c r="X1748">
        <f>Table1[[#This Row],[customer_purchase count]]*Rules!$B$3</f>
        <v>2629.6317948717951</v>
      </c>
      <c r="Y1748" t="str">
        <f>IF(Table1[[#This Row],[customer_subscription]]=1,"Subscribed","Not Subscribed")</f>
        <v>Not Subscribed</v>
      </c>
    </row>
    <row r="1749" spans="1:26" x14ac:dyDescent="0.25">
      <c r="A1749">
        <v>1748</v>
      </c>
      <c r="B1749">
        <v>61</v>
      </c>
      <c r="C1749" t="s">
        <v>22</v>
      </c>
      <c r="D1749">
        <v>1748</v>
      </c>
      <c r="E1749" t="s">
        <v>65</v>
      </c>
      <c r="F1749" t="s">
        <v>66</v>
      </c>
      <c r="G1749">
        <v>1748</v>
      </c>
      <c r="H1749">
        <v>2296</v>
      </c>
      <c r="I1749">
        <v>23</v>
      </c>
      <c r="J1749" t="s">
        <v>85</v>
      </c>
      <c r="K1749" t="s">
        <v>47</v>
      </c>
      <c r="L1749" t="s">
        <v>137</v>
      </c>
      <c r="M1749" t="s">
        <v>28</v>
      </c>
      <c r="N1749">
        <v>2.9</v>
      </c>
      <c r="O1749">
        <v>0</v>
      </c>
      <c r="P1749" t="s">
        <v>29</v>
      </c>
      <c r="Q1749" t="s">
        <v>155</v>
      </c>
      <c r="R1749" t="s">
        <v>155</v>
      </c>
      <c r="S1749">
        <v>41</v>
      </c>
      <c r="T1749" t="s">
        <v>31</v>
      </c>
      <c r="U1749" t="s">
        <v>61</v>
      </c>
      <c r="V1749" s="1">
        <v>45637</v>
      </c>
      <c r="W1749">
        <f>Table1[[#This Row],[customer_purchase count]]+1</f>
        <v>42</v>
      </c>
      <c r="X1749">
        <f>Table1[[#This Row],[customer_purchase count]]*Rules!$B$3</f>
        <v>2450.3387179487181</v>
      </c>
      <c r="Y1749" t="str">
        <f>IF(Table1[[#This Row],[customer_subscription]]=1,"Subscribed","Not Subscribed")</f>
        <v>Not Subscribed</v>
      </c>
    </row>
    <row r="1750" spans="1:26" x14ac:dyDescent="0.25">
      <c r="A1750">
        <v>1749</v>
      </c>
      <c r="B1750">
        <v>34</v>
      </c>
      <c r="C1750" t="s">
        <v>22</v>
      </c>
      <c r="D1750">
        <v>1749</v>
      </c>
      <c r="E1750" t="s">
        <v>90</v>
      </c>
      <c r="F1750" t="s">
        <v>24</v>
      </c>
      <c r="G1750">
        <v>1749</v>
      </c>
      <c r="H1750">
        <v>2297</v>
      </c>
      <c r="I1750">
        <v>93</v>
      </c>
      <c r="J1750" t="s">
        <v>59</v>
      </c>
      <c r="K1750" t="s">
        <v>26</v>
      </c>
      <c r="L1750" t="s">
        <v>88</v>
      </c>
      <c r="M1750" t="s">
        <v>28</v>
      </c>
      <c r="N1750">
        <v>3.9</v>
      </c>
      <c r="O1750">
        <v>0</v>
      </c>
      <c r="P1750" t="s">
        <v>73</v>
      </c>
      <c r="Q1750" t="s">
        <v>155</v>
      </c>
      <c r="R1750" t="s">
        <v>155</v>
      </c>
      <c r="S1750">
        <v>41</v>
      </c>
      <c r="T1750" t="s">
        <v>78</v>
      </c>
      <c r="U1750" t="s">
        <v>52</v>
      </c>
      <c r="V1750" s="1">
        <v>45347</v>
      </c>
      <c r="W1750">
        <f>Table1[[#This Row],[customer_purchase count]]+1</f>
        <v>42</v>
      </c>
      <c r="X1750">
        <f>Table1[[#This Row],[customer_purchase count]]*Rules!$B$3</f>
        <v>2450.3387179487181</v>
      </c>
      <c r="Y1750" t="str">
        <f>IF(Table1[[#This Row],[customer_subscription]]=1,"Subscribed","Not Subscribed")</f>
        <v>Not Subscribed</v>
      </c>
    </row>
    <row r="1751" spans="1:26" x14ac:dyDescent="0.25">
      <c r="A1751">
        <v>1750</v>
      </c>
      <c r="B1751">
        <v>43</v>
      </c>
      <c r="C1751" t="s">
        <v>22</v>
      </c>
      <c r="D1751">
        <v>1750</v>
      </c>
      <c r="E1751" t="s">
        <v>107</v>
      </c>
      <c r="F1751" t="s">
        <v>24</v>
      </c>
      <c r="G1751">
        <v>1750</v>
      </c>
      <c r="H1751">
        <v>2299</v>
      </c>
      <c r="I1751">
        <v>70</v>
      </c>
      <c r="J1751" t="s">
        <v>54</v>
      </c>
      <c r="K1751" t="s">
        <v>26</v>
      </c>
      <c r="L1751" t="s">
        <v>72</v>
      </c>
      <c r="M1751" t="s">
        <v>60</v>
      </c>
      <c r="N1751">
        <v>3.2</v>
      </c>
      <c r="O1751">
        <v>0</v>
      </c>
      <c r="P1751" t="s">
        <v>73</v>
      </c>
      <c r="Q1751" t="s">
        <v>155</v>
      </c>
      <c r="R1751" t="s">
        <v>155</v>
      </c>
      <c r="S1751">
        <v>36</v>
      </c>
      <c r="T1751" t="s">
        <v>89</v>
      </c>
      <c r="U1751" t="s">
        <v>100</v>
      </c>
      <c r="V1751" s="1">
        <v>45608</v>
      </c>
      <c r="W1751">
        <f>Table1[[#This Row],[customer_purchase count]]+1</f>
        <v>37</v>
      </c>
      <c r="X1751">
        <f>Table1[[#This Row],[customer_purchase count]]*Rules!$B$3</f>
        <v>2151.5169230769234</v>
      </c>
      <c r="Y1751" t="str">
        <f>IF(Table1[[#This Row],[customer_subscription]]=1,"Subscribed","Not Subscribed")</f>
        <v>Not Subscribed</v>
      </c>
    </row>
    <row r="1752" spans="1:26" x14ac:dyDescent="0.25">
      <c r="A1752">
        <v>1751</v>
      </c>
      <c r="B1752">
        <v>31</v>
      </c>
      <c r="C1752" t="s">
        <v>22</v>
      </c>
      <c r="D1752">
        <v>1751</v>
      </c>
      <c r="E1752" t="s">
        <v>92</v>
      </c>
      <c r="F1752" t="s">
        <v>70</v>
      </c>
      <c r="G1752">
        <v>1751</v>
      </c>
      <c r="H1752">
        <v>2300</v>
      </c>
      <c r="I1752">
        <v>85</v>
      </c>
      <c r="J1752" t="s">
        <v>71</v>
      </c>
      <c r="K1752" t="s">
        <v>47</v>
      </c>
      <c r="L1752" t="s">
        <v>55</v>
      </c>
      <c r="M1752" t="s">
        <v>60</v>
      </c>
      <c r="N1752">
        <v>3.1</v>
      </c>
      <c r="O1752">
        <v>0</v>
      </c>
      <c r="P1752" t="s">
        <v>29</v>
      </c>
      <c r="Q1752" t="s">
        <v>155</v>
      </c>
      <c r="R1752" t="s">
        <v>155</v>
      </c>
      <c r="S1752">
        <v>38</v>
      </c>
      <c r="T1752" t="s">
        <v>31</v>
      </c>
      <c r="U1752" t="s">
        <v>100</v>
      </c>
      <c r="V1752" s="1">
        <v>45601</v>
      </c>
      <c r="W1752">
        <f>Table1[[#This Row],[customer_purchase count]]+1</f>
        <v>39</v>
      </c>
      <c r="X1752">
        <f>Table1[[#This Row],[customer_purchase count]]*Rules!$B$3</f>
        <v>2271.0456410256411</v>
      </c>
      <c r="Y1752" t="str">
        <f>IF(Table1[[#This Row],[customer_subscription]]=1,"Subscribed","Not Subscribed")</f>
        <v>Not Subscribed</v>
      </c>
    </row>
    <row r="1753" spans="1:26" x14ac:dyDescent="0.25">
      <c r="A1753">
        <v>1752</v>
      </c>
      <c r="B1753">
        <v>57</v>
      </c>
      <c r="C1753" t="s">
        <v>22</v>
      </c>
      <c r="D1753">
        <v>1752</v>
      </c>
      <c r="E1753" t="s">
        <v>33</v>
      </c>
      <c r="F1753" t="s">
        <v>24</v>
      </c>
      <c r="G1753">
        <v>1752</v>
      </c>
      <c r="H1753">
        <v>2301</v>
      </c>
      <c r="I1753">
        <v>40</v>
      </c>
      <c r="J1753" t="s">
        <v>126</v>
      </c>
      <c r="K1753" t="s">
        <v>47</v>
      </c>
      <c r="L1753" t="s">
        <v>68</v>
      </c>
      <c r="M1753" t="s">
        <v>28</v>
      </c>
      <c r="N1753">
        <v>3.2</v>
      </c>
      <c r="O1753">
        <v>0</v>
      </c>
      <c r="P1753" t="s">
        <v>73</v>
      </c>
      <c r="Q1753" t="s">
        <v>155</v>
      </c>
      <c r="R1753" t="s">
        <v>155</v>
      </c>
      <c r="S1753">
        <v>34</v>
      </c>
      <c r="T1753" t="s">
        <v>36</v>
      </c>
      <c r="U1753" t="s">
        <v>52</v>
      </c>
      <c r="V1753" s="1">
        <v>45643</v>
      </c>
      <c r="W1753">
        <f>Table1[[#This Row],[customer_purchase count]]+1</f>
        <v>35</v>
      </c>
      <c r="X1753">
        <f>Table1[[#This Row],[customer_purchase count]]*Rules!$B$3</f>
        <v>2031.9882051282052</v>
      </c>
      <c r="Y1753" t="str">
        <f>IF(Table1[[#This Row],[customer_subscription]]=1,"Subscribed","Not Subscribed")</f>
        <v>Not Subscribed</v>
      </c>
    </row>
    <row r="1754" spans="1:26" x14ac:dyDescent="0.25">
      <c r="A1754">
        <v>1753</v>
      </c>
      <c r="B1754">
        <v>34</v>
      </c>
      <c r="C1754" t="s">
        <v>22</v>
      </c>
      <c r="D1754">
        <v>1753</v>
      </c>
      <c r="E1754" t="s">
        <v>140</v>
      </c>
      <c r="F1754" t="s">
        <v>45</v>
      </c>
      <c r="G1754">
        <v>1753</v>
      </c>
      <c r="H1754">
        <v>2302</v>
      </c>
      <c r="I1754">
        <v>29</v>
      </c>
      <c r="J1754" t="s">
        <v>150</v>
      </c>
      <c r="K1754" t="s">
        <v>26</v>
      </c>
      <c r="L1754" t="s">
        <v>147</v>
      </c>
      <c r="M1754" t="s">
        <v>28</v>
      </c>
      <c r="N1754">
        <v>3.3</v>
      </c>
      <c r="O1754">
        <v>0</v>
      </c>
      <c r="P1754" t="s">
        <v>77</v>
      </c>
      <c r="Q1754" t="s">
        <v>155</v>
      </c>
      <c r="R1754" t="s">
        <v>155</v>
      </c>
      <c r="S1754">
        <v>14</v>
      </c>
      <c r="T1754" t="s">
        <v>31</v>
      </c>
      <c r="U1754" t="s">
        <v>61</v>
      </c>
      <c r="V1754" s="1">
        <v>45634</v>
      </c>
      <c r="W1754">
        <f>Table1[[#This Row],[customer_purchase count]]+1</f>
        <v>15</v>
      </c>
      <c r="X1754">
        <f>Table1[[#This Row],[customer_purchase count]]*Rules!$B$3</f>
        <v>836.70102564102569</v>
      </c>
      <c r="Y1754" t="str">
        <f>IF(Table1[[#This Row],[customer_subscription]]=1,"Subscribed","Not Subscribed")</f>
        <v>Not Subscribed</v>
      </c>
      <c r="Z1754" t="s">
        <v>194</v>
      </c>
    </row>
    <row r="1755" spans="1:26" x14ac:dyDescent="0.25">
      <c r="A1755">
        <v>1754</v>
      </c>
      <c r="B1755">
        <v>25</v>
      </c>
      <c r="C1755" t="s">
        <v>22</v>
      </c>
      <c r="D1755">
        <v>1754</v>
      </c>
      <c r="E1755" t="s">
        <v>90</v>
      </c>
      <c r="F1755" t="s">
        <v>24</v>
      </c>
      <c r="G1755">
        <v>1754</v>
      </c>
      <c r="H1755">
        <v>2303</v>
      </c>
      <c r="I1755">
        <v>27</v>
      </c>
      <c r="J1755" t="s">
        <v>115</v>
      </c>
      <c r="K1755" t="s">
        <v>26</v>
      </c>
      <c r="L1755" t="s">
        <v>97</v>
      </c>
      <c r="M1755" t="s">
        <v>60</v>
      </c>
      <c r="N1755">
        <v>4.8</v>
      </c>
      <c r="O1755">
        <v>0</v>
      </c>
      <c r="P1755" t="s">
        <v>48</v>
      </c>
      <c r="Q1755" t="s">
        <v>155</v>
      </c>
      <c r="R1755" t="s">
        <v>155</v>
      </c>
      <c r="S1755">
        <v>23</v>
      </c>
      <c r="T1755" t="s">
        <v>42</v>
      </c>
      <c r="U1755" t="s">
        <v>32</v>
      </c>
      <c r="V1755" s="1">
        <v>45602</v>
      </c>
      <c r="W1755">
        <f>Table1[[#This Row],[customer_purchase count]]+1</f>
        <v>24</v>
      </c>
      <c r="X1755">
        <f>Table1[[#This Row],[customer_purchase count]]*Rules!$B$3</f>
        <v>1374.5802564102564</v>
      </c>
      <c r="Y1755" t="str">
        <f>IF(Table1[[#This Row],[customer_subscription]]=1,"Subscribed","Not Subscribed")</f>
        <v>Not Subscribed</v>
      </c>
    </row>
    <row r="1756" spans="1:26" x14ac:dyDescent="0.25">
      <c r="A1756">
        <v>1755</v>
      </c>
      <c r="B1756">
        <v>66</v>
      </c>
      <c r="C1756" t="s">
        <v>22</v>
      </c>
      <c r="D1756">
        <v>1755</v>
      </c>
      <c r="E1756" t="s">
        <v>84</v>
      </c>
      <c r="F1756" t="s">
        <v>24</v>
      </c>
      <c r="G1756">
        <v>1755</v>
      </c>
      <c r="H1756">
        <v>2305</v>
      </c>
      <c r="I1756">
        <v>93</v>
      </c>
      <c r="J1756" t="s">
        <v>38</v>
      </c>
      <c r="K1756" t="s">
        <v>39</v>
      </c>
      <c r="L1756" t="s">
        <v>121</v>
      </c>
      <c r="M1756" t="s">
        <v>60</v>
      </c>
      <c r="N1756">
        <v>3.8</v>
      </c>
      <c r="O1756">
        <v>0</v>
      </c>
      <c r="P1756" t="s">
        <v>73</v>
      </c>
      <c r="Q1756" t="s">
        <v>155</v>
      </c>
      <c r="R1756" t="s">
        <v>155</v>
      </c>
      <c r="S1756">
        <v>18</v>
      </c>
      <c r="T1756" t="s">
        <v>42</v>
      </c>
      <c r="U1756" t="s">
        <v>32</v>
      </c>
      <c r="V1756" s="1">
        <v>45602</v>
      </c>
      <c r="W1756">
        <f>Table1[[#This Row],[customer_purchase count]]+1</f>
        <v>19</v>
      </c>
      <c r="X1756">
        <f>Table1[[#This Row],[customer_purchase count]]*Rules!$B$3</f>
        <v>1075.7584615384617</v>
      </c>
      <c r="Y1756" t="str">
        <f>IF(Table1[[#This Row],[customer_subscription]]=1,"Subscribed","Not Subscribed")</f>
        <v>Not Subscribed</v>
      </c>
    </row>
    <row r="1757" spans="1:26" x14ac:dyDescent="0.25">
      <c r="A1757">
        <v>1756</v>
      </c>
      <c r="B1757">
        <v>56</v>
      </c>
      <c r="C1757" t="s">
        <v>22</v>
      </c>
      <c r="D1757">
        <v>1756</v>
      </c>
      <c r="E1757" t="s">
        <v>136</v>
      </c>
      <c r="F1757" t="s">
        <v>70</v>
      </c>
      <c r="G1757">
        <v>1756</v>
      </c>
      <c r="H1757">
        <v>2306</v>
      </c>
      <c r="I1757">
        <v>20</v>
      </c>
      <c r="J1757" t="s">
        <v>82</v>
      </c>
      <c r="K1757" t="s">
        <v>95</v>
      </c>
      <c r="L1757" t="s">
        <v>64</v>
      </c>
      <c r="M1757" t="s">
        <v>40</v>
      </c>
      <c r="N1757">
        <v>4.5999999999999996</v>
      </c>
      <c r="O1757">
        <v>0</v>
      </c>
      <c r="P1757" t="s">
        <v>48</v>
      </c>
      <c r="Q1757" t="s">
        <v>155</v>
      </c>
      <c r="R1757" t="s">
        <v>155</v>
      </c>
      <c r="S1757">
        <v>45</v>
      </c>
      <c r="T1757" t="s">
        <v>36</v>
      </c>
      <c r="U1757" t="s">
        <v>91</v>
      </c>
      <c r="V1757" s="1">
        <v>45395</v>
      </c>
      <c r="W1757">
        <f>Table1[[#This Row],[customer_purchase count]]+1</f>
        <v>46</v>
      </c>
      <c r="X1757">
        <f>Table1[[#This Row],[customer_purchase count]]*Rules!$B$3</f>
        <v>2689.396153846154</v>
      </c>
      <c r="Y1757" t="str">
        <f>IF(Table1[[#This Row],[customer_subscription]]=1,"Subscribed","Not Subscribed")</f>
        <v>Not Subscribed</v>
      </c>
    </row>
    <row r="1758" spans="1:26" x14ac:dyDescent="0.25">
      <c r="A1758">
        <v>1757</v>
      </c>
      <c r="B1758">
        <v>49</v>
      </c>
      <c r="C1758" t="s">
        <v>22</v>
      </c>
      <c r="D1758">
        <v>1757</v>
      </c>
      <c r="E1758" t="s">
        <v>109</v>
      </c>
      <c r="F1758" t="s">
        <v>70</v>
      </c>
      <c r="G1758">
        <v>1757</v>
      </c>
      <c r="H1758">
        <v>2307</v>
      </c>
      <c r="I1758">
        <v>55</v>
      </c>
      <c r="J1758" t="s">
        <v>85</v>
      </c>
      <c r="K1758" t="s">
        <v>39</v>
      </c>
      <c r="L1758" t="s">
        <v>112</v>
      </c>
      <c r="M1758" t="s">
        <v>60</v>
      </c>
      <c r="N1758">
        <v>2.8</v>
      </c>
      <c r="O1758">
        <v>0</v>
      </c>
      <c r="P1758" t="s">
        <v>41</v>
      </c>
      <c r="Q1758" t="s">
        <v>155</v>
      </c>
      <c r="R1758" t="s">
        <v>155</v>
      </c>
      <c r="S1758">
        <v>14</v>
      </c>
      <c r="T1758" t="s">
        <v>78</v>
      </c>
      <c r="U1758" t="s">
        <v>43</v>
      </c>
      <c r="V1758" s="1">
        <v>45589</v>
      </c>
      <c r="W1758">
        <f>Table1[[#This Row],[customer_purchase count]]+1</f>
        <v>15</v>
      </c>
      <c r="X1758">
        <f>Table1[[#This Row],[customer_purchase count]]*Rules!$B$3</f>
        <v>836.70102564102569</v>
      </c>
      <c r="Y1758" t="str">
        <f>IF(Table1[[#This Row],[customer_subscription]]=1,"Subscribed","Not Subscribed")</f>
        <v>Not Subscribed</v>
      </c>
      <c r="Z1758" t="s">
        <v>194</v>
      </c>
    </row>
    <row r="1759" spans="1:26" x14ac:dyDescent="0.25">
      <c r="A1759">
        <v>1758</v>
      </c>
      <c r="B1759">
        <v>19</v>
      </c>
      <c r="C1759" t="s">
        <v>22</v>
      </c>
      <c r="D1759">
        <v>1758</v>
      </c>
      <c r="E1759" t="s">
        <v>84</v>
      </c>
      <c r="F1759" t="s">
        <v>24</v>
      </c>
      <c r="G1759">
        <v>1758</v>
      </c>
      <c r="H1759">
        <v>2308</v>
      </c>
      <c r="I1759">
        <v>94</v>
      </c>
      <c r="J1759" t="s">
        <v>154</v>
      </c>
      <c r="K1759" t="s">
        <v>26</v>
      </c>
      <c r="L1759" t="s">
        <v>137</v>
      </c>
      <c r="M1759" t="s">
        <v>60</v>
      </c>
      <c r="N1759">
        <v>3.6</v>
      </c>
      <c r="O1759">
        <v>0</v>
      </c>
      <c r="P1759" t="s">
        <v>57</v>
      </c>
      <c r="Q1759" t="s">
        <v>155</v>
      </c>
      <c r="R1759" t="s">
        <v>155</v>
      </c>
      <c r="S1759">
        <v>48</v>
      </c>
      <c r="T1759" t="s">
        <v>89</v>
      </c>
      <c r="U1759" t="s">
        <v>52</v>
      </c>
      <c r="V1759" s="1">
        <v>45622</v>
      </c>
      <c r="W1759">
        <f>Table1[[#This Row],[customer_purchase count]]+1</f>
        <v>49</v>
      </c>
      <c r="X1759">
        <f>Table1[[#This Row],[customer_purchase count]]*Rules!$B$3</f>
        <v>2868.689230769231</v>
      </c>
      <c r="Y1759" t="str">
        <f>IF(Table1[[#This Row],[customer_subscription]]=1,"Subscribed","Not Subscribed")</f>
        <v>Not Subscribed</v>
      </c>
    </row>
    <row r="1760" spans="1:26" x14ac:dyDescent="0.25">
      <c r="A1760">
        <v>1759</v>
      </c>
      <c r="B1760">
        <v>27</v>
      </c>
      <c r="C1760" t="s">
        <v>22</v>
      </c>
      <c r="D1760">
        <v>1759</v>
      </c>
      <c r="E1760" t="s">
        <v>127</v>
      </c>
      <c r="F1760" t="s">
        <v>70</v>
      </c>
      <c r="G1760">
        <v>1759</v>
      </c>
      <c r="H1760">
        <v>2309</v>
      </c>
      <c r="I1760">
        <v>56</v>
      </c>
      <c r="J1760" t="s">
        <v>141</v>
      </c>
      <c r="K1760" t="s">
        <v>47</v>
      </c>
      <c r="L1760" t="s">
        <v>68</v>
      </c>
      <c r="M1760" t="s">
        <v>28</v>
      </c>
      <c r="N1760">
        <v>4.3</v>
      </c>
      <c r="O1760">
        <v>0</v>
      </c>
      <c r="P1760" t="s">
        <v>41</v>
      </c>
      <c r="Q1760" t="s">
        <v>155</v>
      </c>
      <c r="R1760" t="s">
        <v>155</v>
      </c>
      <c r="S1760">
        <v>17</v>
      </c>
      <c r="T1760" t="s">
        <v>31</v>
      </c>
      <c r="U1760" t="s">
        <v>79</v>
      </c>
      <c r="V1760" s="1">
        <v>45309</v>
      </c>
      <c r="W1760">
        <f>Table1[[#This Row],[customer_purchase count]]+1</f>
        <v>18</v>
      </c>
      <c r="X1760">
        <f>Table1[[#This Row],[customer_purchase count]]*Rules!$B$3</f>
        <v>1015.9941025641026</v>
      </c>
      <c r="Y1760" t="str">
        <f>IF(Table1[[#This Row],[customer_subscription]]=1,"Subscribed","Not Subscribed")</f>
        <v>Not Subscribed</v>
      </c>
      <c r="Z1760" t="s">
        <v>187</v>
      </c>
    </row>
    <row r="1761" spans="1:26" x14ac:dyDescent="0.25">
      <c r="A1761">
        <v>1760</v>
      </c>
      <c r="B1761">
        <v>68</v>
      </c>
      <c r="C1761" t="s">
        <v>22</v>
      </c>
      <c r="D1761">
        <v>1760</v>
      </c>
      <c r="E1761" t="s">
        <v>33</v>
      </c>
      <c r="F1761" t="s">
        <v>24</v>
      </c>
      <c r="G1761">
        <v>1760</v>
      </c>
      <c r="H1761">
        <v>2311</v>
      </c>
      <c r="I1761">
        <v>58</v>
      </c>
      <c r="J1761" t="s">
        <v>63</v>
      </c>
      <c r="K1761" t="s">
        <v>26</v>
      </c>
      <c r="L1761" t="s">
        <v>99</v>
      </c>
      <c r="M1761" t="s">
        <v>40</v>
      </c>
      <c r="N1761">
        <v>4</v>
      </c>
      <c r="O1761">
        <v>0</v>
      </c>
      <c r="P1761" t="s">
        <v>48</v>
      </c>
      <c r="Q1761" t="s">
        <v>155</v>
      </c>
      <c r="R1761" t="s">
        <v>155</v>
      </c>
      <c r="S1761">
        <v>1</v>
      </c>
      <c r="T1761" t="s">
        <v>49</v>
      </c>
      <c r="U1761" t="s">
        <v>43</v>
      </c>
      <c r="V1761" s="1">
        <v>45365</v>
      </c>
      <c r="W1761">
        <f>Table1[[#This Row],[customer_purchase count]]+1</f>
        <v>2</v>
      </c>
      <c r="X1761">
        <f>Table1[[#This Row],[customer_purchase count]]*Rules!$B$3</f>
        <v>59.764358974358977</v>
      </c>
      <c r="Y1761" t="str">
        <f>IF(Table1[[#This Row],[customer_subscription]]=1,"Subscribed","Not Subscribed")</f>
        <v>Not Subscribed</v>
      </c>
      <c r="Z1761" t="s">
        <v>194</v>
      </c>
    </row>
    <row r="1762" spans="1:26" x14ac:dyDescent="0.25">
      <c r="A1762">
        <v>1761</v>
      </c>
      <c r="B1762">
        <v>20</v>
      </c>
      <c r="C1762" t="s">
        <v>22</v>
      </c>
      <c r="D1762">
        <v>1761</v>
      </c>
      <c r="E1762" t="s">
        <v>90</v>
      </c>
      <c r="F1762" t="s">
        <v>24</v>
      </c>
      <c r="G1762">
        <v>1761</v>
      </c>
      <c r="H1762">
        <v>2312</v>
      </c>
      <c r="I1762">
        <v>44</v>
      </c>
      <c r="J1762" t="s">
        <v>151</v>
      </c>
      <c r="K1762" t="s">
        <v>95</v>
      </c>
      <c r="L1762" t="s">
        <v>103</v>
      </c>
      <c r="M1762" t="s">
        <v>40</v>
      </c>
      <c r="N1762">
        <v>3.5</v>
      </c>
      <c r="O1762">
        <v>0</v>
      </c>
      <c r="P1762" t="s">
        <v>57</v>
      </c>
      <c r="Q1762" t="s">
        <v>155</v>
      </c>
      <c r="R1762" t="s">
        <v>155</v>
      </c>
      <c r="S1762">
        <v>39</v>
      </c>
      <c r="T1762" t="s">
        <v>49</v>
      </c>
      <c r="U1762" t="s">
        <v>43</v>
      </c>
      <c r="V1762" s="1">
        <v>45365</v>
      </c>
      <c r="W1762">
        <f>Table1[[#This Row],[customer_purchase count]]+1</f>
        <v>40</v>
      </c>
      <c r="X1762">
        <f>Table1[[#This Row],[customer_purchase count]]*Rules!$B$3</f>
        <v>2330.81</v>
      </c>
      <c r="Y1762" t="str">
        <f>IF(Table1[[#This Row],[customer_subscription]]=1,"Subscribed","Not Subscribed")</f>
        <v>Not Subscribed</v>
      </c>
    </row>
    <row r="1763" spans="1:26" x14ac:dyDescent="0.25">
      <c r="A1763">
        <v>1762</v>
      </c>
      <c r="B1763">
        <v>21</v>
      </c>
      <c r="C1763" t="s">
        <v>22</v>
      </c>
      <c r="D1763">
        <v>1762</v>
      </c>
      <c r="E1763" t="s">
        <v>107</v>
      </c>
      <c r="F1763" t="s">
        <v>24</v>
      </c>
      <c r="G1763">
        <v>1762</v>
      </c>
      <c r="H1763">
        <v>2313</v>
      </c>
      <c r="I1763">
        <v>95</v>
      </c>
      <c r="J1763" t="s">
        <v>80</v>
      </c>
      <c r="K1763" t="s">
        <v>39</v>
      </c>
      <c r="L1763" t="s">
        <v>99</v>
      </c>
      <c r="M1763" t="s">
        <v>60</v>
      </c>
      <c r="N1763">
        <v>4.9000000000000004</v>
      </c>
      <c r="O1763">
        <v>0</v>
      </c>
      <c r="P1763" t="s">
        <v>73</v>
      </c>
      <c r="Q1763" t="s">
        <v>155</v>
      </c>
      <c r="R1763" t="s">
        <v>155</v>
      </c>
      <c r="S1763">
        <v>24</v>
      </c>
      <c r="T1763" t="s">
        <v>36</v>
      </c>
      <c r="U1763" t="s">
        <v>43</v>
      </c>
      <c r="V1763" s="1">
        <v>45570</v>
      </c>
      <c r="W1763">
        <f>Table1[[#This Row],[customer_purchase count]]+1</f>
        <v>25</v>
      </c>
      <c r="X1763">
        <f>Table1[[#This Row],[customer_purchase count]]*Rules!$B$3</f>
        <v>1434.3446153846155</v>
      </c>
      <c r="Y1763" t="str">
        <f>IF(Table1[[#This Row],[customer_subscription]]=1,"Subscribed","Not Subscribed")</f>
        <v>Not Subscribed</v>
      </c>
    </row>
    <row r="1764" spans="1:26" x14ac:dyDescent="0.25">
      <c r="A1764">
        <v>1763</v>
      </c>
      <c r="B1764">
        <v>36</v>
      </c>
      <c r="C1764" t="s">
        <v>22</v>
      </c>
      <c r="D1764">
        <v>1763</v>
      </c>
      <c r="E1764" t="s">
        <v>44</v>
      </c>
      <c r="F1764" t="s">
        <v>45</v>
      </c>
      <c r="G1764">
        <v>1763</v>
      </c>
      <c r="H1764">
        <v>2314</v>
      </c>
      <c r="I1764">
        <v>42</v>
      </c>
      <c r="J1764" t="s">
        <v>138</v>
      </c>
      <c r="K1764" t="s">
        <v>47</v>
      </c>
      <c r="L1764" t="s">
        <v>113</v>
      </c>
      <c r="M1764" t="s">
        <v>56</v>
      </c>
      <c r="N1764">
        <v>3.1</v>
      </c>
      <c r="O1764">
        <v>0</v>
      </c>
      <c r="P1764" t="s">
        <v>29</v>
      </c>
      <c r="Q1764" t="s">
        <v>155</v>
      </c>
      <c r="R1764" t="s">
        <v>155</v>
      </c>
      <c r="S1764">
        <v>41</v>
      </c>
      <c r="T1764" t="s">
        <v>78</v>
      </c>
      <c r="U1764" t="s">
        <v>32</v>
      </c>
      <c r="V1764" s="1">
        <v>45496</v>
      </c>
      <c r="W1764">
        <f>Table1[[#This Row],[customer_purchase count]]+1</f>
        <v>42</v>
      </c>
      <c r="X1764">
        <f>Table1[[#This Row],[customer_purchase count]]*Rules!$B$3</f>
        <v>2450.3387179487181</v>
      </c>
      <c r="Y1764" t="str">
        <f>IF(Table1[[#This Row],[customer_subscription]]=1,"Subscribed","Not Subscribed")</f>
        <v>Not Subscribed</v>
      </c>
    </row>
    <row r="1765" spans="1:26" x14ac:dyDescent="0.25">
      <c r="A1765">
        <v>1764</v>
      </c>
      <c r="B1765">
        <v>37</v>
      </c>
      <c r="C1765" t="s">
        <v>22</v>
      </c>
      <c r="D1765">
        <v>1764</v>
      </c>
      <c r="E1765" t="s">
        <v>109</v>
      </c>
      <c r="F1765" t="s">
        <v>70</v>
      </c>
      <c r="G1765">
        <v>1764</v>
      </c>
      <c r="H1765">
        <v>2315</v>
      </c>
      <c r="I1765">
        <v>93</v>
      </c>
      <c r="J1765" t="s">
        <v>132</v>
      </c>
      <c r="K1765" t="s">
        <v>47</v>
      </c>
      <c r="L1765" t="s">
        <v>96</v>
      </c>
      <c r="M1765" t="s">
        <v>28</v>
      </c>
      <c r="N1765">
        <v>3.9</v>
      </c>
      <c r="O1765">
        <v>0</v>
      </c>
      <c r="P1765" t="s">
        <v>77</v>
      </c>
      <c r="Q1765" t="s">
        <v>155</v>
      </c>
      <c r="R1765" t="s">
        <v>155</v>
      </c>
      <c r="S1765">
        <v>28</v>
      </c>
      <c r="T1765" t="s">
        <v>49</v>
      </c>
      <c r="U1765" t="s">
        <v>52</v>
      </c>
      <c r="V1765" s="1">
        <v>45652</v>
      </c>
      <c r="W1765">
        <f>Table1[[#This Row],[customer_purchase count]]+1</f>
        <v>29</v>
      </c>
      <c r="X1765">
        <f>Table1[[#This Row],[customer_purchase count]]*Rules!$B$3</f>
        <v>1673.4020512820514</v>
      </c>
      <c r="Y1765" t="str">
        <f>IF(Table1[[#This Row],[customer_subscription]]=1,"Subscribed","Not Subscribed")</f>
        <v>Not Subscribed</v>
      </c>
    </row>
    <row r="1766" spans="1:26" x14ac:dyDescent="0.25">
      <c r="A1766">
        <v>1765</v>
      </c>
      <c r="B1766">
        <v>61</v>
      </c>
      <c r="C1766" t="s">
        <v>22</v>
      </c>
      <c r="D1766">
        <v>1765</v>
      </c>
      <c r="E1766" t="s">
        <v>84</v>
      </c>
      <c r="F1766" t="s">
        <v>24</v>
      </c>
      <c r="G1766">
        <v>1765</v>
      </c>
      <c r="H1766">
        <v>2317</v>
      </c>
      <c r="I1766">
        <v>56</v>
      </c>
      <c r="J1766" t="s">
        <v>82</v>
      </c>
      <c r="K1766" t="s">
        <v>47</v>
      </c>
      <c r="L1766" t="s">
        <v>64</v>
      </c>
      <c r="M1766" t="s">
        <v>56</v>
      </c>
      <c r="N1766">
        <v>3</v>
      </c>
      <c r="O1766">
        <v>0</v>
      </c>
      <c r="P1766" t="s">
        <v>77</v>
      </c>
      <c r="Q1766" t="s">
        <v>155</v>
      </c>
      <c r="R1766" t="s">
        <v>155</v>
      </c>
      <c r="S1766">
        <v>34</v>
      </c>
      <c r="T1766" t="s">
        <v>31</v>
      </c>
      <c r="U1766" t="s">
        <v>61</v>
      </c>
      <c r="V1766" s="1">
        <v>45529</v>
      </c>
      <c r="W1766">
        <f>Table1[[#This Row],[customer_purchase count]]+1</f>
        <v>35</v>
      </c>
      <c r="X1766">
        <f>Table1[[#This Row],[customer_purchase count]]*Rules!$B$3</f>
        <v>2031.9882051282052</v>
      </c>
      <c r="Y1766" t="str">
        <f>IF(Table1[[#This Row],[customer_subscription]]=1,"Subscribed","Not Subscribed")</f>
        <v>Not Subscribed</v>
      </c>
    </row>
    <row r="1767" spans="1:26" x14ac:dyDescent="0.25">
      <c r="A1767">
        <v>1766</v>
      </c>
      <c r="B1767">
        <v>68</v>
      </c>
      <c r="C1767" t="s">
        <v>22</v>
      </c>
      <c r="D1767">
        <v>1766</v>
      </c>
      <c r="E1767" t="s">
        <v>107</v>
      </c>
      <c r="F1767" t="s">
        <v>24</v>
      </c>
      <c r="G1767">
        <v>1766</v>
      </c>
      <c r="H1767">
        <v>2318</v>
      </c>
      <c r="I1767">
        <v>88</v>
      </c>
      <c r="J1767" t="s">
        <v>133</v>
      </c>
      <c r="K1767" t="s">
        <v>47</v>
      </c>
      <c r="L1767" t="s">
        <v>124</v>
      </c>
      <c r="M1767" t="s">
        <v>40</v>
      </c>
      <c r="N1767">
        <v>4.0999999999999996</v>
      </c>
      <c r="O1767">
        <v>0</v>
      </c>
      <c r="P1767" t="s">
        <v>73</v>
      </c>
      <c r="Q1767" t="s">
        <v>155</v>
      </c>
      <c r="R1767" t="s">
        <v>155</v>
      </c>
      <c r="S1767">
        <v>41</v>
      </c>
      <c r="T1767" t="s">
        <v>31</v>
      </c>
      <c r="U1767" t="s">
        <v>61</v>
      </c>
      <c r="V1767" s="1">
        <v>45366</v>
      </c>
      <c r="W1767">
        <f>Table1[[#This Row],[customer_purchase count]]+1</f>
        <v>42</v>
      </c>
      <c r="X1767">
        <f>Table1[[#This Row],[customer_purchase count]]*Rules!$B$3</f>
        <v>2450.3387179487181</v>
      </c>
      <c r="Y1767" t="str">
        <f>IF(Table1[[#This Row],[customer_subscription]]=1,"Subscribed","Not Subscribed")</f>
        <v>Not Subscribed</v>
      </c>
    </row>
    <row r="1768" spans="1:26" x14ac:dyDescent="0.25">
      <c r="A1768">
        <v>1767</v>
      </c>
      <c r="B1768">
        <v>60</v>
      </c>
      <c r="C1768" t="s">
        <v>22</v>
      </c>
      <c r="D1768">
        <v>1767</v>
      </c>
      <c r="E1768" t="s">
        <v>33</v>
      </c>
      <c r="F1768" t="s">
        <v>24</v>
      </c>
      <c r="G1768">
        <v>1767</v>
      </c>
      <c r="H1768">
        <v>2319</v>
      </c>
      <c r="I1768">
        <v>54</v>
      </c>
      <c r="J1768" t="s">
        <v>123</v>
      </c>
      <c r="K1768" t="s">
        <v>39</v>
      </c>
      <c r="L1768" t="s">
        <v>112</v>
      </c>
      <c r="M1768" t="s">
        <v>28</v>
      </c>
      <c r="N1768">
        <v>4.3</v>
      </c>
      <c r="O1768">
        <v>0</v>
      </c>
      <c r="P1768" t="s">
        <v>73</v>
      </c>
      <c r="Q1768" t="s">
        <v>155</v>
      </c>
      <c r="R1768" t="s">
        <v>155</v>
      </c>
      <c r="S1768">
        <v>27</v>
      </c>
      <c r="T1768" t="s">
        <v>36</v>
      </c>
      <c r="U1768" t="s">
        <v>79</v>
      </c>
      <c r="V1768" s="1">
        <v>45337</v>
      </c>
      <c r="W1768">
        <f>Table1[[#This Row],[customer_purchase count]]+1</f>
        <v>28</v>
      </c>
      <c r="X1768">
        <f>Table1[[#This Row],[customer_purchase count]]*Rules!$B$3</f>
        <v>1613.6376923076923</v>
      </c>
      <c r="Y1768" t="str">
        <f>IF(Table1[[#This Row],[customer_subscription]]=1,"Subscribed","Not Subscribed")</f>
        <v>Not Subscribed</v>
      </c>
    </row>
    <row r="1769" spans="1:26" x14ac:dyDescent="0.25">
      <c r="A1769">
        <v>1768</v>
      </c>
      <c r="B1769">
        <v>69</v>
      </c>
      <c r="C1769" t="s">
        <v>22</v>
      </c>
      <c r="D1769">
        <v>1768</v>
      </c>
      <c r="E1769" t="s">
        <v>109</v>
      </c>
      <c r="F1769" t="s">
        <v>70</v>
      </c>
      <c r="G1769">
        <v>1768</v>
      </c>
      <c r="H1769">
        <v>2320</v>
      </c>
      <c r="I1769">
        <v>89</v>
      </c>
      <c r="J1769" t="s">
        <v>151</v>
      </c>
      <c r="K1769" t="s">
        <v>26</v>
      </c>
      <c r="L1769" t="s">
        <v>96</v>
      </c>
      <c r="M1769" t="s">
        <v>60</v>
      </c>
      <c r="N1769">
        <v>3.8</v>
      </c>
      <c r="O1769">
        <v>0</v>
      </c>
      <c r="P1769" t="s">
        <v>73</v>
      </c>
      <c r="Q1769" t="s">
        <v>155</v>
      </c>
      <c r="R1769" t="s">
        <v>155</v>
      </c>
      <c r="S1769">
        <v>46</v>
      </c>
      <c r="T1769" t="s">
        <v>89</v>
      </c>
      <c r="U1769" t="s">
        <v>32</v>
      </c>
      <c r="V1769" s="1">
        <v>45563</v>
      </c>
      <c r="W1769">
        <f>Table1[[#This Row],[customer_purchase count]]+1</f>
        <v>47</v>
      </c>
      <c r="X1769">
        <f>Table1[[#This Row],[customer_purchase count]]*Rules!$B$3</f>
        <v>2749.1605128205128</v>
      </c>
      <c r="Y1769" t="str">
        <f>IF(Table1[[#This Row],[customer_subscription]]=1,"Subscribed","Not Subscribed")</f>
        <v>Not Subscribed</v>
      </c>
    </row>
    <row r="1770" spans="1:26" x14ac:dyDescent="0.25">
      <c r="A1770">
        <v>1769</v>
      </c>
      <c r="B1770">
        <v>25</v>
      </c>
      <c r="C1770" t="s">
        <v>22</v>
      </c>
      <c r="D1770">
        <v>1769</v>
      </c>
      <c r="E1770" t="s">
        <v>44</v>
      </c>
      <c r="F1770" t="s">
        <v>45</v>
      </c>
      <c r="G1770">
        <v>1769</v>
      </c>
      <c r="H1770">
        <v>2321</v>
      </c>
      <c r="I1770">
        <v>45</v>
      </c>
      <c r="J1770" t="s">
        <v>148</v>
      </c>
      <c r="K1770" t="s">
        <v>47</v>
      </c>
      <c r="L1770" t="s">
        <v>129</v>
      </c>
      <c r="M1770" t="s">
        <v>56</v>
      </c>
      <c r="N1770">
        <v>3.9</v>
      </c>
      <c r="O1770">
        <v>0</v>
      </c>
      <c r="P1770" t="s">
        <v>73</v>
      </c>
      <c r="Q1770" t="s">
        <v>155</v>
      </c>
      <c r="R1770" t="s">
        <v>155</v>
      </c>
      <c r="S1770">
        <v>2</v>
      </c>
      <c r="T1770" t="s">
        <v>49</v>
      </c>
      <c r="U1770" t="s">
        <v>100</v>
      </c>
      <c r="V1770" s="1">
        <v>45465</v>
      </c>
      <c r="W1770">
        <f>Table1[[#This Row],[customer_purchase count]]+1</f>
        <v>3</v>
      </c>
      <c r="X1770">
        <f>Table1[[#This Row],[customer_purchase count]]*Rules!$B$3</f>
        <v>119.52871794871795</v>
      </c>
      <c r="Y1770" t="str">
        <f>IF(Table1[[#This Row],[customer_subscription]]=1,"Subscribed","Not Subscribed")</f>
        <v>Not Subscribed</v>
      </c>
      <c r="Z1770" t="s">
        <v>194</v>
      </c>
    </row>
    <row r="1771" spans="1:26" x14ac:dyDescent="0.25">
      <c r="A1771">
        <v>1770</v>
      </c>
      <c r="B1771">
        <v>32</v>
      </c>
      <c r="C1771" t="s">
        <v>22</v>
      </c>
      <c r="D1771">
        <v>1770</v>
      </c>
      <c r="E1771" t="s">
        <v>128</v>
      </c>
      <c r="F1771" t="s">
        <v>24</v>
      </c>
      <c r="G1771">
        <v>1770</v>
      </c>
      <c r="H1771">
        <v>2323</v>
      </c>
      <c r="I1771">
        <v>75</v>
      </c>
      <c r="J1771" t="s">
        <v>123</v>
      </c>
      <c r="K1771" t="s">
        <v>26</v>
      </c>
      <c r="L1771" t="s">
        <v>113</v>
      </c>
      <c r="M1771" t="s">
        <v>28</v>
      </c>
      <c r="N1771">
        <v>4.3</v>
      </c>
      <c r="O1771">
        <v>0</v>
      </c>
      <c r="P1771" t="s">
        <v>41</v>
      </c>
      <c r="Q1771" t="s">
        <v>155</v>
      </c>
      <c r="R1771" t="s">
        <v>155</v>
      </c>
      <c r="S1771">
        <v>45</v>
      </c>
      <c r="T1771" t="s">
        <v>36</v>
      </c>
      <c r="U1771" t="s">
        <v>91</v>
      </c>
      <c r="V1771" s="1">
        <v>45638</v>
      </c>
      <c r="W1771">
        <f>Table1[[#This Row],[customer_purchase count]]+1</f>
        <v>46</v>
      </c>
      <c r="X1771">
        <f>Table1[[#This Row],[customer_purchase count]]*Rules!$B$3</f>
        <v>2689.396153846154</v>
      </c>
      <c r="Y1771" t="str">
        <f>IF(Table1[[#This Row],[customer_subscription]]=1,"Subscribed","Not Subscribed")</f>
        <v>Not Subscribed</v>
      </c>
    </row>
    <row r="1772" spans="1:26" x14ac:dyDescent="0.25">
      <c r="A1772">
        <v>1771</v>
      </c>
      <c r="B1772">
        <v>53</v>
      </c>
      <c r="C1772" t="s">
        <v>22</v>
      </c>
      <c r="D1772">
        <v>1771</v>
      </c>
      <c r="E1772" t="s">
        <v>135</v>
      </c>
      <c r="F1772" t="s">
        <v>70</v>
      </c>
      <c r="G1772">
        <v>1771</v>
      </c>
      <c r="H1772">
        <v>2324</v>
      </c>
      <c r="I1772">
        <v>22</v>
      </c>
      <c r="J1772" t="s">
        <v>154</v>
      </c>
      <c r="K1772" t="s">
        <v>47</v>
      </c>
      <c r="L1772" t="s">
        <v>72</v>
      </c>
      <c r="M1772" t="s">
        <v>60</v>
      </c>
      <c r="N1772">
        <v>4.3</v>
      </c>
      <c r="O1772">
        <v>0</v>
      </c>
      <c r="P1772" t="s">
        <v>29</v>
      </c>
      <c r="Q1772" t="s">
        <v>155</v>
      </c>
      <c r="R1772" t="s">
        <v>155</v>
      </c>
      <c r="S1772">
        <v>34</v>
      </c>
      <c r="T1772" t="s">
        <v>78</v>
      </c>
      <c r="U1772" t="s">
        <v>43</v>
      </c>
      <c r="V1772" s="1">
        <v>45539</v>
      </c>
      <c r="W1772">
        <f>Table1[[#This Row],[customer_purchase count]]+1</f>
        <v>35</v>
      </c>
      <c r="X1772">
        <f>Table1[[#This Row],[customer_purchase count]]*Rules!$B$3</f>
        <v>2031.9882051282052</v>
      </c>
      <c r="Y1772" t="str">
        <f>IF(Table1[[#This Row],[customer_subscription]]=1,"Subscribed","Not Subscribed")</f>
        <v>Not Subscribed</v>
      </c>
    </row>
    <row r="1773" spans="1:26" x14ac:dyDescent="0.25">
      <c r="A1773">
        <v>1772</v>
      </c>
      <c r="B1773">
        <v>46</v>
      </c>
      <c r="C1773" t="s">
        <v>22</v>
      </c>
      <c r="D1773">
        <v>1772</v>
      </c>
      <c r="E1773" t="s">
        <v>58</v>
      </c>
      <c r="F1773" t="s">
        <v>24</v>
      </c>
      <c r="G1773">
        <v>1772</v>
      </c>
      <c r="H1773">
        <v>2325</v>
      </c>
      <c r="I1773">
        <v>82</v>
      </c>
      <c r="J1773" t="s">
        <v>119</v>
      </c>
      <c r="K1773" t="s">
        <v>95</v>
      </c>
      <c r="L1773" t="s">
        <v>51</v>
      </c>
      <c r="M1773" t="s">
        <v>60</v>
      </c>
      <c r="N1773">
        <v>4.7</v>
      </c>
      <c r="O1773">
        <v>0</v>
      </c>
      <c r="P1773" t="s">
        <v>77</v>
      </c>
      <c r="Q1773" t="s">
        <v>155</v>
      </c>
      <c r="R1773" t="s">
        <v>155</v>
      </c>
      <c r="S1773">
        <v>9</v>
      </c>
      <c r="T1773" t="s">
        <v>42</v>
      </c>
      <c r="U1773" t="s">
        <v>52</v>
      </c>
      <c r="V1773" s="1">
        <v>45563</v>
      </c>
      <c r="W1773">
        <f>Table1[[#This Row],[customer_purchase count]]+1</f>
        <v>10</v>
      </c>
      <c r="X1773">
        <f>Table1[[#This Row],[customer_purchase count]]*Rules!$B$3</f>
        <v>537.87923076923084</v>
      </c>
      <c r="Y1773" t="str">
        <f>IF(Table1[[#This Row],[customer_subscription]]=1,"Subscribed","Not Subscribed")</f>
        <v>Not Subscribed</v>
      </c>
      <c r="Z1773" t="s">
        <v>194</v>
      </c>
    </row>
    <row r="1774" spans="1:26" x14ac:dyDescent="0.25">
      <c r="A1774">
        <v>1773</v>
      </c>
      <c r="B1774">
        <v>58</v>
      </c>
      <c r="C1774" t="s">
        <v>22</v>
      </c>
      <c r="D1774">
        <v>1773</v>
      </c>
      <c r="E1774" t="s">
        <v>74</v>
      </c>
      <c r="F1774" t="s">
        <v>45</v>
      </c>
      <c r="G1774">
        <v>1773</v>
      </c>
      <c r="H1774">
        <v>2326</v>
      </c>
      <c r="I1774">
        <v>34</v>
      </c>
      <c r="J1774" t="s">
        <v>80</v>
      </c>
      <c r="K1774" t="s">
        <v>47</v>
      </c>
      <c r="L1774" t="s">
        <v>83</v>
      </c>
      <c r="M1774" t="s">
        <v>56</v>
      </c>
      <c r="N1774">
        <v>3.1</v>
      </c>
      <c r="O1774">
        <v>0</v>
      </c>
      <c r="P1774" t="s">
        <v>73</v>
      </c>
      <c r="Q1774" t="s">
        <v>155</v>
      </c>
      <c r="R1774" t="s">
        <v>155</v>
      </c>
      <c r="S1774">
        <v>1</v>
      </c>
      <c r="T1774" t="s">
        <v>78</v>
      </c>
      <c r="U1774" t="s">
        <v>52</v>
      </c>
      <c r="V1774" s="1">
        <v>45453</v>
      </c>
      <c r="W1774">
        <f>Table1[[#This Row],[customer_purchase count]]+1</f>
        <v>2</v>
      </c>
      <c r="X1774">
        <f>Table1[[#This Row],[customer_purchase count]]*Rules!$B$3</f>
        <v>59.764358974358977</v>
      </c>
      <c r="Y1774" t="str">
        <f>IF(Table1[[#This Row],[customer_subscription]]=1,"Subscribed","Not Subscribed")</f>
        <v>Not Subscribed</v>
      </c>
      <c r="Z1774" t="s">
        <v>194</v>
      </c>
    </row>
    <row r="1775" spans="1:26" x14ac:dyDescent="0.25">
      <c r="A1775">
        <v>1774</v>
      </c>
      <c r="B1775">
        <v>21</v>
      </c>
      <c r="C1775" t="s">
        <v>22</v>
      </c>
      <c r="D1775">
        <v>1774</v>
      </c>
      <c r="E1775" t="s">
        <v>65</v>
      </c>
      <c r="F1775" t="s">
        <v>66</v>
      </c>
      <c r="G1775">
        <v>1774</v>
      </c>
      <c r="H1775">
        <v>2327</v>
      </c>
      <c r="I1775">
        <v>92</v>
      </c>
      <c r="J1775" t="s">
        <v>67</v>
      </c>
      <c r="K1775" t="s">
        <v>47</v>
      </c>
      <c r="L1775" t="s">
        <v>147</v>
      </c>
      <c r="M1775" t="s">
        <v>56</v>
      </c>
      <c r="N1775">
        <v>2.7</v>
      </c>
      <c r="O1775">
        <v>0</v>
      </c>
      <c r="P1775" t="s">
        <v>41</v>
      </c>
      <c r="Q1775" t="s">
        <v>155</v>
      </c>
      <c r="R1775" t="s">
        <v>155</v>
      </c>
      <c r="S1775">
        <v>17</v>
      </c>
      <c r="T1775" t="s">
        <v>49</v>
      </c>
      <c r="U1775" t="s">
        <v>52</v>
      </c>
      <c r="V1775" s="1">
        <v>45452</v>
      </c>
      <c r="W1775">
        <f>Table1[[#This Row],[customer_purchase count]]+1</f>
        <v>18</v>
      </c>
      <c r="X1775">
        <f>Table1[[#This Row],[customer_purchase count]]*Rules!$B$3</f>
        <v>1015.9941025641026</v>
      </c>
      <c r="Y1775" t="str">
        <f>IF(Table1[[#This Row],[customer_subscription]]=1,"Subscribed","Not Subscribed")</f>
        <v>Not Subscribed</v>
      </c>
      <c r="Z1775" t="s">
        <v>187</v>
      </c>
    </row>
    <row r="1776" spans="1:26" x14ac:dyDescent="0.25">
      <c r="A1776">
        <v>1775</v>
      </c>
      <c r="B1776">
        <v>46</v>
      </c>
      <c r="C1776" t="s">
        <v>22</v>
      </c>
      <c r="D1776">
        <v>1775</v>
      </c>
      <c r="E1776" t="s">
        <v>33</v>
      </c>
      <c r="F1776" t="s">
        <v>24</v>
      </c>
      <c r="G1776">
        <v>1775</v>
      </c>
      <c r="H1776">
        <v>2329</v>
      </c>
      <c r="I1776">
        <v>78</v>
      </c>
      <c r="J1776" t="s">
        <v>87</v>
      </c>
      <c r="K1776" t="s">
        <v>47</v>
      </c>
      <c r="L1776" t="s">
        <v>96</v>
      </c>
      <c r="M1776" t="s">
        <v>40</v>
      </c>
      <c r="N1776">
        <v>3.7</v>
      </c>
      <c r="O1776">
        <v>0</v>
      </c>
      <c r="P1776" t="s">
        <v>29</v>
      </c>
      <c r="Q1776" t="s">
        <v>155</v>
      </c>
      <c r="R1776" t="s">
        <v>155</v>
      </c>
      <c r="S1776">
        <v>6</v>
      </c>
      <c r="T1776" t="s">
        <v>49</v>
      </c>
      <c r="U1776" t="s">
        <v>43</v>
      </c>
      <c r="V1776" s="1">
        <v>45399</v>
      </c>
      <c r="W1776">
        <f>Table1[[#This Row],[customer_purchase count]]+1</f>
        <v>7</v>
      </c>
      <c r="X1776">
        <f>Table1[[#This Row],[customer_purchase count]]*Rules!$B$3</f>
        <v>358.58615384615388</v>
      </c>
      <c r="Y1776" t="str">
        <f>IF(Table1[[#This Row],[customer_subscription]]=1,"Subscribed","Not Subscribed")</f>
        <v>Not Subscribed</v>
      </c>
      <c r="Z1776" t="s">
        <v>194</v>
      </c>
    </row>
    <row r="1777" spans="1:26" x14ac:dyDescent="0.25">
      <c r="A1777">
        <v>1776</v>
      </c>
      <c r="B1777">
        <v>18</v>
      </c>
      <c r="C1777" t="s">
        <v>22</v>
      </c>
      <c r="D1777">
        <v>1776</v>
      </c>
      <c r="E1777" t="s">
        <v>105</v>
      </c>
      <c r="F1777" t="s">
        <v>66</v>
      </c>
      <c r="G1777">
        <v>1776</v>
      </c>
      <c r="H1777">
        <v>2330</v>
      </c>
      <c r="I1777">
        <v>47</v>
      </c>
      <c r="J1777" t="s">
        <v>149</v>
      </c>
      <c r="K1777" t="s">
        <v>47</v>
      </c>
      <c r="L1777" t="s">
        <v>86</v>
      </c>
      <c r="M1777" t="s">
        <v>40</v>
      </c>
      <c r="N1777">
        <v>3.3</v>
      </c>
      <c r="O1777">
        <v>0</v>
      </c>
      <c r="P1777" t="s">
        <v>73</v>
      </c>
      <c r="Q1777" t="s">
        <v>155</v>
      </c>
      <c r="R1777" t="s">
        <v>155</v>
      </c>
      <c r="S1777">
        <v>12</v>
      </c>
      <c r="T1777" t="s">
        <v>36</v>
      </c>
      <c r="U1777" t="s">
        <v>79</v>
      </c>
      <c r="V1777" s="1">
        <v>45355</v>
      </c>
      <c r="W1777">
        <f>Table1[[#This Row],[customer_purchase count]]+1</f>
        <v>13</v>
      </c>
      <c r="X1777">
        <f>Table1[[#This Row],[customer_purchase count]]*Rules!$B$3</f>
        <v>717.17230769230775</v>
      </c>
      <c r="Y1777" t="str">
        <f>IF(Table1[[#This Row],[customer_subscription]]=1,"Subscribed","Not Subscribed")</f>
        <v>Not Subscribed</v>
      </c>
      <c r="Z1777" t="s">
        <v>187</v>
      </c>
    </row>
    <row r="1778" spans="1:26" x14ac:dyDescent="0.25">
      <c r="A1778">
        <v>1777</v>
      </c>
      <c r="B1778">
        <v>56</v>
      </c>
      <c r="C1778" t="s">
        <v>22</v>
      </c>
      <c r="D1778">
        <v>1777</v>
      </c>
      <c r="E1778" t="s">
        <v>105</v>
      </c>
      <c r="F1778" t="s">
        <v>66</v>
      </c>
      <c r="G1778">
        <v>1777</v>
      </c>
      <c r="H1778">
        <v>2331</v>
      </c>
      <c r="I1778">
        <v>64</v>
      </c>
      <c r="J1778" t="s">
        <v>120</v>
      </c>
      <c r="K1778" t="s">
        <v>26</v>
      </c>
      <c r="L1778" t="s">
        <v>112</v>
      </c>
      <c r="M1778" t="s">
        <v>56</v>
      </c>
      <c r="N1778">
        <v>3.4</v>
      </c>
      <c r="O1778">
        <v>0</v>
      </c>
      <c r="P1778" t="s">
        <v>41</v>
      </c>
      <c r="Q1778" t="s">
        <v>155</v>
      </c>
      <c r="R1778" t="s">
        <v>155</v>
      </c>
      <c r="S1778">
        <v>10</v>
      </c>
      <c r="T1778" t="s">
        <v>31</v>
      </c>
      <c r="U1778" t="s">
        <v>100</v>
      </c>
      <c r="V1778" s="1">
        <v>45460</v>
      </c>
      <c r="W1778">
        <f>Table1[[#This Row],[customer_purchase count]]+1</f>
        <v>11</v>
      </c>
      <c r="X1778">
        <f>Table1[[#This Row],[customer_purchase count]]*Rules!$B$3</f>
        <v>597.64358974358981</v>
      </c>
      <c r="Y1778" t="str">
        <f>IF(Table1[[#This Row],[customer_subscription]]=1,"Subscribed","Not Subscribed")</f>
        <v>Not Subscribed</v>
      </c>
      <c r="Z1778" t="s">
        <v>194</v>
      </c>
    </row>
    <row r="1779" spans="1:26" x14ac:dyDescent="0.25">
      <c r="A1779">
        <v>1778</v>
      </c>
      <c r="B1779">
        <v>18</v>
      </c>
      <c r="C1779" t="s">
        <v>22</v>
      </c>
      <c r="D1779">
        <v>1778</v>
      </c>
      <c r="E1779" t="s">
        <v>53</v>
      </c>
      <c r="F1779" t="s">
        <v>45</v>
      </c>
      <c r="G1779">
        <v>1778</v>
      </c>
      <c r="H1779">
        <v>2332</v>
      </c>
      <c r="I1779">
        <v>44</v>
      </c>
      <c r="J1779" t="s">
        <v>151</v>
      </c>
      <c r="K1779" t="s">
        <v>26</v>
      </c>
      <c r="L1779" t="s">
        <v>76</v>
      </c>
      <c r="M1779" t="s">
        <v>28</v>
      </c>
      <c r="N1779">
        <v>4.7</v>
      </c>
      <c r="O1779">
        <v>0</v>
      </c>
      <c r="P1779" t="s">
        <v>41</v>
      </c>
      <c r="Q1779" t="s">
        <v>155</v>
      </c>
      <c r="R1779" t="s">
        <v>155</v>
      </c>
      <c r="S1779">
        <v>4</v>
      </c>
      <c r="T1779" t="s">
        <v>36</v>
      </c>
      <c r="U1779" t="s">
        <v>32</v>
      </c>
      <c r="V1779" s="1">
        <v>45628</v>
      </c>
      <c r="W1779">
        <f>Table1[[#This Row],[customer_purchase count]]+1</f>
        <v>5</v>
      </c>
      <c r="X1779">
        <f>Table1[[#This Row],[customer_purchase count]]*Rules!$B$3</f>
        <v>239.05743589743591</v>
      </c>
      <c r="Y1779" t="str">
        <f>IF(Table1[[#This Row],[customer_subscription]]=1,"Subscribed","Not Subscribed")</f>
        <v>Not Subscribed</v>
      </c>
      <c r="Z1779" t="s">
        <v>194</v>
      </c>
    </row>
    <row r="1780" spans="1:26" x14ac:dyDescent="0.25">
      <c r="A1780">
        <v>1779</v>
      </c>
      <c r="B1780">
        <v>49</v>
      </c>
      <c r="C1780" t="s">
        <v>22</v>
      </c>
      <c r="D1780">
        <v>1779</v>
      </c>
      <c r="E1780" t="s">
        <v>136</v>
      </c>
      <c r="F1780" t="s">
        <v>70</v>
      </c>
      <c r="G1780">
        <v>1779</v>
      </c>
      <c r="H1780">
        <v>2333</v>
      </c>
      <c r="I1780">
        <v>94</v>
      </c>
      <c r="J1780" t="s">
        <v>108</v>
      </c>
      <c r="K1780" t="s">
        <v>47</v>
      </c>
      <c r="L1780" t="s">
        <v>111</v>
      </c>
      <c r="M1780" t="s">
        <v>28</v>
      </c>
      <c r="N1780">
        <v>4.9000000000000004</v>
      </c>
      <c r="O1780">
        <v>0</v>
      </c>
      <c r="P1780" t="s">
        <v>77</v>
      </c>
      <c r="Q1780" t="s">
        <v>155</v>
      </c>
      <c r="R1780" t="s">
        <v>155</v>
      </c>
      <c r="S1780">
        <v>8</v>
      </c>
      <c r="T1780" t="s">
        <v>89</v>
      </c>
      <c r="U1780" t="s">
        <v>79</v>
      </c>
      <c r="V1780" s="1">
        <v>45324</v>
      </c>
      <c r="W1780">
        <f>Table1[[#This Row],[customer_purchase count]]+1</f>
        <v>9</v>
      </c>
      <c r="X1780">
        <f>Table1[[#This Row],[customer_purchase count]]*Rules!$B$3</f>
        <v>478.11487179487182</v>
      </c>
      <c r="Y1780" t="str">
        <f>IF(Table1[[#This Row],[customer_subscription]]=1,"Subscribed","Not Subscribed")</f>
        <v>Not Subscribed</v>
      </c>
      <c r="Z1780" t="s">
        <v>194</v>
      </c>
    </row>
    <row r="1781" spans="1:26" x14ac:dyDescent="0.25">
      <c r="A1781">
        <v>1780</v>
      </c>
      <c r="B1781">
        <v>29</v>
      </c>
      <c r="C1781" t="s">
        <v>22</v>
      </c>
      <c r="D1781">
        <v>1780</v>
      </c>
      <c r="E1781" t="s">
        <v>122</v>
      </c>
      <c r="F1781" t="s">
        <v>70</v>
      </c>
      <c r="G1781">
        <v>1780</v>
      </c>
      <c r="H1781">
        <v>2335</v>
      </c>
      <c r="I1781">
        <v>62</v>
      </c>
      <c r="J1781" t="s">
        <v>144</v>
      </c>
      <c r="K1781" t="s">
        <v>47</v>
      </c>
      <c r="L1781" t="s">
        <v>64</v>
      </c>
      <c r="M1781" t="s">
        <v>28</v>
      </c>
      <c r="N1781">
        <v>4.3</v>
      </c>
      <c r="O1781">
        <v>0</v>
      </c>
      <c r="P1781" t="s">
        <v>41</v>
      </c>
      <c r="Q1781" t="s">
        <v>155</v>
      </c>
      <c r="R1781" t="s">
        <v>155</v>
      </c>
      <c r="S1781">
        <v>41</v>
      </c>
      <c r="T1781" t="s">
        <v>31</v>
      </c>
      <c r="U1781" t="s">
        <v>43</v>
      </c>
      <c r="V1781" s="1">
        <v>45333</v>
      </c>
      <c r="W1781">
        <f>Table1[[#This Row],[customer_purchase count]]+1</f>
        <v>42</v>
      </c>
      <c r="X1781">
        <f>Table1[[#This Row],[customer_purchase count]]*Rules!$B$3</f>
        <v>2450.3387179487181</v>
      </c>
      <c r="Y1781" t="str">
        <f>IF(Table1[[#This Row],[customer_subscription]]=1,"Subscribed","Not Subscribed")</f>
        <v>Not Subscribed</v>
      </c>
    </row>
    <row r="1782" spans="1:26" x14ac:dyDescent="0.25">
      <c r="A1782">
        <v>1781</v>
      </c>
      <c r="B1782">
        <v>67</v>
      </c>
      <c r="C1782" t="s">
        <v>22</v>
      </c>
      <c r="D1782">
        <v>1781</v>
      </c>
      <c r="E1782" t="s">
        <v>109</v>
      </c>
      <c r="F1782" t="s">
        <v>70</v>
      </c>
      <c r="G1782">
        <v>1781</v>
      </c>
      <c r="H1782">
        <v>2336</v>
      </c>
      <c r="I1782">
        <v>81</v>
      </c>
      <c r="J1782" t="s">
        <v>117</v>
      </c>
      <c r="K1782" t="s">
        <v>39</v>
      </c>
      <c r="L1782" t="s">
        <v>27</v>
      </c>
      <c r="M1782" t="s">
        <v>56</v>
      </c>
      <c r="N1782">
        <v>4.2</v>
      </c>
      <c r="O1782">
        <v>0</v>
      </c>
      <c r="P1782" t="s">
        <v>48</v>
      </c>
      <c r="Q1782" t="s">
        <v>155</v>
      </c>
      <c r="R1782" t="s">
        <v>155</v>
      </c>
      <c r="S1782">
        <v>49</v>
      </c>
      <c r="T1782" t="s">
        <v>42</v>
      </c>
      <c r="U1782" t="s">
        <v>43</v>
      </c>
      <c r="V1782" s="1">
        <v>45447</v>
      </c>
      <c r="W1782">
        <f>Table1[[#This Row],[customer_purchase count]]+1</f>
        <v>50</v>
      </c>
      <c r="X1782">
        <f>Table1[[#This Row],[customer_purchase count]]*Rules!$B$3</f>
        <v>2928.4535897435899</v>
      </c>
      <c r="Y1782" t="str">
        <f>IF(Table1[[#This Row],[customer_subscription]]=1,"Subscribed","Not Subscribed")</f>
        <v>Not Subscribed</v>
      </c>
    </row>
    <row r="1783" spans="1:26" x14ac:dyDescent="0.25">
      <c r="A1783">
        <v>1782</v>
      </c>
      <c r="B1783">
        <v>31</v>
      </c>
      <c r="C1783" t="s">
        <v>22</v>
      </c>
      <c r="D1783">
        <v>1782</v>
      </c>
      <c r="E1783" t="s">
        <v>116</v>
      </c>
      <c r="F1783" t="s">
        <v>24</v>
      </c>
      <c r="G1783">
        <v>1782</v>
      </c>
      <c r="H1783">
        <v>2337</v>
      </c>
      <c r="I1783">
        <v>33</v>
      </c>
      <c r="J1783" t="s">
        <v>149</v>
      </c>
      <c r="K1783" t="s">
        <v>47</v>
      </c>
      <c r="L1783" t="s">
        <v>72</v>
      </c>
      <c r="M1783" t="s">
        <v>60</v>
      </c>
      <c r="N1783">
        <v>3.7</v>
      </c>
      <c r="O1783">
        <v>0</v>
      </c>
      <c r="P1783" t="s">
        <v>29</v>
      </c>
      <c r="Q1783" t="s">
        <v>155</v>
      </c>
      <c r="R1783" t="s">
        <v>155</v>
      </c>
      <c r="S1783">
        <v>49</v>
      </c>
      <c r="T1783" t="s">
        <v>78</v>
      </c>
      <c r="U1783" t="s">
        <v>61</v>
      </c>
      <c r="V1783" s="1">
        <v>45581</v>
      </c>
      <c r="W1783">
        <f>Table1[[#This Row],[customer_purchase count]]+1</f>
        <v>50</v>
      </c>
      <c r="X1783">
        <f>Table1[[#This Row],[customer_purchase count]]*Rules!$B$3</f>
        <v>2928.4535897435899</v>
      </c>
      <c r="Y1783" t="str">
        <f>IF(Table1[[#This Row],[customer_subscription]]=1,"Subscribed","Not Subscribed")</f>
        <v>Not Subscribed</v>
      </c>
    </row>
    <row r="1784" spans="1:26" x14ac:dyDescent="0.25">
      <c r="A1784">
        <v>1783</v>
      </c>
      <c r="B1784">
        <v>52</v>
      </c>
      <c r="C1784" t="s">
        <v>22</v>
      </c>
      <c r="D1784">
        <v>1783</v>
      </c>
      <c r="E1784" t="s">
        <v>98</v>
      </c>
      <c r="F1784" t="s">
        <v>24</v>
      </c>
      <c r="G1784">
        <v>1783</v>
      </c>
      <c r="H1784">
        <v>2338</v>
      </c>
      <c r="I1784">
        <v>88</v>
      </c>
      <c r="J1784" t="s">
        <v>143</v>
      </c>
      <c r="K1784" t="s">
        <v>47</v>
      </c>
      <c r="L1784" t="s">
        <v>96</v>
      </c>
      <c r="M1784" t="s">
        <v>60</v>
      </c>
      <c r="N1784">
        <v>2.7</v>
      </c>
      <c r="O1784">
        <v>0</v>
      </c>
      <c r="P1784" t="s">
        <v>48</v>
      </c>
      <c r="Q1784" t="s">
        <v>155</v>
      </c>
      <c r="R1784" t="s">
        <v>155</v>
      </c>
      <c r="S1784">
        <v>40</v>
      </c>
      <c r="T1784" t="s">
        <v>78</v>
      </c>
      <c r="U1784" t="s">
        <v>32</v>
      </c>
      <c r="V1784" s="1">
        <v>45539</v>
      </c>
      <c r="W1784">
        <f>Table1[[#This Row],[customer_purchase count]]+1</f>
        <v>41</v>
      </c>
      <c r="X1784">
        <f>Table1[[#This Row],[customer_purchase count]]*Rules!$B$3</f>
        <v>2390.5743589743593</v>
      </c>
      <c r="Y1784" t="str">
        <f>IF(Table1[[#This Row],[customer_subscription]]=1,"Subscribed","Not Subscribed")</f>
        <v>Not Subscribed</v>
      </c>
    </row>
    <row r="1785" spans="1:26" x14ac:dyDescent="0.25">
      <c r="A1785">
        <v>1784</v>
      </c>
      <c r="B1785">
        <v>42</v>
      </c>
      <c r="C1785" t="s">
        <v>22</v>
      </c>
      <c r="D1785">
        <v>1784</v>
      </c>
      <c r="E1785" t="s">
        <v>69</v>
      </c>
      <c r="F1785" t="s">
        <v>70</v>
      </c>
      <c r="G1785">
        <v>1784</v>
      </c>
      <c r="H1785">
        <v>2339</v>
      </c>
      <c r="I1785">
        <v>49</v>
      </c>
      <c r="J1785" t="s">
        <v>126</v>
      </c>
      <c r="K1785" t="s">
        <v>26</v>
      </c>
      <c r="L1785" t="s">
        <v>96</v>
      </c>
      <c r="M1785" t="s">
        <v>28</v>
      </c>
      <c r="N1785">
        <v>3.3</v>
      </c>
      <c r="O1785">
        <v>0</v>
      </c>
      <c r="P1785" t="s">
        <v>41</v>
      </c>
      <c r="Q1785" t="s">
        <v>155</v>
      </c>
      <c r="R1785" t="s">
        <v>155</v>
      </c>
      <c r="S1785">
        <v>30</v>
      </c>
      <c r="T1785" t="s">
        <v>42</v>
      </c>
      <c r="U1785" t="s">
        <v>91</v>
      </c>
      <c r="V1785" s="1">
        <v>45346</v>
      </c>
      <c r="W1785">
        <f>Table1[[#This Row],[customer_purchase count]]+1</f>
        <v>31</v>
      </c>
      <c r="X1785">
        <f>Table1[[#This Row],[customer_purchase count]]*Rules!$B$3</f>
        <v>1792.9307692307693</v>
      </c>
      <c r="Y1785" t="str">
        <f>IF(Table1[[#This Row],[customer_subscription]]=1,"Subscribed","Not Subscribed")</f>
        <v>Not Subscribed</v>
      </c>
    </row>
    <row r="1786" spans="1:26" x14ac:dyDescent="0.25">
      <c r="A1786">
        <v>1785</v>
      </c>
      <c r="B1786">
        <v>32</v>
      </c>
      <c r="C1786" t="s">
        <v>22</v>
      </c>
      <c r="D1786">
        <v>1785</v>
      </c>
      <c r="E1786" t="s">
        <v>135</v>
      </c>
      <c r="F1786" t="s">
        <v>70</v>
      </c>
      <c r="G1786">
        <v>1785</v>
      </c>
      <c r="H1786">
        <v>2341</v>
      </c>
      <c r="I1786">
        <v>31</v>
      </c>
      <c r="J1786" t="s">
        <v>63</v>
      </c>
      <c r="K1786" t="s">
        <v>26</v>
      </c>
      <c r="L1786" t="s">
        <v>137</v>
      </c>
      <c r="M1786" t="s">
        <v>56</v>
      </c>
      <c r="N1786">
        <v>4.8</v>
      </c>
      <c r="O1786">
        <v>0</v>
      </c>
      <c r="P1786" t="s">
        <v>57</v>
      </c>
      <c r="Q1786" t="s">
        <v>155</v>
      </c>
      <c r="R1786" t="s">
        <v>155</v>
      </c>
      <c r="S1786">
        <v>4</v>
      </c>
      <c r="T1786" t="s">
        <v>89</v>
      </c>
      <c r="U1786" t="s">
        <v>61</v>
      </c>
      <c r="V1786" s="1">
        <v>45492</v>
      </c>
      <c r="W1786">
        <f>Table1[[#This Row],[customer_purchase count]]+1</f>
        <v>5</v>
      </c>
      <c r="X1786">
        <f>Table1[[#This Row],[customer_purchase count]]*Rules!$B$3</f>
        <v>239.05743589743591</v>
      </c>
      <c r="Y1786" t="str">
        <f>IF(Table1[[#This Row],[customer_subscription]]=1,"Subscribed","Not Subscribed")</f>
        <v>Not Subscribed</v>
      </c>
      <c r="Z1786" t="s">
        <v>194</v>
      </c>
    </row>
    <row r="1787" spans="1:26" x14ac:dyDescent="0.25">
      <c r="A1787">
        <v>1786</v>
      </c>
      <c r="B1787">
        <v>47</v>
      </c>
      <c r="C1787" t="s">
        <v>22</v>
      </c>
      <c r="D1787">
        <v>1786</v>
      </c>
      <c r="E1787" t="s">
        <v>146</v>
      </c>
      <c r="F1787" t="s">
        <v>70</v>
      </c>
      <c r="G1787">
        <v>1786</v>
      </c>
      <c r="H1787">
        <v>2342</v>
      </c>
      <c r="I1787">
        <v>29</v>
      </c>
      <c r="J1787" t="s">
        <v>149</v>
      </c>
      <c r="K1787" t="s">
        <v>39</v>
      </c>
      <c r="L1787" t="s">
        <v>103</v>
      </c>
      <c r="M1787" t="s">
        <v>60</v>
      </c>
      <c r="N1787">
        <v>4.0999999999999996</v>
      </c>
      <c r="O1787">
        <v>0</v>
      </c>
      <c r="P1787" t="s">
        <v>48</v>
      </c>
      <c r="Q1787" t="s">
        <v>155</v>
      </c>
      <c r="R1787" t="s">
        <v>155</v>
      </c>
      <c r="S1787">
        <v>22</v>
      </c>
      <c r="T1787" t="s">
        <v>31</v>
      </c>
      <c r="U1787" t="s">
        <v>91</v>
      </c>
      <c r="V1787" s="1">
        <v>45562</v>
      </c>
      <c r="W1787">
        <f>Table1[[#This Row],[customer_purchase count]]+1</f>
        <v>23</v>
      </c>
      <c r="X1787">
        <f>Table1[[#This Row],[customer_purchase count]]*Rules!$B$3</f>
        <v>1314.8158974358976</v>
      </c>
      <c r="Y1787" t="str">
        <f>IF(Table1[[#This Row],[customer_subscription]]=1,"Subscribed","Not Subscribed")</f>
        <v>Not Subscribed</v>
      </c>
    </row>
    <row r="1788" spans="1:26" x14ac:dyDescent="0.25">
      <c r="A1788">
        <v>1787</v>
      </c>
      <c r="B1788">
        <v>45</v>
      </c>
      <c r="C1788" t="s">
        <v>22</v>
      </c>
      <c r="D1788">
        <v>1787</v>
      </c>
      <c r="E1788" t="s">
        <v>105</v>
      </c>
      <c r="F1788" t="s">
        <v>66</v>
      </c>
      <c r="G1788">
        <v>1787</v>
      </c>
      <c r="H1788">
        <v>2343</v>
      </c>
      <c r="I1788">
        <v>34</v>
      </c>
      <c r="J1788" t="s">
        <v>131</v>
      </c>
      <c r="K1788" t="s">
        <v>47</v>
      </c>
      <c r="L1788" t="s">
        <v>113</v>
      </c>
      <c r="M1788" t="s">
        <v>40</v>
      </c>
      <c r="N1788">
        <v>4.5999999999999996</v>
      </c>
      <c r="O1788">
        <v>0</v>
      </c>
      <c r="P1788" t="s">
        <v>73</v>
      </c>
      <c r="Q1788" t="s">
        <v>155</v>
      </c>
      <c r="R1788" t="s">
        <v>155</v>
      </c>
      <c r="S1788">
        <v>22</v>
      </c>
      <c r="T1788" t="s">
        <v>31</v>
      </c>
      <c r="U1788" t="s">
        <v>91</v>
      </c>
      <c r="V1788" s="1">
        <v>45433</v>
      </c>
      <c r="W1788">
        <f>Table1[[#This Row],[customer_purchase count]]+1</f>
        <v>23</v>
      </c>
      <c r="X1788">
        <f>Table1[[#This Row],[customer_purchase count]]*Rules!$B$3</f>
        <v>1314.8158974358976</v>
      </c>
      <c r="Y1788" t="str">
        <f>IF(Table1[[#This Row],[customer_subscription]]=1,"Subscribed","Not Subscribed")</f>
        <v>Not Subscribed</v>
      </c>
    </row>
    <row r="1789" spans="1:26" x14ac:dyDescent="0.25">
      <c r="A1789">
        <v>1788</v>
      </c>
      <c r="B1789">
        <v>20</v>
      </c>
      <c r="C1789" t="s">
        <v>22</v>
      </c>
      <c r="D1789">
        <v>1788</v>
      </c>
      <c r="E1789" t="s">
        <v>33</v>
      </c>
      <c r="F1789" t="s">
        <v>24</v>
      </c>
      <c r="G1789">
        <v>1788</v>
      </c>
      <c r="H1789">
        <v>2344</v>
      </c>
      <c r="I1789">
        <v>38</v>
      </c>
      <c r="J1789" t="s">
        <v>59</v>
      </c>
      <c r="K1789" t="s">
        <v>26</v>
      </c>
      <c r="L1789" t="s">
        <v>83</v>
      </c>
      <c r="M1789" t="s">
        <v>60</v>
      </c>
      <c r="N1789">
        <v>4.9000000000000004</v>
      </c>
      <c r="O1789">
        <v>0</v>
      </c>
      <c r="P1789" t="s">
        <v>73</v>
      </c>
      <c r="Q1789" t="s">
        <v>155</v>
      </c>
      <c r="R1789" t="s">
        <v>155</v>
      </c>
      <c r="S1789">
        <v>10</v>
      </c>
      <c r="T1789" t="s">
        <v>78</v>
      </c>
      <c r="U1789" t="s">
        <v>61</v>
      </c>
      <c r="V1789" s="1">
        <v>45570</v>
      </c>
      <c r="W1789">
        <f>Table1[[#This Row],[customer_purchase count]]+1</f>
        <v>11</v>
      </c>
      <c r="X1789">
        <f>Table1[[#This Row],[customer_purchase count]]*Rules!$B$3</f>
        <v>597.64358974358981</v>
      </c>
      <c r="Y1789" t="str">
        <f>IF(Table1[[#This Row],[customer_subscription]]=1,"Subscribed","Not Subscribed")</f>
        <v>Not Subscribed</v>
      </c>
      <c r="Z1789" t="s">
        <v>187</v>
      </c>
    </row>
    <row r="1790" spans="1:26" x14ac:dyDescent="0.25">
      <c r="A1790">
        <v>1789</v>
      </c>
      <c r="B1790">
        <v>66</v>
      </c>
      <c r="C1790" t="s">
        <v>22</v>
      </c>
      <c r="D1790">
        <v>1789</v>
      </c>
      <c r="E1790" t="s">
        <v>23</v>
      </c>
      <c r="F1790" t="s">
        <v>24</v>
      </c>
      <c r="G1790">
        <v>1789</v>
      </c>
      <c r="H1790">
        <v>2345</v>
      </c>
      <c r="I1790">
        <v>41</v>
      </c>
      <c r="J1790" t="s">
        <v>118</v>
      </c>
      <c r="K1790" t="s">
        <v>26</v>
      </c>
      <c r="L1790" t="s">
        <v>72</v>
      </c>
      <c r="M1790" t="s">
        <v>56</v>
      </c>
      <c r="N1790">
        <v>3.1</v>
      </c>
      <c r="O1790">
        <v>0</v>
      </c>
      <c r="P1790" t="s">
        <v>77</v>
      </c>
      <c r="Q1790" t="s">
        <v>155</v>
      </c>
      <c r="R1790" t="s">
        <v>155</v>
      </c>
      <c r="S1790">
        <v>23</v>
      </c>
      <c r="T1790" t="s">
        <v>36</v>
      </c>
      <c r="U1790" t="s">
        <v>79</v>
      </c>
      <c r="V1790" s="1">
        <v>45448</v>
      </c>
      <c r="W1790">
        <f>Table1[[#This Row],[customer_purchase count]]+1</f>
        <v>24</v>
      </c>
      <c r="X1790">
        <f>Table1[[#This Row],[customer_purchase count]]*Rules!$B$3</f>
        <v>1374.5802564102564</v>
      </c>
      <c r="Y1790" t="str">
        <f>IF(Table1[[#This Row],[customer_subscription]]=1,"Subscribed","Not Subscribed")</f>
        <v>Not Subscribed</v>
      </c>
    </row>
    <row r="1791" spans="1:26" x14ac:dyDescent="0.25">
      <c r="A1791">
        <v>1790</v>
      </c>
      <c r="B1791">
        <v>52</v>
      </c>
      <c r="C1791" t="s">
        <v>22</v>
      </c>
      <c r="D1791">
        <v>1790</v>
      </c>
      <c r="E1791" t="s">
        <v>23</v>
      </c>
      <c r="F1791" t="s">
        <v>24</v>
      </c>
      <c r="G1791">
        <v>1790</v>
      </c>
      <c r="H1791">
        <v>2347</v>
      </c>
      <c r="I1791">
        <v>34</v>
      </c>
      <c r="J1791" t="s">
        <v>120</v>
      </c>
      <c r="K1791" t="s">
        <v>26</v>
      </c>
      <c r="L1791" t="s">
        <v>103</v>
      </c>
      <c r="M1791" t="s">
        <v>40</v>
      </c>
      <c r="N1791">
        <v>3</v>
      </c>
      <c r="O1791">
        <v>0</v>
      </c>
      <c r="P1791" t="s">
        <v>73</v>
      </c>
      <c r="Q1791" t="s">
        <v>155</v>
      </c>
      <c r="R1791" t="s">
        <v>155</v>
      </c>
      <c r="S1791">
        <v>43</v>
      </c>
      <c r="T1791" t="s">
        <v>89</v>
      </c>
      <c r="U1791" t="s">
        <v>61</v>
      </c>
      <c r="V1791" s="1">
        <v>45390</v>
      </c>
      <c r="W1791">
        <f>Table1[[#This Row],[customer_purchase count]]+1</f>
        <v>44</v>
      </c>
      <c r="X1791">
        <f>Table1[[#This Row],[customer_purchase count]]*Rules!$B$3</f>
        <v>2569.8674358974358</v>
      </c>
      <c r="Y1791" t="str">
        <f>IF(Table1[[#This Row],[customer_subscription]]=1,"Subscribed","Not Subscribed")</f>
        <v>Not Subscribed</v>
      </c>
    </row>
    <row r="1792" spans="1:26" x14ac:dyDescent="0.25">
      <c r="A1792">
        <v>1791</v>
      </c>
      <c r="B1792">
        <v>50</v>
      </c>
      <c r="C1792" t="s">
        <v>22</v>
      </c>
      <c r="D1792">
        <v>1791</v>
      </c>
      <c r="E1792" t="s">
        <v>146</v>
      </c>
      <c r="F1792" t="s">
        <v>70</v>
      </c>
      <c r="G1792">
        <v>1791</v>
      </c>
      <c r="H1792">
        <v>2348</v>
      </c>
      <c r="I1792">
        <v>26</v>
      </c>
      <c r="J1792" t="s">
        <v>101</v>
      </c>
      <c r="K1792" t="s">
        <v>39</v>
      </c>
      <c r="L1792" t="s">
        <v>86</v>
      </c>
      <c r="M1792" t="s">
        <v>56</v>
      </c>
      <c r="N1792">
        <v>3.7</v>
      </c>
      <c r="O1792">
        <v>0</v>
      </c>
      <c r="P1792" t="s">
        <v>77</v>
      </c>
      <c r="Q1792" t="s">
        <v>155</v>
      </c>
      <c r="R1792" t="s">
        <v>155</v>
      </c>
      <c r="S1792">
        <v>31</v>
      </c>
      <c r="T1792" t="s">
        <v>49</v>
      </c>
      <c r="U1792" t="s">
        <v>79</v>
      </c>
      <c r="V1792" s="1">
        <v>45532</v>
      </c>
      <c r="W1792">
        <f>Table1[[#This Row],[customer_purchase count]]+1</f>
        <v>32</v>
      </c>
      <c r="X1792">
        <f>Table1[[#This Row],[customer_purchase count]]*Rules!$B$3</f>
        <v>1852.6951282051282</v>
      </c>
      <c r="Y1792" t="str">
        <f>IF(Table1[[#This Row],[customer_subscription]]=1,"Subscribed","Not Subscribed")</f>
        <v>Not Subscribed</v>
      </c>
    </row>
    <row r="1793" spans="1:26" x14ac:dyDescent="0.25">
      <c r="A1793">
        <v>1792</v>
      </c>
      <c r="B1793">
        <v>62</v>
      </c>
      <c r="C1793" t="s">
        <v>22</v>
      </c>
      <c r="D1793">
        <v>1792</v>
      </c>
      <c r="E1793" t="s">
        <v>37</v>
      </c>
      <c r="F1793" t="s">
        <v>24</v>
      </c>
      <c r="G1793">
        <v>1792</v>
      </c>
      <c r="H1793">
        <v>2349</v>
      </c>
      <c r="I1793">
        <v>98</v>
      </c>
      <c r="J1793" t="s">
        <v>59</v>
      </c>
      <c r="K1793" t="s">
        <v>39</v>
      </c>
      <c r="L1793" t="s">
        <v>76</v>
      </c>
      <c r="M1793" t="s">
        <v>28</v>
      </c>
      <c r="N1793">
        <v>4</v>
      </c>
      <c r="O1793">
        <v>0</v>
      </c>
      <c r="P1793" t="s">
        <v>77</v>
      </c>
      <c r="Q1793" t="s">
        <v>155</v>
      </c>
      <c r="R1793" t="s">
        <v>155</v>
      </c>
      <c r="S1793">
        <v>38</v>
      </c>
      <c r="T1793" t="s">
        <v>36</v>
      </c>
      <c r="U1793" t="s">
        <v>52</v>
      </c>
      <c r="V1793" s="1">
        <v>45329</v>
      </c>
      <c r="W1793">
        <f>Table1[[#This Row],[customer_purchase count]]+1</f>
        <v>39</v>
      </c>
      <c r="X1793">
        <f>Table1[[#This Row],[customer_purchase count]]*Rules!$B$3</f>
        <v>2271.0456410256411</v>
      </c>
      <c r="Y1793" t="str">
        <f>IF(Table1[[#This Row],[customer_subscription]]=1,"Subscribed","Not Subscribed")</f>
        <v>Not Subscribed</v>
      </c>
    </row>
    <row r="1794" spans="1:26" x14ac:dyDescent="0.25">
      <c r="A1794">
        <v>1793</v>
      </c>
      <c r="B1794">
        <v>38</v>
      </c>
      <c r="C1794" t="s">
        <v>22</v>
      </c>
      <c r="D1794">
        <v>1793</v>
      </c>
      <c r="E1794" t="s">
        <v>53</v>
      </c>
      <c r="F1794" t="s">
        <v>45</v>
      </c>
      <c r="G1794">
        <v>1793</v>
      </c>
      <c r="H1794">
        <v>2350</v>
      </c>
      <c r="I1794">
        <v>59</v>
      </c>
      <c r="J1794" t="s">
        <v>149</v>
      </c>
      <c r="K1794" t="s">
        <v>47</v>
      </c>
      <c r="L1794" t="s">
        <v>103</v>
      </c>
      <c r="M1794" t="s">
        <v>60</v>
      </c>
      <c r="N1794">
        <v>3</v>
      </c>
      <c r="O1794">
        <v>0</v>
      </c>
      <c r="P1794" t="s">
        <v>29</v>
      </c>
      <c r="Q1794" t="s">
        <v>155</v>
      </c>
      <c r="R1794" t="s">
        <v>155</v>
      </c>
      <c r="S1794">
        <v>22</v>
      </c>
      <c r="T1794" t="s">
        <v>89</v>
      </c>
      <c r="U1794" t="s">
        <v>100</v>
      </c>
      <c r="V1794" s="1">
        <v>45536</v>
      </c>
      <c r="W1794">
        <f>Table1[[#This Row],[customer_purchase count]]+1</f>
        <v>23</v>
      </c>
      <c r="X1794">
        <f>Table1[[#This Row],[customer_purchase count]]*Rules!$B$3</f>
        <v>1314.8158974358976</v>
      </c>
      <c r="Y1794" t="str">
        <f>IF(Table1[[#This Row],[customer_subscription]]=1,"Subscribed","Not Subscribed")</f>
        <v>Not Subscribed</v>
      </c>
    </row>
    <row r="1795" spans="1:26" x14ac:dyDescent="0.25">
      <c r="A1795">
        <v>1794</v>
      </c>
      <c r="B1795">
        <v>65</v>
      </c>
      <c r="C1795" t="s">
        <v>22</v>
      </c>
      <c r="D1795">
        <v>1794</v>
      </c>
      <c r="E1795" t="s">
        <v>127</v>
      </c>
      <c r="F1795" t="s">
        <v>70</v>
      </c>
      <c r="G1795">
        <v>1794</v>
      </c>
      <c r="H1795">
        <v>2351</v>
      </c>
      <c r="I1795">
        <v>92</v>
      </c>
      <c r="J1795" t="s">
        <v>149</v>
      </c>
      <c r="K1795" t="s">
        <v>39</v>
      </c>
      <c r="L1795" t="s">
        <v>55</v>
      </c>
      <c r="M1795" t="s">
        <v>60</v>
      </c>
      <c r="N1795">
        <v>3.8</v>
      </c>
      <c r="O1795">
        <v>0</v>
      </c>
      <c r="P1795" t="s">
        <v>77</v>
      </c>
      <c r="Q1795" t="s">
        <v>155</v>
      </c>
      <c r="R1795" t="s">
        <v>155</v>
      </c>
      <c r="S1795">
        <v>45</v>
      </c>
      <c r="T1795" t="s">
        <v>36</v>
      </c>
      <c r="U1795" t="s">
        <v>100</v>
      </c>
      <c r="V1795" s="1">
        <v>45578</v>
      </c>
      <c r="W1795">
        <f>Table1[[#This Row],[customer_purchase count]]+1</f>
        <v>46</v>
      </c>
      <c r="X1795">
        <f>Table1[[#This Row],[customer_purchase count]]*Rules!$B$3</f>
        <v>2689.396153846154</v>
      </c>
      <c r="Y1795" t="str">
        <f>IF(Table1[[#This Row],[customer_subscription]]=1,"Subscribed","Not Subscribed")</f>
        <v>Not Subscribed</v>
      </c>
    </row>
    <row r="1796" spans="1:26" x14ac:dyDescent="0.25">
      <c r="A1796">
        <v>1795</v>
      </c>
      <c r="B1796">
        <v>60</v>
      </c>
      <c r="C1796" t="s">
        <v>22</v>
      </c>
      <c r="D1796">
        <v>1795</v>
      </c>
      <c r="E1796" t="s">
        <v>135</v>
      </c>
      <c r="F1796" t="s">
        <v>70</v>
      </c>
      <c r="G1796">
        <v>1795</v>
      </c>
      <c r="H1796">
        <v>2353</v>
      </c>
      <c r="I1796">
        <v>40</v>
      </c>
      <c r="J1796" t="s">
        <v>126</v>
      </c>
      <c r="K1796" t="s">
        <v>26</v>
      </c>
      <c r="L1796" t="s">
        <v>129</v>
      </c>
      <c r="M1796" t="s">
        <v>40</v>
      </c>
      <c r="N1796">
        <v>3.7</v>
      </c>
      <c r="O1796">
        <v>0</v>
      </c>
      <c r="P1796" t="s">
        <v>29</v>
      </c>
      <c r="Q1796" t="s">
        <v>155</v>
      </c>
      <c r="R1796" t="s">
        <v>155</v>
      </c>
      <c r="S1796">
        <v>21</v>
      </c>
      <c r="T1796" t="s">
        <v>89</v>
      </c>
      <c r="U1796" t="s">
        <v>32</v>
      </c>
      <c r="V1796" s="1">
        <v>45410</v>
      </c>
      <c r="W1796">
        <f>Table1[[#This Row],[customer_purchase count]]+1</f>
        <v>22</v>
      </c>
      <c r="X1796">
        <f>Table1[[#This Row],[customer_purchase count]]*Rules!$B$3</f>
        <v>1255.0515384615385</v>
      </c>
      <c r="Y1796" t="str">
        <f>IF(Table1[[#This Row],[customer_subscription]]=1,"Subscribed","Not Subscribed")</f>
        <v>Not Subscribed</v>
      </c>
    </row>
    <row r="1797" spans="1:26" x14ac:dyDescent="0.25">
      <c r="A1797">
        <v>1796</v>
      </c>
      <c r="B1797">
        <v>68</v>
      </c>
      <c r="C1797" t="s">
        <v>22</v>
      </c>
      <c r="D1797">
        <v>1796</v>
      </c>
      <c r="E1797" t="s">
        <v>37</v>
      </c>
      <c r="F1797" t="s">
        <v>24</v>
      </c>
      <c r="G1797">
        <v>1796</v>
      </c>
      <c r="H1797">
        <v>2354</v>
      </c>
      <c r="I1797">
        <v>20</v>
      </c>
      <c r="J1797" t="s">
        <v>153</v>
      </c>
      <c r="K1797" t="s">
        <v>39</v>
      </c>
      <c r="L1797" t="s">
        <v>86</v>
      </c>
      <c r="M1797" t="s">
        <v>60</v>
      </c>
      <c r="N1797">
        <v>4</v>
      </c>
      <c r="O1797">
        <v>0</v>
      </c>
      <c r="P1797" t="s">
        <v>73</v>
      </c>
      <c r="Q1797" t="s">
        <v>155</v>
      </c>
      <c r="R1797" t="s">
        <v>155</v>
      </c>
      <c r="S1797">
        <v>9</v>
      </c>
      <c r="T1797" t="s">
        <v>89</v>
      </c>
      <c r="U1797" t="s">
        <v>32</v>
      </c>
      <c r="V1797" s="1">
        <v>45623</v>
      </c>
      <c r="W1797">
        <f>Table1[[#This Row],[customer_purchase count]]+1</f>
        <v>10</v>
      </c>
      <c r="X1797">
        <f>Table1[[#This Row],[customer_purchase count]]*Rules!$B$3</f>
        <v>537.87923076923084</v>
      </c>
      <c r="Y1797" t="str">
        <f>IF(Table1[[#This Row],[customer_subscription]]=1,"Subscribed","Not Subscribed")</f>
        <v>Not Subscribed</v>
      </c>
      <c r="Z1797" t="s">
        <v>194</v>
      </c>
    </row>
    <row r="1798" spans="1:26" x14ac:dyDescent="0.25">
      <c r="A1798">
        <v>1797</v>
      </c>
      <c r="B1798">
        <v>62</v>
      </c>
      <c r="C1798" t="s">
        <v>22</v>
      </c>
      <c r="D1798">
        <v>1797</v>
      </c>
      <c r="E1798" t="s">
        <v>90</v>
      </c>
      <c r="F1798" t="s">
        <v>24</v>
      </c>
      <c r="G1798">
        <v>1797</v>
      </c>
      <c r="H1798">
        <v>2355</v>
      </c>
      <c r="I1798">
        <v>35</v>
      </c>
      <c r="J1798" t="s">
        <v>134</v>
      </c>
      <c r="K1798" t="s">
        <v>39</v>
      </c>
      <c r="L1798" t="s">
        <v>113</v>
      </c>
      <c r="M1798" t="s">
        <v>40</v>
      </c>
      <c r="N1798">
        <v>3.1</v>
      </c>
      <c r="O1798">
        <v>0</v>
      </c>
      <c r="P1798" t="s">
        <v>77</v>
      </c>
      <c r="Q1798" t="s">
        <v>155</v>
      </c>
      <c r="R1798" t="s">
        <v>155</v>
      </c>
      <c r="S1798">
        <v>34</v>
      </c>
      <c r="T1798" t="s">
        <v>31</v>
      </c>
      <c r="U1798" t="s">
        <v>43</v>
      </c>
      <c r="V1798" s="1">
        <v>45383</v>
      </c>
      <c r="W1798">
        <f>Table1[[#This Row],[customer_purchase count]]+1</f>
        <v>35</v>
      </c>
      <c r="X1798">
        <f>Table1[[#This Row],[customer_purchase count]]*Rules!$B$3</f>
        <v>2031.9882051282052</v>
      </c>
      <c r="Y1798" t="str">
        <f>IF(Table1[[#This Row],[customer_subscription]]=1,"Subscribed","Not Subscribed")</f>
        <v>Not Subscribed</v>
      </c>
    </row>
    <row r="1799" spans="1:26" x14ac:dyDescent="0.25">
      <c r="A1799">
        <v>1798</v>
      </c>
      <c r="B1799">
        <v>62</v>
      </c>
      <c r="C1799" t="s">
        <v>22</v>
      </c>
      <c r="D1799">
        <v>1798</v>
      </c>
      <c r="E1799" t="s">
        <v>136</v>
      </c>
      <c r="F1799" t="s">
        <v>70</v>
      </c>
      <c r="G1799">
        <v>1798</v>
      </c>
      <c r="H1799">
        <v>2356</v>
      </c>
      <c r="I1799">
        <v>35</v>
      </c>
      <c r="J1799" t="s">
        <v>50</v>
      </c>
      <c r="K1799" t="s">
        <v>26</v>
      </c>
      <c r="L1799" t="s">
        <v>35</v>
      </c>
      <c r="M1799" t="s">
        <v>40</v>
      </c>
      <c r="N1799">
        <v>3.9</v>
      </c>
      <c r="O1799">
        <v>0</v>
      </c>
      <c r="P1799" t="s">
        <v>73</v>
      </c>
      <c r="Q1799" t="s">
        <v>155</v>
      </c>
      <c r="R1799" t="s">
        <v>155</v>
      </c>
      <c r="S1799">
        <v>26</v>
      </c>
      <c r="T1799" t="s">
        <v>31</v>
      </c>
      <c r="U1799" t="s">
        <v>43</v>
      </c>
      <c r="V1799" s="1">
        <v>45379</v>
      </c>
      <c r="W1799">
        <f>Table1[[#This Row],[customer_purchase count]]+1</f>
        <v>27</v>
      </c>
      <c r="X1799">
        <f>Table1[[#This Row],[customer_purchase count]]*Rules!$B$3</f>
        <v>1553.8733333333334</v>
      </c>
      <c r="Y1799" t="str">
        <f>IF(Table1[[#This Row],[customer_subscription]]=1,"Subscribed","Not Subscribed")</f>
        <v>Not Subscribed</v>
      </c>
    </row>
    <row r="1800" spans="1:26" x14ac:dyDescent="0.25">
      <c r="A1800">
        <v>1799</v>
      </c>
      <c r="B1800">
        <v>40</v>
      </c>
      <c r="C1800" t="s">
        <v>22</v>
      </c>
      <c r="D1800">
        <v>1799</v>
      </c>
      <c r="E1800" t="s">
        <v>84</v>
      </c>
      <c r="F1800" t="s">
        <v>24</v>
      </c>
      <c r="G1800">
        <v>1799</v>
      </c>
      <c r="H1800">
        <v>2357</v>
      </c>
      <c r="I1800">
        <v>82</v>
      </c>
      <c r="J1800" t="s">
        <v>117</v>
      </c>
      <c r="K1800" t="s">
        <v>26</v>
      </c>
      <c r="L1800" t="s">
        <v>139</v>
      </c>
      <c r="M1800" t="s">
        <v>28</v>
      </c>
      <c r="N1800">
        <v>3.7</v>
      </c>
      <c r="O1800">
        <v>0</v>
      </c>
      <c r="P1800" t="s">
        <v>29</v>
      </c>
      <c r="Q1800" t="s">
        <v>155</v>
      </c>
      <c r="R1800" t="s">
        <v>155</v>
      </c>
      <c r="S1800">
        <v>1</v>
      </c>
      <c r="T1800" t="s">
        <v>36</v>
      </c>
      <c r="U1800" t="s">
        <v>43</v>
      </c>
      <c r="V1800" s="1">
        <v>45631</v>
      </c>
      <c r="W1800">
        <f>Table1[[#This Row],[customer_purchase count]]+1</f>
        <v>2</v>
      </c>
      <c r="X1800">
        <f>Table1[[#This Row],[customer_purchase count]]*Rules!$B$3</f>
        <v>59.764358974358977</v>
      </c>
      <c r="Y1800" t="str">
        <f>IF(Table1[[#This Row],[customer_subscription]]=1,"Subscribed","Not Subscribed")</f>
        <v>Not Subscribed</v>
      </c>
      <c r="Z1800" t="s">
        <v>194</v>
      </c>
    </row>
    <row r="1801" spans="1:26" x14ac:dyDescent="0.25">
      <c r="A1801">
        <v>1800</v>
      </c>
      <c r="B1801">
        <v>32</v>
      </c>
      <c r="C1801" t="s">
        <v>22</v>
      </c>
      <c r="D1801">
        <v>1800</v>
      </c>
      <c r="E1801" t="s">
        <v>107</v>
      </c>
      <c r="F1801" t="s">
        <v>24</v>
      </c>
      <c r="G1801">
        <v>1800</v>
      </c>
      <c r="H1801">
        <v>2359</v>
      </c>
      <c r="I1801">
        <v>48</v>
      </c>
      <c r="J1801" t="s">
        <v>102</v>
      </c>
      <c r="K1801" t="s">
        <v>47</v>
      </c>
      <c r="L1801" t="s">
        <v>64</v>
      </c>
      <c r="M1801" t="s">
        <v>60</v>
      </c>
      <c r="N1801">
        <v>3.9</v>
      </c>
      <c r="O1801">
        <v>0</v>
      </c>
      <c r="P1801" t="s">
        <v>29</v>
      </c>
      <c r="Q1801" t="s">
        <v>155</v>
      </c>
      <c r="R1801" t="s">
        <v>155</v>
      </c>
      <c r="S1801">
        <v>47</v>
      </c>
      <c r="T1801" t="s">
        <v>31</v>
      </c>
      <c r="U1801" t="s">
        <v>43</v>
      </c>
      <c r="V1801" s="1">
        <v>45578</v>
      </c>
      <c r="W1801">
        <f>Table1[[#This Row],[customer_purchase count]]+1</f>
        <v>48</v>
      </c>
      <c r="X1801">
        <f>Table1[[#This Row],[customer_purchase count]]*Rules!$B$3</f>
        <v>2808.9248717948717</v>
      </c>
      <c r="Y1801" t="str">
        <f>IF(Table1[[#This Row],[customer_subscription]]=1,"Subscribed","Not Subscribed")</f>
        <v>Not Subscribed</v>
      </c>
    </row>
    <row r="1802" spans="1:26" x14ac:dyDescent="0.25">
      <c r="A1802">
        <v>1801</v>
      </c>
      <c r="B1802">
        <v>22</v>
      </c>
      <c r="C1802" t="s">
        <v>22</v>
      </c>
      <c r="D1802">
        <v>1801</v>
      </c>
      <c r="E1802" t="s">
        <v>65</v>
      </c>
      <c r="F1802" t="s">
        <v>66</v>
      </c>
      <c r="G1802">
        <v>1801</v>
      </c>
      <c r="H1802">
        <v>2360</v>
      </c>
      <c r="I1802">
        <v>58</v>
      </c>
      <c r="J1802" t="s">
        <v>94</v>
      </c>
      <c r="K1802" t="s">
        <v>95</v>
      </c>
      <c r="L1802" t="s">
        <v>129</v>
      </c>
      <c r="M1802" t="s">
        <v>28</v>
      </c>
      <c r="N1802">
        <v>2.7</v>
      </c>
      <c r="O1802">
        <v>0</v>
      </c>
      <c r="P1802" t="s">
        <v>29</v>
      </c>
      <c r="Q1802" t="s">
        <v>155</v>
      </c>
      <c r="R1802" t="s">
        <v>155</v>
      </c>
      <c r="S1802">
        <v>30</v>
      </c>
      <c r="T1802" t="s">
        <v>42</v>
      </c>
      <c r="U1802" t="s">
        <v>43</v>
      </c>
      <c r="V1802" s="1">
        <v>45335</v>
      </c>
      <c r="W1802">
        <f>Table1[[#This Row],[customer_purchase count]]+1</f>
        <v>31</v>
      </c>
      <c r="X1802">
        <f>Table1[[#This Row],[customer_purchase count]]*Rules!$B$3</f>
        <v>1792.9307692307693</v>
      </c>
      <c r="Y1802" t="str">
        <f>IF(Table1[[#This Row],[customer_subscription]]=1,"Subscribed","Not Subscribed")</f>
        <v>Not Subscribed</v>
      </c>
    </row>
    <row r="1803" spans="1:26" x14ac:dyDescent="0.25">
      <c r="A1803">
        <v>1802</v>
      </c>
      <c r="B1803">
        <v>33</v>
      </c>
      <c r="C1803" t="s">
        <v>22</v>
      </c>
      <c r="D1803">
        <v>1802</v>
      </c>
      <c r="E1803" t="s">
        <v>33</v>
      </c>
      <c r="F1803" t="s">
        <v>24</v>
      </c>
      <c r="G1803">
        <v>1802</v>
      </c>
      <c r="H1803">
        <v>2361</v>
      </c>
      <c r="I1803">
        <v>57</v>
      </c>
      <c r="J1803" t="s">
        <v>130</v>
      </c>
      <c r="K1803" t="s">
        <v>47</v>
      </c>
      <c r="L1803" t="s">
        <v>51</v>
      </c>
      <c r="M1803" t="s">
        <v>40</v>
      </c>
      <c r="N1803">
        <v>3.9</v>
      </c>
      <c r="O1803">
        <v>0</v>
      </c>
      <c r="P1803" t="s">
        <v>29</v>
      </c>
      <c r="Q1803" t="s">
        <v>155</v>
      </c>
      <c r="R1803" t="s">
        <v>155</v>
      </c>
      <c r="S1803">
        <v>48</v>
      </c>
      <c r="T1803" t="s">
        <v>89</v>
      </c>
      <c r="U1803" t="s">
        <v>32</v>
      </c>
      <c r="V1803" s="1">
        <v>45438</v>
      </c>
      <c r="W1803">
        <f>Table1[[#This Row],[customer_purchase count]]+1</f>
        <v>49</v>
      </c>
      <c r="X1803">
        <f>Table1[[#This Row],[customer_purchase count]]*Rules!$B$3</f>
        <v>2868.689230769231</v>
      </c>
      <c r="Y1803" t="str">
        <f>IF(Table1[[#This Row],[customer_subscription]]=1,"Subscribed","Not Subscribed")</f>
        <v>Not Subscribed</v>
      </c>
    </row>
    <row r="1804" spans="1:26" x14ac:dyDescent="0.25">
      <c r="A1804">
        <v>1803</v>
      </c>
      <c r="B1804">
        <v>57</v>
      </c>
      <c r="C1804" t="s">
        <v>22</v>
      </c>
      <c r="D1804">
        <v>1803</v>
      </c>
      <c r="E1804" t="s">
        <v>62</v>
      </c>
      <c r="F1804" t="s">
        <v>24</v>
      </c>
      <c r="G1804">
        <v>1803</v>
      </c>
      <c r="H1804">
        <v>2362</v>
      </c>
      <c r="I1804">
        <v>96</v>
      </c>
      <c r="J1804" t="s">
        <v>46</v>
      </c>
      <c r="K1804" t="s">
        <v>26</v>
      </c>
      <c r="L1804" t="s">
        <v>51</v>
      </c>
      <c r="M1804" t="s">
        <v>28</v>
      </c>
      <c r="N1804">
        <v>2.6</v>
      </c>
      <c r="O1804">
        <v>0</v>
      </c>
      <c r="P1804" t="s">
        <v>77</v>
      </c>
      <c r="Q1804" t="s">
        <v>155</v>
      </c>
      <c r="R1804" t="s">
        <v>155</v>
      </c>
      <c r="S1804">
        <v>31</v>
      </c>
      <c r="T1804" t="s">
        <v>31</v>
      </c>
      <c r="U1804" t="s">
        <v>79</v>
      </c>
      <c r="V1804" s="1">
        <v>45642</v>
      </c>
      <c r="W1804">
        <f>Table1[[#This Row],[customer_purchase count]]+1</f>
        <v>32</v>
      </c>
      <c r="X1804">
        <f>Table1[[#This Row],[customer_purchase count]]*Rules!$B$3</f>
        <v>1852.6951282051282</v>
      </c>
      <c r="Y1804" t="str">
        <f>IF(Table1[[#This Row],[customer_subscription]]=1,"Subscribed","Not Subscribed")</f>
        <v>Not Subscribed</v>
      </c>
    </row>
    <row r="1805" spans="1:26" x14ac:dyDescent="0.25">
      <c r="A1805">
        <v>1804</v>
      </c>
      <c r="B1805">
        <v>60</v>
      </c>
      <c r="C1805" t="s">
        <v>22</v>
      </c>
      <c r="D1805">
        <v>1804</v>
      </c>
      <c r="E1805" t="s">
        <v>53</v>
      </c>
      <c r="F1805" t="s">
        <v>45</v>
      </c>
      <c r="G1805">
        <v>1804</v>
      </c>
      <c r="H1805">
        <v>2363</v>
      </c>
      <c r="I1805">
        <v>97</v>
      </c>
      <c r="J1805" t="s">
        <v>85</v>
      </c>
      <c r="K1805" t="s">
        <v>39</v>
      </c>
      <c r="L1805" t="s">
        <v>27</v>
      </c>
      <c r="M1805" t="s">
        <v>56</v>
      </c>
      <c r="N1805">
        <v>3.5</v>
      </c>
      <c r="O1805">
        <v>0</v>
      </c>
      <c r="P1805" t="s">
        <v>41</v>
      </c>
      <c r="Q1805" t="s">
        <v>155</v>
      </c>
      <c r="R1805" t="s">
        <v>155</v>
      </c>
      <c r="S1805">
        <v>33</v>
      </c>
      <c r="T1805" t="s">
        <v>31</v>
      </c>
      <c r="U1805" t="s">
        <v>32</v>
      </c>
      <c r="V1805" s="1">
        <v>45467</v>
      </c>
      <c r="W1805">
        <f>Table1[[#This Row],[customer_purchase count]]+1</f>
        <v>34</v>
      </c>
      <c r="X1805">
        <f>Table1[[#This Row],[customer_purchase count]]*Rules!$B$3</f>
        <v>1972.2238461538464</v>
      </c>
      <c r="Y1805" t="str">
        <f>IF(Table1[[#This Row],[customer_subscription]]=1,"Subscribed","Not Subscribed")</f>
        <v>Not Subscribed</v>
      </c>
    </row>
    <row r="1806" spans="1:26" x14ac:dyDescent="0.25">
      <c r="A1806">
        <v>1805</v>
      </c>
      <c r="B1806">
        <v>30</v>
      </c>
      <c r="C1806" t="s">
        <v>22</v>
      </c>
      <c r="D1806">
        <v>1805</v>
      </c>
      <c r="E1806" t="s">
        <v>33</v>
      </c>
      <c r="F1806" t="s">
        <v>24</v>
      </c>
      <c r="G1806">
        <v>1805</v>
      </c>
      <c r="H1806">
        <v>2365</v>
      </c>
      <c r="I1806">
        <v>42</v>
      </c>
      <c r="J1806" t="s">
        <v>63</v>
      </c>
      <c r="K1806" t="s">
        <v>26</v>
      </c>
      <c r="L1806" t="s">
        <v>103</v>
      </c>
      <c r="M1806" t="s">
        <v>28</v>
      </c>
      <c r="N1806">
        <v>4.4000000000000004</v>
      </c>
      <c r="O1806">
        <v>0</v>
      </c>
      <c r="P1806" t="s">
        <v>48</v>
      </c>
      <c r="Q1806" t="s">
        <v>155</v>
      </c>
      <c r="R1806" t="s">
        <v>155</v>
      </c>
      <c r="S1806">
        <v>39</v>
      </c>
      <c r="T1806" t="s">
        <v>42</v>
      </c>
      <c r="U1806" t="s">
        <v>43</v>
      </c>
      <c r="V1806" s="1">
        <v>45654</v>
      </c>
      <c r="W1806">
        <f>Table1[[#This Row],[customer_purchase count]]+1</f>
        <v>40</v>
      </c>
      <c r="X1806">
        <f>Table1[[#This Row],[customer_purchase count]]*Rules!$B$3</f>
        <v>2330.81</v>
      </c>
      <c r="Y1806" t="str">
        <f>IF(Table1[[#This Row],[customer_subscription]]=1,"Subscribed","Not Subscribed")</f>
        <v>Not Subscribed</v>
      </c>
    </row>
    <row r="1807" spans="1:26" x14ac:dyDescent="0.25">
      <c r="A1807">
        <v>1806</v>
      </c>
      <c r="B1807">
        <v>41</v>
      </c>
      <c r="C1807" t="s">
        <v>22</v>
      </c>
      <c r="D1807">
        <v>1806</v>
      </c>
      <c r="E1807" t="s">
        <v>116</v>
      </c>
      <c r="F1807" t="s">
        <v>24</v>
      </c>
      <c r="G1807">
        <v>1806</v>
      </c>
      <c r="H1807">
        <v>2366</v>
      </c>
      <c r="I1807">
        <v>62</v>
      </c>
      <c r="J1807" t="s">
        <v>120</v>
      </c>
      <c r="K1807" t="s">
        <v>26</v>
      </c>
      <c r="L1807" t="s">
        <v>83</v>
      </c>
      <c r="M1807" t="s">
        <v>40</v>
      </c>
      <c r="N1807">
        <v>4.9000000000000004</v>
      </c>
      <c r="O1807">
        <v>0</v>
      </c>
      <c r="P1807" t="s">
        <v>77</v>
      </c>
      <c r="Q1807" t="s">
        <v>155</v>
      </c>
      <c r="R1807" t="s">
        <v>155</v>
      </c>
      <c r="S1807">
        <v>46</v>
      </c>
      <c r="T1807" t="s">
        <v>89</v>
      </c>
      <c r="U1807" t="s">
        <v>43</v>
      </c>
      <c r="V1807" s="1">
        <v>45352</v>
      </c>
      <c r="W1807">
        <f>Table1[[#This Row],[customer_purchase count]]+1</f>
        <v>47</v>
      </c>
      <c r="X1807">
        <f>Table1[[#This Row],[customer_purchase count]]*Rules!$B$3</f>
        <v>2749.1605128205128</v>
      </c>
      <c r="Y1807" t="str">
        <f>IF(Table1[[#This Row],[customer_subscription]]=1,"Subscribed","Not Subscribed")</f>
        <v>Not Subscribed</v>
      </c>
    </row>
    <row r="1808" spans="1:26" x14ac:dyDescent="0.25">
      <c r="A1808">
        <v>1807</v>
      </c>
      <c r="B1808">
        <v>58</v>
      </c>
      <c r="C1808" t="s">
        <v>22</v>
      </c>
      <c r="D1808">
        <v>1807</v>
      </c>
      <c r="E1808" t="s">
        <v>69</v>
      </c>
      <c r="F1808" t="s">
        <v>70</v>
      </c>
      <c r="G1808">
        <v>1807</v>
      </c>
      <c r="H1808">
        <v>2367</v>
      </c>
      <c r="I1808">
        <v>67</v>
      </c>
      <c r="J1808" t="s">
        <v>46</v>
      </c>
      <c r="K1808" t="s">
        <v>47</v>
      </c>
      <c r="L1808" t="s">
        <v>99</v>
      </c>
      <c r="M1808" t="s">
        <v>60</v>
      </c>
      <c r="N1808">
        <v>3.9</v>
      </c>
      <c r="O1808">
        <v>0</v>
      </c>
      <c r="P1808" t="s">
        <v>57</v>
      </c>
      <c r="Q1808" t="s">
        <v>155</v>
      </c>
      <c r="R1808" t="s">
        <v>155</v>
      </c>
      <c r="S1808">
        <v>24</v>
      </c>
      <c r="T1808" t="s">
        <v>31</v>
      </c>
      <c r="U1808" t="s">
        <v>52</v>
      </c>
      <c r="V1808" s="1">
        <v>45554</v>
      </c>
      <c r="W1808">
        <f>Table1[[#This Row],[customer_purchase count]]+1</f>
        <v>25</v>
      </c>
      <c r="X1808">
        <f>Table1[[#This Row],[customer_purchase count]]*Rules!$B$3</f>
        <v>1434.3446153846155</v>
      </c>
      <c r="Y1808" t="str">
        <f>IF(Table1[[#This Row],[customer_subscription]]=1,"Subscribed","Not Subscribed")</f>
        <v>Not Subscribed</v>
      </c>
    </row>
    <row r="1809" spans="1:26" x14ac:dyDescent="0.25">
      <c r="A1809">
        <v>1808</v>
      </c>
      <c r="B1809">
        <v>34</v>
      </c>
      <c r="C1809" t="s">
        <v>22</v>
      </c>
      <c r="D1809">
        <v>1808</v>
      </c>
      <c r="E1809" t="s">
        <v>53</v>
      </c>
      <c r="F1809" t="s">
        <v>45</v>
      </c>
      <c r="G1809">
        <v>1808</v>
      </c>
      <c r="H1809">
        <v>2368</v>
      </c>
      <c r="I1809">
        <v>46</v>
      </c>
      <c r="J1809" t="s">
        <v>132</v>
      </c>
      <c r="K1809" t="s">
        <v>26</v>
      </c>
      <c r="L1809" t="s">
        <v>83</v>
      </c>
      <c r="M1809" t="s">
        <v>56</v>
      </c>
      <c r="N1809">
        <v>3.5</v>
      </c>
      <c r="O1809">
        <v>0</v>
      </c>
      <c r="P1809" t="s">
        <v>57</v>
      </c>
      <c r="Q1809" t="s">
        <v>155</v>
      </c>
      <c r="R1809" t="s">
        <v>155</v>
      </c>
      <c r="S1809">
        <v>37</v>
      </c>
      <c r="T1809" t="s">
        <v>31</v>
      </c>
      <c r="U1809" t="s">
        <v>32</v>
      </c>
      <c r="V1809" s="1">
        <v>45451</v>
      </c>
      <c r="W1809">
        <f>Table1[[#This Row],[customer_purchase count]]+1</f>
        <v>38</v>
      </c>
      <c r="X1809">
        <f>Table1[[#This Row],[customer_purchase count]]*Rules!$B$3</f>
        <v>2211.2812820512822</v>
      </c>
      <c r="Y1809" t="str">
        <f>IF(Table1[[#This Row],[customer_subscription]]=1,"Subscribed","Not Subscribed")</f>
        <v>Not Subscribed</v>
      </c>
    </row>
    <row r="1810" spans="1:26" x14ac:dyDescent="0.25">
      <c r="A1810">
        <v>1809</v>
      </c>
      <c r="B1810">
        <v>67</v>
      </c>
      <c r="C1810" t="s">
        <v>22</v>
      </c>
      <c r="D1810">
        <v>1809</v>
      </c>
      <c r="E1810" t="s">
        <v>105</v>
      </c>
      <c r="F1810" t="s">
        <v>66</v>
      </c>
      <c r="G1810">
        <v>1809</v>
      </c>
      <c r="H1810">
        <v>2369</v>
      </c>
      <c r="I1810">
        <v>71</v>
      </c>
      <c r="J1810" t="s">
        <v>125</v>
      </c>
      <c r="K1810" t="s">
        <v>47</v>
      </c>
      <c r="L1810" t="s">
        <v>96</v>
      </c>
      <c r="M1810" t="s">
        <v>40</v>
      </c>
      <c r="N1810">
        <v>4.3</v>
      </c>
      <c r="O1810">
        <v>0</v>
      </c>
      <c r="P1810" t="s">
        <v>48</v>
      </c>
      <c r="Q1810" t="s">
        <v>155</v>
      </c>
      <c r="R1810" t="s">
        <v>155</v>
      </c>
      <c r="S1810">
        <v>7</v>
      </c>
      <c r="T1810" t="s">
        <v>89</v>
      </c>
      <c r="U1810" t="s">
        <v>91</v>
      </c>
      <c r="V1810" s="1">
        <v>45362</v>
      </c>
      <c r="W1810">
        <f>Table1[[#This Row],[customer_purchase count]]+1</f>
        <v>8</v>
      </c>
      <c r="X1810">
        <f>Table1[[#This Row],[customer_purchase count]]*Rules!$B$3</f>
        <v>418.35051282051285</v>
      </c>
      <c r="Y1810" t="str">
        <f>IF(Table1[[#This Row],[customer_subscription]]=1,"Subscribed","Not Subscribed")</f>
        <v>Not Subscribed</v>
      </c>
      <c r="Z1810" t="s">
        <v>194</v>
      </c>
    </row>
    <row r="1811" spans="1:26" x14ac:dyDescent="0.25">
      <c r="A1811">
        <v>1810</v>
      </c>
      <c r="B1811">
        <v>58</v>
      </c>
      <c r="C1811" t="s">
        <v>22</v>
      </c>
      <c r="D1811">
        <v>1810</v>
      </c>
      <c r="E1811" t="s">
        <v>135</v>
      </c>
      <c r="F1811" t="s">
        <v>70</v>
      </c>
      <c r="G1811">
        <v>1810</v>
      </c>
      <c r="H1811">
        <v>2371</v>
      </c>
      <c r="I1811">
        <v>99</v>
      </c>
      <c r="J1811" t="s">
        <v>123</v>
      </c>
      <c r="K1811" t="s">
        <v>39</v>
      </c>
      <c r="L1811" t="s">
        <v>147</v>
      </c>
      <c r="M1811" t="s">
        <v>60</v>
      </c>
      <c r="N1811">
        <v>3.4</v>
      </c>
      <c r="O1811">
        <v>0</v>
      </c>
      <c r="P1811" t="s">
        <v>41</v>
      </c>
      <c r="Q1811" t="s">
        <v>155</v>
      </c>
      <c r="R1811" t="s">
        <v>155</v>
      </c>
      <c r="S1811">
        <v>6</v>
      </c>
      <c r="T1811" t="s">
        <v>89</v>
      </c>
      <c r="U1811" t="s">
        <v>32</v>
      </c>
      <c r="V1811" s="1">
        <v>45602</v>
      </c>
      <c r="W1811">
        <f>Table1[[#This Row],[customer_purchase count]]+1</f>
        <v>7</v>
      </c>
      <c r="X1811">
        <f>Table1[[#This Row],[customer_purchase count]]*Rules!$B$3</f>
        <v>358.58615384615388</v>
      </c>
      <c r="Y1811" t="str">
        <f>IF(Table1[[#This Row],[customer_subscription]]=1,"Subscribed","Not Subscribed")</f>
        <v>Not Subscribed</v>
      </c>
      <c r="Z1811" t="s">
        <v>194</v>
      </c>
    </row>
    <row r="1812" spans="1:26" x14ac:dyDescent="0.25">
      <c r="A1812">
        <v>1811</v>
      </c>
      <c r="B1812">
        <v>41</v>
      </c>
      <c r="C1812" t="s">
        <v>22</v>
      </c>
      <c r="D1812">
        <v>1811</v>
      </c>
      <c r="E1812" t="s">
        <v>37</v>
      </c>
      <c r="F1812" t="s">
        <v>24</v>
      </c>
      <c r="G1812">
        <v>1811</v>
      </c>
      <c r="H1812">
        <v>2372</v>
      </c>
      <c r="I1812">
        <v>28</v>
      </c>
      <c r="J1812" t="s">
        <v>131</v>
      </c>
      <c r="K1812" t="s">
        <v>47</v>
      </c>
      <c r="L1812" t="s">
        <v>139</v>
      </c>
      <c r="M1812" t="s">
        <v>60</v>
      </c>
      <c r="N1812">
        <v>2.7</v>
      </c>
      <c r="O1812">
        <v>0</v>
      </c>
      <c r="P1812" t="s">
        <v>57</v>
      </c>
      <c r="Q1812" t="s">
        <v>155</v>
      </c>
      <c r="R1812" t="s">
        <v>155</v>
      </c>
      <c r="S1812">
        <v>16</v>
      </c>
      <c r="T1812" t="s">
        <v>36</v>
      </c>
      <c r="U1812" t="s">
        <v>79</v>
      </c>
      <c r="V1812" s="1">
        <v>45536</v>
      </c>
      <c r="W1812">
        <f>Table1[[#This Row],[customer_purchase count]]+1</f>
        <v>17</v>
      </c>
      <c r="X1812">
        <f>Table1[[#This Row],[customer_purchase count]]*Rules!$B$3</f>
        <v>956.22974358974363</v>
      </c>
      <c r="Y1812" t="str">
        <f>IF(Table1[[#This Row],[customer_subscription]]=1,"Subscribed","Not Subscribed")</f>
        <v>Not Subscribed</v>
      </c>
      <c r="Z1812" t="s">
        <v>194</v>
      </c>
    </row>
    <row r="1813" spans="1:26" x14ac:dyDescent="0.25">
      <c r="A1813">
        <v>1812</v>
      </c>
      <c r="B1813">
        <v>42</v>
      </c>
      <c r="C1813" t="s">
        <v>22</v>
      </c>
      <c r="D1813">
        <v>1812</v>
      </c>
      <c r="E1813" t="s">
        <v>136</v>
      </c>
      <c r="F1813" t="s">
        <v>70</v>
      </c>
      <c r="G1813">
        <v>1812</v>
      </c>
      <c r="H1813">
        <v>2373</v>
      </c>
      <c r="I1813">
        <v>77</v>
      </c>
      <c r="J1813" t="s">
        <v>153</v>
      </c>
      <c r="K1813" t="s">
        <v>26</v>
      </c>
      <c r="L1813" t="s">
        <v>147</v>
      </c>
      <c r="M1813" t="s">
        <v>56</v>
      </c>
      <c r="N1813">
        <v>3.6</v>
      </c>
      <c r="O1813">
        <v>0</v>
      </c>
      <c r="P1813" t="s">
        <v>57</v>
      </c>
      <c r="Q1813" t="s">
        <v>155</v>
      </c>
      <c r="R1813" t="s">
        <v>155</v>
      </c>
      <c r="S1813">
        <v>33</v>
      </c>
      <c r="T1813" t="s">
        <v>78</v>
      </c>
      <c r="U1813" t="s">
        <v>52</v>
      </c>
      <c r="V1813" s="1">
        <v>45508</v>
      </c>
      <c r="W1813">
        <f>Table1[[#This Row],[customer_purchase count]]+1</f>
        <v>34</v>
      </c>
      <c r="X1813">
        <f>Table1[[#This Row],[customer_purchase count]]*Rules!$B$3</f>
        <v>1972.2238461538464</v>
      </c>
      <c r="Y1813" t="str">
        <f>IF(Table1[[#This Row],[customer_subscription]]=1,"Subscribed","Not Subscribed")</f>
        <v>Not Subscribed</v>
      </c>
    </row>
    <row r="1814" spans="1:26" x14ac:dyDescent="0.25">
      <c r="A1814">
        <v>1813</v>
      </c>
      <c r="B1814">
        <v>50</v>
      </c>
      <c r="C1814" t="s">
        <v>22</v>
      </c>
      <c r="D1814">
        <v>1813</v>
      </c>
      <c r="E1814" t="s">
        <v>140</v>
      </c>
      <c r="F1814" t="s">
        <v>45</v>
      </c>
      <c r="G1814">
        <v>1813</v>
      </c>
      <c r="H1814">
        <v>2374</v>
      </c>
      <c r="I1814">
        <v>63</v>
      </c>
      <c r="J1814" t="s">
        <v>110</v>
      </c>
      <c r="K1814" t="s">
        <v>39</v>
      </c>
      <c r="L1814" t="s">
        <v>147</v>
      </c>
      <c r="M1814" t="s">
        <v>56</v>
      </c>
      <c r="N1814">
        <v>4.9000000000000004</v>
      </c>
      <c r="O1814">
        <v>0</v>
      </c>
      <c r="P1814" t="s">
        <v>29</v>
      </c>
      <c r="Q1814" t="s">
        <v>155</v>
      </c>
      <c r="R1814" t="s">
        <v>155</v>
      </c>
      <c r="S1814">
        <v>18</v>
      </c>
      <c r="T1814" t="s">
        <v>49</v>
      </c>
      <c r="U1814" t="s">
        <v>79</v>
      </c>
      <c r="V1814" s="1">
        <v>45448</v>
      </c>
      <c r="W1814">
        <f>Table1[[#This Row],[customer_purchase count]]+1</f>
        <v>19</v>
      </c>
      <c r="X1814">
        <f>Table1[[#This Row],[customer_purchase count]]*Rules!$B$3</f>
        <v>1075.7584615384617</v>
      </c>
      <c r="Y1814" t="str">
        <f>IF(Table1[[#This Row],[customer_subscription]]=1,"Subscribed","Not Subscribed")</f>
        <v>Not Subscribed</v>
      </c>
    </row>
    <row r="1815" spans="1:26" x14ac:dyDescent="0.25">
      <c r="A1815">
        <v>1814</v>
      </c>
      <c r="B1815">
        <v>40</v>
      </c>
      <c r="C1815" t="s">
        <v>22</v>
      </c>
      <c r="D1815">
        <v>1814</v>
      </c>
      <c r="E1815" t="s">
        <v>62</v>
      </c>
      <c r="F1815" t="s">
        <v>24</v>
      </c>
      <c r="G1815">
        <v>1814</v>
      </c>
      <c r="H1815">
        <v>2375</v>
      </c>
      <c r="I1815">
        <v>62</v>
      </c>
      <c r="J1815" t="s">
        <v>118</v>
      </c>
      <c r="K1815" t="s">
        <v>47</v>
      </c>
      <c r="L1815" t="s">
        <v>81</v>
      </c>
      <c r="M1815" t="s">
        <v>40</v>
      </c>
      <c r="N1815">
        <v>3.5</v>
      </c>
      <c r="O1815">
        <v>0</v>
      </c>
      <c r="P1815" t="s">
        <v>41</v>
      </c>
      <c r="Q1815" t="s">
        <v>155</v>
      </c>
      <c r="R1815" t="s">
        <v>155</v>
      </c>
      <c r="S1815">
        <v>24</v>
      </c>
      <c r="T1815" t="s">
        <v>49</v>
      </c>
      <c r="U1815" t="s">
        <v>43</v>
      </c>
      <c r="V1815" s="1">
        <v>45379</v>
      </c>
      <c r="W1815">
        <f>Table1[[#This Row],[customer_purchase count]]+1</f>
        <v>25</v>
      </c>
      <c r="X1815">
        <f>Table1[[#This Row],[customer_purchase count]]*Rules!$B$3</f>
        <v>1434.3446153846155</v>
      </c>
      <c r="Y1815" t="str">
        <f>IF(Table1[[#This Row],[customer_subscription]]=1,"Subscribed","Not Subscribed")</f>
        <v>Not Subscribed</v>
      </c>
    </row>
    <row r="1816" spans="1:26" x14ac:dyDescent="0.25">
      <c r="A1816">
        <v>1815</v>
      </c>
      <c r="B1816">
        <v>32</v>
      </c>
      <c r="C1816" t="s">
        <v>22</v>
      </c>
      <c r="D1816">
        <v>1815</v>
      </c>
      <c r="E1816" t="s">
        <v>37</v>
      </c>
      <c r="F1816" t="s">
        <v>24</v>
      </c>
      <c r="G1816">
        <v>1815</v>
      </c>
      <c r="H1816">
        <v>2377</v>
      </c>
      <c r="I1816">
        <v>92</v>
      </c>
      <c r="J1816" t="s">
        <v>59</v>
      </c>
      <c r="K1816" t="s">
        <v>47</v>
      </c>
      <c r="L1816" t="s">
        <v>55</v>
      </c>
      <c r="M1816" t="s">
        <v>56</v>
      </c>
      <c r="N1816">
        <v>3.8</v>
      </c>
      <c r="O1816">
        <v>0</v>
      </c>
      <c r="P1816" t="s">
        <v>41</v>
      </c>
      <c r="Q1816" t="s">
        <v>155</v>
      </c>
      <c r="R1816" t="s">
        <v>155</v>
      </c>
      <c r="S1816">
        <v>24</v>
      </c>
      <c r="T1816" t="s">
        <v>36</v>
      </c>
      <c r="U1816" t="s">
        <v>61</v>
      </c>
      <c r="V1816" s="1">
        <v>45497</v>
      </c>
      <c r="W1816">
        <f>Table1[[#This Row],[customer_purchase count]]+1</f>
        <v>25</v>
      </c>
      <c r="X1816">
        <f>Table1[[#This Row],[customer_purchase count]]*Rules!$B$3</f>
        <v>1434.3446153846155</v>
      </c>
      <c r="Y1816" t="str">
        <f>IF(Table1[[#This Row],[customer_subscription]]=1,"Subscribed","Not Subscribed")</f>
        <v>Not Subscribed</v>
      </c>
    </row>
    <row r="1817" spans="1:26" x14ac:dyDescent="0.25">
      <c r="A1817">
        <v>1816</v>
      </c>
      <c r="B1817">
        <v>51</v>
      </c>
      <c r="C1817" t="s">
        <v>22</v>
      </c>
      <c r="D1817">
        <v>1816</v>
      </c>
      <c r="E1817" t="s">
        <v>74</v>
      </c>
      <c r="F1817" t="s">
        <v>45</v>
      </c>
      <c r="G1817">
        <v>1816</v>
      </c>
      <c r="H1817">
        <v>2378</v>
      </c>
      <c r="I1817">
        <v>72</v>
      </c>
      <c r="J1817" t="s">
        <v>133</v>
      </c>
      <c r="K1817" t="s">
        <v>26</v>
      </c>
      <c r="L1817" t="s">
        <v>55</v>
      </c>
      <c r="M1817" t="s">
        <v>28</v>
      </c>
      <c r="N1817">
        <v>4.5</v>
      </c>
      <c r="O1817">
        <v>0</v>
      </c>
      <c r="P1817" t="s">
        <v>73</v>
      </c>
      <c r="Q1817" t="s">
        <v>155</v>
      </c>
      <c r="R1817" t="s">
        <v>155</v>
      </c>
      <c r="S1817">
        <v>48</v>
      </c>
      <c r="T1817" t="s">
        <v>42</v>
      </c>
      <c r="U1817" t="s">
        <v>100</v>
      </c>
      <c r="V1817" s="1">
        <v>45312</v>
      </c>
      <c r="W1817">
        <f>Table1[[#This Row],[customer_purchase count]]+1</f>
        <v>49</v>
      </c>
      <c r="X1817">
        <f>Table1[[#This Row],[customer_purchase count]]*Rules!$B$3</f>
        <v>2868.689230769231</v>
      </c>
      <c r="Y1817" t="str">
        <f>IF(Table1[[#This Row],[customer_subscription]]=1,"Subscribed","Not Subscribed")</f>
        <v>Not Subscribed</v>
      </c>
    </row>
    <row r="1818" spans="1:26" x14ac:dyDescent="0.25">
      <c r="A1818">
        <v>1817</v>
      </c>
      <c r="B1818">
        <v>26</v>
      </c>
      <c r="C1818" t="s">
        <v>22</v>
      </c>
      <c r="D1818">
        <v>1817</v>
      </c>
      <c r="E1818" t="s">
        <v>127</v>
      </c>
      <c r="F1818" t="s">
        <v>70</v>
      </c>
      <c r="G1818">
        <v>1817</v>
      </c>
      <c r="H1818">
        <v>2379</v>
      </c>
      <c r="I1818">
        <v>79</v>
      </c>
      <c r="J1818" t="s">
        <v>144</v>
      </c>
      <c r="K1818" t="s">
        <v>47</v>
      </c>
      <c r="L1818" t="s">
        <v>76</v>
      </c>
      <c r="M1818" t="s">
        <v>56</v>
      </c>
      <c r="N1818">
        <v>4</v>
      </c>
      <c r="O1818">
        <v>0</v>
      </c>
      <c r="P1818" t="s">
        <v>29</v>
      </c>
      <c r="Q1818" t="s">
        <v>155</v>
      </c>
      <c r="R1818" t="s">
        <v>155</v>
      </c>
      <c r="S1818">
        <v>4</v>
      </c>
      <c r="T1818" t="s">
        <v>36</v>
      </c>
      <c r="U1818" t="s">
        <v>43</v>
      </c>
      <c r="V1818" s="1">
        <v>45530</v>
      </c>
      <c r="W1818">
        <f>Table1[[#This Row],[customer_purchase count]]+1</f>
        <v>5</v>
      </c>
      <c r="X1818">
        <f>Table1[[#This Row],[customer_purchase count]]*Rules!$B$3</f>
        <v>239.05743589743591</v>
      </c>
      <c r="Y1818" t="str">
        <f>IF(Table1[[#This Row],[customer_subscription]]=1,"Subscribed","Not Subscribed")</f>
        <v>Not Subscribed</v>
      </c>
      <c r="Z1818" t="s">
        <v>194</v>
      </c>
    </row>
    <row r="1819" spans="1:26" x14ac:dyDescent="0.25">
      <c r="A1819">
        <v>1818</v>
      </c>
      <c r="B1819">
        <v>32</v>
      </c>
      <c r="C1819" t="s">
        <v>22</v>
      </c>
      <c r="D1819">
        <v>1818</v>
      </c>
      <c r="E1819" t="s">
        <v>116</v>
      </c>
      <c r="F1819" t="s">
        <v>24</v>
      </c>
      <c r="G1819">
        <v>1818</v>
      </c>
      <c r="H1819">
        <v>2380</v>
      </c>
      <c r="I1819">
        <v>27</v>
      </c>
      <c r="J1819" t="s">
        <v>82</v>
      </c>
      <c r="K1819" t="s">
        <v>47</v>
      </c>
      <c r="L1819" t="s">
        <v>55</v>
      </c>
      <c r="M1819" t="s">
        <v>56</v>
      </c>
      <c r="N1819">
        <v>4.7</v>
      </c>
      <c r="O1819">
        <v>0</v>
      </c>
      <c r="P1819" t="s">
        <v>41</v>
      </c>
      <c r="Q1819" t="s">
        <v>155</v>
      </c>
      <c r="R1819" t="s">
        <v>155</v>
      </c>
      <c r="S1819">
        <v>20</v>
      </c>
      <c r="T1819" t="s">
        <v>36</v>
      </c>
      <c r="U1819" t="s">
        <v>43</v>
      </c>
      <c r="V1819" s="1">
        <v>45469</v>
      </c>
      <c r="W1819">
        <f>Table1[[#This Row],[customer_purchase count]]+1</f>
        <v>21</v>
      </c>
      <c r="X1819">
        <f>Table1[[#This Row],[customer_purchase count]]*Rules!$B$3</f>
        <v>1195.2871794871796</v>
      </c>
      <c r="Y1819" t="str">
        <f>IF(Table1[[#This Row],[customer_subscription]]=1,"Subscribed","Not Subscribed")</f>
        <v>Not Subscribed</v>
      </c>
    </row>
    <row r="1820" spans="1:26" x14ac:dyDescent="0.25">
      <c r="A1820">
        <v>1819</v>
      </c>
      <c r="B1820">
        <v>58</v>
      </c>
      <c r="C1820" t="s">
        <v>22</v>
      </c>
      <c r="D1820">
        <v>1819</v>
      </c>
      <c r="E1820" t="s">
        <v>92</v>
      </c>
      <c r="F1820" t="s">
        <v>70</v>
      </c>
      <c r="G1820">
        <v>1819</v>
      </c>
      <c r="H1820">
        <v>2381</v>
      </c>
      <c r="I1820">
        <v>39</v>
      </c>
      <c r="J1820" t="s">
        <v>101</v>
      </c>
      <c r="K1820" t="s">
        <v>47</v>
      </c>
      <c r="L1820" t="s">
        <v>55</v>
      </c>
      <c r="M1820" t="s">
        <v>60</v>
      </c>
      <c r="N1820">
        <v>3.8</v>
      </c>
      <c r="O1820">
        <v>0</v>
      </c>
      <c r="P1820" t="s">
        <v>29</v>
      </c>
      <c r="Q1820" t="s">
        <v>155</v>
      </c>
      <c r="R1820" t="s">
        <v>155</v>
      </c>
      <c r="S1820">
        <v>47</v>
      </c>
      <c r="T1820" t="s">
        <v>89</v>
      </c>
      <c r="U1820" t="s">
        <v>100</v>
      </c>
      <c r="V1820" s="1">
        <v>45575</v>
      </c>
      <c r="W1820">
        <f>Table1[[#This Row],[customer_purchase count]]+1</f>
        <v>48</v>
      </c>
      <c r="X1820">
        <f>Table1[[#This Row],[customer_purchase count]]*Rules!$B$3</f>
        <v>2808.9248717948717</v>
      </c>
      <c r="Y1820" t="str">
        <f>IF(Table1[[#This Row],[customer_subscription]]=1,"Subscribed","Not Subscribed")</f>
        <v>Not Subscribed</v>
      </c>
    </row>
    <row r="1821" spans="1:26" x14ac:dyDescent="0.25">
      <c r="A1821">
        <v>1820</v>
      </c>
      <c r="B1821">
        <v>51</v>
      </c>
      <c r="C1821" t="s">
        <v>22</v>
      </c>
      <c r="D1821">
        <v>1820</v>
      </c>
      <c r="E1821" t="s">
        <v>128</v>
      </c>
      <c r="F1821" t="s">
        <v>24</v>
      </c>
      <c r="G1821">
        <v>1820</v>
      </c>
      <c r="H1821">
        <v>2383</v>
      </c>
      <c r="I1821">
        <v>86</v>
      </c>
      <c r="J1821" t="s">
        <v>110</v>
      </c>
      <c r="K1821" t="s">
        <v>39</v>
      </c>
      <c r="L1821" t="s">
        <v>103</v>
      </c>
      <c r="M1821" t="s">
        <v>40</v>
      </c>
      <c r="N1821">
        <v>4.5</v>
      </c>
      <c r="O1821">
        <v>0</v>
      </c>
      <c r="P1821" t="s">
        <v>48</v>
      </c>
      <c r="Q1821" t="s">
        <v>155</v>
      </c>
      <c r="R1821" t="s">
        <v>155</v>
      </c>
      <c r="S1821">
        <v>50</v>
      </c>
      <c r="T1821" t="s">
        <v>36</v>
      </c>
      <c r="U1821" t="s">
        <v>61</v>
      </c>
      <c r="V1821" s="1">
        <v>45354</v>
      </c>
      <c r="W1821">
        <f>Table1[[#This Row],[customer_purchase count]]+1</f>
        <v>51</v>
      </c>
      <c r="X1821">
        <f>Table1[[#This Row],[customer_purchase count]]*Rules!$B$3</f>
        <v>2988.2179487179487</v>
      </c>
      <c r="Y1821" t="str">
        <f>IF(Table1[[#This Row],[customer_subscription]]=1,"Subscribed","Not Subscribed")</f>
        <v>Not Subscribed</v>
      </c>
    </row>
    <row r="1822" spans="1:26" x14ac:dyDescent="0.25">
      <c r="A1822">
        <v>1821</v>
      </c>
      <c r="B1822">
        <v>19</v>
      </c>
      <c r="C1822" t="s">
        <v>22</v>
      </c>
      <c r="D1822">
        <v>1821</v>
      </c>
      <c r="E1822" t="s">
        <v>58</v>
      </c>
      <c r="F1822" t="s">
        <v>24</v>
      </c>
      <c r="G1822">
        <v>1821</v>
      </c>
      <c r="H1822">
        <v>2384</v>
      </c>
      <c r="I1822">
        <v>94</v>
      </c>
      <c r="J1822" t="s">
        <v>152</v>
      </c>
      <c r="K1822" t="s">
        <v>95</v>
      </c>
      <c r="L1822" t="s">
        <v>83</v>
      </c>
      <c r="M1822" t="s">
        <v>60</v>
      </c>
      <c r="N1822">
        <v>5</v>
      </c>
      <c r="O1822">
        <v>0</v>
      </c>
      <c r="P1822" t="s">
        <v>29</v>
      </c>
      <c r="Q1822" t="s">
        <v>155</v>
      </c>
      <c r="R1822" t="s">
        <v>155</v>
      </c>
      <c r="S1822">
        <v>31</v>
      </c>
      <c r="T1822" t="s">
        <v>49</v>
      </c>
      <c r="U1822" t="s">
        <v>91</v>
      </c>
      <c r="V1822" s="1">
        <v>45566</v>
      </c>
      <c r="W1822">
        <f>Table1[[#This Row],[customer_purchase count]]+1</f>
        <v>32</v>
      </c>
      <c r="X1822">
        <f>Table1[[#This Row],[customer_purchase count]]*Rules!$B$3</f>
        <v>1852.6951282051282</v>
      </c>
      <c r="Y1822" t="str">
        <f>IF(Table1[[#This Row],[customer_subscription]]=1,"Subscribed","Not Subscribed")</f>
        <v>Not Subscribed</v>
      </c>
    </row>
    <row r="1823" spans="1:26" x14ac:dyDescent="0.25">
      <c r="A1823">
        <v>1822</v>
      </c>
      <c r="B1823">
        <v>57</v>
      </c>
      <c r="C1823" t="s">
        <v>22</v>
      </c>
      <c r="D1823">
        <v>1822</v>
      </c>
      <c r="E1823" t="s">
        <v>62</v>
      </c>
      <c r="F1823" t="s">
        <v>24</v>
      </c>
      <c r="G1823">
        <v>1822</v>
      </c>
      <c r="H1823">
        <v>2385</v>
      </c>
      <c r="I1823">
        <v>53</v>
      </c>
      <c r="J1823" t="s">
        <v>34</v>
      </c>
      <c r="K1823" t="s">
        <v>47</v>
      </c>
      <c r="L1823" t="s">
        <v>88</v>
      </c>
      <c r="M1823" t="s">
        <v>40</v>
      </c>
      <c r="N1823">
        <v>2.8</v>
      </c>
      <c r="O1823">
        <v>0</v>
      </c>
      <c r="P1823" t="s">
        <v>29</v>
      </c>
      <c r="Q1823" t="s">
        <v>155</v>
      </c>
      <c r="R1823" t="s">
        <v>155</v>
      </c>
      <c r="S1823">
        <v>29</v>
      </c>
      <c r="T1823" t="s">
        <v>49</v>
      </c>
      <c r="U1823" t="s">
        <v>61</v>
      </c>
      <c r="V1823" s="1">
        <v>45438</v>
      </c>
      <c r="W1823">
        <f>Table1[[#This Row],[customer_purchase count]]+1</f>
        <v>30</v>
      </c>
      <c r="X1823">
        <f>Table1[[#This Row],[customer_purchase count]]*Rules!$B$3</f>
        <v>1733.1664102564102</v>
      </c>
      <c r="Y1823" t="str">
        <f>IF(Table1[[#This Row],[customer_subscription]]=1,"Subscribed","Not Subscribed")</f>
        <v>Not Subscribed</v>
      </c>
    </row>
    <row r="1824" spans="1:26" x14ac:dyDescent="0.25">
      <c r="A1824">
        <v>1823</v>
      </c>
      <c r="B1824">
        <v>66</v>
      </c>
      <c r="C1824" t="s">
        <v>22</v>
      </c>
      <c r="D1824">
        <v>1823</v>
      </c>
      <c r="E1824" t="s">
        <v>58</v>
      </c>
      <c r="F1824" t="s">
        <v>24</v>
      </c>
      <c r="G1824">
        <v>1823</v>
      </c>
      <c r="H1824">
        <v>2386</v>
      </c>
      <c r="I1824">
        <v>85</v>
      </c>
      <c r="J1824" t="s">
        <v>142</v>
      </c>
      <c r="K1824" t="s">
        <v>39</v>
      </c>
      <c r="L1824" t="s">
        <v>112</v>
      </c>
      <c r="M1824" t="s">
        <v>56</v>
      </c>
      <c r="N1824">
        <v>4.4000000000000004</v>
      </c>
      <c r="O1824">
        <v>0</v>
      </c>
      <c r="P1824" t="s">
        <v>57</v>
      </c>
      <c r="Q1824" t="s">
        <v>155</v>
      </c>
      <c r="R1824" t="s">
        <v>155</v>
      </c>
      <c r="S1824">
        <v>4</v>
      </c>
      <c r="T1824" t="s">
        <v>36</v>
      </c>
      <c r="U1824" t="s">
        <v>52</v>
      </c>
      <c r="V1824" s="1">
        <v>45513</v>
      </c>
      <c r="W1824">
        <f>Table1[[#This Row],[customer_purchase count]]+1</f>
        <v>5</v>
      </c>
      <c r="X1824">
        <f>Table1[[#This Row],[customer_purchase count]]*Rules!$B$3</f>
        <v>239.05743589743591</v>
      </c>
      <c r="Y1824" t="str">
        <f>IF(Table1[[#This Row],[customer_subscription]]=1,"Subscribed","Not Subscribed")</f>
        <v>Not Subscribed</v>
      </c>
      <c r="Z1824" t="s">
        <v>194</v>
      </c>
    </row>
    <row r="1825" spans="1:26" x14ac:dyDescent="0.25">
      <c r="A1825">
        <v>1824</v>
      </c>
      <c r="B1825">
        <v>62</v>
      </c>
      <c r="C1825" t="s">
        <v>22</v>
      </c>
      <c r="D1825">
        <v>1824</v>
      </c>
      <c r="E1825" t="s">
        <v>128</v>
      </c>
      <c r="F1825" t="s">
        <v>24</v>
      </c>
      <c r="G1825">
        <v>1824</v>
      </c>
      <c r="H1825">
        <v>2387</v>
      </c>
      <c r="I1825">
        <v>50</v>
      </c>
      <c r="J1825" t="s">
        <v>63</v>
      </c>
      <c r="K1825" t="s">
        <v>26</v>
      </c>
      <c r="L1825" t="s">
        <v>72</v>
      </c>
      <c r="M1825" t="s">
        <v>60</v>
      </c>
      <c r="N1825">
        <v>4.7</v>
      </c>
      <c r="O1825">
        <v>0</v>
      </c>
      <c r="P1825" t="s">
        <v>41</v>
      </c>
      <c r="Q1825" t="s">
        <v>155</v>
      </c>
      <c r="R1825" t="s">
        <v>155</v>
      </c>
      <c r="S1825">
        <v>40</v>
      </c>
      <c r="T1825" t="s">
        <v>78</v>
      </c>
      <c r="U1825" t="s">
        <v>79</v>
      </c>
      <c r="V1825" s="1">
        <v>45573</v>
      </c>
      <c r="W1825">
        <f>Table1[[#This Row],[customer_purchase count]]+1</f>
        <v>41</v>
      </c>
      <c r="X1825">
        <f>Table1[[#This Row],[customer_purchase count]]*Rules!$B$3</f>
        <v>2390.5743589743593</v>
      </c>
      <c r="Y1825" t="str">
        <f>IF(Table1[[#This Row],[customer_subscription]]=1,"Subscribed","Not Subscribed")</f>
        <v>Not Subscribed</v>
      </c>
    </row>
    <row r="1826" spans="1:26" x14ac:dyDescent="0.25">
      <c r="A1826">
        <v>1825</v>
      </c>
      <c r="B1826">
        <v>58</v>
      </c>
      <c r="C1826" t="s">
        <v>22</v>
      </c>
      <c r="D1826">
        <v>1825</v>
      </c>
      <c r="E1826" t="s">
        <v>98</v>
      </c>
      <c r="F1826" t="s">
        <v>24</v>
      </c>
      <c r="G1826">
        <v>1825</v>
      </c>
      <c r="H1826">
        <v>2389</v>
      </c>
      <c r="I1826">
        <v>47</v>
      </c>
      <c r="J1826" t="s">
        <v>118</v>
      </c>
      <c r="K1826" t="s">
        <v>95</v>
      </c>
      <c r="L1826" t="s">
        <v>139</v>
      </c>
      <c r="M1826" t="s">
        <v>28</v>
      </c>
      <c r="N1826">
        <v>3.8</v>
      </c>
      <c r="O1826">
        <v>0</v>
      </c>
      <c r="P1826" t="s">
        <v>29</v>
      </c>
      <c r="Q1826" t="s">
        <v>155</v>
      </c>
      <c r="R1826" t="s">
        <v>155</v>
      </c>
      <c r="S1826">
        <v>31</v>
      </c>
      <c r="T1826" t="s">
        <v>36</v>
      </c>
      <c r="U1826" t="s">
        <v>91</v>
      </c>
      <c r="V1826" s="1">
        <v>45323</v>
      </c>
      <c r="W1826">
        <f>Table1[[#This Row],[customer_purchase count]]+1</f>
        <v>32</v>
      </c>
      <c r="X1826">
        <f>Table1[[#This Row],[customer_purchase count]]*Rules!$B$3</f>
        <v>1852.6951282051282</v>
      </c>
      <c r="Y1826" t="str">
        <f>IF(Table1[[#This Row],[customer_subscription]]=1,"Subscribed","Not Subscribed")</f>
        <v>Not Subscribed</v>
      </c>
    </row>
    <row r="1827" spans="1:26" x14ac:dyDescent="0.25">
      <c r="A1827">
        <v>1826</v>
      </c>
      <c r="B1827">
        <v>23</v>
      </c>
      <c r="C1827" t="s">
        <v>22</v>
      </c>
      <c r="D1827">
        <v>1826</v>
      </c>
      <c r="E1827" t="s">
        <v>140</v>
      </c>
      <c r="F1827" t="s">
        <v>45</v>
      </c>
      <c r="G1827">
        <v>1826</v>
      </c>
      <c r="H1827">
        <v>2390</v>
      </c>
      <c r="I1827">
        <v>75</v>
      </c>
      <c r="J1827" t="s">
        <v>150</v>
      </c>
      <c r="K1827" t="s">
        <v>47</v>
      </c>
      <c r="L1827" t="s">
        <v>72</v>
      </c>
      <c r="M1827" t="s">
        <v>28</v>
      </c>
      <c r="N1827">
        <v>4.9000000000000004</v>
      </c>
      <c r="O1827">
        <v>0</v>
      </c>
      <c r="P1827" t="s">
        <v>48</v>
      </c>
      <c r="Q1827" t="s">
        <v>155</v>
      </c>
      <c r="R1827" t="s">
        <v>155</v>
      </c>
      <c r="S1827">
        <v>41</v>
      </c>
      <c r="T1827" t="s">
        <v>42</v>
      </c>
      <c r="U1827" t="s">
        <v>43</v>
      </c>
      <c r="V1827" s="1">
        <v>45349</v>
      </c>
      <c r="W1827">
        <f>Table1[[#This Row],[customer_purchase count]]+1</f>
        <v>42</v>
      </c>
      <c r="X1827">
        <f>Table1[[#This Row],[customer_purchase count]]*Rules!$B$3</f>
        <v>2450.3387179487181</v>
      </c>
      <c r="Y1827" t="str">
        <f>IF(Table1[[#This Row],[customer_subscription]]=1,"Subscribed","Not Subscribed")</f>
        <v>Not Subscribed</v>
      </c>
    </row>
    <row r="1828" spans="1:26" x14ac:dyDescent="0.25">
      <c r="A1828">
        <v>1827</v>
      </c>
      <c r="B1828">
        <v>45</v>
      </c>
      <c r="C1828" t="s">
        <v>22</v>
      </c>
      <c r="D1828">
        <v>1827</v>
      </c>
      <c r="E1828" t="s">
        <v>116</v>
      </c>
      <c r="F1828" t="s">
        <v>24</v>
      </c>
      <c r="G1828">
        <v>1827</v>
      </c>
      <c r="H1828">
        <v>2391</v>
      </c>
      <c r="I1828">
        <v>60</v>
      </c>
      <c r="J1828" t="s">
        <v>119</v>
      </c>
      <c r="K1828" t="s">
        <v>47</v>
      </c>
      <c r="L1828" t="s">
        <v>51</v>
      </c>
      <c r="M1828" t="s">
        <v>28</v>
      </c>
      <c r="N1828">
        <v>4.2</v>
      </c>
      <c r="O1828">
        <v>0</v>
      </c>
      <c r="P1828" t="s">
        <v>29</v>
      </c>
      <c r="Q1828" t="s">
        <v>155</v>
      </c>
      <c r="R1828" t="s">
        <v>155</v>
      </c>
      <c r="S1828">
        <v>44</v>
      </c>
      <c r="T1828" t="s">
        <v>89</v>
      </c>
      <c r="U1828" t="s">
        <v>52</v>
      </c>
      <c r="V1828" s="1">
        <v>45346</v>
      </c>
      <c r="W1828">
        <f>Table1[[#This Row],[customer_purchase count]]+1</f>
        <v>45</v>
      </c>
      <c r="X1828">
        <f>Table1[[#This Row],[customer_purchase count]]*Rules!$B$3</f>
        <v>2629.6317948717951</v>
      </c>
      <c r="Y1828" t="str">
        <f>IF(Table1[[#This Row],[customer_subscription]]=1,"Subscribed","Not Subscribed")</f>
        <v>Not Subscribed</v>
      </c>
    </row>
    <row r="1829" spans="1:26" x14ac:dyDescent="0.25">
      <c r="A1829">
        <v>1828</v>
      </c>
      <c r="B1829">
        <v>20</v>
      </c>
      <c r="C1829" t="s">
        <v>22</v>
      </c>
      <c r="D1829">
        <v>1828</v>
      </c>
      <c r="E1829" t="s">
        <v>116</v>
      </c>
      <c r="F1829" t="s">
        <v>24</v>
      </c>
      <c r="G1829">
        <v>1828</v>
      </c>
      <c r="H1829">
        <v>2392</v>
      </c>
      <c r="I1829">
        <v>36</v>
      </c>
      <c r="J1829" t="s">
        <v>132</v>
      </c>
      <c r="K1829" t="s">
        <v>39</v>
      </c>
      <c r="L1829" t="s">
        <v>72</v>
      </c>
      <c r="M1829" t="s">
        <v>40</v>
      </c>
      <c r="N1829">
        <v>4.9000000000000004</v>
      </c>
      <c r="O1829">
        <v>0</v>
      </c>
      <c r="P1829" t="s">
        <v>73</v>
      </c>
      <c r="Q1829" t="s">
        <v>155</v>
      </c>
      <c r="R1829" t="s">
        <v>155</v>
      </c>
      <c r="S1829">
        <v>31</v>
      </c>
      <c r="T1829" t="s">
        <v>78</v>
      </c>
      <c r="U1829" t="s">
        <v>43</v>
      </c>
      <c r="V1829" s="1">
        <v>45397</v>
      </c>
      <c r="W1829">
        <f>Table1[[#This Row],[customer_purchase count]]+1</f>
        <v>32</v>
      </c>
      <c r="X1829">
        <f>Table1[[#This Row],[customer_purchase count]]*Rules!$B$3</f>
        <v>1852.6951282051282</v>
      </c>
      <c r="Y1829" t="str">
        <f>IF(Table1[[#This Row],[customer_subscription]]=1,"Subscribed","Not Subscribed")</f>
        <v>Not Subscribed</v>
      </c>
    </row>
    <row r="1830" spans="1:26" x14ac:dyDescent="0.25">
      <c r="A1830">
        <v>1829</v>
      </c>
      <c r="B1830">
        <v>33</v>
      </c>
      <c r="C1830" t="s">
        <v>22</v>
      </c>
      <c r="D1830">
        <v>1829</v>
      </c>
      <c r="E1830" t="s">
        <v>65</v>
      </c>
      <c r="F1830" t="s">
        <v>66</v>
      </c>
      <c r="G1830">
        <v>1829</v>
      </c>
      <c r="H1830">
        <v>2393</v>
      </c>
      <c r="I1830">
        <v>80</v>
      </c>
      <c r="J1830" t="s">
        <v>85</v>
      </c>
      <c r="K1830" t="s">
        <v>26</v>
      </c>
      <c r="L1830" t="s">
        <v>27</v>
      </c>
      <c r="M1830" t="s">
        <v>40</v>
      </c>
      <c r="N1830">
        <v>3.9</v>
      </c>
      <c r="O1830">
        <v>0</v>
      </c>
      <c r="P1830" t="s">
        <v>29</v>
      </c>
      <c r="Q1830" t="s">
        <v>155</v>
      </c>
      <c r="R1830" t="s">
        <v>155</v>
      </c>
      <c r="S1830">
        <v>45</v>
      </c>
      <c r="T1830" t="s">
        <v>36</v>
      </c>
      <c r="U1830" t="s">
        <v>100</v>
      </c>
      <c r="V1830" s="1">
        <v>45356</v>
      </c>
      <c r="W1830">
        <f>Table1[[#This Row],[customer_purchase count]]+1</f>
        <v>46</v>
      </c>
      <c r="X1830">
        <f>Table1[[#This Row],[customer_purchase count]]*Rules!$B$3</f>
        <v>2689.396153846154</v>
      </c>
      <c r="Y1830" t="str">
        <f>IF(Table1[[#This Row],[customer_subscription]]=1,"Subscribed","Not Subscribed")</f>
        <v>Not Subscribed</v>
      </c>
    </row>
    <row r="1831" spans="1:26" x14ac:dyDescent="0.25">
      <c r="A1831">
        <v>1830</v>
      </c>
      <c r="B1831">
        <v>30</v>
      </c>
      <c r="C1831" t="s">
        <v>22</v>
      </c>
      <c r="D1831">
        <v>1830</v>
      </c>
      <c r="E1831" t="s">
        <v>127</v>
      </c>
      <c r="F1831" t="s">
        <v>70</v>
      </c>
      <c r="G1831">
        <v>1830</v>
      </c>
      <c r="H1831">
        <v>2395</v>
      </c>
      <c r="I1831">
        <v>96</v>
      </c>
      <c r="J1831" t="s">
        <v>50</v>
      </c>
      <c r="K1831" t="s">
        <v>47</v>
      </c>
      <c r="L1831" t="s">
        <v>55</v>
      </c>
      <c r="M1831" t="s">
        <v>40</v>
      </c>
      <c r="N1831">
        <v>4.9000000000000004</v>
      </c>
      <c r="O1831">
        <v>0</v>
      </c>
      <c r="P1831" t="s">
        <v>73</v>
      </c>
      <c r="Q1831" t="s">
        <v>155</v>
      </c>
      <c r="R1831" t="s">
        <v>155</v>
      </c>
      <c r="S1831">
        <v>50</v>
      </c>
      <c r="T1831" t="s">
        <v>42</v>
      </c>
      <c r="U1831" t="s">
        <v>61</v>
      </c>
      <c r="V1831" s="1">
        <v>45386</v>
      </c>
      <c r="W1831">
        <f>Table1[[#This Row],[customer_purchase count]]+1</f>
        <v>51</v>
      </c>
      <c r="X1831">
        <f>Table1[[#This Row],[customer_purchase count]]*Rules!$B$3</f>
        <v>2988.2179487179487</v>
      </c>
      <c r="Y1831" t="str">
        <f>IF(Table1[[#This Row],[customer_subscription]]=1,"Subscribed","Not Subscribed")</f>
        <v>Not Subscribed</v>
      </c>
    </row>
    <row r="1832" spans="1:26" x14ac:dyDescent="0.25">
      <c r="A1832">
        <v>1831</v>
      </c>
      <c r="B1832">
        <v>50</v>
      </c>
      <c r="C1832" t="s">
        <v>22</v>
      </c>
      <c r="D1832">
        <v>1831</v>
      </c>
      <c r="E1832" t="s">
        <v>92</v>
      </c>
      <c r="F1832" t="s">
        <v>70</v>
      </c>
      <c r="G1832">
        <v>1831</v>
      </c>
      <c r="H1832">
        <v>2396</v>
      </c>
      <c r="I1832">
        <v>80</v>
      </c>
      <c r="J1832" t="s">
        <v>114</v>
      </c>
      <c r="K1832" t="s">
        <v>47</v>
      </c>
      <c r="L1832" t="s">
        <v>147</v>
      </c>
      <c r="M1832" t="s">
        <v>28</v>
      </c>
      <c r="N1832">
        <v>4.8</v>
      </c>
      <c r="O1832">
        <v>0</v>
      </c>
      <c r="P1832" t="s">
        <v>29</v>
      </c>
      <c r="Q1832" t="s">
        <v>155</v>
      </c>
      <c r="R1832" t="s">
        <v>155</v>
      </c>
      <c r="S1832">
        <v>7</v>
      </c>
      <c r="T1832" t="s">
        <v>31</v>
      </c>
      <c r="U1832" t="s">
        <v>52</v>
      </c>
      <c r="V1832" s="1">
        <v>45349</v>
      </c>
      <c r="W1832">
        <f>Table1[[#This Row],[customer_purchase count]]+1</f>
        <v>8</v>
      </c>
      <c r="X1832">
        <f>Table1[[#This Row],[customer_purchase count]]*Rules!$B$3</f>
        <v>418.35051282051285</v>
      </c>
      <c r="Y1832" t="str">
        <f>IF(Table1[[#This Row],[customer_subscription]]=1,"Subscribed","Not Subscribed")</f>
        <v>Not Subscribed</v>
      </c>
      <c r="Z1832" t="s">
        <v>194</v>
      </c>
    </row>
    <row r="1833" spans="1:26" x14ac:dyDescent="0.25">
      <c r="A1833">
        <v>1832</v>
      </c>
      <c r="B1833">
        <v>62</v>
      </c>
      <c r="C1833" t="s">
        <v>22</v>
      </c>
      <c r="D1833">
        <v>1832</v>
      </c>
      <c r="E1833" t="s">
        <v>23</v>
      </c>
      <c r="F1833" t="s">
        <v>24</v>
      </c>
      <c r="G1833">
        <v>1832</v>
      </c>
      <c r="H1833">
        <v>2397</v>
      </c>
      <c r="I1833">
        <v>71</v>
      </c>
      <c r="J1833" t="s">
        <v>34</v>
      </c>
      <c r="K1833" t="s">
        <v>47</v>
      </c>
      <c r="L1833" t="s">
        <v>112</v>
      </c>
      <c r="M1833" t="s">
        <v>56</v>
      </c>
      <c r="N1833">
        <v>3.3</v>
      </c>
      <c r="O1833">
        <v>0</v>
      </c>
      <c r="P1833" t="s">
        <v>41</v>
      </c>
      <c r="Q1833" t="s">
        <v>155</v>
      </c>
      <c r="R1833" t="s">
        <v>155</v>
      </c>
      <c r="S1833">
        <v>5</v>
      </c>
      <c r="T1833" t="s">
        <v>78</v>
      </c>
      <c r="U1833" t="s">
        <v>100</v>
      </c>
      <c r="V1833" s="1">
        <v>45511</v>
      </c>
      <c r="W1833">
        <f>Table1[[#This Row],[customer_purchase count]]+1</f>
        <v>6</v>
      </c>
      <c r="X1833">
        <f>Table1[[#This Row],[customer_purchase count]]*Rules!$B$3</f>
        <v>298.82179487179491</v>
      </c>
      <c r="Y1833" t="str">
        <f>IF(Table1[[#This Row],[customer_subscription]]=1,"Subscribed","Not Subscribed")</f>
        <v>Not Subscribed</v>
      </c>
      <c r="Z1833" t="s">
        <v>194</v>
      </c>
    </row>
    <row r="1834" spans="1:26" x14ac:dyDescent="0.25">
      <c r="A1834">
        <v>1833</v>
      </c>
      <c r="B1834">
        <v>69</v>
      </c>
      <c r="C1834" t="s">
        <v>22</v>
      </c>
      <c r="D1834">
        <v>1833</v>
      </c>
      <c r="E1834" t="s">
        <v>109</v>
      </c>
      <c r="F1834" t="s">
        <v>70</v>
      </c>
      <c r="G1834">
        <v>1833</v>
      </c>
      <c r="H1834">
        <v>2398</v>
      </c>
      <c r="I1834">
        <v>29</v>
      </c>
      <c r="J1834" t="s">
        <v>63</v>
      </c>
      <c r="K1834" t="s">
        <v>47</v>
      </c>
      <c r="L1834" t="s">
        <v>147</v>
      </c>
      <c r="M1834" t="s">
        <v>60</v>
      </c>
      <c r="N1834">
        <v>4.5999999999999996</v>
      </c>
      <c r="O1834">
        <v>0</v>
      </c>
      <c r="P1834" t="s">
        <v>41</v>
      </c>
      <c r="Q1834" t="s">
        <v>155</v>
      </c>
      <c r="R1834" t="s">
        <v>155</v>
      </c>
      <c r="S1834">
        <v>48</v>
      </c>
      <c r="T1834" t="s">
        <v>36</v>
      </c>
      <c r="U1834" t="s">
        <v>91</v>
      </c>
      <c r="V1834" s="1">
        <v>45563</v>
      </c>
      <c r="W1834">
        <f>Table1[[#This Row],[customer_purchase count]]+1</f>
        <v>49</v>
      </c>
      <c r="X1834">
        <f>Table1[[#This Row],[customer_purchase count]]*Rules!$B$3</f>
        <v>2868.689230769231</v>
      </c>
      <c r="Y1834" t="str">
        <f>IF(Table1[[#This Row],[customer_subscription]]=1,"Subscribed","Not Subscribed")</f>
        <v>Not Subscribed</v>
      </c>
    </row>
    <row r="1835" spans="1:26" x14ac:dyDescent="0.25">
      <c r="A1835">
        <v>1834</v>
      </c>
      <c r="B1835">
        <v>34</v>
      </c>
      <c r="C1835" t="s">
        <v>22</v>
      </c>
      <c r="D1835">
        <v>1834</v>
      </c>
      <c r="E1835" t="s">
        <v>109</v>
      </c>
      <c r="F1835" t="s">
        <v>70</v>
      </c>
      <c r="G1835">
        <v>1834</v>
      </c>
      <c r="H1835">
        <v>2399</v>
      </c>
      <c r="I1835">
        <v>53</v>
      </c>
      <c r="J1835" t="s">
        <v>63</v>
      </c>
      <c r="K1835" t="s">
        <v>47</v>
      </c>
      <c r="L1835" t="s">
        <v>137</v>
      </c>
      <c r="M1835" t="s">
        <v>40</v>
      </c>
      <c r="N1835">
        <v>4.5</v>
      </c>
      <c r="O1835">
        <v>0</v>
      </c>
      <c r="P1835" t="s">
        <v>73</v>
      </c>
      <c r="Q1835" t="s">
        <v>155</v>
      </c>
      <c r="R1835" t="s">
        <v>155</v>
      </c>
      <c r="S1835">
        <v>19</v>
      </c>
      <c r="T1835" t="s">
        <v>49</v>
      </c>
      <c r="U1835" t="s">
        <v>32</v>
      </c>
      <c r="V1835" s="1">
        <v>45375</v>
      </c>
      <c r="W1835">
        <f>Table1[[#This Row],[customer_purchase count]]+1</f>
        <v>20</v>
      </c>
      <c r="X1835">
        <f>Table1[[#This Row],[customer_purchase count]]*Rules!$B$3</f>
        <v>1135.5228205128205</v>
      </c>
      <c r="Y1835" t="str">
        <f>IF(Table1[[#This Row],[customer_subscription]]=1,"Subscribed","Not Subscribed")</f>
        <v>Not Subscribed</v>
      </c>
    </row>
    <row r="1836" spans="1:26" x14ac:dyDescent="0.25">
      <c r="A1836">
        <v>1835</v>
      </c>
      <c r="B1836">
        <v>49</v>
      </c>
      <c r="C1836" t="s">
        <v>22</v>
      </c>
      <c r="D1836">
        <v>1835</v>
      </c>
      <c r="E1836" t="s">
        <v>90</v>
      </c>
      <c r="F1836" t="s">
        <v>24</v>
      </c>
      <c r="G1836">
        <v>1835</v>
      </c>
      <c r="H1836">
        <v>2401</v>
      </c>
      <c r="I1836">
        <v>35</v>
      </c>
      <c r="J1836" t="s">
        <v>119</v>
      </c>
      <c r="K1836" t="s">
        <v>47</v>
      </c>
      <c r="L1836" t="s">
        <v>64</v>
      </c>
      <c r="M1836" t="s">
        <v>56</v>
      </c>
      <c r="N1836">
        <v>4.0999999999999996</v>
      </c>
      <c r="O1836">
        <v>0</v>
      </c>
      <c r="P1836" t="s">
        <v>73</v>
      </c>
      <c r="Q1836" t="s">
        <v>155</v>
      </c>
      <c r="R1836" t="s">
        <v>155</v>
      </c>
      <c r="S1836">
        <v>39</v>
      </c>
      <c r="T1836" t="s">
        <v>31</v>
      </c>
      <c r="U1836" t="s">
        <v>32</v>
      </c>
      <c r="V1836" s="1">
        <v>45477</v>
      </c>
      <c r="W1836">
        <f>Table1[[#This Row],[customer_purchase count]]+1</f>
        <v>40</v>
      </c>
      <c r="X1836">
        <f>Table1[[#This Row],[customer_purchase count]]*Rules!$B$3</f>
        <v>2330.81</v>
      </c>
      <c r="Y1836" t="str">
        <f>IF(Table1[[#This Row],[customer_subscription]]=1,"Subscribed","Not Subscribed")</f>
        <v>Not Subscribed</v>
      </c>
    </row>
    <row r="1837" spans="1:26" x14ac:dyDescent="0.25">
      <c r="A1837">
        <v>1836</v>
      </c>
      <c r="B1837">
        <v>65</v>
      </c>
      <c r="C1837" t="s">
        <v>22</v>
      </c>
      <c r="D1837">
        <v>1836</v>
      </c>
      <c r="E1837" t="s">
        <v>122</v>
      </c>
      <c r="F1837" t="s">
        <v>70</v>
      </c>
      <c r="G1837">
        <v>1836</v>
      </c>
      <c r="H1837">
        <v>2402</v>
      </c>
      <c r="I1837">
        <v>75</v>
      </c>
      <c r="J1837" t="s">
        <v>25</v>
      </c>
      <c r="K1837" t="s">
        <v>47</v>
      </c>
      <c r="L1837" t="s">
        <v>96</v>
      </c>
      <c r="M1837" t="s">
        <v>60</v>
      </c>
      <c r="N1837">
        <v>3.2</v>
      </c>
      <c r="O1837">
        <v>0</v>
      </c>
      <c r="P1837" t="s">
        <v>73</v>
      </c>
      <c r="Q1837" t="s">
        <v>155</v>
      </c>
      <c r="R1837" t="s">
        <v>155</v>
      </c>
      <c r="S1837">
        <v>45</v>
      </c>
      <c r="T1837" t="s">
        <v>42</v>
      </c>
      <c r="U1837" t="s">
        <v>61</v>
      </c>
      <c r="V1837" s="1">
        <v>45576</v>
      </c>
      <c r="W1837">
        <f>Table1[[#This Row],[customer_purchase count]]+1</f>
        <v>46</v>
      </c>
      <c r="X1837">
        <f>Table1[[#This Row],[customer_purchase count]]*Rules!$B$3</f>
        <v>2689.396153846154</v>
      </c>
      <c r="Y1837" t="str">
        <f>IF(Table1[[#This Row],[customer_subscription]]=1,"Subscribed","Not Subscribed")</f>
        <v>Not Subscribed</v>
      </c>
    </row>
    <row r="1838" spans="1:26" x14ac:dyDescent="0.25">
      <c r="A1838">
        <v>1837</v>
      </c>
      <c r="B1838">
        <v>66</v>
      </c>
      <c r="C1838" t="s">
        <v>22</v>
      </c>
      <c r="D1838">
        <v>1837</v>
      </c>
      <c r="E1838" t="s">
        <v>98</v>
      </c>
      <c r="F1838" t="s">
        <v>24</v>
      </c>
      <c r="G1838">
        <v>1837</v>
      </c>
      <c r="H1838">
        <v>2403</v>
      </c>
      <c r="I1838">
        <v>52</v>
      </c>
      <c r="J1838" t="s">
        <v>134</v>
      </c>
      <c r="K1838" t="s">
        <v>47</v>
      </c>
      <c r="L1838" t="s">
        <v>88</v>
      </c>
      <c r="M1838" t="s">
        <v>60</v>
      </c>
      <c r="N1838">
        <v>4.2</v>
      </c>
      <c r="O1838">
        <v>0</v>
      </c>
      <c r="P1838" t="s">
        <v>73</v>
      </c>
      <c r="Q1838" t="s">
        <v>155</v>
      </c>
      <c r="R1838" t="s">
        <v>155</v>
      </c>
      <c r="S1838">
        <v>35</v>
      </c>
      <c r="T1838" t="s">
        <v>42</v>
      </c>
      <c r="U1838" t="s">
        <v>91</v>
      </c>
      <c r="V1838" s="1">
        <v>45559</v>
      </c>
      <c r="W1838">
        <f>Table1[[#This Row],[customer_purchase count]]+1</f>
        <v>36</v>
      </c>
      <c r="X1838">
        <f>Table1[[#This Row],[customer_purchase count]]*Rules!$B$3</f>
        <v>2091.7525641025641</v>
      </c>
      <c r="Y1838" t="str">
        <f>IF(Table1[[#This Row],[customer_subscription]]=1,"Subscribed","Not Subscribed")</f>
        <v>Not Subscribed</v>
      </c>
    </row>
    <row r="1839" spans="1:26" x14ac:dyDescent="0.25">
      <c r="A1839">
        <v>1838</v>
      </c>
      <c r="B1839">
        <v>41</v>
      </c>
      <c r="C1839" t="s">
        <v>22</v>
      </c>
      <c r="D1839">
        <v>1838</v>
      </c>
      <c r="E1839" t="s">
        <v>127</v>
      </c>
      <c r="F1839" t="s">
        <v>70</v>
      </c>
      <c r="G1839">
        <v>1838</v>
      </c>
      <c r="H1839">
        <v>2404</v>
      </c>
      <c r="I1839">
        <v>77</v>
      </c>
      <c r="J1839" t="s">
        <v>59</v>
      </c>
      <c r="K1839" t="s">
        <v>47</v>
      </c>
      <c r="L1839" t="s">
        <v>121</v>
      </c>
      <c r="M1839" t="s">
        <v>28</v>
      </c>
      <c r="N1839">
        <v>4.8</v>
      </c>
      <c r="O1839">
        <v>0</v>
      </c>
      <c r="P1839" t="s">
        <v>41</v>
      </c>
      <c r="Q1839" t="s">
        <v>155</v>
      </c>
      <c r="R1839" t="s">
        <v>155</v>
      </c>
      <c r="S1839">
        <v>8</v>
      </c>
      <c r="T1839" t="s">
        <v>31</v>
      </c>
      <c r="U1839" t="s">
        <v>91</v>
      </c>
      <c r="V1839" s="1">
        <v>45326</v>
      </c>
      <c r="W1839">
        <f>Table1[[#This Row],[customer_purchase count]]+1</f>
        <v>9</v>
      </c>
      <c r="X1839">
        <f>Table1[[#This Row],[customer_purchase count]]*Rules!$B$3</f>
        <v>478.11487179487182</v>
      </c>
      <c r="Y1839" t="str">
        <f>IF(Table1[[#This Row],[customer_subscription]]=1,"Subscribed","Not Subscribed")</f>
        <v>Not Subscribed</v>
      </c>
      <c r="Z1839" t="s">
        <v>194</v>
      </c>
    </row>
    <row r="1840" spans="1:26" x14ac:dyDescent="0.25">
      <c r="A1840">
        <v>1839</v>
      </c>
      <c r="B1840">
        <v>37</v>
      </c>
      <c r="C1840" t="s">
        <v>22</v>
      </c>
      <c r="D1840">
        <v>1839</v>
      </c>
      <c r="E1840" t="s">
        <v>146</v>
      </c>
      <c r="F1840" t="s">
        <v>70</v>
      </c>
      <c r="G1840">
        <v>1839</v>
      </c>
      <c r="H1840">
        <v>2405</v>
      </c>
      <c r="I1840">
        <v>24</v>
      </c>
      <c r="J1840" t="s">
        <v>132</v>
      </c>
      <c r="K1840" t="s">
        <v>26</v>
      </c>
      <c r="L1840" t="s">
        <v>147</v>
      </c>
      <c r="M1840" t="s">
        <v>60</v>
      </c>
      <c r="N1840">
        <v>4.0999999999999996</v>
      </c>
      <c r="O1840">
        <v>0</v>
      </c>
      <c r="P1840" t="s">
        <v>48</v>
      </c>
      <c r="Q1840" t="s">
        <v>155</v>
      </c>
      <c r="R1840" t="s">
        <v>155</v>
      </c>
      <c r="S1840">
        <v>11</v>
      </c>
      <c r="T1840" t="s">
        <v>42</v>
      </c>
      <c r="U1840" t="s">
        <v>61</v>
      </c>
      <c r="V1840" s="1">
        <v>45617</v>
      </c>
      <c r="W1840">
        <f>Table1[[#This Row],[customer_purchase count]]+1</f>
        <v>12</v>
      </c>
      <c r="X1840">
        <f>Table1[[#This Row],[customer_purchase count]]*Rules!$B$3</f>
        <v>657.40794871794878</v>
      </c>
      <c r="Y1840" t="str">
        <f>IF(Table1[[#This Row],[customer_subscription]]=1,"Subscribed","Not Subscribed")</f>
        <v>Not Subscribed</v>
      </c>
      <c r="Z1840" t="s">
        <v>194</v>
      </c>
    </row>
    <row r="1841" spans="1:26" x14ac:dyDescent="0.25">
      <c r="A1841">
        <v>1840</v>
      </c>
      <c r="B1841">
        <v>32</v>
      </c>
      <c r="C1841" t="s">
        <v>22</v>
      </c>
      <c r="D1841">
        <v>1840</v>
      </c>
      <c r="E1841" t="s">
        <v>58</v>
      </c>
      <c r="F1841" t="s">
        <v>24</v>
      </c>
      <c r="G1841">
        <v>1840</v>
      </c>
      <c r="H1841">
        <v>2407</v>
      </c>
      <c r="I1841">
        <v>78</v>
      </c>
      <c r="J1841" t="s">
        <v>94</v>
      </c>
      <c r="K1841" t="s">
        <v>95</v>
      </c>
      <c r="L1841" t="s">
        <v>76</v>
      </c>
      <c r="M1841" t="s">
        <v>28</v>
      </c>
      <c r="N1841">
        <v>3.7</v>
      </c>
      <c r="O1841">
        <v>0</v>
      </c>
      <c r="P1841" t="s">
        <v>77</v>
      </c>
      <c r="Q1841" t="s">
        <v>155</v>
      </c>
      <c r="R1841" t="s">
        <v>155</v>
      </c>
      <c r="S1841">
        <v>32</v>
      </c>
      <c r="T1841" t="s">
        <v>36</v>
      </c>
      <c r="U1841" t="s">
        <v>52</v>
      </c>
      <c r="V1841" s="1">
        <v>45639</v>
      </c>
      <c r="W1841">
        <f>Table1[[#This Row],[customer_purchase count]]+1</f>
        <v>33</v>
      </c>
      <c r="X1841">
        <f>Table1[[#This Row],[customer_purchase count]]*Rules!$B$3</f>
        <v>1912.4594871794873</v>
      </c>
      <c r="Y1841" t="str">
        <f>IF(Table1[[#This Row],[customer_subscription]]=1,"Subscribed","Not Subscribed")</f>
        <v>Not Subscribed</v>
      </c>
    </row>
    <row r="1842" spans="1:26" x14ac:dyDescent="0.25">
      <c r="A1842">
        <v>1841</v>
      </c>
      <c r="B1842">
        <v>42</v>
      </c>
      <c r="C1842" t="s">
        <v>22</v>
      </c>
      <c r="D1842">
        <v>1841</v>
      </c>
      <c r="E1842" t="s">
        <v>44</v>
      </c>
      <c r="F1842" t="s">
        <v>45</v>
      </c>
      <c r="G1842">
        <v>1841</v>
      </c>
      <c r="H1842">
        <v>2408</v>
      </c>
      <c r="I1842">
        <v>98</v>
      </c>
      <c r="J1842" t="s">
        <v>54</v>
      </c>
      <c r="K1842" t="s">
        <v>47</v>
      </c>
      <c r="L1842" t="s">
        <v>83</v>
      </c>
      <c r="M1842" t="s">
        <v>28</v>
      </c>
      <c r="N1842">
        <v>2.6</v>
      </c>
      <c r="O1842">
        <v>0</v>
      </c>
      <c r="P1842" t="s">
        <v>77</v>
      </c>
      <c r="Q1842" t="s">
        <v>155</v>
      </c>
      <c r="R1842" t="s">
        <v>155</v>
      </c>
      <c r="S1842">
        <v>46</v>
      </c>
      <c r="T1842" t="s">
        <v>78</v>
      </c>
      <c r="U1842" t="s">
        <v>100</v>
      </c>
      <c r="V1842" s="1">
        <v>45305</v>
      </c>
      <c r="W1842">
        <f>Table1[[#This Row],[customer_purchase count]]+1</f>
        <v>47</v>
      </c>
      <c r="X1842">
        <f>Table1[[#This Row],[customer_purchase count]]*Rules!$B$3</f>
        <v>2749.1605128205128</v>
      </c>
      <c r="Y1842" t="str">
        <f>IF(Table1[[#This Row],[customer_subscription]]=1,"Subscribed","Not Subscribed")</f>
        <v>Not Subscribed</v>
      </c>
    </row>
    <row r="1843" spans="1:26" x14ac:dyDescent="0.25">
      <c r="A1843">
        <v>1842</v>
      </c>
      <c r="B1843">
        <v>31</v>
      </c>
      <c r="C1843" t="s">
        <v>22</v>
      </c>
      <c r="D1843">
        <v>1842</v>
      </c>
      <c r="E1843" t="s">
        <v>128</v>
      </c>
      <c r="F1843" t="s">
        <v>24</v>
      </c>
      <c r="G1843">
        <v>1842</v>
      </c>
      <c r="H1843">
        <v>2409</v>
      </c>
      <c r="I1843">
        <v>57</v>
      </c>
      <c r="J1843" t="s">
        <v>132</v>
      </c>
      <c r="K1843" t="s">
        <v>26</v>
      </c>
      <c r="L1843" t="s">
        <v>147</v>
      </c>
      <c r="M1843" t="s">
        <v>28</v>
      </c>
      <c r="N1843">
        <v>3</v>
      </c>
      <c r="O1843">
        <v>0</v>
      </c>
      <c r="P1843" t="s">
        <v>57</v>
      </c>
      <c r="Q1843" t="s">
        <v>155</v>
      </c>
      <c r="R1843" t="s">
        <v>155</v>
      </c>
      <c r="S1843">
        <v>7</v>
      </c>
      <c r="T1843" t="s">
        <v>49</v>
      </c>
      <c r="U1843" t="s">
        <v>100</v>
      </c>
      <c r="V1843" s="1">
        <v>45629</v>
      </c>
      <c r="W1843">
        <f>Table1[[#This Row],[customer_purchase count]]+1</f>
        <v>8</v>
      </c>
      <c r="X1843">
        <f>Table1[[#This Row],[customer_purchase count]]*Rules!$B$3</f>
        <v>418.35051282051285</v>
      </c>
      <c r="Y1843" t="str">
        <f>IF(Table1[[#This Row],[customer_subscription]]=1,"Subscribed","Not Subscribed")</f>
        <v>Not Subscribed</v>
      </c>
      <c r="Z1843" t="s">
        <v>194</v>
      </c>
    </row>
    <row r="1844" spans="1:26" x14ac:dyDescent="0.25">
      <c r="A1844">
        <v>1843</v>
      </c>
      <c r="B1844">
        <v>61</v>
      </c>
      <c r="C1844" t="s">
        <v>22</v>
      </c>
      <c r="D1844">
        <v>1843</v>
      </c>
      <c r="E1844" t="s">
        <v>69</v>
      </c>
      <c r="F1844" t="s">
        <v>70</v>
      </c>
      <c r="G1844">
        <v>1843</v>
      </c>
      <c r="H1844">
        <v>2410</v>
      </c>
      <c r="I1844">
        <v>78</v>
      </c>
      <c r="J1844" t="s">
        <v>93</v>
      </c>
      <c r="K1844" t="s">
        <v>47</v>
      </c>
      <c r="L1844" t="s">
        <v>97</v>
      </c>
      <c r="M1844" t="s">
        <v>56</v>
      </c>
      <c r="N1844">
        <v>4.4000000000000004</v>
      </c>
      <c r="O1844">
        <v>0</v>
      </c>
      <c r="P1844" t="s">
        <v>29</v>
      </c>
      <c r="Q1844" t="s">
        <v>155</v>
      </c>
      <c r="R1844" t="s">
        <v>155</v>
      </c>
      <c r="S1844">
        <v>1</v>
      </c>
      <c r="T1844" t="s">
        <v>89</v>
      </c>
      <c r="U1844" t="s">
        <v>52</v>
      </c>
      <c r="V1844" s="1">
        <v>45446</v>
      </c>
      <c r="W1844">
        <f>Table1[[#This Row],[customer_purchase count]]+1</f>
        <v>2</v>
      </c>
      <c r="X1844">
        <f>Table1[[#This Row],[customer_purchase count]]*Rules!$B$3</f>
        <v>59.764358974358977</v>
      </c>
      <c r="Y1844" t="str">
        <f>IF(Table1[[#This Row],[customer_subscription]]=1,"Subscribed","Not Subscribed")</f>
        <v>Not Subscribed</v>
      </c>
      <c r="Z1844" t="s">
        <v>194</v>
      </c>
    </row>
    <row r="1845" spans="1:26" x14ac:dyDescent="0.25">
      <c r="A1845">
        <v>1844</v>
      </c>
      <c r="B1845">
        <v>36</v>
      </c>
      <c r="C1845" t="s">
        <v>22</v>
      </c>
      <c r="D1845">
        <v>1844</v>
      </c>
      <c r="E1845" t="s">
        <v>105</v>
      </c>
      <c r="F1845" t="s">
        <v>66</v>
      </c>
      <c r="G1845">
        <v>1844</v>
      </c>
      <c r="H1845">
        <v>2411</v>
      </c>
      <c r="I1845">
        <v>76</v>
      </c>
      <c r="J1845" t="s">
        <v>25</v>
      </c>
      <c r="K1845" t="s">
        <v>47</v>
      </c>
      <c r="L1845" t="s">
        <v>64</v>
      </c>
      <c r="M1845" t="s">
        <v>60</v>
      </c>
      <c r="N1845">
        <v>4.7</v>
      </c>
      <c r="O1845">
        <v>0</v>
      </c>
      <c r="P1845" t="s">
        <v>48</v>
      </c>
      <c r="Q1845" t="s">
        <v>155</v>
      </c>
      <c r="R1845" t="s">
        <v>155</v>
      </c>
      <c r="S1845">
        <v>32</v>
      </c>
      <c r="T1845" t="s">
        <v>42</v>
      </c>
      <c r="U1845" t="s">
        <v>91</v>
      </c>
      <c r="V1845" s="1">
        <v>45618</v>
      </c>
      <c r="W1845">
        <f>Table1[[#This Row],[customer_purchase count]]+1</f>
        <v>33</v>
      </c>
      <c r="X1845">
        <f>Table1[[#This Row],[customer_purchase count]]*Rules!$B$3</f>
        <v>1912.4594871794873</v>
      </c>
      <c r="Y1845" t="str">
        <f>IF(Table1[[#This Row],[customer_subscription]]=1,"Subscribed","Not Subscribed")</f>
        <v>Not Subscribed</v>
      </c>
    </row>
    <row r="1846" spans="1:26" x14ac:dyDescent="0.25">
      <c r="A1846">
        <v>1845</v>
      </c>
      <c r="B1846">
        <v>60</v>
      </c>
      <c r="C1846" t="s">
        <v>22</v>
      </c>
      <c r="D1846">
        <v>1845</v>
      </c>
      <c r="E1846" t="s">
        <v>62</v>
      </c>
      <c r="F1846" t="s">
        <v>24</v>
      </c>
      <c r="G1846">
        <v>1845</v>
      </c>
      <c r="H1846">
        <v>2413</v>
      </c>
      <c r="I1846">
        <v>26</v>
      </c>
      <c r="J1846" t="s">
        <v>150</v>
      </c>
      <c r="K1846" t="s">
        <v>47</v>
      </c>
      <c r="L1846" t="s">
        <v>76</v>
      </c>
      <c r="M1846" t="s">
        <v>40</v>
      </c>
      <c r="N1846">
        <v>2.7</v>
      </c>
      <c r="O1846">
        <v>0</v>
      </c>
      <c r="P1846" t="s">
        <v>73</v>
      </c>
      <c r="Q1846" t="s">
        <v>155</v>
      </c>
      <c r="R1846" t="s">
        <v>155</v>
      </c>
      <c r="S1846">
        <v>31</v>
      </c>
      <c r="T1846" t="s">
        <v>42</v>
      </c>
      <c r="U1846" t="s">
        <v>52</v>
      </c>
      <c r="V1846" s="1">
        <v>45389</v>
      </c>
      <c r="W1846">
        <f>Table1[[#This Row],[customer_purchase count]]+1</f>
        <v>32</v>
      </c>
      <c r="X1846">
        <f>Table1[[#This Row],[customer_purchase count]]*Rules!$B$3</f>
        <v>1852.6951282051282</v>
      </c>
      <c r="Y1846" t="str">
        <f>IF(Table1[[#This Row],[customer_subscription]]=1,"Subscribed","Not Subscribed")</f>
        <v>Not Subscribed</v>
      </c>
    </row>
    <row r="1847" spans="1:26" x14ac:dyDescent="0.25">
      <c r="A1847">
        <v>1846</v>
      </c>
      <c r="B1847">
        <v>51</v>
      </c>
      <c r="C1847" t="s">
        <v>22</v>
      </c>
      <c r="D1847">
        <v>1846</v>
      </c>
      <c r="E1847" t="s">
        <v>44</v>
      </c>
      <c r="F1847" t="s">
        <v>45</v>
      </c>
      <c r="G1847">
        <v>1846</v>
      </c>
      <c r="H1847">
        <v>2414</v>
      </c>
      <c r="I1847">
        <v>78</v>
      </c>
      <c r="J1847" t="s">
        <v>82</v>
      </c>
      <c r="K1847" t="s">
        <v>47</v>
      </c>
      <c r="L1847" t="s">
        <v>124</v>
      </c>
      <c r="M1847" t="s">
        <v>28</v>
      </c>
      <c r="N1847">
        <v>2.8</v>
      </c>
      <c r="O1847">
        <v>0</v>
      </c>
      <c r="P1847" t="s">
        <v>73</v>
      </c>
      <c r="Q1847" t="s">
        <v>155</v>
      </c>
      <c r="R1847" t="s">
        <v>155</v>
      </c>
      <c r="S1847">
        <v>39</v>
      </c>
      <c r="T1847" t="s">
        <v>78</v>
      </c>
      <c r="U1847" t="s">
        <v>61</v>
      </c>
      <c r="V1847" s="1">
        <v>45330</v>
      </c>
      <c r="W1847">
        <f>Table1[[#This Row],[customer_purchase count]]+1</f>
        <v>40</v>
      </c>
      <c r="X1847">
        <f>Table1[[#This Row],[customer_purchase count]]*Rules!$B$3</f>
        <v>2330.81</v>
      </c>
      <c r="Y1847" t="str">
        <f>IF(Table1[[#This Row],[customer_subscription]]=1,"Subscribed","Not Subscribed")</f>
        <v>Not Subscribed</v>
      </c>
    </row>
    <row r="1848" spans="1:26" x14ac:dyDescent="0.25">
      <c r="A1848">
        <v>1847</v>
      </c>
      <c r="B1848">
        <v>68</v>
      </c>
      <c r="C1848" t="s">
        <v>22</v>
      </c>
      <c r="D1848">
        <v>1847</v>
      </c>
      <c r="E1848" t="s">
        <v>122</v>
      </c>
      <c r="F1848" t="s">
        <v>70</v>
      </c>
      <c r="G1848">
        <v>1847</v>
      </c>
      <c r="H1848">
        <v>2415</v>
      </c>
      <c r="I1848">
        <v>53</v>
      </c>
      <c r="J1848" t="s">
        <v>153</v>
      </c>
      <c r="K1848" t="s">
        <v>47</v>
      </c>
      <c r="L1848" t="s">
        <v>137</v>
      </c>
      <c r="M1848" t="s">
        <v>56</v>
      </c>
      <c r="N1848">
        <v>2.9</v>
      </c>
      <c r="O1848">
        <v>0</v>
      </c>
      <c r="P1848" t="s">
        <v>57</v>
      </c>
      <c r="Q1848" t="s">
        <v>155</v>
      </c>
      <c r="R1848" t="s">
        <v>155</v>
      </c>
      <c r="S1848">
        <v>9</v>
      </c>
      <c r="T1848" t="s">
        <v>31</v>
      </c>
      <c r="U1848" t="s">
        <v>61</v>
      </c>
      <c r="V1848" s="1">
        <v>45490</v>
      </c>
      <c r="W1848">
        <f>Table1[[#This Row],[customer_purchase count]]+1</f>
        <v>10</v>
      </c>
      <c r="X1848">
        <f>Table1[[#This Row],[customer_purchase count]]*Rules!$B$3</f>
        <v>537.87923076923084</v>
      </c>
      <c r="Y1848" t="str">
        <f>IF(Table1[[#This Row],[customer_subscription]]=1,"Subscribed","Not Subscribed")</f>
        <v>Not Subscribed</v>
      </c>
      <c r="Z1848" t="s">
        <v>194</v>
      </c>
    </row>
    <row r="1849" spans="1:26" x14ac:dyDescent="0.25">
      <c r="A1849">
        <v>1848</v>
      </c>
      <c r="B1849">
        <v>46</v>
      </c>
      <c r="C1849" t="s">
        <v>22</v>
      </c>
      <c r="D1849">
        <v>1848</v>
      </c>
      <c r="E1849" t="s">
        <v>44</v>
      </c>
      <c r="F1849" t="s">
        <v>45</v>
      </c>
      <c r="G1849">
        <v>1848</v>
      </c>
      <c r="H1849">
        <v>2416</v>
      </c>
      <c r="I1849">
        <v>100</v>
      </c>
      <c r="J1849" t="s">
        <v>120</v>
      </c>
      <c r="K1849" t="s">
        <v>95</v>
      </c>
      <c r="L1849" t="s">
        <v>112</v>
      </c>
      <c r="M1849" t="s">
        <v>56</v>
      </c>
      <c r="N1849">
        <v>4.4000000000000004</v>
      </c>
      <c r="O1849">
        <v>0</v>
      </c>
      <c r="P1849" t="s">
        <v>41</v>
      </c>
      <c r="Q1849" t="s">
        <v>155</v>
      </c>
      <c r="R1849" t="s">
        <v>155</v>
      </c>
      <c r="S1849">
        <v>49</v>
      </c>
      <c r="T1849" t="s">
        <v>42</v>
      </c>
      <c r="U1849" t="s">
        <v>43</v>
      </c>
      <c r="V1849" s="1">
        <v>45477</v>
      </c>
      <c r="W1849">
        <f>Table1[[#This Row],[customer_purchase count]]+1</f>
        <v>50</v>
      </c>
      <c r="X1849">
        <f>Table1[[#This Row],[customer_purchase count]]*Rules!$B$3</f>
        <v>2928.4535897435899</v>
      </c>
      <c r="Y1849" t="str">
        <f>IF(Table1[[#This Row],[customer_subscription]]=1,"Subscribed","Not Subscribed")</f>
        <v>Not Subscribed</v>
      </c>
    </row>
    <row r="1850" spans="1:26" x14ac:dyDescent="0.25">
      <c r="A1850">
        <v>1849</v>
      </c>
      <c r="B1850">
        <v>19</v>
      </c>
      <c r="C1850" t="s">
        <v>22</v>
      </c>
      <c r="D1850">
        <v>1849</v>
      </c>
      <c r="E1850" t="s">
        <v>37</v>
      </c>
      <c r="F1850" t="s">
        <v>24</v>
      </c>
      <c r="G1850">
        <v>1849</v>
      </c>
      <c r="H1850">
        <v>2417</v>
      </c>
      <c r="I1850">
        <v>73</v>
      </c>
      <c r="J1850" t="s">
        <v>34</v>
      </c>
      <c r="K1850" t="s">
        <v>95</v>
      </c>
      <c r="L1850" t="s">
        <v>137</v>
      </c>
      <c r="M1850" t="s">
        <v>28</v>
      </c>
      <c r="N1850">
        <v>2.7</v>
      </c>
      <c r="O1850">
        <v>0</v>
      </c>
      <c r="P1850" t="s">
        <v>29</v>
      </c>
      <c r="Q1850" t="s">
        <v>155</v>
      </c>
      <c r="R1850" t="s">
        <v>155</v>
      </c>
      <c r="S1850">
        <v>34</v>
      </c>
      <c r="T1850" t="s">
        <v>36</v>
      </c>
      <c r="U1850" t="s">
        <v>100</v>
      </c>
      <c r="V1850" s="1">
        <v>45338</v>
      </c>
      <c r="W1850">
        <f>Table1[[#This Row],[customer_purchase count]]+1</f>
        <v>35</v>
      </c>
      <c r="X1850">
        <f>Table1[[#This Row],[customer_purchase count]]*Rules!$B$3</f>
        <v>2031.9882051282052</v>
      </c>
      <c r="Y1850" t="str">
        <f>IF(Table1[[#This Row],[customer_subscription]]=1,"Subscribed","Not Subscribed")</f>
        <v>Not Subscribed</v>
      </c>
    </row>
    <row r="1851" spans="1:26" x14ac:dyDescent="0.25">
      <c r="A1851">
        <v>1850</v>
      </c>
      <c r="B1851">
        <v>30</v>
      </c>
      <c r="C1851" t="s">
        <v>22</v>
      </c>
      <c r="D1851">
        <v>1850</v>
      </c>
      <c r="E1851" t="s">
        <v>90</v>
      </c>
      <c r="F1851" t="s">
        <v>24</v>
      </c>
      <c r="G1851">
        <v>1850</v>
      </c>
      <c r="H1851">
        <v>2419</v>
      </c>
      <c r="I1851">
        <v>40</v>
      </c>
      <c r="J1851" t="s">
        <v>133</v>
      </c>
      <c r="K1851" t="s">
        <v>47</v>
      </c>
      <c r="L1851" t="s">
        <v>35</v>
      </c>
      <c r="M1851" t="s">
        <v>28</v>
      </c>
      <c r="N1851">
        <v>4.5</v>
      </c>
      <c r="O1851">
        <v>0</v>
      </c>
      <c r="P1851" t="s">
        <v>77</v>
      </c>
      <c r="Q1851" t="s">
        <v>155</v>
      </c>
      <c r="R1851" t="s">
        <v>155</v>
      </c>
      <c r="S1851">
        <v>35</v>
      </c>
      <c r="T1851" t="s">
        <v>78</v>
      </c>
      <c r="U1851" t="s">
        <v>91</v>
      </c>
      <c r="V1851" s="1">
        <v>45343</v>
      </c>
      <c r="W1851">
        <f>Table1[[#This Row],[customer_purchase count]]+1</f>
        <v>36</v>
      </c>
      <c r="X1851">
        <f>Table1[[#This Row],[customer_purchase count]]*Rules!$B$3</f>
        <v>2091.7525641025641</v>
      </c>
      <c r="Y1851" t="str">
        <f>IF(Table1[[#This Row],[customer_subscription]]=1,"Subscribed","Not Subscribed")</f>
        <v>Not Subscribed</v>
      </c>
    </row>
    <row r="1852" spans="1:26" x14ac:dyDescent="0.25">
      <c r="A1852">
        <v>1851</v>
      </c>
      <c r="B1852">
        <v>51</v>
      </c>
      <c r="C1852" t="s">
        <v>22</v>
      </c>
      <c r="D1852">
        <v>1851</v>
      </c>
      <c r="E1852" t="s">
        <v>146</v>
      </c>
      <c r="F1852" t="s">
        <v>70</v>
      </c>
      <c r="G1852">
        <v>1851</v>
      </c>
      <c r="H1852">
        <v>2420</v>
      </c>
      <c r="I1852">
        <v>76</v>
      </c>
      <c r="J1852" t="s">
        <v>54</v>
      </c>
      <c r="K1852" t="s">
        <v>39</v>
      </c>
      <c r="L1852" t="s">
        <v>97</v>
      </c>
      <c r="M1852" t="s">
        <v>28</v>
      </c>
      <c r="N1852">
        <v>2.8</v>
      </c>
      <c r="O1852">
        <v>0</v>
      </c>
      <c r="P1852" t="s">
        <v>77</v>
      </c>
      <c r="Q1852" t="s">
        <v>155</v>
      </c>
      <c r="R1852" t="s">
        <v>155</v>
      </c>
      <c r="S1852">
        <v>50</v>
      </c>
      <c r="T1852" t="s">
        <v>89</v>
      </c>
      <c r="U1852" t="s">
        <v>43</v>
      </c>
      <c r="V1852" s="1">
        <v>45306</v>
      </c>
      <c r="W1852">
        <f>Table1[[#This Row],[customer_purchase count]]+1</f>
        <v>51</v>
      </c>
      <c r="X1852">
        <f>Table1[[#This Row],[customer_purchase count]]*Rules!$B$3</f>
        <v>2988.2179487179487</v>
      </c>
      <c r="Y1852" t="str">
        <f>IF(Table1[[#This Row],[customer_subscription]]=1,"Subscribed","Not Subscribed")</f>
        <v>Not Subscribed</v>
      </c>
    </row>
    <row r="1853" spans="1:26" x14ac:dyDescent="0.25">
      <c r="A1853">
        <v>1852</v>
      </c>
      <c r="B1853">
        <v>28</v>
      </c>
      <c r="C1853" t="s">
        <v>22</v>
      </c>
      <c r="D1853">
        <v>1852</v>
      </c>
      <c r="E1853" t="s">
        <v>90</v>
      </c>
      <c r="F1853" t="s">
        <v>24</v>
      </c>
      <c r="G1853">
        <v>1852</v>
      </c>
      <c r="H1853">
        <v>2421</v>
      </c>
      <c r="I1853">
        <v>80</v>
      </c>
      <c r="J1853" t="s">
        <v>82</v>
      </c>
      <c r="K1853" t="s">
        <v>39</v>
      </c>
      <c r="L1853" t="s">
        <v>96</v>
      </c>
      <c r="M1853" t="s">
        <v>60</v>
      </c>
      <c r="N1853">
        <v>3.1</v>
      </c>
      <c r="O1853">
        <v>0</v>
      </c>
      <c r="P1853" t="s">
        <v>41</v>
      </c>
      <c r="Q1853" t="s">
        <v>155</v>
      </c>
      <c r="R1853" t="s">
        <v>155</v>
      </c>
      <c r="S1853">
        <v>4</v>
      </c>
      <c r="T1853" t="s">
        <v>78</v>
      </c>
      <c r="U1853" t="s">
        <v>32</v>
      </c>
      <c r="V1853" s="1">
        <v>45591</v>
      </c>
      <c r="W1853">
        <f>Table1[[#This Row],[customer_purchase count]]+1</f>
        <v>5</v>
      </c>
      <c r="X1853">
        <f>Table1[[#This Row],[customer_purchase count]]*Rules!$B$3</f>
        <v>239.05743589743591</v>
      </c>
      <c r="Y1853" t="str">
        <f>IF(Table1[[#This Row],[customer_subscription]]=1,"Subscribed","Not Subscribed")</f>
        <v>Not Subscribed</v>
      </c>
      <c r="Z1853" t="s">
        <v>194</v>
      </c>
    </row>
    <row r="1854" spans="1:26" x14ac:dyDescent="0.25">
      <c r="A1854">
        <v>1853</v>
      </c>
      <c r="B1854">
        <v>41</v>
      </c>
      <c r="C1854" t="s">
        <v>22</v>
      </c>
      <c r="D1854">
        <v>1853</v>
      </c>
      <c r="E1854" t="s">
        <v>33</v>
      </c>
      <c r="F1854" t="s">
        <v>24</v>
      </c>
      <c r="G1854">
        <v>1853</v>
      </c>
      <c r="H1854">
        <v>2422</v>
      </c>
      <c r="I1854">
        <v>80</v>
      </c>
      <c r="J1854" t="s">
        <v>141</v>
      </c>
      <c r="K1854" t="s">
        <v>95</v>
      </c>
      <c r="L1854" t="s">
        <v>86</v>
      </c>
      <c r="M1854" t="s">
        <v>28</v>
      </c>
      <c r="N1854">
        <v>3.8</v>
      </c>
      <c r="O1854">
        <v>0</v>
      </c>
      <c r="P1854" t="s">
        <v>77</v>
      </c>
      <c r="Q1854" t="s">
        <v>155</v>
      </c>
      <c r="R1854" t="s">
        <v>155</v>
      </c>
      <c r="S1854">
        <v>32</v>
      </c>
      <c r="T1854" t="s">
        <v>36</v>
      </c>
      <c r="U1854" t="s">
        <v>43</v>
      </c>
      <c r="V1854" s="1">
        <v>45326</v>
      </c>
      <c r="W1854">
        <f>Table1[[#This Row],[customer_purchase count]]+1</f>
        <v>33</v>
      </c>
      <c r="X1854">
        <f>Table1[[#This Row],[customer_purchase count]]*Rules!$B$3</f>
        <v>1912.4594871794873</v>
      </c>
      <c r="Y1854" t="str">
        <f>IF(Table1[[#This Row],[customer_subscription]]=1,"Subscribed","Not Subscribed")</f>
        <v>Not Subscribed</v>
      </c>
    </row>
    <row r="1855" spans="1:26" x14ac:dyDescent="0.25">
      <c r="A1855">
        <v>1854</v>
      </c>
      <c r="B1855">
        <v>29</v>
      </c>
      <c r="C1855" t="s">
        <v>22</v>
      </c>
      <c r="D1855">
        <v>1854</v>
      </c>
      <c r="E1855" t="s">
        <v>23</v>
      </c>
      <c r="F1855" t="s">
        <v>24</v>
      </c>
      <c r="G1855">
        <v>1854</v>
      </c>
      <c r="H1855">
        <v>2423</v>
      </c>
      <c r="I1855">
        <v>67</v>
      </c>
      <c r="J1855" t="s">
        <v>117</v>
      </c>
      <c r="K1855" t="s">
        <v>95</v>
      </c>
      <c r="L1855" t="s">
        <v>81</v>
      </c>
      <c r="M1855" t="s">
        <v>40</v>
      </c>
      <c r="N1855">
        <v>2.9</v>
      </c>
      <c r="O1855">
        <v>0</v>
      </c>
      <c r="P1855" t="s">
        <v>29</v>
      </c>
      <c r="Q1855" t="s">
        <v>155</v>
      </c>
      <c r="R1855" t="s">
        <v>155</v>
      </c>
      <c r="S1855">
        <v>11</v>
      </c>
      <c r="T1855" t="s">
        <v>49</v>
      </c>
      <c r="U1855" t="s">
        <v>32</v>
      </c>
      <c r="V1855" s="1">
        <v>45435</v>
      </c>
      <c r="W1855">
        <f>Table1[[#This Row],[customer_purchase count]]+1</f>
        <v>12</v>
      </c>
      <c r="X1855">
        <f>Table1[[#This Row],[customer_purchase count]]*Rules!$B$3</f>
        <v>657.40794871794878</v>
      </c>
      <c r="Y1855" t="str">
        <f>IF(Table1[[#This Row],[customer_subscription]]=1,"Subscribed","Not Subscribed")</f>
        <v>Not Subscribed</v>
      </c>
      <c r="Z1855" t="s">
        <v>187</v>
      </c>
    </row>
    <row r="1856" spans="1:26" x14ac:dyDescent="0.25">
      <c r="A1856">
        <v>1855</v>
      </c>
      <c r="B1856">
        <v>25</v>
      </c>
      <c r="C1856" t="s">
        <v>22</v>
      </c>
      <c r="D1856">
        <v>1855</v>
      </c>
      <c r="E1856" t="s">
        <v>33</v>
      </c>
      <c r="F1856" t="s">
        <v>24</v>
      </c>
      <c r="G1856">
        <v>1855</v>
      </c>
      <c r="H1856">
        <v>2425</v>
      </c>
      <c r="I1856">
        <v>61</v>
      </c>
      <c r="J1856" t="s">
        <v>25</v>
      </c>
      <c r="K1856" t="s">
        <v>47</v>
      </c>
      <c r="L1856" t="s">
        <v>88</v>
      </c>
      <c r="M1856" t="s">
        <v>40</v>
      </c>
      <c r="N1856">
        <v>3.8</v>
      </c>
      <c r="O1856">
        <v>0</v>
      </c>
      <c r="P1856" t="s">
        <v>29</v>
      </c>
      <c r="Q1856" t="s">
        <v>155</v>
      </c>
      <c r="R1856" t="s">
        <v>155</v>
      </c>
      <c r="S1856">
        <v>49</v>
      </c>
      <c r="T1856" t="s">
        <v>42</v>
      </c>
      <c r="U1856" t="s">
        <v>52</v>
      </c>
      <c r="V1856" s="1">
        <v>45418</v>
      </c>
      <c r="W1856">
        <f>Table1[[#This Row],[customer_purchase count]]+1</f>
        <v>50</v>
      </c>
      <c r="X1856">
        <f>Table1[[#This Row],[customer_purchase count]]*Rules!$B$3</f>
        <v>2928.4535897435899</v>
      </c>
      <c r="Y1856" t="str">
        <f>IF(Table1[[#This Row],[customer_subscription]]=1,"Subscribed","Not Subscribed")</f>
        <v>Not Subscribed</v>
      </c>
    </row>
    <row r="1857" spans="1:26" x14ac:dyDescent="0.25">
      <c r="A1857">
        <v>1856</v>
      </c>
      <c r="B1857">
        <v>60</v>
      </c>
      <c r="C1857" t="s">
        <v>22</v>
      </c>
      <c r="D1857">
        <v>1856</v>
      </c>
      <c r="E1857" t="s">
        <v>58</v>
      </c>
      <c r="F1857" t="s">
        <v>24</v>
      </c>
      <c r="G1857">
        <v>1856</v>
      </c>
      <c r="H1857">
        <v>2426</v>
      </c>
      <c r="I1857">
        <v>76</v>
      </c>
      <c r="J1857" t="s">
        <v>46</v>
      </c>
      <c r="K1857" t="s">
        <v>95</v>
      </c>
      <c r="L1857" t="s">
        <v>88</v>
      </c>
      <c r="M1857" t="s">
        <v>40</v>
      </c>
      <c r="N1857">
        <v>4.7</v>
      </c>
      <c r="O1857">
        <v>0</v>
      </c>
      <c r="P1857" t="s">
        <v>57</v>
      </c>
      <c r="Q1857" t="s">
        <v>155</v>
      </c>
      <c r="R1857" t="s">
        <v>155</v>
      </c>
      <c r="S1857">
        <v>9</v>
      </c>
      <c r="T1857" t="s">
        <v>36</v>
      </c>
      <c r="U1857" t="s">
        <v>52</v>
      </c>
      <c r="V1857" s="1">
        <v>45402</v>
      </c>
      <c r="W1857">
        <f>Table1[[#This Row],[customer_purchase count]]+1</f>
        <v>10</v>
      </c>
      <c r="X1857">
        <f>Table1[[#This Row],[customer_purchase count]]*Rules!$B$3</f>
        <v>537.87923076923084</v>
      </c>
      <c r="Y1857" t="str">
        <f>IF(Table1[[#This Row],[customer_subscription]]=1,"Subscribed","Not Subscribed")</f>
        <v>Not Subscribed</v>
      </c>
      <c r="Z1857" t="s">
        <v>194</v>
      </c>
    </row>
    <row r="1858" spans="1:26" x14ac:dyDescent="0.25">
      <c r="A1858">
        <v>1857</v>
      </c>
      <c r="B1858">
        <v>63</v>
      </c>
      <c r="C1858" t="s">
        <v>22</v>
      </c>
      <c r="D1858">
        <v>1857</v>
      </c>
      <c r="E1858" t="s">
        <v>109</v>
      </c>
      <c r="F1858" t="s">
        <v>70</v>
      </c>
      <c r="G1858">
        <v>1857</v>
      </c>
      <c r="H1858">
        <v>2427</v>
      </c>
      <c r="I1858">
        <v>55</v>
      </c>
      <c r="J1858" t="s">
        <v>120</v>
      </c>
      <c r="K1858" t="s">
        <v>95</v>
      </c>
      <c r="L1858" t="s">
        <v>121</v>
      </c>
      <c r="M1858" t="s">
        <v>56</v>
      </c>
      <c r="N1858">
        <v>3.2</v>
      </c>
      <c r="O1858">
        <v>0</v>
      </c>
      <c r="P1858" t="s">
        <v>41</v>
      </c>
      <c r="Q1858" t="s">
        <v>155</v>
      </c>
      <c r="R1858" t="s">
        <v>155</v>
      </c>
      <c r="S1858">
        <v>30</v>
      </c>
      <c r="T1858" t="s">
        <v>49</v>
      </c>
      <c r="U1858" t="s">
        <v>79</v>
      </c>
      <c r="V1858" s="1">
        <v>45471</v>
      </c>
      <c r="W1858">
        <f>Table1[[#This Row],[customer_purchase count]]+1</f>
        <v>31</v>
      </c>
      <c r="X1858">
        <f>Table1[[#This Row],[customer_purchase count]]*Rules!$B$3</f>
        <v>1792.9307692307693</v>
      </c>
      <c r="Y1858" t="str">
        <f>IF(Table1[[#This Row],[customer_subscription]]=1,"Subscribed","Not Subscribed")</f>
        <v>Not Subscribed</v>
      </c>
    </row>
    <row r="1859" spans="1:26" x14ac:dyDescent="0.25">
      <c r="A1859">
        <v>1858</v>
      </c>
      <c r="B1859">
        <v>51</v>
      </c>
      <c r="C1859" t="s">
        <v>22</v>
      </c>
      <c r="D1859">
        <v>1858</v>
      </c>
      <c r="E1859" t="s">
        <v>116</v>
      </c>
      <c r="F1859" t="s">
        <v>24</v>
      </c>
      <c r="G1859">
        <v>1858</v>
      </c>
      <c r="H1859">
        <v>2428</v>
      </c>
      <c r="I1859">
        <v>85</v>
      </c>
      <c r="J1859" t="s">
        <v>115</v>
      </c>
      <c r="K1859" t="s">
        <v>26</v>
      </c>
      <c r="L1859" t="s">
        <v>35</v>
      </c>
      <c r="M1859" t="s">
        <v>56</v>
      </c>
      <c r="N1859">
        <v>4</v>
      </c>
      <c r="O1859">
        <v>0</v>
      </c>
      <c r="P1859" t="s">
        <v>48</v>
      </c>
      <c r="Q1859" t="s">
        <v>155</v>
      </c>
      <c r="R1859" t="s">
        <v>155</v>
      </c>
      <c r="S1859">
        <v>33</v>
      </c>
      <c r="T1859" t="s">
        <v>36</v>
      </c>
      <c r="U1859" t="s">
        <v>91</v>
      </c>
      <c r="V1859" s="1">
        <v>45531</v>
      </c>
      <c r="W1859">
        <f>Table1[[#This Row],[customer_purchase count]]+1</f>
        <v>34</v>
      </c>
      <c r="X1859">
        <f>Table1[[#This Row],[customer_purchase count]]*Rules!$B$3</f>
        <v>1972.2238461538464</v>
      </c>
      <c r="Y1859" t="str">
        <f>IF(Table1[[#This Row],[customer_subscription]]=1,"Subscribed","Not Subscribed")</f>
        <v>Not Subscribed</v>
      </c>
    </row>
    <row r="1860" spans="1:26" x14ac:dyDescent="0.25">
      <c r="A1860">
        <v>1859</v>
      </c>
      <c r="B1860">
        <v>22</v>
      </c>
      <c r="C1860" t="s">
        <v>22</v>
      </c>
      <c r="D1860">
        <v>1859</v>
      </c>
      <c r="E1860" t="s">
        <v>122</v>
      </c>
      <c r="F1860" t="s">
        <v>70</v>
      </c>
      <c r="G1860">
        <v>1859</v>
      </c>
      <c r="H1860">
        <v>2429</v>
      </c>
      <c r="I1860">
        <v>69</v>
      </c>
      <c r="J1860" t="s">
        <v>34</v>
      </c>
      <c r="K1860" t="s">
        <v>39</v>
      </c>
      <c r="L1860" t="s">
        <v>103</v>
      </c>
      <c r="M1860" t="s">
        <v>40</v>
      </c>
      <c r="N1860">
        <v>4.9000000000000004</v>
      </c>
      <c r="O1860">
        <v>0</v>
      </c>
      <c r="P1860" t="s">
        <v>73</v>
      </c>
      <c r="Q1860" t="s">
        <v>155</v>
      </c>
      <c r="R1860" t="s">
        <v>155</v>
      </c>
      <c r="S1860">
        <v>8</v>
      </c>
      <c r="T1860" t="s">
        <v>89</v>
      </c>
      <c r="U1860" t="s">
        <v>52</v>
      </c>
      <c r="V1860" s="1">
        <v>45357</v>
      </c>
      <c r="W1860">
        <f>Table1[[#This Row],[customer_purchase count]]+1</f>
        <v>9</v>
      </c>
      <c r="X1860">
        <f>Table1[[#This Row],[customer_purchase count]]*Rules!$B$3</f>
        <v>478.11487179487182</v>
      </c>
      <c r="Y1860" t="str">
        <f>IF(Table1[[#This Row],[customer_subscription]]=1,"Subscribed","Not Subscribed")</f>
        <v>Not Subscribed</v>
      </c>
      <c r="Z1860" t="s">
        <v>194</v>
      </c>
    </row>
    <row r="1861" spans="1:26" x14ac:dyDescent="0.25">
      <c r="A1861">
        <v>1860</v>
      </c>
      <c r="B1861">
        <v>54</v>
      </c>
      <c r="C1861" t="s">
        <v>22</v>
      </c>
      <c r="D1861">
        <v>1860</v>
      </c>
      <c r="E1861" t="s">
        <v>136</v>
      </c>
      <c r="F1861" t="s">
        <v>70</v>
      </c>
      <c r="G1861">
        <v>1860</v>
      </c>
      <c r="H1861">
        <v>2431</v>
      </c>
      <c r="I1861">
        <v>26</v>
      </c>
      <c r="J1861" t="s">
        <v>130</v>
      </c>
      <c r="K1861" t="s">
        <v>26</v>
      </c>
      <c r="L1861" t="s">
        <v>121</v>
      </c>
      <c r="M1861" t="s">
        <v>56</v>
      </c>
      <c r="N1861">
        <v>3.7</v>
      </c>
      <c r="O1861">
        <v>0</v>
      </c>
      <c r="P1861" t="s">
        <v>77</v>
      </c>
      <c r="Q1861" t="s">
        <v>155</v>
      </c>
      <c r="R1861" t="s">
        <v>155</v>
      </c>
      <c r="S1861">
        <v>29</v>
      </c>
      <c r="T1861" t="s">
        <v>89</v>
      </c>
      <c r="U1861" t="s">
        <v>32</v>
      </c>
      <c r="V1861" s="1">
        <v>45456</v>
      </c>
      <c r="W1861">
        <f>Table1[[#This Row],[customer_purchase count]]+1</f>
        <v>30</v>
      </c>
      <c r="X1861">
        <f>Table1[[#This Row],[customer_purchase count]]*Rules!$B$3</f>
        <v>1733.1664102564102</v>
      </c>
      <c r="Y1861" t="str">
        <f>IF(Table1[[#This Row],[customer_subscription]]=1,"Subscribed","Not Subscribed")</f>
        <v>Not Subscribed</v>
      </c>
    </row>
    <row r="1862" spans="1:26" x14ac:dyDescent="0.25">
      <c r="A1862">
        <v>1861</v>
      </c>
      <c r="B1862">
        <v>18</v>
      </c>
      <c r="C1862" t="s">
        <v>22</v>
      </c>
      <c r="D1862">
        <v>1861</v>
      </c>
      <c r="E1862" t="s">
        <v>116</v>
      </c>
      <c r="F1862" t="s">
        <v>24</v>
      </c>
      <c r="G1862">
        <v>1861</v>
      </c>
      <c r="H1862">
        <v>2432</v>
      </c>
      <c r="I1862">
        <v>64</v>
      </c>
      <c r="J1862" t="s">
        <v>114</v>
      </c>
      <c r="K1862" t="s">
        <v>47</v>
      </c>
      <c r="L1862" t="s">
        <v>68</v>
      </c>
      <c r="M1862" t="s">
        <v>56</v>
      </c>
      <c r="N1862">
        <v>4.8</v>
      </c>
      <c r="O1862">
        <v>0</v>
      </c>
      <c r="P1862" t="s">
        <v>48</v>
      </c>
      <c r="Q1862" t="s">
        <v>155</v>
      </c>
      <c r="R1862" t="s">
        <v>155</v>
      </c>
      <c r="S1862">
        <v>4</v>
      </c>
      <c r="T1862" t="s">
        <v>42</v>
      </c>
      <c r="U1862" t="s">
        <v>91</v>
      </c>
      <c r="V1862" s="1">
        <v>45488</v>
      </c>
      <c r="W1862">
        <f>Table1[[#This Row],[customer_purchase count]]+1</f>
        <v>5</v>
      </c>
      <c r="X1862">
        <f>Table1[[#This Row],[customer_purchase count]]*Rules!$B$3</f>
        <v>239.05743589743591</v>
      </c>
      <c r="Y1862" t="str">
        <f>IF(Table1[[#This Row],[customer_subscription]]=1,"Subscribed","Not Subscribed")</f>
        <v>Not Subscribed</v>
      </c>
      <c r="Z1862" t="s">
        <v>194</v>
      </c>
    </row>
    <row r="1863" spans="1:26" x14ac:dyDescent="0.25">
      <c r="A1863">
        <v>1862</v>
      </c>
      <c r="B1863">
        <v>29</v>
      </c>
      <c r="C1863" t="s">
        <v>22</v>
      </c>
      <c r="D1863">
        <v>1862</v>
      </c>
      <c r="E1863" t="s">
        <v>53</v>
      </c>
      <c r="F1863" t="s">
        <v>45</v>
      </c>
      <c r="G1863">
        <v>1862</v>
      </c>
      <c r="H1863">
        <v>2433</v>
      </c>
      <c r="I1863">
        <v>60</v>
      </c>
      <c r="J1863" t="s">
        <v>150</v>
      </c>
      <c r="K1863" t="s">
        <v>39</v>
      </c>
      <c r="L1863" t="s">
        <v>103</v>
      </c>
      <c r="M1863" t="s">
        <v>60</v>
      </c>
      <c r="N1863">
        <v>3.6</v>
      </c>
      <c r="O1863">
        <v>0</v>
      </c>
      <c r="P1863" t="s">
        <v>57</v>
      </c>
      <c r="Q1863" t="s">
        <v>155</v>
      </c>
      <c r="R1863" t="s">
        <v>155</v>
      </c>
      <c r="S1863">
        <v>19</v>
      </c>
      <c r="T1863" t="s">
        <v>89</v>
      </c>
      <c r="U1863" t="s">
        <v>91</v>
      </c>
      <c r="V1863" s="1">
        <v>45550</v>
      </c>
      <c r="W1863">
        <f>Table1[[#This Row],[customer_purchase count]]+1</f>
        <v>20</v>
      </c>
      <c r="X1863">
        <f>Table1[[#This Row],[customer_purchase count]]*Rules!$B$3</f>
        <v>1135.5228205128205</v>
      </c>
      <c r="Y1863" t="str">
        <f>IF(Table1[[#This Row],[customer_subscription]]=1,"Subscribed","Not Subscribed")</f>
        <v>Not Subscribed</v>
      </c>
    </row>
    <row r="1864" spans="1:26" x14ac:dyDescent="0.25">
      <c r="A1864">
        <v>1863</v>
      </c>
      <c r="B1864">
        <v>59</v>
      </c>
      <c r="C1864" t="s">
        <v>22</v>
      </c>
      <c r="D1864">
        <v>1863</v>
      </c>
      <c r="E1864" t="s">
        <v>146</v>
      </c>
      <c r="F1864" t="s">
        <v>70</v>
      </c>
      <c r="G1864">
        <v>1863</v>
      </c>
      <c r="H1864">
        <v>2434</v>
      </c>
      <c r="I1864">
        <v>36</v>
      </c>
      <c r="J1864" t="s">
        <v>85</v>
      </c>
      <c r="K1864" t="s">
        <v>47</v>
      </c>
      <c r="L1864" t="s">
        <v>51</v>
      </c>
      <c r="M1864" t="s">
        <v>28</v>
      </c>
      <c r="N1864">
        <v>4.5999999999999996</v>
      </c>
      <c r="O1864">
        <v>0</v>
      </c>
      <c r="P1864" t="s">
        <v>29</v>
      </c>
      <c r="Q1864" t="s">
        <v>155</v>
      </c>
      <c r="R1864" t="s">
        <v>155</v>
      </c>
      <c r="S1864">
        <v>10</v>
      </c>
      <c r="T1864" t="s">
        <v>49</v>
      </c>
      <c r="U1864" t="s">
        <v>32</v>
      </c>
      <c r="V1864" s="1">
        <v>45342</v>
      </c>
      <c r="W1864">
        <f>Table1[[#This Row],[customer_purchase count]]+1</f>
        <v>11</v>
      </c>
      <c r="X1864">
        <f>Table1[[#This Row],[customer_purchase count]]*Rules!$B$3</f>
        <v>597.64358974358981</v>
      </c>
      <c r="Y1864" t="str">
        <f>IF(Table1[[#This Row],[customer_subscription]]=1,"Subscribed","Not Subscribed")</f>
        <v>Not Subscribed</v>
      </c>
      <c r="Z1864" t="s">
        <v>194</v>
      </c>
    </row>
    <row r="1865" spans="1:26" x14ac:dyDescent="0.25">
      <c r="A1865">
        <v>1864</v>
      </c>
      <c r="B1865">
        <v>25</v>
      </c>
      <c r="C1865" t="s">
        <v>22</v>
      </c>
      <c r="D1865">
        <v>1864</v>
      </c>
      <c r="E1865" t="s">
        <v>44</v>
      </c>
      <c r="F1865" t="s">
        <v>45</v>
      </c>
      <c r="G1865">
        <v>1864</v>
      </c>
      <c r="H1865">
        <v>2435</v>
      </c>
      <c r="I1865">
        <v>21</v>
      </c>
      <c r="J1865" t="s">
        <v>142</v>
      </c>
      <c r="K1865" t="s">
        <v>26</v>
      </c>
      <c r="L1865" t="s">
        <v>124</v>
      </c>
      <c r="M1865" t="s">
        <v>40</v>
      </c>
      <c r="N1865">
        <v>4.3</v>
      </c>
      <c r="O1865">
        <v>0</v>
      </c>
      <c r="P1865" t="s">
        <v>73</v>
      </c>
      <c r="Q1865" t="s">
        <v>155</v>
      </c>
      <c r="R1865" t="s">
        <v>155</v>
      </c>
      <c r="S1865">
        <v>39</v>
      </c>
      <c r="T1865" t="s">
        <v>89</v>
      </c>
      <c r="U1865" t="s">
        <v>91</v>
      </c>
      <c r="V1865" s="1">
        <v>45419</v>
      </c>
      <c r="W1865">
        <f>Table1[[#This Row],[customer_purchase count]]+1</f>
        <v>40</v>
      </c>
      <c r="X1865">
        <f>Table1[[#This Row],[customer_purchase count]]*Rules!$B$3</f>
        <v>2330.81</v>
      </c>
      <c r="Y1865" t="str">
        <f>IF(Table1[[#This Row],[customer_subscription]]=1,"Subscribed","Not Subscribed")</f>
        <v>Not Subscribed</v>
      </c>
    </row>
    <row r="1866" spans="1:26" x14ac:dyDescent="0.25">
      <c r="A1866">
        <v>1865</v>
      </c>
      <c r="B1866">
        <v>19</v>
      </c>
      <c r="C1866" t="s">
        <v>22</v>
      </c>
      <c r="D1866">
        <v>1865</v>
      </c>
      <c r="E1866" t="s">
        <v>135</v>
      </c>
      <c r="F1866" t="s">
        <v>70</v>
      </c>
      <c r="G1866">
        <v>1865</v>
      </c>
      <c r="H1866">
        <v>2437</v>
      </c>
      <c r="I1866">
        <v>72</v>
      </c>
      <c r="J1866" t="s">
        <v>54</v>
      </c>
      <c r="K1866" t="s">
        <v>39</v>
      </c>
      <c r="L1866" t="s">
        <v>112</v>
      </c>
      <c r="M1866" t="s">
        <v>60</v>
      </c>
      <c r="N1866">
        <v>3.2</v>
      </c>
      <c r="O1866">
        <v>0</v>
      </c>
      <c r="P1866" t="s">
        <v>73</v>
      </c>
      <c r="Q1866" t="s">
        <v>155</v>
      </c>
      <c r="R1866" t="s">
        <v>155</v>
      </c>
      <c r="S1866">
        <v>21</v>
      </c>
      <c r="T1866" t="s">
        <v>31</v>
      </c>
      <c r="U1866" t="s">
        <v>61</v>
      </c>
      <c r="V1866" s="1">
        <v>45624</v>
      </c>
      <c r="W1866">
        <f>Table1[[#This Row],[customer_purchase count]]+1</f>
        <v>22</v>
      </c>
      <c r="X1866">
        <f>Table1[[#This Row],[customer_purchase count]]*Rules!$B$3</f>
        <v>1255.0515384615385</v>
      </c>
      <c r="Y1866" t="str">
        <f>IF(Table1[[#This Row],[customer_subscription]]=1,"Subscribed","Not Subscribed")</f>
        <v>Not Subscribed</v>
      </c>
    </row>
    <row r="1867" spans="1:26" x14ac:dyDescent="0.25">
      <c r="A1867">
        <v>1866</v>
      </c>
      <c r="B1867">
        <v>56</v>
      </c>
      <c r="C1867" t="s">
        <v>22</v>
      </c>
      <c r="D1867">
        <v>1866</v>
      </c>
      <c r="E1867" t="s">
        <v>98</v>
      </c>
      <c r="F1867" t="s">
        <v>24</v>
      </c>
      <c r="G1867">
        <v>1866</v>
      </c>
      <c r="H1867">
        <v>2438</v>
      </c>
      <c r="I1867">
        <v>62</v>
      </c>
      <c r="J1867" t="s">
        <v>71</v>
      </c>
      <c r="K1867" t="s">
        <v>39</v>
      </c>
      <c r="L1867" t="s">
        <v>68</v>
      </c>
      <c r="M1867" t="s">
        <v>56</v>
      </c>
      <c r="N1867">
        <v>3.8</v>
      </c>
      <c r="O1867">
        <v>0</v>
      </c>
      <c r="P1867" t="s">
        <v>77</v>
      </c>
      <c r="Q1867" t="s">
        <v>155</v>
      </c>
      <c r="R1867" t="s">
        <v>155</v>
      </c>
      <c r="S1867">
        <v>12</v>
      </c>
      <c r="T1867" t="s">
        <v>78</v>
      </c>
      <c r="U1867" t="s">
        <v>91</v>
      </c>
      <c r="V1867" s="1">
        <v>45445</v>
      </c>
      <c r="W1867">
        <f>Table1[[#This Row],[customer_purchase count]]+1</f>
        <v>13</v>
      </c>
      <c r="X1867">
        <f>Table1[[#This Row],[customer_purchase count]]*Rules!$B$3</f>
        <v>717.17230769230775</v>
      </c>
      <c r="Y1867" t="str">
        <f>IF(Table1[[#This Row],[customer_subscription]]=1,"Subscribed","Not Subscribed")</f>
        <v>Not Subscribed</v>
      </c>
      <c r="Z1867" t="s">
        <v>194</v>
      </c>
    </row>
    <row r="1868" spans="1:26" x14ac:dyDescent="0.25">
      <c r="A1868">
        <v>1867</v>
      </c>
      <c r="B1868">
        <v>31</v>
      </c>
      <c r="C1868" t="s">
        <v>22</v>
      </c>
      <c r="D1868">
        <v>1867</v>
      </c>
      <c r="E1868" t="s">
        <v>116</v>
      </c>
      <c r="F1868" t="s">
        <v>24</v>
      </c>
      <c r="G1868">
        <v>1867</v>
      </c>
      <c r="H1868">
        <v>2439</v>
      </c>
      <c r="I1868">
        <v>44</v>
      </c>
      <c r="J1868" t="s">
        <v>123</v>
      </c>
      <c r="K1868" t="s">
        <v>95</v>
      </c>
      <c r="L1868" t="s">
        <v>83</v>
      </c>
      <c r="M1868" t="s">
        <v>28</v>
      </c>
      <c r="N1868">
        <v>4.2</v>
      </c>
      <c r="O1868">
        <v>0</v>
      </c>
      <c r="P1868" t="s">
        <v>57</v>
      </c>
      <c r="Q1868" t="s">
        <v>155</v>
      </c>
      <c r="R1868" t="s">
        <v>155</v>
      </c>
      <c r="S1868">
        <v>9</v>
      </c>
      <c r="T1868" t="s">
        <v>42</v>
      </c>
      <c r="U1868" t="s">
        <v>32</v>
      </c>
      <c r="V1868" s="1">
        <v>45638</v>
      </c>
      <c r="W1868">
        <f>Table1[[#This Row],[customer_purchase count]]+1</f>
        <v>10</v>
      </c>
      <c r="X1868">
        <f>Table1[[#This Row],[customer_purchase count]]*Rules!$B$3</f>
        <v>537.87923076923084</v>
      </c>
      <c r="Y1868" t="str">
        <f>IF(Table1[[#This Row],[customer_subscription]]=1,"Subscribed","Not Subscribed")</f>
        <v>Not Subscribed</v>
      </c>
      <c r="Z1868" t="s">
        <v>194</v>
      </c>
    </row>
    <row r="1869" spans="1:26" x14ac:dyDescent="0.25">
      <c r="A1869">
        <v>1868</v>
      </c>
      <c r="B1869">
        <v>45</v>
      </c>
      <c r="C1869" t="s">
        <v>22</v>
      </c>
      <c r="D1869">
        <v>1868</v>
      </c>
      <c r="E1869" t="s">
        <v>90</v>
      </c>
      <c r="F1869" t="s">
        <v>24</v>
      </c>
      <c r="G1869">
        <v>1868</v>
      </c>
      <c r="H1869">
        <v>2440</v>
      </c>
      <c r="I1869">
        <v>52</v>
      </c>
      <c r="J1869" t="s">
        <v>82</v>
      </c>
      <c r="K1869" t="s">
        <v>47</v>
      </c>
      <c r="L1869" t="s">
        <v>113</v>
      </c>
      <c r="M1869" t="s">
        <v>60</v>
      </c>
      <c r="N1869">
        <v>3.4</v>
      </c>
      <c r="O1869">
        <v>0</v>
      </c>
      <c r="P1869" t="s">
        <v>73</v>
      </c>
      <c r="Q1869" t="s">
        <v>155</v>
      </c>
      <c r="R1869" t="s">
        <v>155</v>
      </c>
      <c r="S1869">
        <v>20</v>
      </c>
      <c r="T1869" t="s">
        <v>31</v>
      </c>
      <c r="U1869" t="s">
        <v>61</v>
      </c>
      <c r="V1869" s="1">
        <v>45550</v>
      </c>
      <c r="W1869">
        <f>Table1[[#This Row],[customer_purchase count]]+1</f>
        <v>21</v>
      </c>
      <c r="X1869">
        <f>Table1[[#This Row],[customer_purchase count]]*Rules!$B$3</f>
        <v>1195.2871794871796</v>
      </c>
      <c r="Y1869" t="str">
        <f>IF(Table1[[#This Row],[customer_subscription]]=1,"Subscribed","Not Subscribed")</f>
        <v>Not Subscribed</v>
      </c>
    </row>
    <row r="1870" spans="1:26" x14ac:dyDescent="0.25">
      <c r="A1870">
        <v>1869</v>
      </c>
      <c r="B1870">
        <v>23</v>
      </c>
      <c r="C1870" t="s">
        <v>22</v>
      </c>
      <c r="D1870">
        <v>1869</v>
      </c>
      <c r="E1870" t="s">
        <v>146</v>
      </c>
      <c r="F1870" t="s">
        <v>70</v>
      </c>
      <c r="G1870">
        <v>1869</v>
      </c>
      <c r="H1870">
        <v>2441</v>
      </c>
      <c r="I1870">
        <v>58</v>
      </c>
      <c r="J1870" t="s">
        <v>119</v>
      </c>
      <c r="K1870" t="s">
        <v>47</v>
      </c>
      <c r="L1870" t="s">
        <v>68</v>
      </c>
      <c r="M1870" t="s">
        <v>40</v>
      </c>
      <c r="N1870">
        <v>4.7</v>
      </c>
      <c r="O1870">
        <v>0</v>
      </c>
      <c r="P1870" t="s">
        <v>48</v>
      </c>
      <c r="Q1870" t="s">
        <v>155</v>
      </c>
      <c r="R1870" t="s">
        <v>155</v>
      </c>
      <c r="S1870">
        <v>44</v>
      </c>
      <c r="T1870" t="s">
        <v>36</v>
      </c>
      <c r="U1870" t="s">
        <v>32</v>
      </c>
      <c r="V1870" s="1">
        <v>45401</v>
      </c>
      <c r="W1870">
        <f>Table1[[#This Row],[customer_purchase count]]+1</f>
        <v>45</v>
      </c>
      <c r="X1870">
        <f>Table1[[#This Row],[customer_purchase count]]*Rules!$B$3</f>
        <v>2629.6317948717951</v>
      </c>
      <c r="Y1870" t="str">
        <f>IF(Table1[[#This Row],[customer_subscription]]=1,"Subscribed","Not Subscribed")</f>
        <v>Not Subscribed</v>
      </c>
    </row>
    <row r="1871" spans="1:26" x14ac:dyDescent="0.25">
      <c r="A1871">
        <v>1870</v>
      </c>
      <c r="B1871">
        <v>18</v>
      </c>
      <c r="C1871" t="s">
        <v>22</v>
      </c>
      <c r="D1871">
        <v>1870</v>
      </c>
      <c r="E1871" t="s">
        <v>23</v>
      </c>
      <c r="F1871" t="s">
        <v>24</v>
      </c>
      <c r="G1871">
        <v>1870</v>
      </c>
      <c r="H1871">
        <v>2443</v>
      </c>
      <c r="I1871">
        <v>77</v>
      </c>
      <c r="J1871" t="s">
        <v>67</v>
      </c>
      <c r="K1871" t="s">
        <v>39</v>
      </c>
      <c r="L1871" t="s">
        <v>121</v>
      </c>
      <c r="M1871" t="s">
        <v>40</v>
      </c>
      <c r="N1871">
        <v>3.9</v>
      </c>
      <c r="O1871">
        <v>0</v>
      </c>
      <c r="P1871" t="s">
        <v>73</v>
      </c>
      <c r="Q1871" t="s">
        <v>155</v>
      </c>
      <c r="R1871" t="s">
        <v>155</v>
      </c>
      <c r="S1871">
        <v>16</v>
      </c>
      <c r="T1871" t="s">
        <v>89</v>
      </c>
      <c r="U1871" t="s">
        <v>100</v>
      </c>
      <c r="V1871" s="1">
        <v>45352</v>
      </c>
      <c r="W1871">
        <f>Table1[[#This Row],[customer_purchase count]]+1</f>
        <v>17</v>
      </c>
      <c r="X1871">
        <f>Table1[[#This Row],[customer_purchase count]]*Rules!$B$3</f>
        <v>956.22974358974363</v>
      </c>
      <c r="Y1871" t="str">
        <f>IF(Table1[[#This Row],[customer_subscription]]=1,"Subscribed","Not Subscribed")</f>
        <v>Not Subscribed</v>
      </c>
      <c r="Z1871" t="s">
        <v>187</v>
      </c>
    </row>
    <row r="1872" spans="1:26" x14ac:dyDescent="0.25">
      <c r="A1872">
        <v>1871</v>
      </c>
      <c r="B1872">
        <v>43</v>
      </c>
      <c r="C1872" t="s">
        <v>22</v>
      </c>
      <c r="D1872">
        <v>1871</v>
      </c>
      <c r="E1872" t="s">
        <v>23</v>
      </c>
      <c r="F1872" t="s">
        <v>24</v>
      </c>
      <c r="G1872">
        <v>1871</v>
      </c>
      <c r="H1872">
        <v>2444</v>
      </c>
      <c r="I1872">
        <v>99</v>
      </c>
      <c r="J1872" t="s">
        <v>54</v>
      </c>
      <c r="K1872" t="s">
        <v>26</v>
      </c>
      <c r="L1872" t="s">
        <v>86</v>
      </c>
      <c r="M1872" t="s">
        <v>40</v>
      </c>
      <c r="N1872">
        <v>4.3</v>
      </c>
      <c r="O1872">
        <v>0</v>
      </c>
      <c r="P1872" t="s">
        <v>77</v>
      </c>
      <c r="Q1872" t="s">
        <v>155</v>
      </c>
      <c r="R1872" t="s">
        <v>155</v>
      </c>
      <c r="S1872">
        <v>27</v>
      </c>
      <c r="T1872" t="s">
        <v>89</v>
      </c>
      <c r="U1872" t="s">
        <v>32</v>
      </c>
      <c r="V1872" s="1">
        <v>45426</v>
      </c>
      <c r="W1872">
        <f>Table1[[#This Row],[customer_purchase count]]+1</f>
        <v>28</v>
      </c>
      <c r="X1872">
        <f>Table1[[#This Row],[customer_purchase count]]*Rules!$B$3</f>
        <v>1613.6376923076923</v>
      </c>
      <c r="Y1872" t="str">
        <f>IF(Table1[[#This Row],[customer_subscription]]=1,"Subscribed","Not Subscribed")</f>
        <v>Not Subscribed</v>
      </c>
    </row>
    <row r="1873" spans="1:26" x14ac:dyDescent="0.25">
      <c r="A1873">
        <v>1872</v>
      </c>
      <c r="B1873">
        <v>56</v>
      </c>
      <c r="C1873" t="s">
        <v>22</v>
      </c>
      <c r="D1873">
        <v>1872</v>
      </c>
      <c r="E1873" t="s">
        <v>37</v>
      </c>
      <c r="F1873" t="s">
        <v>24</v>
      </c>
      <c r="G1873">
        <v>1872</v>
      </c>
      <c r="H1873">
        <v>2445</v>
      </c>
      <c r="I1873">
        <v>96</v>
      </c>
      <c r="J1873" t="s">
        <v>118</v>
      </c>
      <c r="K1873" t="s">
        <v>95</v>
      </c>
      <c r="L1873" t="s">
        <v>86</v>
      </c>
      <c r="M1873" t="s">
        <v>60</v>
      </c>
      <c r="N1873">
        <v>2.7</v>
      </c>
      <c r="O1873">
        <v>0</v>
      </c>
      <c r="P1873" t="s">
        <v>57</v>
      </c>
      <c r="Q1873" t="s">
        <v>155</v>
      </c>
      <c r="R1873" t="s">
        <v>155</v>
      </c>
      <c r="S1873">
        <v>14</v>
      </c>
      <c r="T1873" t="s">
        <v>36</v>
      </c>
      <c r="U1873" t="s">
        <v>100</v>
      </c>
      <c r="V1873" s="1">
        <v>45600</v>
      </c>
      <c r="W1873">
        <f>Table1[[#This Row],[customer_purchase count]]+1</f>
        <v>15</v>
      </c>
      <c r="X1873">
        <f>Table1[[#This Row],[customer_purchase count]]*Rules!$B$3</f>
        <v>836.70102564102569</v>
      </c>
      <c r="Y1873" t="str">
        <f>IF(Table1[[#This Row],[customer_subscription]]=1,"Subscribed","Not Subscribed")</f>
        <v>Not Subscribed</v>
      </c>
      <c r="Z1873" t="s">
        <v>194</v>
      </c>
    </row>
    <row r="1874" spans="1:26" x14ac:dyDescent="0.25">
      <c r="A1874">
        <v>1873</v>
      </c>
      <c r="B1874">
        <v>43</v>
      </c>
      <c r="C1874" t="s">
        <v>22</v>
      </c>
      <c r="D1874">
        <v>1873</v>
      </c>
      <c r="E1874" t="s">
        <v>116</v>
      </c>
      <c r="F1874" t="s">
        <v>24</v>
      </c>
      <c r="G1874">
        <v>1873</v>
      </c>
      <c r="H1874">
        <v>2446</v>
      </c>
      <c r="I1874">
        <v>64</v>
      </c>
      <c r="J1874" t="s">
        <v>123</v>
      </c>
      <c r="K1874" t="s">
        <v>47</v>
      </c>
      <c r="L1874" t="s">
        <v>96</v>
      </c>
      <c r="M1874" t="s">
        <v>56</v>
      </c>
      <c r="N1874">
        <v>4.5999999999999996</v>
      </c>
      <c r="O1874">
        <v>0</v>
      </c>
      <c r="P1874" t="s">
        <v>57</v>
      </c>
      <c r="Q1874" t="s">
        <v>155</v>
      </c>
      <c r="R1874" t="s">
        <v>155</v>
      </c>
      <c r="S1874">
        <v>24</v>
      </c>
      <c r="T1874" t="s">
        <v>42</v>
      </c>
      <c r="U1874" t="s">
        <v>91</v>
      </c>
      <c r="V1874" s="1">
        <v>45528</v>
      </c>
      <c r="W1874">
        <f>Table1[[#This Row],[customer_purchase count]]+1</f>
        <v>25</v>
      </c>
      <c r="X1874">
        <f>Table1[[#This Row],[customer_purchase count]]*Rules!$B$3</f>
        <v>1434.3446153846155</v>
      </c>
      <c r="Y1874" t="str">
        <f>IF(Table1[[#This Row],[customer_subscription]]=1,"Subscribed","Not Subscribed")</f>
        <v>Not Subscribed</v>
      </c>
    </row>
    <row r="1875" spans="1:26" x14ac:dyDescent="0.25">
      <c r="A1875">
        <v>1874</v>
      </c>
      <c r="B1875">
        <v>64</v>
      </c>
      <c r="C1875" t="s">
        <v>22</v>
      </c>
      <c r="D1875">
        <v>1874</v>
      </c>
      <c r="E1875" t="s">
        <v>33</v>
      </c>
      <c r="F1875" t="s">
        <v>24</v>
      </c>
      <c r="G1875">
        <v>1874</v>
      </c>
      <c r="H1875">
        <v>2447</v>
      </c>
      <c r="I1875">
        <v>44</v>
      </c>
      <c r="J1875" t="s">
        <v>153</v>
      </c>
      <c r="K1875" t="s">
        <v>95</v>
      </c>
      <c r="L1875" t="s">
        <v>111</v>
      </c>
      <c r="M1875" t="s">
        <v>60</v>
      </c>
      <c r="N1875">
        <v>2.9</v>
      </c>
      <c r="O1875">
        <v>0</v>
      </c>
      <c r="P1875" t="s">
        <v>29</v>
      </c>
      <c r="Q1875" t="s">
        <v>155</v>
      </c>
      <c r="R1875" t="s">
        <v>155</v>
      </c>
      <c r="S1875">
        <v>49</v>
      </c>
      <c r="T1875" t="s">
        <v>78</v>
      </c>
      <c r="U1875" t="s">
        <v>43</v>
      </c>
      <c r="V1875" s="1">
        <v>45573</v>
      </c>
      <c r="W1875">
        <f>Table1[[#This Row],[customer_purchase count]]+1</f>
        <v>50</v>
      </c>
      <c r="X1875">
        <f>Table1[[#This Row],[customer_purchase count]]*Rules!$B$3</f>
        <v>2928.4535897435899</v>
      </c>
      <c r="Y1875" t="str">
        <f>IF(Table1[[#This Row],[customer_subscription]]=1,"Subscribed","Not Subscribed")</f>
        <v>Not Subscribed</v>
      </c>
    </row>
    <row r="1876" spans="1:26" x14ac:dyDescent="0.25">
      <c r="A1876">
        <v>1875</v>
      </c>
      <c r="B1876">
        <v>67</v>
      </c>
      <c r="C1876" t="s">
        <v>22</v>
      </c>
      <c r="D1876">
        <v>1875</v>
      </c>
      <c r="E1876" t="s">
        <v>98</v>
      </c>
      <c r="F1876" t="s">
        <v>24</v>
      </c>
      <c r="G1876">
        <v>1875</v>
      </c>
      <c r="H1876">
        <v>2449</v>
      </c>
      <c r="I1876">
        <v>33</v>
      </c>
      <c r="J1876" t="s">
        <v>119</v>
      </c>
      <c r="K1876" t="s">
        <v>26</v>
      </c>
      <c r="L1876" t="s">
        <v>76</v>
      </c>
      <c r="M1876" t="s">
        <v>60</v>
      </c>
      <c r="N1876">
        <v>3.6</v>
      </c>
      <c r="O1876">
        <v>0</v>
      </c>
      <c r="P1876" t="s">
        <v>41</v>
      </c>
      <c r="Q1876" t="s">
        <v>155</v>
      </c>
      <c r="R1876" t="s">
        <v>155</v>
      </c>
      <c r="S1876">
        <v>14</v>
      </c>
      <c r="T1876" t="s">
        <v>36</v>
      </c>
      <c r="U1876" t="s">
        <v>43</v>
      </c>
      <c r="V1876" s="1">
        <v>45554</v>
      </c>
      <c r="W1876">
        <f>Table1[[#This Row],[customer_purchase count]]+1</f>
        <v>15</v>
      </c>
      <c r="X1876">
        <f>Table1[[#This Row],[customer_purchase count]]*Rules!$B$3</f>
        <v>836.70102564102569</v>
      </c>
      <c r="Y1876" t="str">
        <f>IF(Table1[[#This Row],[customer_subscription]]=1,"Subscribed","Not Subscribed")</f>
        <v>Not Subscribed</v>
      </c>
      <c r="Z1876" t="s">
        <v>194</v>
      </c>
    </row>
    <row r="1877" spans="1:26" x14ac:dyDescent="0.25">
      <c r="A1877">
        <v>1876</v>
      </c>
      <c r="B1877">
        <v>63</v>
      </c>
      <c r="C1877" t="s">
        <v>22</v>
      </c>
      <c r="D1877">
        <v>1876</v>
      </c>
      <c r="E1877" t="s">
        <v>140</v>
      </c>
      <c r="F1877" t="s">
        <v>45</v>
      </c>
      <c r="G1877">
        <v>1876</v>
      </c>
      <c r="H1877">
        <v>2450</v>
      </c>
      <c r="I1877">
        <v>71</v>
      </c>
      <c r="J1877" t="s">
        <v>125</v>
      </c>
      <c r="K1877" t="s">
        <v>47</v>
      </c>
      <c r="L1877" t="s">
        <v>113</v>
      </c>
      <c r="M1877" t="s">
        <v>28</v>
      </c>
      <c r="N1877">
        <v>3.9</v>
      </c>
      <c r="O1877">
        <v>0</v>
      </c>
      <c r="P1877" t="s">
        <v>48</v>
      </c>
      <c r="Q1877" t="s">
        <v>155</v>
      </c>
      <c r="R1877" t="s">
        <v>155</v>
      </c>
      <c r="S1877">
        <v>6</v>
      </c>
      <c r="T1877" t="s">
        <v>42</v>
      </c>
      <c r="U1877" t="s">
        <v>61</v>
      </c>
      <c r="V1877" s="1">
        <v>45295</v>
      </c>
      <c r="W1877">
        <f>Table1[[#This Row],[customer_purchase count]]+1</f>
        <v>7</v>
      </c>
      <c r="X1877">
        <f>Table1[[#This Row],[customer_purchase count]]*Rules!$B$3</f>
        <v>358.58615384615388</v>
      </c>
      <c r="Y1877" t="str">
        <f>IF(Table1[[#This Row],[customer_subscription]]=1,"Subscribed","Not Subscribed")</f>
        <v>Not Subscribed</v>
      </c>
      <c r="Z1877" t="s">
        <v>194</v>
      </c>
    </row>
    <row r="1878" spans="1:26" x14ac:dyDescent="0.25">
      <c r="A1878">
        <v>1877</v>
      </c>
      <c r="B1878">
        <v>54</v>
      </c>
      <c r="C1878" t="s">
        <v>22</v>
      </c>
      <c r="D1878">
        <v>1877</v>
      </c>
      <c r="E1878" t="s">
        <v>90</v>
      </c>
      <c r="F1878" t="s">
        <v>24</v>
      </c>
      <c r="G1878">
        <v>1877</v>
      </c>
      <c r="H1878">
        <v>2451</v>
      </c>
      <c r="I1878">
        <v>36</v>
      </c>
      <c r="J1878" t="s">
        <v>118</v>
      </c>
      <c r="K1878" t="s">
        <v>47</v>
      </c>
      <c r="L1878" t="s">
        <v>27</v>
      </c>
      <c r="M1878" t="s">
        <v>60</v>
      </c>
      <c r="N1878">
        <v>2.6</v>
      </c>
      <c r="O1878">
        <v>0</v>
      </c>
      <c r="P1878" t="s">
        <v>57</v>
      </c>
      <c r="Q1878" t="s">
        <v>155</v>
      </c>
      <c r="R1878" t="s">
        <v>155</v>
      </c>
      <c r="S1878">
        <v>20</v>
      </c>
      <c r="T1878" t="s">
        <v>31</v>
      </c>
      <c r="U1878" t="s">
        <v>61</v>
      </c>
      <c r="V1878" s="1">
        <v>45615</v>
      </c>
      <c r="W1878">
        <f>Table1[[#This Row],[customer_purchase count]]+1</f>
        <v>21</v>
      </c>
      <c r="X1878">
        <f>Table1[[#This Row],[customer_purchase count]]*Rules!$B$3</f>
        <v>1195.2871794871796</v>
      </c>
      <c r="Y1878" t="str">
        <f>IF(Table1[[#This Row],[customer_subscription]]=1,"Subscribed","Not Subscribed")</f>
        <v>Not Subscribed</v>
      </c>
    </row>
    <row r="1879" spans="1:26" x14ac:dyDescent="0.25">
      <c r="A1879">
        <v>1878</v>
      </c>
      <c r="B1879">
        <v>69</v>
      </c>
      <c r="C1879" t="s">
        <v>22</v>
      </c>
      <c r="D1879">
        <v>1878</v>
      </c>
      <c r="E1879" t="s">
        <v>146</v>
      </c>
      <c r="F1879" t="s">
        <v>70</v>
      </c>
      <c r="G1879">
        <v>1878</v>
      </c>
      <c r="H1879">
        <v>2452</v>
      </c>
      <c r="I1879">
        <v>62</v>
      </c>
      <c r="J1879" t="s">
        <v>141</v>
      </c>
      <c r="K1879" t="s">
        <v>26</v>
      </c>
      <c r="L1879" t="s">
        <v>72</v>
      </c>
      <c r="M1879" t="s">
        <v>60</v>
      </c>
      <c r="N1879">
        <v>3.6</v>
      </c>
      <c r="O1879">
        <v>0</v>
      </c>
      <c r="P1879" t="s">
        <v>29</v>
      </c>
      <c r="Q1879" t="s">
        <v>155</v>
      </c>
      <c r="R1879" t="s">
        <v>155</v>
      </c>
      <c r="S1879">
        <v>3</v>
      </c>
      <c r="T1879" t="s">
        <v>42</v>
      </c>
      <c r="U1879" t="s">
        <v>52</v>
      </c>
      <c r="V1879" s="1">
        <v>45607</v>
      </c>
      <c r="W1879">
        <f>Table1[[#This Row],[customer_purchase count]]+1</f>
        <v>4</v>
      </c>
      <c r="X1879">
        <f>Table1[[#This Row],[customer_purchase count]]*Rules!$B$3</f>
        <v>179.29307692307694</v>
      </c>
      <c r="Y1879" t="str">
        <f>IF(Table1[[#This Row],[customer_subscription]]=1,"Subscribed","Not Subscribed")</f>
        <v>Not Subscribed</v>
      </c>
      <c r="Z1879" t="s">
        <v>194</v>
      </c>
    </row>
    <row r="1880" spans="1:26" x14ac:dyDescent="0.25">
      <c r="A1880">
        <v>1879</v>
      </c>
      <c r="B1880">
        <v>34</v>
      </c>
      <c r="C1880" t="s">
        <v>22</v>
      </c>
      <c r="D1880">
        <v>1879</v>
      </c>
      <c r="E1880" t="s">
        <v>128</v>
      </c>
      <c r="F1880" t="s">
        <v>24</v>
      </c>
      <c r="G1880">
        <v>1879</v>
      </c>
      <c r="H1880">
        <v>2453</v>
      </c>
      <c r="I1880">
        <v>29</v>
      </c>
      <c r="J1880" t="s">
        <v>104</v>
      </c>
      <c r="K1880" t="s">
        <v>26</v>
      </c>
      <c r="L1880" t="s">
        <v>139</v>
      </c>
      <c r="M1880" t="s">
        <v>56</v>
      </c>
      <c r="N1880">
        <v>3.4</v>
      </c>
      <c r="O1880">
        <v>0</v>
      </c>
      <c r="P1880" t="s">
        <v>77</v>
      </c>
      <c r="Q1880" t="s">
        <v>155</v>
      </c>
      <c r="R1880" t="s">
        <v>155</v>
      </c>
      <c r="S1880">
        <v>5</v>
      </c>
      <c r="T1880" t="s">
        <v>42</v>
      </c>
      <c r="U1880" t="s">
        <v>91</v>
      </c>
      <c r="V1880" s="1">
        <v>45454</v>
      </c>
      <c r="W1880">
        <f>Table1[[#This Row],[customer_purchase count]]+1</f>
        <v>6</v>
      </c>
      <c r="X1880">
        <f>Table1[[#This Row],[customer_purchase count]]*Rules!$B$3</f>
        <v>298.82179487179491</v>
      </c>
      <c r="Y1880" t="str">
        <f>IF(Table1[[#This Row],[customer_subscription]]=1,"Subscribed","Not Subscribed")</f>
        <v>Not Subscribed</v>
      </c>
      <c r="Z1880" t="s">
        <v>194</v>
      </c>
    </row>
    <row r="1881" spans="1:26" x14ac:dyDescent="0.25">
      <c r="A1881">
        <v>1880</v>
      </c>
      <c r="B1881">
        <v>56</v>
      </c>
      <c r="C1881" t="s">
        <v>22</v>
      </c>
      <c r="D1881">
        <v>1880</v>
      </c>
      <c r="E1881" t="s">
        <v>116</v>
      </c>
      <c r="F1881" t="s">
        <v>24</v>
      </c>
      <c r="G1881">
        <v>1880</v>
      </c>
      <c r="H1881">
        <v>2455</v>
      </c>
      <c r="I1881">
        <v>33</v>
      </c>
      <c r="J1881" t="s">
        <v>125</v>
      </c>
      <c r="K1881" t="s">
        <v>26</v>
      </c>
      <c r="L1881" t="s">
        <v>64</v>
      </c>
      <c r="M1881" t="s">
        <v>40</v>
      </c>
      <c r="N1881">
        <v>3.5</v>
      </c>
      <c r="O1881">
        <v>0</v>
      </c>
      <c r="P1881" t="s">
        <v>29</v>
      </c>
      <c r="Q1881" t="s">
        <v>155</v>
      </c>
      <c r="R1881" t="s">
        <v>155</v>
      </c>
      <c r="S1881">
        <v>46</v>
      </c>
      <c r="T1881" t="s">
        <v>36</v>
      </c>
      <c r="U1881" t="s">
        <v>79</v>
      </c>
      <c r="V1881" s="1">
        <v>45365</v>
      </c>
      <c r="W1881">
        <f>Table1[[#This Row],[customer_purchase count]]+1</f>
        <v>47</v>
      </c>
      <c r="X1881">
        <f>Table1[[#This Row],[customer_purchase count]]*Rules!$B$3</f>
        <v>2749.1605128205128</v>
      </c>
      <c r="Y1881" t="str">
        <f>IF(Table1[[#This Row],[customer_subscription]]=1,"Subscribed","Not Subscribed")</f>
        <v>Not Subscribed</v>
      </c>
    </row>
    <row r="1882" spans="1:26" x14ac:dyDescent="0.25">
      <c r="A1882">
        <v>1881</v>
      </c>
      <c r="B1882">
        <v>34</v>
      </c>
      <c r="C1882" t="s">
        <v>22</v>
      </c>
      <c r="D1882">
        <v>1881</v>
      </c>
      <c r="E1882" t="s">
        <v>23</v>
      </c>
      <c r="F1882" t="s">
        <v>24</v>
      </c>
      <c r="G1882">
        <v>1881</v>
      </c>
      <c r="H1882">
        <v>2456</v>
      </c>
      <c r="I1882">
        <v>33</v>
      </c>
      <c r="J1882" t="s">
        <v>130</v>
      </c>
      <c r="K1882" t="s">
        <v>26</v>
      </c>
      <c r="L1882" t="s">
        <v>137</v>
      </c>
      <c r="M1882" t="s">
        <v>60</v>
      </c>
      <c r="N1882">
        <v>3.1</v>
      </c>
      <c r="O1882">
        <v>0</v>
      </c>
      <c r="P1882" t="s">
        <v>73</v>
      </c>
      <c r="Q1882" t="s">
        <v>155</v>
      </c>
      <c r="R1882" t="s">
        <v>155</v>
      </c>
      <c r="S1882">
        <v>8</v>
      </c>
      <c r="T1882" t="s">
        <v>89</v>
      </c>
      <c r="U1882" t="s">
        <v>91</v>
      </c>
      <c r="V1882" s="1">
        <v>45571</v>
      </c>
      <c r="W1882">
        <f>Table1[[#This Row],[customer_purchase count]]+1</f>
        <v>9</v>
      </c>
      <c r="X1882">
        <f>Table1[[#This Row],[customer_purchase count]]*Rules!$B$3</f>
        <v>478.11487179487182</v>
      </c>
      <c r="Y1882" t="str">
        <f>IF(Table1[[#This Row],[customer_subscription]]=1,"Subscribed","Not Subscribed")</f>
        <v>Not Subscribed</v>
      </c>
      <c r="Z1882" t="s">
        <v>194</v>
      </c>
    </row>
    <row r="1883" spans="1:26" x14ac:dyDescent="0.25">
      <c r="A1883">
        <v>1882</v>
      </c>
      <c r="B1883">
        <v>58</v>
      </c>
      <c r="C1883" t="s">
        <v>22</v>
      </c>
      <c r="D1883">
        <v>1882</v>
      </c>
      <c r="E1883" t="s">
        <v>23</v>
      </c>
      <c r="F1883" t="s">
        <v>24</v>
      </c>
      <c r="G1883">
        <v>1882</v>
      </c>
      <c r="H1883">
        <v>2457</v>
      </c>
      <c r="I1883">
        <v>41</v>
      </c>
      <c r="J1883" t="s">
        <v>130</v>
      </c>
      <c r="K1883" t="s">
        <v>47</v>
      </c>
      <c r="L1883" t="s">
        <v>111</v>
      </c>
      <c r="M1883" t="s">
        <v>28</v>
      </c>
      <c r="N1883">
        <v>4.3</v>
      </c>
      <c r="O1883">
        <v>0</v>
      </c>
      <c r="P1883" t="s">
        <v>57</v>
      </c>
      <c r="Q1883" t="s">
        <v>155</v>
      </c>
      <c r="R1883" t="s">
        <v>155</v>
      </c>
      <c r="S1883">
        <v>13</v>
      </c>
      <c r="T1883" t="s">
        <v>36</v>
      </c>
      <c r="U1883" t="s">
        <v>79</v>
      </c>
      <c r="V1883" s="1">
        <v>45341</v>
      </c>
      <c r="W1883">
        <f>Table1[[#This Row],[customer_purchase count]]+1</f>
        <v>14</v>
      </c>
      <c r="X1883">
        <f>Table1[[#This Row],[customer_purchase count]]*Rules!$B$3</f>
        <v>776.93666666666672</v>
      </c>
      <c r="Y1883" t="str">
        <f>IF(Table1[[#This Row],[customer_subscription]]=1,"Subscribed","Not Subscribed")</f>
        <v>Not Subscribed</v>
      </c>
      <c r="Z1883" t="s">
        <v>194</v>
      </c>
    </row>
    <row r="1884" spans="1:26" x14ac:dyDescent="0.25">
      <c r="A1884">
        <v>1883</v>
      </c>
      <c r="B1884">
        <v>44</v>
      </c>
      <c r="C1884" t="s">
        <v>22</v>
      </c>
      <c r="D1884">
        <v>1883</v>
      </c>
      <c r="E1884" t="s">
        <v>122</v>
      </c>
      <c r="F1884" t="s">
        <v>70</v>
      </c>
      <c r="G1884">
        <v>1883</v>
      </c>
      <c r="H1884">
        <v>2458</v>
      </c>
      <c r="I1884">
        <v>54</v>
      </c>
      <c r="J1884" t="s">
        <v>125</v>
      </c>
      <c r="K1884" t="s">
        <v>26</v>
      </c>
      <c r="L1884" t="s">
        <v>147</v>
      </c>
      <c r="M1884" t="s">
        <v>28</v>
      </c>
      <c r="N1884">
        <v>5</v>
      </c>
      <c r="O1884">
        <v>0</v>
      </c>
      <c r="P1884" t="s">
        <v>77</v>
      </c>
      <c r="Q1884" t="s">
        <v>155</v>
      </c>
      <c r="R1884" t="s">
        <v>155</v>
      </c>
      <c r="S1884">
        <v>25</v>
      </c>
      <c r="T1884" t="s">
        <v>78</v>
      </c>
      <c r="U1884" t="s">
        <v>61</v>
      </c>
      <c r="V1884" s="1">
        <v>45643</v>
      </c>
      <c r="W1884">
        <f>Table1[[#This Row],[customer_purchase count]]+1</f>
        <v>26</v>
      </c>
      <c r="X1884">
        <f>Table1[[#This Row],[customer_purchase count]]*Rules!$B$3</f>
        <v>1494.1089743589744</v>
      </c>
      <c r="Y1884" t="str">
        <f>IF(Table1[[#This Row],[customer_subscription]]=1,"Subscribed","Not Subscribed")</f>
        <v>Not Subscribed</v>
      </c>
    </row>
    <row r="1885" spans="1:26" x14ac:dyDescent="0.25">
      <c r="A1885">
        <v>1884</v>
      </c>
      <c r="B1885">
        <v>25</v>
      </c>
      <c r="C1885" t="s">
        <v>22</v>
      </c>
      <c r="D1885">
        <v>1884</v>
      </c>
      <c r="E1885" t="s">
        <v>135</v>
      </c>
      <c r="F1885" t="s">
        <v>70</v>
      </c>
      <c r="G1885">
        <v>1884</v>
      </c>
      <c r="H1885">
        <v>2459</v>
      </c>
      <c r="I1885">
        <v>58</v>
      </c>
      <c r="J1885" t="s">
        <v>145</v>
      </c>
      <c r="K1885" t="s">
        <v>47</v>
      </c>
      <c r="L1885" t="s">
        <v>112</v>
      </c>
      <c r="M1885" t="s">
        <v>40</v>
      </c>
      <c r="N1885">
        <v>4.9000000000000004</v>
      </c>
      <c r="O1885">
        <v>0</v>
      </c>
      <c r="P1885" t="s">
        <v>77</v>
      </c>
      <c r="Q1885" t="s">
        <v>155</v>
      </c>
      <c r="R1885" t="s">
        <v>155</v>
      </c>
      <c r="S1885">
        <v>39</v>
      </c>
      <c r="T1885" t="s">
        <v>89</v>
      </c>
      <c r="U1885" t="s">
        <v>32</v>
      </c>
      <c r="V1885" s="1">
        <v>45424</v>
      </c>
      <c r="W1885">
        <f>Table1[[#This Row],[customer_purchase count]]+1</f>
        <v>40</v>
      </c>
      <c r="X1885">
        <f>Table1[[#This Row],[customer_purchase count]]*Rules!$B$3</f>
        <v>2330.81</v>
      </c>
      <c r="Y1885" t="str">
        <f>IF(Table1[[#This Row],[customer_subscription]]=1,"Subscribed","Not Subscribed")</f>
        <v>Not Subscribed</v>
      </c>
    </row>
    <row r="1886" spans="1:26" x14ac:dyDescent="0.25">
      <c r="A1886">
        <v>1885</v>
      </c>
      <c r="B1886">
        <v>27</v>
      </c>
      <c r="C1886" t="s">
        <v>22</v>
      </c>
      <c r="D1886">
        <v>1885</v>
      </c>
      <c r="E1886" t="s">
        <v>62</v>
      </c>
      <c r="F1886" t="s">
        <v>24</v>
      </c>
      <c r="G1886">
        <v>1885</v>
      </c>
      <c r="H1886">
        <v>2461</v>
      </c>
      <c r="I1886">
        <v>30</v>
      </c>
      <c r="J1886" t="s">
        <v>120</v>
      </c>
      <c r="K1886" t="s">
        <v>39</v>
      </c>
      <c r="L1886" t="s">
        <v>72</v>
      </c>
      <c r="M1886" t="s">
        <v>56</v>
      </c>
      <c r="N1886">
        <v>4.3</v>
      </c>
      <c r="O1886">
        <v>0</v>
      </c>
      <c r="P1886" t="s">
        <v>48</v>
      </c>
      <c r="Q1886" t="s">
        <v>155</v>
      </c>
      <c r="R1886" t="s">
        <v>155</v>
      </c>
      <c r="S1886">
        <v>15</v>
      </c>
      <c r="T1886" t="s">
        <v>78</v>
      </c>
      <c r="U1886" t="s">
        <v>79</v>
      </c>
      <c r="V1886" s="1">
        <v>45449</v>
      </c>
      <c r="W1886">
        <f>Table1[[#This Row],[customer_purchase count]]+1</f>
        <v>16</v>
      </c>
      <c r="X1886">
        <f>Table1[[#This Row],[customer_purchase count]]*Rules!$B$3</f>
        <v>896.46538461538466</v>
      </c>
      <c r="Y1886" t="str">
        <f>IF(Table1[[#This Row],[customer_subscription]]=1,"Subscribed","Not Subscribed")</f>
        <v>Not Subscribed</v>
      </c>
      <c r="Z1886" t="s">
        <v>187</v>
      </c>
    </row>
    <row r="1887" spans="1:26" x14ac:dyDescent="0.25">
      <c r="A1887">
        <v>1886</v>
      </c>
      <c r="B1887">
        <v>26</v>
      </c>
      <c r="C1887" t="s">
        <v>22</v>
      </c>
      <c r="D1887">
        <v>1886</v>
      </c>
      <c r="E1887" t="s">
        <v>109</v>
      </c>
      <c r="F1887" t="s">
        <v>70</v>
      </c>
      <c r="G1887">
        <v>1886</v>
      </c>
      <c r="H1887">
        <v>2462</v>
      </c>
      <c r="I1887">
        <v>53</v>
      </c>
      <c r="J1887" t="s">
        <v>110</v>
      </c>
      <c r="K1887" t="s">
        <v>39</v>
      </c>
      <c r="L1887" t="s">
        <v>35</v>
      </c>
      <c r="M1887" t="s">
        <v>28</v>
      </c>
      <c r="N1887">
        <v>4.4000000000000004</v>
      </c>
      <c r="O1887">
        <v>0</v>
      </c>
      <c r="P1887" t="s">
        <v>57</v>
      </c>
      <c r="Q1887" t="s">
        <v>155</v>
      </c>
      <c r="R1887" t="s">
        <v>155</v>
      </c>
      <c r="S1887">
        <v>35</v>
      </c>
      <c r="T1887" t="s">
        <v>36</v>
      </c>
      <c r="U1887" t="s">
        <v>91</v>
      </c>
      <c r="V1887" s="1">
        <v>45316</v>
      </c>
      <c r="W1887">
        <f>Table1[[#This Row],[customer_purchase count]]+1</f>
        <v>36</v>
      </c>
      <c r="X1887">
        <f>Table1[[#This Row],[customer_purchase count]]*Rules!$B$3</f>
        <v>2091.7525641025641</v>
      </c>
      <c r="Y1887" t="str">
        <f>IF(Table1[[#This Row],[customer_subscription]]=1,"Subscribed","Not Subscribed")</f>
        <v>Not Subscribed</v>
      </c>
    </row>
    <row r="1888" spans="1:26" x14ac:dyDescent="0.25">
      <c r="A1888">
        <v>1887</v>
      </c>
      <c r="B1888">
        <v>18</v>
      </c>
      <c r="C1888" t="s">
        <v>22</v>
      </c>
      <c r="D1888">
        <v>1887</v>
      </c>
      <c r="E1888" t="s">
        <v>146</v>
      </c>
      <c r="F1888" t="s">
        <v>70</v>
      </c>
      <c r="G1888">
        <v>1887</v>
      </c>
      <c r="H1888">
        <v>2463</v>
      </c>
      <c r="I1888">
        <v>91</v>
      </c>
      <c r="J1888" t="s">
        <v>75</v>
      </c>
      <c r="K1888" t="s">
        <v>26</v>
      </c>
      <c r="L1888" t="s">
        <v>121</v>
      </c>
      <c r="M1888" t="s">
        <v>40</v>
      </c>
      <c r="N1888">
        <v>4.4000000000000004</v>
      </c>
      <c r="O1888">
        <v>0</v>
      </c>
      <c r="P1888" t="s">
        <v>48</v>
      </c>
      <c r="Q1888" t="s">
        <v>155</v>
      </c>
      <c r="R1888" t="s">
        <v>155</v>
      </c>
      <c r="S1888">
        <v>46</v>
      </c>
      <c r="T1888" t="s">
        <v>36</v>
      </c>
      <c r="U1888" t="s">
        <v>79</v>
      </c>
      <c r="V1888" s="1">
        <v>45379</v>
      </c>
      <c r="W1888">
        <f>Table1[[#This Row],[customer_purchase count]]+1</f>
        <v>47</v>
      </c>
      <c r="X1888">
        <f>Table1[[#This Row],[customer_purchase count]]*Rules!$B$3</f>
        <v>2749.1605128205128</v>
      </c>
      <c r="Y1888" t="str">
        <f>IF(Table1[[#This Row],[customer_subscription]]=1,"Subscribed","Not Subscribed")</f>
        <v>Not Subscribed</v>
      </c>
    </row>
    <row r="1889" spans="1:26" x14ac:dyDescent="0.25">
      <c r="A1889">
        <v>1888</v>
      </c>
      <c r="B1889">
        <v>64</v>
      </c>
      <c r="C1889" t="s">
        <v>22</v>
      </c>
      <c r="D1889">
        <v>1888</v>
      </c>
      <c r="E1889" t="s">
        <v>107</v>
      </c>
      <c r="F1889" t="s">
        <v>24</v>
      </c>
      <c r="G1889">
        <v>1888</v>
      </c>
      <c r="H1889">
        <v>2464</v>
      </c>
      <c r="I1889">
        <v>44</v>
      </c>
      <c r="J1889" t="s">
        <v>117</v>
      </c>
      <c r="K1889" t="s">
        <v>95</v>
      </c>
      <c r="L1889" t="s">
        <v>83</v>
      </c>
      <c r="M1889" t="s">
        <v>60</v>
      </c>
      <c r="N1889">
        <v>3.5</v>
      </c>
      <c r="O1889">
        <v>0</v>
      </c>
      <c r="P1889" t="s">
        <v>29</v>
      </c>
      <c r="Q1889" t="s">
        <v>155</v>
      </c>
      <c r="R1889" t="s">
        <v>155</v>
      </c>
      <c r="S1889">
        <v>3</v>
      </c>
      <c r="T1889" t="s">
        <v>49</v>
      </c>
      <c r="U1889" t="s">
        <v>91</v>
      </c>
      <c r="V1889" s="1">
        <v>45540</v>
      </c>
      <c r="W1889">
        <f>Table1[[#This Row],[customer_purchase count]]+1</f>
        <v>4</v>
      </c>
      <c r="X1889">
        <f>Table1[[#This Row],[customer_purchase count]]*Rules!$B$3</f>
        <v>179.29307692307694</v>
      </c>
      <c r="Y1889" t="str">
        <f>IF(Table1[[#This Row],[customer_subscription]]=1,"Subscribed","Not Subscribed")</f>
        <v>Not Subscribed</v>
      </c>
      <c r="Z1889" t="s">
        <v>194</v>
      </c>
    </row>
    <row r="1890" spans="1:26" x14ac:dyDescent="0.25">
      <c r="A1890">
        <v>1889</v>
      </c>
      <c r="B1890">
        <v>62</v>
      </c>
      <c r="C1890" t="s">
        <v>22</v>
      </c>
      <c r="D1890">
        <v>1889</v>
      </c>
      <c r="E1890" t="s">
        <v>107</v>
      </c>
      <c r="F1890" t="s">
        <v>24</v>
      </c>
      <c r="G1890">
        <v>1889</v>
      </c>
      <c r="H1890">
        <v>2465</v>
      </c>
      <c r="I1890">
        <v>89</v>
      </c>
      <c r="J1890" t="s">
        <v>150</v>
      </c>
      <c r="K1890" t="s">
        <v>95</v>
      </c>
      <c r="L1890" t="s">
        <v>51</v>
      </c>
      <c r="M1890" t="s">
        <v>28</v>
      </c>
      <c r="N1890">
        <v>3.4</v>
      </c>
      <c r="O1890">
        <v>0</v>
      </c>
      <c r="P1890" t="s">
        <v>41</v>
      </c>
      <c r="Q1890" t="s">
        <v>155</v>
      </c>
      <c r="R1890" t="s">
        <v>155</v>
      </c>
      <c r="S1890">
        <v>48</v>
      </c>
      <c r="T1890" t="s">
        <v>42</v>
      </c>
      <c r="U1890" t="s">
        <v>43</v>
      </c>
      <c r="V1890" s="1">
        <v>45344</v>
      </c>
      <c r="W1890">
        <f>Table1[[#This Row],[customer_purchase count]]+1</f>
        <v>49</v>
      </c>
      <c r="X1890">
        <f>Table1[[#This Row],[customer_purchase count]]*Rules!$B$3</f>
        <v>2868.689230769231</v>
      </c>
      <c r="Y1890" t="str">
        <f>IF(Table1[[#This Row],[customer_subscription]]=1,"Subscribed","Not Subscribed")</f>
        <v>Not Subscribed</v>
      </c>
    </row>
    <row r="1891" spans="1:26" x14ac:dyDescent="0.25">
      <c r="A1891">
        <v>1890</v>
      </c>
      <c r="B1891">
        <v>59</v>
      </c>
      <c r="C1891" t="s">
        <v>22</v>
      </c>
      <c r="D1891">
        <v>1890</v>
      </c>
      <c r="E1891" t="s">
        <v>90</v>
      </c>
      <c r="F1891" t="s">
        <v>24</v>
      </c>
      <c r="G1891">
        <v>1890</v>
      </c>
      <c r="H1891">
        <v>2467</v>
      </c>
      <c r="I1891">
        <v>57</v>
      </c>
      <c r="J1891" t="s">
        <v>101</v>
      </c>
      <c r="K1891" t="s">
        <v>26</v>
      </c>
      <c r="L1891" t="s">
        <v>103</v>
      </c>
      <c r="M1891" t="s">
        <v>40</v>
      </c>
      <c r="N1891">
        <v>2.5</v>
      </c>
      <c r="O1891">
        <v>0</v>
      </c>
      <c r="P1891" t="s">
        <v>48</v>
      </c>
      <c r="Q1891" t="s">
        <v>155</v>
      </c>
      <c r="R1891" t="s">
        <v>155</v>
      </c>
      <c r="S1891">
        <v>27</v>
      </c>
      <c r="T1891" t="s">
        <v>78</v>
      </c>
      <c r="U1891" t="s">
        <v>43</v>
      </c>
      <c r="V1891" s="1">
        <v>45409</v>
      </c>
      <c r="W1891">
        <f>Table1[[#This Row],[customer_purchase count]]+1</f>
        <v>28</v>
      </c>
      <c r="X1891">
        <f>Table1[[#This Row],[customer_purchase count]]*Rules!$B$3</f>
        <v>1613.6376923076923</v>
      </c>
      <c r="Y1891" t="str">
        <f>IF(Table1[[#This Row],[customer_subscription]]=1,"Subscribed","Not Subscribed")</f>
        <v>Not Subscribed</v>
      </c>
    </row>
    <row r="1892" spans="1:26" x14ac:dyDescent="0.25">
      <c r="A1892">
        <v>1891</v>
      </c>
      <c r="B1892">
        <v>36</v>
      </c>
      <c r="C1892" t="s">
        <v>22</v>
      </c>
      <c r="D1892">
        <v>1891</v>
      </c>
      <c r="E1892" t="s">
        <v>92</v>
      </c>
      <c r="F1892" t="s">
        <v>70</v>
      </c>
      <c r="G1892">
        <v>1891</v>
      </c>
      <c r="H1892">
        <v>2468</v>
      </c>
      <c r="I1892">
        <v>57</v>
      </c>
      <c r="J1892" t="s">
        <v>80</v>
      </c>
      <c r="K1892" t="s">
        <v>47</v>
      </c>
      <c r="L1892" t="s">
        <v>96</v>
      </c>
      <c r="M1892" t="s">
        <v>40</v>
      </c>
      <c r="N1892">
        <v>3.4</v>
      </c>
      <c r="O1892">
        <v>0</v>
      </c>
      <c r="P1892" t="s">
        <v>77</v>
      </c>
      <c r="Q1892" t="s">
        <v>155</v>
      </c>
      <c r="R1892" t="s">
        <v>155</v>
      </c>
      <c r="S1892">
        <v>5</v>
      </c>
      <c r="T1892" t="s">
        <v>42</v>
      </c>
      <c r="U1892" t="s">
        <v>43</v>
      </c>
      <c r="V1892" s="1">
        <v>45402</v>
      </c>
      <c r="W1892">
        <f>Table1[[#This Row],[customer_purchase count]]+1</f>
        <v>6</v>
      </c>
      <c r="X1892">
        <f>Table1[[#This Row],[customer_purchase count]]*Rules!$B$3</f>
        <v>298.82179487179491</v>
      </c>
      <c r="Y1892" t="str">
        <f>IF(Table1[[#This Row],[customer_subscription]]=1,"Subscribed","Not Subscribed")</f>
        <v>Not Subscribed</v>
      </c>
      <c r="Z1892" t="s">
        <v>194</v>
      </c>
    </row>
    <row r="1893" spans="1:26" x14ac:dyDescent="0.25">
      <c r="A1893">
        <v>1892</v>
      </c>
      <c r="B1893">
        <v>69</v>
      </c>
      <c r="C1893" t="s">
        <v>22</v>
      </c>
      <c r="D1893">
        <v>1892</v>
      </c>
      <c r="E1893" t="s">
        <v>109</v>
      </c>
      <c r="F1893" t="s">
        <v>70</v>
      </c>
      <c r="G1893">
        <v>1892</v>
      </c>
      <c r="H1893">
        <v>2469</v>
      </c>
      <c r="I1893">
        <v>74</v>
      </c>
      <c r="J1893" t="s">
        <v>85</v>
      </c>
      <c r="K1893" t="s">
        <v>47</v>
      </c>
      <c r="L1893" t="s">
        <v>27</v>
      </c>
      <c r="M1893" t="s">
        <v>56</v>
      </c>
      <c r="N1893">
        <v>2.6</v>
      </c>
      <c r="O1893">
        <v>0</v>
      </c>
      <c r="P1893" t="s">
        <v>48</v>
      </c>
      <c r="Q1893" t="s">
        <v>155</v>
      </c>
      <c r="R1893" t="s">
        <v>155</v>
      </c>
      <c r="S1893">
        <v>48</v>
      </c>
      <c r="T1893" t="s">
        <v>89</v>
      </c>
      <c r="U1893" t="s">
        <v>61</v>
      </c>
      <c r="V1893" s="1">
        <v>45515</v>
      </c>
      <c r="W1893">
        <f>Table1[[#This Row],[customer_purchase count]]+1</f>
        <v>49</v>
      </c>
      <c r="X1893">
        <f>Table1[[#This Row],[customer_purchase count]]*Rules!$B$3</f>
        <v>2868.689230769231</v>
      </c>
      <c r="Y1893" t="str">
        <f>IF(Table1[[#This Row],[customer_subscription]]=1,"Subscribed","Not Subscribed")</f>
        <v>Not Subscribed</v>
      </c>
    </row>
    <row r="1894" spans="1:26" x14ac:dyDescent="0.25">
      <c r="A1894">
        <v>1893</v>
      </c>
      <c r="B1894">
        <v>39</v>
      </c>
      <c r="C1894" t="s">
        <v>22</v>
      </c>
      <c r="D1894">
        <v>1893</v>
      </c>
      <c r="E1894" t="s">
        <v>105</v>
      </c>
      <c r="F1894" t="s">
        <v>66</v>
      </c>
      <c r="G1894">
        <v>1893</v>
      </c>
      <c r="H1894">
        <v>2470</v>
      </c>
      <c r="I1894">
        <v>30</v>
      </c>
      <c r="J1894" t="s">
        <v>102</v>
      </c>
      <c r="K1894" t="s">
        <v>47</v>
      </c>
      <c r="L1894" t="s">
        <v>147</v>
      </c>
      <c r="M1894" t="s">
        <v>60</v>
      </c>
      <c r="N1894">
        <v>4.5999999999999996</v>
      </c>
      <c r="O1894">
        <v>0</v>
      </c>
      <c r="P1894" t="s">
        <v>73</v>
      </c>
      <c r="Q1894" t="s">
        <v>155</v>
      </c>
      <c r="R1894" t="s">
        <v>155</v>
      </c>
      <c r="S1894">
        <v>12</v>
      </c>
      <c r="T1894" t="s">
        <v>31</v>
      </c>
      <c r="U1894" t="s">
        <v>43</v>
      </c>
      <c r="V1894" s="1">
        <v>45599</v>
      </c>
      <c r="W1894">
        <f>Table1[[#This Row],[customer_purchase count]]+1</f>
        <v>13</v>
      </c>
      <c r="X1894">
        <f>Table1[[#This Row],[customer_purchase count]]*Rules!$B$3</f>
        <v>717.17230769230775</v>
      </c>
      <c r="Y1894" t="str">
        <f>IF(Table1[[#This Row],[customer_subscription]]=1,"Subscribed","Not Subscribed")</f>
        <v>Not Subscribed</v>
      </c>
      <c r="Z1894" t="s">
        <v>194</v>
      </c>
    </row>
    <row r="1895" spans="1:26" x14ac:dyDescent="0.25">
      <c r="A1895">
        <v>1894</v>
      </c>
      <c r="B1895">
        <v>28</v>
      </c>
      <c r="C1895" t="s">
        <v>22</v>
      </c>
      <c r="D1895">
        <v>1894</v>
      </c>
      <c r="E1895" t="s">
        <v>84</v>
      </c>
      <c r="F1895" t="s">
        <v>24</v>
      </c>
      <c r="G1895">
        <v>1894</v>
      </c>
      <c r="H1895">
        <v>2471</v>
      </c>
      <c r="I1895">
        <v>20</v>
      </c>
      <c r="J1895" t="s">
        <v>82</v>
      </c>
      <c r="K1895" t="s">
        <v>26</v>
      </c>
      <c r="L1895" t="s">
        <v>111</v>
      </c>
      <c r="M1895" t="s">
        <v>56</v>
      </c>
      <c r="N1895">
        <v>3.7</v>
      </c>
      <c r="O1895">
        <v>0</v>
      </c>
      <c r="P1895" t="s">
        <v>29</v>
      </c>
      <c r="Q1895" t="s">
        <v>155</v>
      </c>
      <c r="R1895" t="s">
        <v>155</v>
      </c>
      <c r="S1895">
        <v>10</v>
      </c>
      <c r="T1895" t="s">
        <v>49</v>
      </c>
      <c r="U1895" t="s">
        <v>32</v>
      </c>
      <c r="V1895" s="1">
        <v>45458</v>
      </c>
      <c r="W1895">
        <f>Table1[[#This Row],[customer_purchase count]]+1</f>
        <v>11</v>
      </c>
      <c r="X1895">
        <f>Table1[[#This Row],[customer_purchase count]]*Rules!$B$3</f>
        <v>597.64358974358981</v>
      </c>
      <c r="Y1895" t="str">
        <f>IF(Table1[[#This Row],[customer_subscription]]=1,"Subscribed","Not Subscribed")</f>
        <v>Not Subscribed</v>
      </c>
      <c r="Z1895" t="s">
        <v>187</v>
      </c>
    </row>
    <row r="1896" spans="1:26" x14ac:dyDescent="0.25">
      <c r="A1896">
        <v>1895</v>
      </c>
      <c r="B1896">
        <v>42</v>
      </c>
      <c r="C1896" t="s">
        <v>22</v>
      </c>
      <c r="D1896">
        <v>1895</v>
      </c>
      <c r="E1896" t="s">
        <v>107</v>
      </c>
      <c r="F1896" t="s">
        <v>24</v>
      </c>
      <c r="G1896">
        <v>1895</v>
      </c>
      <c r="H1896">
        <v>2473</v>
      </c>
      <c r="I1896">
        <v>90</v>
      </c>
      <c r="J1896" t="s">
        <v>120</v>
      </c>
      <c r="K1896" t="s">
        <v>47</v>
      </c>
      <c r="L1896" t="s">
        <v>76</v>
      </c>
      <c r="M1896" t="s">
        <v>60</v>
      </c>
      <c r="N1896">
        <v>2.5</v>
      </c>
      <c r="O1896">
        <v>0</v>
      </c>
      <c r="P1896" t="s">
        <v>41</v>
      </c>
      <c r="Q1896" t="s">
        <v>155</v>
      </c>
      <c r="R1896" t="s">
        <v>155</v>
      </c>
      <c r="S1896">
        <v>48</v>
      </c>
      <c r="T1896" t="s">
        <v>89</v>
      </c>
      <c r="U1896" t="s">
        <v>79</v>
      </c>
      <c r="V1896" s="1">
        <v>45553</v>
      </c>
      <c r="W1896">
        <f>Table1[[#This Row],[customer_purchase count]]+1</f>
        <v>49</v>
      </c>
      <c r="X1896">
        <f>Table1[[#This Row],[customer_purchase count]]*Rules!$B$3</f>
        <v>2868.689230769231</v>
      </c>
      <c r="Y1896" t="str">
        <f>IF(Table1[[#This Row],[customer_subscription]]=1,"Subscribed","Not Subscribed")</f>
        <v>Not Subscribed</v>
      </c>
    </row>
    <row r="1897" spans="1:26" x14ac:dyDescent="0.25">
      <c r="A1897">
        <v>1896</v>
      </c>
      <c r="B1897">
        <v>31</v>
      </c>
      <c r="C1897" t="s">
        <v>22</v>
      </c>
      <c r="D1897">
        <v>1896</v>
      </c>
      <c r="E1897" t="s">
        <v>37</v>
      </c>
      <c r="F1897" t="s">
        <v>24</v>
      </c>
      <c r="G1897">
        <v>1896</v>
      </c>
      <c r="H1897">
        <v>2474</v>
      </c>
      <c r="I1897">
        <v>61</v>
      </c>
      <c r="J1897" t="s">
        <v>152</v>
      </c>
      <c r="K1897" t="s">
        <v>26</v>
      </c>
      <c r="L1897" t="s">
        <v>129</v>
      </c>
      <c r="M1897" t="s">
        <v>60</v>
      </c>
      <c r="N1897">
        <v>4.5</v>
      </c>
      <c r="O1897">
        <v>0</v>
      </c>
      <c r="P1897" t="s">
        <v>29</v>
      </c>
      <c r="Q1897" t="s">
        <v>155</v>
      </c>
      <c r="R1897" t="s">
        <v>155</v>
      </c>
      <c r="S1897">
        <v>3</v>
      </c>
      <c r="T1897" t="s">
        <v>89</v>
      </c>
      <c r="U1897" t="s">
        <v>91</v>
      </c>
      <c r="V1897" s="1">
        <v>45539</v>
      </c>
      <c r="W1897">
        <f>Table1[[#This Row],[customer_purchase count]]+1</f>
        <v>4</v>
      </c>
      <c r="X1897">
        <f>Table1[[#This Row],[customer_purchase count]]*Rules!$B$3</f>
        <v>179.29307692307694</v>
      </c>
      <c r="Y1897" t="str">
        <f>IF(Table1[[#This Row],[customer_subscription]]=1,"Subscribed","Not Subscribed")</f>
        <v>Not Subscribed</v>
      </c>
      <c r="Z1897" t="s">
        <v>194</v>
      </c>
    </row>
    <row r="1898" spans="1:26" x14ac:dyDescent="0.25">
      <c r="A1898">
        <v>1897</v>
      </c>
      <c r="B1898">
        <v>57</v>
      </c>
      <c r="C1898" t="s">
        <v>22</v>
      </c>
      <c r="D1898">
        <v>1897</v>
      </c>
      <c r="E1898" t="s">
        <v>44</v>
      </c>
      <c r="F1898" t="s">
        <v>45</v>
      </c>
      <c r="G1898">
        <v>1897</v>
      </c>
      <c r="H1898">
        <v>2475</v>
      </c>
      <c r="I1898">
        <v>51</v>
      </c>
      <c r="J1898" t="s">
        <v>110</v>
      </c>
      <c r="K1898" t="s">
        <v>47</v>
      </c>
      <c r="L1898" t="s">
        <v>83</v>
      </c>
      <c r="M1898" t="s">
        <v>60</v>
      </c>
      <c r="N1898">
        <v>2.9</v>
      </c>
      <c r="O1898">
        <v>0</v>
      </c>
      <c r="P1898" t="s">
        <v>57</v>
      </c>
      <c r="Q1898" t="s">
        <v>155</v>
      </c>
      <c r="R1898" t="s">
        <v>155</v>
      </c>
      <c r="S1898">
        <v>19</v>
      </c>
      <c r="T1898" t="s">
        <v>31</v>
      </c>
      <c r="U1898" t="s">
        <v>91</v>
      </c>
      <c r="V1898" s="1">
        <v>45588</v>
      </c>
      <c r="W1898">
        <f>Table1[[#This Row],[customer_purchase count]]+1</f>
        <v>20</v>
      </c>
      <c r="X1898">
        <f>Table1[[#This Row],[customer_purchase count]]*Rules!$B$3</f>
        <v>1135.5228205128205</v>
      </c>
      <c r="Y1898" t="str">
        <f>IF(Table1[[#This Row],[customer_subscription]]=1,"Subscribed","Not Subscribed")</f>
        <v>Not Subscribed</v>
      </c>
    </row>
    <row r="1899" spans="1:26" x14ac:dyDescent="0.25">
      <c r="A1899">
        <v>1898</v>
      </c>
      <c r="B1899">
        <v>53</v>
      </c>
      <c r="C1899" t="s">
        <v>22</v>
      </c>
      <c r="D1899">
        <v>1898</v>
      </c>
      <c r="E1899" t="s">
        <v>92</v>
      </c>
      <c r="F1899" t="s">
        <v>70</v>
      </c>
      <c r="G1899">
        <v>1898</v>
      </c>
      <c r="H1899">
        <v>2476</v>
      </c>
      <c r="I1899">
        <v>97</v>
      </c>
      <c r="J1899" t="s">
        <v>123</v>
      </c>
      <c r="K1899" t="s">
        <v>26</v>
      </c>
      <c r="L1899" t="s">
        <v>88</v>
      </c>
      <c r="M1899" t="s">
        <v>28</v>
      </c>
      <c r="N1899">
        <v>2.9</v>
      </c>
      <c r="O1899">
        <v>0</v>
      </c>
      <c r="P1899" t="s">
        <v>41</v>
      </c>
      <c r="Q1899" t="s">
        <v>155</v>
      </c>
      <c r="R1899" t="s">
        <v>155</v>
      </c>
      <c r="S1899">
        <v>11</v>
      </c>
      <c r="T1899" t="s">
        <v>89</v>
      </c>
      <c r="U1899" t="s">
        <v>32</v>
      </c>
      <c r="V1899" s="1">
        <v>45295</v>
      </c>
      <c r="W1899">
        <f>Table1[[#This Row],[customer_purchase count]]+1</f>
        <v>12</v>
      </c>
      <c r="X1899">
        <f>Table1[[#This Row],[customer_purchase count]]*Rules!$B$3</f>
        <v>657.40794871794878</v>
      </c>
      <c r="Y1899" t="str">
        <f>IF(Table1[[#This Row],[customer_subscription]]=1,"Subscribed","Not Subscribed")</f>
        <v>Not Subscribed</v>
      </c>
      <c r="Z1899" t="s">
        <v>194</v>
      </c>
    </row>
    <row r="1900" spans="1:26" x14ac:dyDescent="0.25">
      <c r="A1900">
        <v>1899</v>
      </c>
      <c r="B1900">
        <v>59</v>
      </c>
      <c r="C1900" t="s">
        <v>22</v>
      </c>
      <c r="D1900">
        <v>1899</v>
      </c>
      <c r="E1900" t="s">
        <v>98</v>
      </c>
      <c r="F1900" t="s">
        <v>24</v>
      </c>
      <c r="G1900">
        <v>1899</v>
      </c>
      <c r="H1900">
        <v>2477</v>
      </c>
      <c r="I1900">
        <v>97</v>
      </c>
      <c r="J1900" t="s">
        <v>108</v>
      </c>
      <c r="K1900" t="s">
        <v>26</v>
      </c>
      <c r="L1900" t="s">
        <v>139</v>
      </c>
      <c r="M1900" t="s">
        <v>60</v>
      </c>
      <c r="N1900">
        <v>3.5</v>
      </c>
      <c r="O1900">
        <v>0</v>
      </c>
      <c r="P1900" t="s">
        <v>48</v>
      </c>
      <c r="Q1900" t="s">
        <v>155</v>
      </c>
      <c r="R1900" t="s">
        <v>155</v>
      </c>
      <c r="S1900">
        <v>25</v>
      </c>
      <c r="T1900" t="s">
        <v>31</v>
      </c>
      <c r="U1900" t="s">
        <v>91</v>
      </c>
      <c r="V1900" s="1">
        <v>45578</v>
      </c>
      <c r="W1900">
        <f>Table1[[#This Row],[customer_purchase count]]+1</f>
        <v>26</v>
      </c>
      <c r="X1900">
        <f>Table1[[#This Row],[customer_purchase count]]*Rules!$B$3</f>
        <v>1494.1089743589744</v>
      </c>
      <c r="Y1900" t="str">
        <f>IF(Table1[[#This Row],[customer_subscription]]=1,"Subscribed","Not Subscribed")</f>
        <v>Not Subscribed</v>
      </c>
    </row>
    <row r="1901" spans="1:26" x14ac:dyDescent="0.25">
      <c r="A1901">
        <v>1900</v>
      </c>
      <c r="B1901">
        <v>32</v>
      </c>
      <c r="C1901" t="s">
        <v>22</v>
      </c>
      <c r="D1901">
        <v>1900</v>
      </c>
      <c r="E1901" t="s">
        <v>62</v>
      </c>
      <c r="F1901" t="s">
        <v>24</v>
      </c>
      <c r="G1901">
        <v>1900</v>
      </c>
      <c r="H1901">
        <v>2479</v>
      </c>
      <c r="I1901">
        <v>40</v>
      </c>
      <c r="J1901" t="s">
        <v>87</v>
      </c>
      <c r="K1901" t="s">
        <v>26</v>
      </c>
      <c r="L1901" t="s">
        <v>35</v>
      </c>
      <c r="M1901" t="s">
        <v>28</v>
      </c>
      <c r="N1901">
        <v>4.2</v>
      </c>
      <c r="O1901">
        <v>0</v>
      </c>
      <c r="P1901" t="s">
        <v>77</v>
      </c>
      <c r="Q1901" t="s">
        <v>155</v>
      </c>
      <c r="R1901" t="s">
        <v>155</v>
      </c>
      <c r="S1901">
        <v>42</v>
      </c>
      <c r="T1901" t="s">
        <v>49</v>
      </c>
      <c r="U1901" t="s">
        <v>43</v>
      </c>
      <c r="V1901" s="1">
        <v>45338</v>
      </c>
      <c r="W1901">
        <f>Table1[[#This Row],[customer_purchase count]]+1</f>
        <v>43</v>
      </c>
      <c r="X1901">
        <f>Table1[[#This Row],[customer_purchase count]]*Rules!$B$3</f>
        <v>2510.103076923077</v>
      </c>
      <c r="Y1901" t="str">
        <f>IF(Table1[[#This Row],[customer_subscription]]=1,"Subscribed","Not Subscribed")</f>
        <v>Not Subscribed</v>
      </c>
    </row>
    <row r="1902" spans="1:26" x14ac:dyDescent="0.25">
      <c r="A1902">
        <v>1901</v>
      </c>
      <c r="B1902">
        <v>65</v>
      </c>
      <c r="C1902" t="s">
        <v>22</v>
      </c>
      <c r="D1902">
        <v>1901</v>
      </c>
      <c r="E1902" t="s">
        <v>109</v>
      </c>
      <c r="F1902" t="s">
        <v>70</v>
      </c>
      <c r="G1902">
        <v>1901</v>
      </c>
      <c r="H1902">
        <v>2480</v>
      </c>
      <c r="I1902">
        <v>85</v>
      </c>
      <c r="J1902" t="s">
        <v>149</v>
      </c>
      <c r="K1902" t="s">
        <v>39</v>
      </c>
      <c r="L1902" t="s">
        <v>147</v>
      </c>
      <c r="M1902" t="s">
        <v>56</v>
      </c>
      <c r="N1902">
        <v>3.3</v>
      </c>
      <c r="O1902">
        <v>0</v>
      </c>
      <c r="P1902" t="s">
        <v>41</v>
      </c>
      <c r="Q1902" t="s">
        <v>155</v>
      </c>
      <c r="R1902" t="s">
        <v>155</v>
      </c>
      <c r="S1902">
        <v>34</v>
      </c>
      <c r="T1902" t="s">
        <v>36</v>
      </c>
      <c r="U1902" t="s">
        <v>61</v>
      </c>
      <c r="V1902" s="1">
        <v>45463</v>
      </c>
      <c r="W1902">
        <f>Table1[[#This Row],[customer_purchase count]]+1</f>
        <v>35</v>
      </c>
      <c r="X1902">
        <f>Table1[[#This Row],[customer_purchase count]]*Rules!$B$3</f>
        <v>2031.9882051282052</v>
      </c>
      <c r="Y1902" t="str">
        <f>IF(Table1[[#This Row],[customer_subscription]]=1,"Subscribed","Not Subscribed")</f>
        <v>Not Subscribed</v>
      </c>
    </row>
    <row r="1903" spans="1:26" x14ac:dyDescent="0.25">
      <c r="A1903">
        <v>1902</v>
      </c>
      <c r="B1903">
        <v>56</v>
      </c>
      <c r="C1903" t="s">
        <v>22</v>
      </c>
      <c r="D1903">
        <v>1902</v>
      </c>
      <c r="E1903" t="s">
        <v>128</v>
      </c>
      <c r="F1903" t="s">
        <v>24</v>
      </c>
      <c r="G1903">
        <v>1902</v>
      </c>
      <c r="H1903">
        <v>2481</v>
      </c>
      <c r="I1903">
        <v>76</v>
      </c>
      <c r="J1903" t="s">
        <v>120</v>
      </c>
      <c r="K1903" t="s">
        <v>39</v>
      </c>
      <c r="L1903" t="s">
        <v>121</v>
      </c>
      <c r="M1903" t="s">
        <v>28</v>
      </c>
      <c r="N1903">
        <v>3.9</v>
      </c>
      <c r="O1903">
        <v>0</v>
      </c>
      <c r="P1903" t="s">
        <v>77</v>
      </c>
      <c r="Q1903" t="s">
        <v>155</v>
      </c>
      <c r="R1903" t="s">
        <v>155</v>
      </c>
      <c r="S1903">
        <v>50</v>
      </c>
      <c r="T1903" t="s">
        <v>36</v>
      </c>
      <c r="U1903" t="s">
        <v>61</v>
      </c>
      <c r="V1903" s="1">
        <v>45304</v>
      </c>
      <c r="W1903">
        <f>Table1[[#This Row],[customer_purchase count]]+1</f>
        <v>51</v>
      </c>
      <c r="X1903">
        <f>Table1[[#This Row],[customer_purchase count]]*Rules!$B$3</f>
        <v>2988.2179487179487</v>
      </c>
      <c r="Y1903" t="str">
        <f>IF(Table1[[#This Row],[customer_subscription]]=1,"Subscribed","Not Subscribed")</f>
        <v>Not Subscribed</v>
      </c>
    </row>
    <row r="1904" spans="1:26" x14ac:dyDescent="0.25">
      <c r="A1904">
        <v>1903</v>
      </c>
      <c r="B1904">
        <v>31</v>
      </c>
      <c r="C1904" t="s">
        <v>22</v>
      </c>
      <c r="D1904">
        <v>1903</v>
      </c>
      <c r="E1904" t="s">
        <v>44</v>
      </c>
      <c r="F1904" t="s">
        <v>45</v>
      </c>
      <c r="G1904">
        <v>1903</v>
      </c>
      <c r="H1904">
        <v>2482</v>
      </c>
      <c r="I1904">
        <v>22</v>
      </c>
      <c r="J1904" t="s">
        <v>133</v>
      </c>
      <c r="K1904" t="s">
        <v>39</v>
      </c>
      <c r="L1904" t="s">
        <v>81</v>
      </c>
      <c r="M1904" t="s">
        <v>40</v>
      </c>
      <c r="N1904">
        <v>5</v>
      </c>
      <c r="O1904">
        <v>0</v>
      </c>
      <c r="P1904" t="s">
        <v>77</v>
      </c>
      <c r="Q1904" t="s">
        <v>155</v>
      </c>
      <c r="R1904" t="s">
        <v>155</v>
      </c>
      <c r="S1904">
        <v>21</v>
      </c>
      <c r="T1904" t="s">
        <v>31</v>
      </c>
      <c r="U1904" t="s">
        <v>91</v>
      </c>
      <c r="V1904" s="1">
        <v>45409</v>
      </c>
      <c r="W1904">
        <f>Table1[[#This Row],[customer_purchase count]]+1</f>
        <v>22</v>
      </c>
      <c r="X1904">
        <f>Table1[[#This Row],[customer_purchase count]]*Rules!$B$3</f>
        <v>1255.0515384615385</v>
      </c>
      <c r="Y1904" t="str">
        <f>IF(Table1[[#This Row],[customer_subscription]]=1,"Subscribed","Not Subscribed")</f>
        <v>Not Subscribed</v>
      </c>
    </row>
    <row r="1905" spans="1:26" x14ac:dyDescent="0.25">
      <c r="A1905">
        <v>1904</v>
      </c>
      <c r="B1905">
        <v>59</v>
      </c>
      <c r="C1905" t="s">
        <v>22</v>
      </c>
      <c r="D1905">
        <v>1904</v>
      </c>
      <c r="E1905" t="s">
        <v>98</v>
      </c>
      <c r="F1905" t="s">
        <v>24</v>
      </c>
      <c r="G1905">
        <v>1904</v>
      </c>
      <c r="H1905">
        <v>2483</v>
      </c>
      <c r="I1905">
        <v>63</v>
      </c>
      <c r="J1905" t="s">
        <v>101</v>
      </c>
      <c r="K1905" t="s">
        <v>47</v>
      </c>
      <c r="L1905" t="s">
        <v>83</v>
      </c>
      <c r="M1905" t="s">
        <v>56</v>
      </c>
      <c r="N1905">
        <v>3.3</v>
      </c>
      <c r="O1905">
        <v>0</v>
      </c>
      <c r="P1905" t="s">
        <v>57</v>
      </c>
      <c r="Q1905" t="s">
        <v>155</v>
      </c>
      <c r="R1905" t="s">
        <v>155</v>
      </c>
      <c r="S1905">
        <v>37</v>
      </c>
      <c r="T1905" t="s">
        <v>78</v>
      </c>
      <c r="U1905" t="s">
        <v>43</v>
      </c>
      <c r="V1905" s="1">
        <v>45487</v>
      </c>
      <c r="W1905">
        <f>Table1[[#This Row],[customer_purchase count]]+1</f>
        <v>38</v>
      </c>
      <c r="X1905">
        <f>Table1[[#This Row],[customer_purchase count]]*Rules!$B$3</f>
        <v>2211.2812820512822</v>
      </c>
      <c r="Y1905" t="str">
        <f>IF(Table1[[#This Row],[customer_subscription]]=1,"Subscribed","Not Subscribed")</f>
        <v>Not Subscribed</v>
      </c>
    </row>
    <row r="1906" spans="1:26" x14ac:dyDescent="0.25">
      <c r="A1906">
        <v>1905</v>
      </c>
      <c r="B1906">
        <v>22</v>
      </c>
      <c r="C1906" t="s">
        <v>22</v>
      </c>
      <c r="D1906">
        <v>1905</v>
      </c>
      <c r="E1906" t="s">
        <v>116</v>
      </c>
      <c r="F1906" t="s">
        <v>24</v>
      </c>
      <c r="G1906">
        <v>1905</v>
      </c>
      <c r="H1906">
        <v>2485</v>
      </c>
      <c r="I1906">
        <v>71</v>
      </c>
      <c r="J1906" t="s">
        <v>110</v>
      </c>
      <c r="K1906" t="s">
        <v>39</v>
      </c>
      <c r="L1906" t="s">
        <v>68</v>
      </c>
      <c r="M1906" t="s">
        <v>40</v>
      </c>
      <c r="N1906">
        <v>4.2</v>
      </c>
      <c r="O1906">
        <v>0</v>
      </c>
      <c r="P1906" t="s">
        <v>41</v>
      </c>
      <c r="Q1906" t="s">
        <v>155</v>
      </c>
      <c r="R1906" t="s">
        <v>155</v>
      </c>
      <c r="S1906">
        <v>46</v>
      </c>
      <c r="T1906" t="s">
        <v>36</v>
      </c>
      <c r="U1906" t="s">
        <v>91</v>
      </c>
      <c r="V1906" s="1">
        <v>45373</v>
      </c>
      <c r="W1906">
        <f>Table1[[#This Row],[customer_purchase count]]+1</f>
        <v>47</v>
      </c>
      <c r="X1906">
        <f>Table1[[#This Row],[customer_purchase count]]*Rules!$B$3</f>
        <v>2749.1605128205128</v>
      </c>
      <c r="Y1906" t="str">
        <f>IF(Table1[[#This Row],[customer_subscription]]=1,"Subscribed","Not Subscribed")</f>
        <v>Not Subscribed</v>
      </c>
    </row>
    <row r="1907" spans="1:26" x14ac:dyDescent="0.25">
      <c r="A1907">
        <v>1906</v>
      </c>
      <c r="B1907">
        <v>47</v>
      </c>
      <c r="C1907" t="s">
        <v>22</v>
      </c>
      <c r="D1907">
        <v>1906</v>
      </c>
      <c r="E1907" t="s">
        <v>140</v>
      </c>
      <c r="F1907" t="s">
        <v>45</v>
      </c>
      <c r="G1907">
        <v>1906</v>
      </c>
      <c r="H1907">
        <v>2486</v>
      </c>
      <c r="I1907">
        <v>35</v>
      </c>
      <c r="J1907" t="s">
        <v>138</v>
      </c>
      <c r="K1907" t="s">
        <v>47</v>
      </c>
      <c r="L1907" t="s">
        <v>88</v>
      </c>
      <c r="M1907" t="s">
        <v>56</v>
      </c>
      <c r="N1907">
        <v>4.9000000000000004</v>
      </c>
      <c r="O1907">
        <v>0</v>
      </c>
      <c r="P1907" t="s">
        <v>73</v>
      </c>
      <c r="Q1907" t="s">
        <v>155</v>
      </c>
      <c r="R1907" t="s">
        <v>155</v>
      </c>
      <c r="S1907">
        <v>14</v>
      </c>
      <c r="T1907" t="s">
        <v>78</v>
      </c>
      <c r="U1907" t="s">
        <v>32</v>
      </c>
      <c r="V1907" s="1">
        <v>45499</v>
      </c>
      <c r="W1907">
        <f>Table1[[#This Row],[customer_purchase count]]+1</f>
        <v>15</v>
      </c>
      <c r="X1907">
        <f>Table1[[#This Row],[customer_purchase count]]*Rules!$B$3</f>
        <v>836.70102564102569</v>
      </c>
      <c r="Y1907" t="str">
        <f>IF(Table1[[#This Row],[customer_subscription]]=1,"Subscribed","Not Subscribed")</f>
        <v>Not Subscribed</v>
      </c>
      <c r="Z1907" t="s">
        <v>194</v>
      </c>
    </row>
    <row r="1908" spans="1:26" x14ac:dyDescent="0.25">
      <c r="A1908">
        <v>1907</v>
      </c>
      <c r="B1908">
        <v>23</v>
      </c>
      <c r="C1908" t="s">
        <v>22</v>
      </c>
      <c r="D1908">
        <v>1907</v>
      </c>
      <c r="E1908" t="s">
        <v>135</v>
      </c>
      <c r="F1908" t="s">
        <v>70</v>
      </c>
      <c r="G1908">
        <v>1907</v>
      </c>
      <c r="H1908">
        <v>2487</v>
      </c>
      <c r="I1908">
        <v>30</v>
      </c>
      <c r="J1908" t="s">
        <v>132</v>
      </c>
      <c r="K1908" t="s">
        <v>47</v>
      </c>
      <c r="L1908" t="s">
        <v>99</v>
      </c>
      <c r="M1908" t="s">
        <v>40</v>
      </c>
      <c r="N1908">
        <v>4.5999999999999996</v>
      </c>
      <c r="O1908">
        <v>0</v>
      </c>
      <c r="P1908" t="s">
        <v>73</v>
      </c>
      <c r="Q1908" t="s">
        <v>155</v>
      </c>
      <c r="R1908" t="s">
        <v>155</v>
      </c>
      <c r="S1908">
        <v>24</v>
      </c>
      <c r="T1908" t="s">
        <v>49</v>
      </c>
      <c r="U1908" t="s">
        <v>32</v>
      </c>
      <c r="V1908" s="1">
        <v>45385</v>
      </c>
      <c r="W1908">
        <f>Table1[[#This Row],[customer_purchase count]]+1</f>
        <v>25</v>
      </c>
      <c r="X1908">
        <f>Table1[[#This Row],[customer_purchase count]]*Rules!$B$3</f>
        <v>1434.3446153846155</v>
      </c>
      <c r="Y1908" t="str">
        <f>IF(Table1[[#This Row],[customer_subscription]]=1,"Subscribed","Not Subscribed")</f>
        <v>Not Subscribed</v>
      </c>
    </row>
    <row r="1909" spans="1:26" x14ac:dyDescent="0.25">
      <c r="A1909">
        <v>1908</v>
      </c>
      <c r="B1909">
        <v>69</v>
      </c>
      <c r="C1909" t="s">
        <v>22</v>
      </c>
      <c r="D1909">
        <v>1908</v>
      </c>
      <c r="E1909" t="s">
        <v>90</v>
      </c>
      <c r="F1909" t="s">
        <v>24</v>
      </c>
      <c r="G1909">
        <v>1908</v>
      </c>
      <c r="H1909">
        <v>2488</v>
      </c>
      <c r="I1909">
        <v>74</v>
      </c>
      <c r="J1909" t="s">
        <v>133</v>
      </c>
      <c r="K1909" t="s">
        <v>26</v>
      </c>
      <c r="L1909" t="s">
        <v>124</v>
      </c>
      <c r="M1909" t="s">
        <v>60</v>
      </c>
      <c r="N1909">
        <v>4.8</v>
      </c>
      <c r="O1909">
        <v>0</v>
      </c>
      <c r="P1909" t="s">
        <v>77</v>
      </c>
      <c r="Q1909" t="s">
        <v>155</v>
      </c>
      <c r="R1909" t="s">
        <v>155</v>
      </c>
      <c r="S1909">
        <v>36</v>
      </c>
      <c r="T1909" t="s">
        <v>42</v>
      </c>
      <c r="U1909" t="s">
        <v>100</v>
      </c>
      <c r="V1909" s="1">
        <v>45601</v>
      </c>
      <c r="W1909">
        <f>Table1[[#This Row],[customer_purchase count]]+1</f>
        <v>37</v>
      </c>
      <c r="X1909">
        <f>Table1[[#This Row],[customer_purchase count]]*Rules!$B$3</f>
        <v>2151.5169230769234</v>
      </c>
      <c r="Y1909" t="str">
        <f>IF(Table1[[#This Row],[customer_subscription]]=1,"Subscribed","Not Subscribed")</f>
        <v>Not Subscribed</v>
      </c>
    </row>
    <row r="1910" spans="1:26" x14ac:dyDescent="0.25">
      <c r="A1910">
        <v>1909</v>
      </c>
      <c r="B1910">
        <v>18</v>
      </c>
      <c r="C1910" t="s">
        <v>22</v>
      </c>
      <c r="D1910">
        <v>1909</v>
      </c>
      <c r="E1910" t="s">
        <v>122</v>
      </c>
      <c r="F1910" t="s">
        <v>70</v>
      </c>
      <c r="G1910">
        <v>1909</v>
      </c>
      <c r="H1910">
        <v>2489</v>
      </c>
      <c r="I1910">
        <v>71</v>
      </c>
      <c r="J1910" t="s">
        <v>145</v>
      </c>
      <c r="K1910" t="s">
        <v>95</v>
      </c>
      <c r="L1910" t="s">
        <v>64</v>
      </c>
      <c r="M1910" t="s">
        <v>28</v>
      </c>
      <c r="N1910">
        <v>2.7</v>
      </c>
      <c r="O1910">
        <v>0</v>
      </c>
      <c r="P1910" t="s">
        <v>48</v>
      </c>
      <c r="Q1910" t="s">
        <v>155</v>
      </c>
      <c r="R1910" t="s">
        <v>155</v>
      </c>
      <c r="S1910">
        <v>19</v>
      </c>
      <c r="T1910" t="s">
        <v>89</v>
      </c>
      <c r="U1910" t="s">
        <v>79</v>
      </c>
      <c r="V1910" s="1">
        <v>45294</v>
      </c>
      <c r="W1910">
        <f>Table1[[#This Row],[customer_purchase count]]+1</f>
        <v>20</v>
      </c>
      <c r="X1910">
        <f>Table1[[#This Row],[customer_purchase count]]*Rules!$B$3</f>
        <v>1135.5228205128205</v>
      </c>
      <c r="Y1910" t="str">
        <f>IF(Table1[[#This Row],[customer_subscription]]=1,"Subscribed","Not Subscribed")</f>
        <v>Not Subscribed</v>
      </c>
    </row>
    <row r="1911" spans="1:26" x14ac:dyDescent="0.25">
      <c r="A1911">
        <v>1910</v>
      </c>
      <c r="B1911">
        <v>50</v>
      </c>
      <c r="C1911" t="s">
        <v>22</v>
      </c>
      <c r="D1911">
        <v>1910</v>
      </c>
      <c r="E1911" t="s">
        <v>33</v>
      </c>
      <c r="F1911" t="s">
        <v>24</v>
      </c>
      <c r="G1911">
        <v>1910</v>
      </c>
      <c r="H1911">
        <v>2491</v>
      </c>
      <c r="I1911">
        <v>84</v>
      </c>
      <c r="J1911" t="s">
        <v>25</v>
      </c>
      <c r="K1911" t="s">
        <v>39</v>
      </c>
      <c r="L1911" t="s">
        <v>97</v>
      </c>
      <c r="M1911" t="s">
        <v>40</v>
      </c>
      <c r="N1911">
        <v>4.3</v>
      </c>
      <c r="O1911">
        <v>0</v>
      </c>
      <c r="P1911" t="s">
        <v>77</v>
      </c>
      <c r="Q1911" t="s">
        <v>155</v>
      </c>
      <c r="R1911" t="s">
        <v>155</v>
      </c>
      <c r="S1911">
        <v>12</v>
      </c>
      <c r="T1911" t="s">
        <v>42</v>
      </c>
      <c r="U1911" t="s">
        <v>91</v>
      </c>
      <c r="V1911" s="1">
        <v>45433</v>
      </c>
      <c r="W1911">
        <f>Table1[[#This Row],[customer_purchase count]]+1</f>
        <v>13</v>
      </c>
      <c r="X1911">
        <f>Table1[[#This Row],[customer_purchase count]]*Rules!$B$3</f>
        <v>717.17230769230775</v>
      </c>
      <c r="Y1911" t="str">
        <f>IF(Table1[[#This Row],[customer_subscription]]=1,"Subscribed","Not Subscribed")</f>
        <v>Not Subscribed</v>
      </c>
      <c r="Z1911" t="s">
        <v>194</v>
      </c>
    </row>
    <row r="1912" spans="1:26" x14ac:dyDescent="0.25">
      <c r="A1912">
        <v>1911</v>
      </c>
      <c r="B1912">
        <v>29</v>
      </c>
      <c r="C1912" t="s">
        <v>22</v>
      </c>
      <c r="D1912">
        <v>1911</v>
      </c>
      <c r="E1912" t="s">
        <v>44</v>
      </c>
      <c r="F1912" t="s">
        <v>45</v>
      </c>
      <c r="G1912">
        <v>1911</v>
      </c>
      <c r="H1912">
        <v>2492</v>
      </c>
      <c r="I1912">
        <v>38</v>
      </c>
      <c r="J1912" t="s">
        <v>87</v>
      </c>
      <c r="K1912" t="s">
        <v>39</v>
      </c>
      <c r="L1912" t="s">
        <v>137</v>
      </c>
      <c r="M1912" t="s">
        <v>60</v>
      </c>
      <c r="N1912">
        <v>3.8</v>
      </c>
      <c r="O1912">
        <v>0</v>
      </c>
      <c r="P1912" t="s">
        <v>29</v>
      </c>
      <c r="Q1912" t="s">
        <v>155</v>
      </c>
      <c r="R1912" t="s">
        <v>155</v>
      </c>
      <c r="S1912">
        <v>13</v>
      </c>
      <c r="T1912" t="s">
        <v>89</v>
      </c>
      <c r="U1912" t="s">
        <v>61</v>
      </c>
      <c r="V1912" s="1">
        <v>45583</v>
      </c>
      <c r="W1912">
        <f>Table1[[#This Row],[customer_purchase count]]+1</f>
        <v>14</v>
      </c>
      <c r="X1912">
        <f>Table1[[#This Row],[customer_purchase count]]*Rules!$B$3</f>
        <v>776.93666666666672</v>
      </c>
      <c r="Y1912" t="str">
        <f>IF(Table1[[#This Row],[customer_subscription]]=1,"Subscribed","Not Subscribed")</f>
        <v>Not Subscribed</v>
      </c>
      <c r="Z1912" t="s">
        <v>187</v>
      </c>
    </row>
    <row r="1913" spans="1:26" x14ac:dyDescent="0.25">
      <c r="A1913">
        <v>1912</v>
      </c>
      <c r="B1913">
        <v>65</v>
      </c>
      <c r="C1913" t="s">
        <v>22</v>
      </c>
      <c r="D1913">
        <v>1912</v>
      </c>
      <c r="E1913" t="s">
        <v>109</v>
      </c>
      <c r="F1913" t="s">
        <v>70</v>
      </c>
      <c r="G1913">
        <v>1912</v>
      </c>
      <c r="H1913">
        <v>2493</v>
      </c>
      <c r="I1913">
        <v>81</v>
      </c>
      <c r="J1913" t="s">
        <v>120</v>
      </c>
      <c r="K1913" t="s">
        <v>47</v>
      </c>
      <c r="L1913" t="s">
        <v>27</v>
      </c>
      <c r="M1913" t="s">
        <v>40</v>
      </c>
      <c r="N1913">
        <v>4.9000000000000004</v>
      </c>
      <c r="O1913">
        <v>0</v>
      </c>
      <c r="P1913" t="s">
        <v>29</v>
      </c>
      <c r="Q1913" t="s">
        <v>155</v>
      </c>
      <c r="R1913" t="s">
        <v>155</v>
      </c>
      <c r="S1913">
        <v>32</v>
      </c>
      <c r="T1913" t="s">
        <v>89</v>
      </c>
      <c r="U1913" t="s">
        <v>79</v>
      </c>
      <c r="V1913" s="1">
        <v>45424</v>
      </c>
      <c r="W1913">
        <f>Table1[[#This Row],[customer_purchase count]]+1</f>
        <v>33</v>
      </c>
      <c r="X1913">
        <f>Table1[[#This Row],[customer_purchase count]]*Rules!$B$3</f>
        <v>1912.4594871794873</v>
      </c>
      <c r="Y1913" t="str">
        <f>IF(Table1[[#This Row],[customer_subscription]]=1,"Subscribed","Not Subscribed")</f>
        <v>Not Subscribed</v>
      </c>
    </row>
    <row r="1914" spans="1:26" x14ac:dyDescent="0.25">
      <c r="A1914">
        <v>1913</v>
      </c>
      <c r="B1914">
        <v>29</v>
      </c>
      <c r="C1914" t="s">
        <v>22</v>
      </c>
      <c r="D1914">
        <v>1913</v>
      </c>
      <c r="E1914" t="s">
        <v>33</v>
      </c>
      <c r="F1914" t="s">
        <v>24</v>
      </c>
      <c r="G1914">
        <v>1913</v>
      </c>
      <c r="H1914">
        <v>2494</v>
      </c>
      <c r="I1914">
        <v>56</v>
      </c>
      <c r="J1914" t="s">
        <v>115</v>
      </c>
      <c r="K1914" t="s">
        <v>39</v>
      </c>
      <c r="L1914" t="s">
        <v>64</v>
      </c>
      <c r="M1914" t="s">
        <v>28</v>
      </c>
      <c r="N1914">
        <v>3.4</v>
      </c>
      <c r="O1914">
        <v>0</v>
      </c>
      <c r="P1914" t="s">
        <v>73</v>
      </c>
      <c r="Q1914" t="s">
        <v>155</v>
      </c>
      <c r="R1914" t="s">
        <v>155</v>
      </c>
      <c r="S1914">
        <v>5</v>
      </c>
      <c r="T1914" t="s">
        <v>42</v>
      </c>
      <c r="U1914" t="s">
        <v>79</v>
      </c>
      <c r="V1914" s="1">
        <v>45323</v>
      </c>
      <c r="W1914">
        <f>Table1[[#This Row],[customer_purchase count]]+1</f>
        <v>6</v>
      </c>
      <c r="X1914">
        <f>Table1[[#This Row],[customer_purchase count]]*Rules!$B$3</f>
        <v>298.82179487179491</v>
      </c>
      <c r="Y1914" t="str">
        <f>IF(Table1[[#This Row],[customer_subscription]]=1,"Subscribed","Not Subscribed")</f>
        <v>Not Subscribed</v>
      </c>
      <c r="Z1914" t="s">
        <v>194</v>
      </c>
    </row>
    <row r="1915" spans="1:26" x14ac:dyDescent="0.25">
      <c r="A1915">
        <v>1914</v>
      </c>
      <c r="B1915">
        <v>49</v>
      </c>
      <c r="C1915" t="s">
        <v>22</v>
      </c>
      <c r="D1915">
        <v>1914</v>
      </c>
      <c r="E1915" t="s">
        <v>90</v>
      </c>
      <c r="F1915" t="s">
        <v>24</v>
      </c>
      <c r="G1915">
        <v>1914</v>
      </c>
      <c r="H1915">
        <v>2495</v>
      </c>
      <c r="I1915">
        <v>48</v>
      </c>
      <c r="J1915" t="s">
        <v>25</v>
      </c>
      <c r="K1915" t="s">
        <v>47</v>
      </c>
      <c r="L1915" t="s">
        <v>103</v>
      </c>
      <c r="M1915" t="s">
        <v>28</v>
      </c>
      <c r="N1915">
        <v>3.6</v>
      </c>
      <c r="O1915">
        <v>0</v>
      </c>
      <c r="P1915" t="s">
        <v>29</v>
      </c>
      <c r="Q1915" t="s">
        <v>155</v>
      </c>
      <c r="R1915" t="s">
        <v>155</v>
      </c>
      <c r="S1915">
        <v>29</v>
      </c>
      <c r="T1915" t="s">
        <v>36</v>
      </c>
      <c r="U1915" t="s">
        <v>52</v>
      </c>
      <c r="V1915" s="1">
        <v>45300</v>
      </c>
      <c r="W1915">
        <f>Table1[[#This Row],[customer_purchase count]]+1</f>
        <v>30</v>
      </c>
      <c r="X1915">
        <f>Table1[[#This Row],[customer_purchase count]]*Rules!$B$3</f>
        <v>1733.1664102564102</v>
      </c>
      <c r="Y1915" t="str">
        <f>IF(Table1[[#This Row],[customer_subscription]]=1,"Subscribed","Not Subscribed")</f>
        <v>Not Subscribed</v>
      </c>
    </row>
    <row r="1916" spans="1:26" x14ac:dyDescent="0.25">
      <c r="A1916">
        <v>1915</v>
      </c>
      <c r="B1916">
        <v>28</v>
      </c>
      <c r="C1916" t="s">
        <v>22</v>
      </c>
      <c r="D1916">
        <v>1915</v>
      </c>
      <c r="E1916" t="s">
        <v>62</v>
      </c>
      <c r="F1916" t="s">
        <v>24</v>
      </c>
      <c r="G1916">
        <v>1915</v>
      </c>
      <c r="H1916">
        <v>2497</v>
      </c>
      <c r="I1916">
        <v>97</v>
      </c>
      <c r="J1916" t="s">
        <v>123</v>
      </c>
      <c r="K1916" t="s">
        <v>26</v>
      </c>
      <c r="L1916" t="s">
        <v>99</v>
      </c>
      <c r="M1916" t="s">
        <v>60</v>
      </c>
      <c r="N1916">
        <v>3.4</v>
      </c>
      <c r="O1916">
        <v>0</v>
      </c>
      <c r="P1916" t="s">
        <v>57</v>
      </c>
      <c r="Q1916" t="s">
        <v>155</v>
      </c>
      <c r="R1916" t="s">
        <v>155</v>
      </c>
      <c r="S1916">
        <v>40</v>
      </c>
      <c r="T1916" t="s">
        <v>42</v>
      </c>
      <c r="U1916" t="s">
        <v>32</v>
      </c>
      <c r="V1916" s="1">
        <v>45612</v>
      </c>
      <c r="W1916">
        <f>Table1[[#This Row],[customer_purchase count]]+1</f>
        <v>41</v>
      </c>
      <c r="X1916">
        <f>Table1[[#This Row],[customer_purchase count]]*Rules!$B$3</f>
        <v>2390.5743589743593</v>
      </c>
      <c r="Y1916" t="str">
        <f>IF(Table1[[#This Row],[customer_subscription]]=1,"Subscribed","Not Subscribed")</f>
        <v>Not Subscribed</v>
      </c>
    </row>
    <row r="1917" spans="1:26" x14ac:dyDescent="0.25">
      <c r="A1917">
        <v>1916</v>
      </c>
      <c r="B1917">
        <v>51</v>
      </c>
      <c r="C1917" t="s">
        <v>22</v>
      </c>
      <c r="D1917">
        <v>1916</v>
      </c>
      <c r="E1917" t="s">
        <v>135</v>
      </c>
      <c r="F1917" t="s">
        <v>70</v>
      </c>
      <c r="G1917">
        <v>1916</v>
      </c>
      <c r="H1917">
        <v>2498</v>
      </c>
      <c r="I1917">
        <v>74</v>
      </c>
      <c r="J1917" t="s">
        <v>93</v>
      </c>
      <c r="K1917" t="s">
        <v>47</v>
      </c>
      <c r="L1917" t="s">
        <v>139</v>
      </c>
      <c r="M1917" t="s">
        <v>60</v>
      </c>
      <c r="N1917">
        <v>4.7</v>
      </c>
      <c r="O1917">
        <v>0</v>
      </c>
      <c r="P1917" t="s">
        <v>73</v>
      </c>
      <c r="Q1917" t="s">
        <v>155</v>
      </c>
      <c r="R1917" t="s">
        <v>155</v>
      </c>
      <c r="S1917">
        <v>44</v>
      </c>
      <c r="T1917" t="s">
        <v>36</v>
      </c>
      <c r="U1917" t="s">
        <v>43</v>
      </c>
      <c r="V1917" s="1">
        <v>45540</v>
      </c>
      <c r="W1917">
        <f>Table1[[#This Row],[customer_purchase count]]+1</f>
        <v>45</v>
      </c>
      <c r="X1917">
        <f>Table1[[#This Row],[customer_purchase count]]*Rules!$B$3</f>
        <v>2629.6317948717951</v>
      </c>
      <c r="Y1917" t="str">
        <f>IF(Table1[[#This Row],[customer_subscription]]=1,"Subscribed","Not Subscribed")</f>
        <v>Not Subscribed</v>
      </c>
    </row>
    <row r="1918" spans="1:26" x14ac:dyDescent="0.25">
      <c r="A1918">
        <v>1917</v>
      </c>
      <c r="B1918">
        <v>26</v>
      </c>
      <c r="C1918" t="s">
        <v>22</v>
      </c>
      <c r="D1918">
        <v>1917</v>
      </c>
      <c r="E1918" t="s">
        <v>107</v>
      </c>
      <c r="F1918" t="s">
        <v>24</v>
      </c>
      <c r="G1918">
        <v>1917</v>
      </c>
      <c r="H1918">
        <v>2499</v>
      </c>
      <c r="I1918">
        <v>50</v>
      </c>
      <c r="J1918" t="s">
        <v>142</v>
      </c>
      <c r="K1918" t="s">
        <v>39</v>
      </c>
      <c r="L1918" t="s">
        <v>121</v>
      </c>
      <c r="M1918" t="s">
        <v>28</v>
      </c>
      <c r="N1918">
        <v>3</v>
      </c>
      <c r="O1918">
        <v>0</v>
      </c>
      <c r="P1918" t="s">
        <v>48</v>
      </c>
      <c r="Q1918" t="s">
        <v>155</v>
      </c>
      <c r="R1918" t="s">
        <v>155</v>
      </c>
      <c r="S1918">
        <v>3</v>
      </c>
      <c r="T1918" t="s">
        <v>89</v>
      </c>
      <c r="U1918" t="s">
        <v>79</v>
      </c>
      <c r="V1918" s="1">
        <v>45299</v>
      </c>
      <c r="W1918">
        <f>Table1[[#This Row],[customer_purchase count]]+1</f>
        <v>4</v>
      </c>
      <c r="X1918">
        <f>Table1[[#This Row],[customer_purchase count]]*Rules!$B$3</f>
        <v>179.29307692307694</v>
      </c>
      <c r="Y1918" t="str">
        <f>IF(Table1[[#This Row],[customer_subscription]]=1,"Subscribed","Not Subscribed")</f>
        <v>Not Subscribed</v>
      </c>
      <c r="Z1918" t="s">
        <v>194</v>
      </c>
    </row>
    <row r="1919" spans="1:26" x14ac:dyDescent="0.25">
      <c r="A1919">
        <v>1918</v>
      </c>
      <c r="B1919">
        <v>38</v>
      </c>
      <c r="C1919" t="s">
        <v>22</v>
      </c>
      <c r="D1919">
        <v>1918</v>
      </c>
      <c r="E1919" t="s">
        <v>90</v>
      </c>
      <c r="F1919" t="s">
        <v>24</v>
      </c>
      <c r="G1919">
        <v>1918</v>
      </c>
      <c r="H1919">
        <v>2500</v>
      </c>
      <c r="I1919">
        <v>71</v>
      </c>
      <c r="J1919" t="s">
        <v>80</v>
      </c>
      <c r="K1919" t="s">
        <v>26</v>
      </c>
      <c r="L1919" t="s">
        <v>97</v>
      </c>
      <c r="M1919" t="s">
        <v>28</v>
      </c>
      <c r="N1919">
        <v>3.4</v>
      </c>
      <c r="O1919">
        <v>0</v>
      </c>
      <c r="P1919" t="s">
        <v>41</v>
      </c>
      <c r="Q1919" t="s">
        <v>155</v>
      </c>
      <c r="R1919" t="s">
        <v>155</v>
      </c>
      <c r="S1919">
        <v>35</v>
      </c>
      <c r="T1919" t="s">
        <v>49</v>
      </c>
      <c r="U1919" t="s">
        <v>79</v>
      </c>
      <c r="V1919" s="1">
        <v>45651</v>
      </c>
      <c r="W1919">
        <f>Table1[[#This Row],[customer_purchase count]]+1</f>
        <v>36</v>
      </c>
      <c r="X1919">
        <f>Table1[[#This Row],[customer_purchase count]]*Rules!$B$3</f>
        <v>2091.7525641025641</v>
      </c>
      <c r="Y1919" t="str">
        <f>IF(Table1[[#This Row],[customer_subscription]]=1,"Subscribed","Not Subscribed")</f>
        <v>Not Subscribed</v>
      </c>
    </row>
    <row r="1920" spans="1:26" x14ac:dyDescent="0.25">
      <c r="A1920">
        <v>1919</v>
      </c>
      <c r="B1920">
        <v>35</v>
      </c>
      <c r="C1920" t="s">
        <v>22</v>
      </c>
      <c r="D1920">
        <v>1919</v>
      </c>
      <c r="E1920" t="s">
        <v>90</v>
      </c>
      <c r="F1920" t="s">
        <v>24</v>
      </c>
      <c r="G1920">
        <v>1919</v>
      </c>
      <c r="H1920">
        <v>2501</v>
      </c>
      <c r="I1920">
        <v>33</v>
      </c>
      <c r="J1920" t="s">
        <v>138</v>
      </c>
      <c r="K1920" t="s">
        <v>39</v>
      </c>
      <c r="L1920" t="s">
        <v>76</v>
      </c>
      <c r="M1920" t="s">
        <v>56</v>
      </c>
      <c r="N1920">
        <v>4.5999999999999996</v>
      </c>
      <c r="O1920">
        <v>0</v>
      </c>
      <c r="P1920" t="s">
        <v>57</v>
      </c>
      <c r="Q1920" t="s">
        <v>155</v>
      </c>
      <c r="R1920" t="s">
        <v>155</v>
      </c>
      <c r="S1920">
        <v>33</v>
      </c>
      <c r="T1920" t="s">
        <v>89</v>
      </c>
      <c r="U1920" t="s">
        <v>91</v>
      </c>
      <c r="V1920" s="1">
        <v>45525</v>
      </c>
      <c r="W1920">
        <f>Table1[[#This Row],[customer_purchase count]]+1</f>
        <v>34</v>
      </c>
      <c r="X1920">
        <f>Table1[[#This Row],[customer_purchase count]]*Rules!$B$3</f>
        <v>1972.2238461538464</v>
      </c>
      <c r="Y1920" t="str">
        <f>IF(Table1[[#This Row],[customer_subscription]]=1,"Subscribed","Not Subscribed")</f>
        <v>Not Subscribed</v>
      </c>
    </row>
    <row r="1921" spans="1:26" x14ac:dyDescent="0.25">
      <c r="A1921">
        <v>1920</v>
      </c>
      <c r="B1921">
        <v>34</v>
      </c>
      <c r="C1921" t="s">
        <v>22</v>
      </c>
      <c r="D1921">
        <v>1920</v>
      </c>
      <c r="E1921" t="s">
        <v>135</v>
      </c>
      <c r="F1921" t="s">
        <v>70</v>
      </c>
      <c r="G1921">
        <v>1920</v>
      </c>
      <c r="H1921">
        <v>2503</v>
      </c>
      <c r="I1921">
        <v>56</v>
      </c>
      <c r="J1921" t="s">
        <v>144</v>
      </c>
      <c r="K1921" t="s">
        <v>47</v>
      </c>
      <c r="L1921" t="s">
        <v>81</v>
      </c>
      <c r="M1921" t="s">
        <v>56</v>
      </c>
      <c r="N1921">
        <v>3.1</v>
      </c>
      <c r="O1921">
        <v>0</v>
      </c>
      <c r="P1921" t="s">
        <v>29</v>
      </c>
      <c r="Q1921" t="s">
        <v>155</v>
      </c>
      <c r="R1921" t="s">
        <v>155</v>
      </c>
      <c r="S1921">
        <v>20</v>
      </c>
      <c r="T1921" t="s">
        <v>49</v>
      </c>
      <c r="U1921" t="s">
        <v>79</v>
      </c>
      <c r="V1921" s="1">
        <v>45483</v>
      </c>
      <c r="W1921">
        <f>Table1[[#This Row],[customer_purchase count]]+1</f>
        <v>21</v>
      </c>
      <c r="X1921">
        <f>Table1[[#This Row],[customer_purchase count]]*Rules!$B$3</f>
        <v>1195.2871794871796</v>
      </c>
      <c r="Y1921" t="str">
        <f>IF(Table1[[#This Row],[customer_subscription]]=1,"Subscribed","Not Subscribed")</f>
        <v>Not Subscribed</v>
      </c>
    </row>
    <row r="1922" spans="1:26" x14ac:dyDescent="0.25">
      <c r="A1922">
        <v>1921</v>
      </c>
      <c r="B1922">
        <v>51</v>
      </c>
      <c r="C1922" t="s">
        <v>22</v>
      </c>
      <c r="D1922">
        <v>1921</v>
      </c>
      <c r="E1922" t="s">
        <v>23</v>
      </c>
      <c r="F1922" t="s">
        <v>24</v>
      </c>
      <c r="G1922">
        <v>1921</v>
      </c>
      <c r="H1922">
        <v>2504</v>
      </c>
      <c r="I1922">
        <v>84</v>
      </c>
      <c r="J1922" t="s">
        <v>142</v>
      </c>
      <c r="K1922" t="s">
        <v>47</v>
      </c>
      <c r="L1922" t="s">
        <v>76</v>
      </c>
      <c r="M1922" t="s">
        <v>40</v>
      </c>
      <c r="N1922">
        <v>2.8</v>
      </c>
      <c r="O1922">
        <v>0</v>
      </c>
      <c r="P1922" t="s">
        <v>57</v>
      </c>
      <c r="Q1922" t="s">
        <v>155</v>
      </c>
      <c r="R1922" t="s">
        <v>155</v>
      </c>
      <c r="S1922">
        <v>40</v>
      </c>
      <c r="T1922" t="s">
        <v>36</v>
      </c>
      <c r="U1922" t="s">
        <v>100</v>
      </c>
      <c r="V1922" s="1">
        <v>45420</v>
      </c>
      <c r="W1922">
        <f>Table1[[#This Row],[customer_purchase count]]+1</f>
        <v>41</v>
      </c>
      <c r="X1922">
        <f>Table1[[#This Row],[customer_purchase count]]*Rules!$B$3</f>
        <v>2390.5743589743593</v>
      </c>
      <c r="Y1922" t="str">
        <f>IF(Table1[[#This Row],[customer_subscription]]=1,"Subscribed","Not Subscribed")</f>
        <v>Not Subscribed</v>
      </c>
    </row>
    <row r="1923" spans="1:26" x14ac:dyDescent="0.25">
      <c r="A1923">
        <v>1922</v>
      </c>
      <c r="B1923">
        <v>47</v>
      </c>
      <c r="C1923" t="s">
        <v>22</v>
      </c>
      <c r="D1923">
        <v>1922</v>
      </c>
      <c r="E1923" t="s">
        <v>58</v>
      </c>
      <c r="F1923" t="s">
        <v>24</v>
      </c>
      <c r="G1923">
        <v>1922</v>
      </c>
      <c r="H1923">
        <v>2505</v>
      </c>
      <c r="I1923">
        <v>36</v>
      </c>
      <c r="J1923" t="s">
        <v>154</v>
      </c>
      <c r="K1923" t="s">
        <v>47</v>
      </c>
      <c r="L1923" t="s">
        <v>99</v>
      </c>
      <c r="M1923" t="s">
        <v>60</v>
      </c>
      <c r="N1923">
        <v>3.5</v>
      </c>
      <c r="O1923">
        <v>0</v>
      </c>
      <c r="P1923" t="s">
        <v>77</v>
      </c>
      <c r="Q1923" t="s">
        <v>155</v>
      </c>
      <c r="R1923" t="s">
        <v>155</v>
      </c>
      <c r="S1923">
        <v>13</v>
      </c>
      <c r="T1923" t="s">
        <v>31</v>
      </c>
      <c r="U1923" t="s">
        <v>52</v>
      </c>
      <c r="V1923" s="1">
        <v>45573</v>
      </c>
      <c r="W1923">
        <f>Table1[[#This Row],[customer_purchase count]]+1</f>
        <v>14</v>
      </c>
      <c r="X1923">
        <f>Table1[[#This Row],[customer_purchase count]]*Rules!$B$3</f>
        <v>776.93666666666672</v>
      </c>
      <c r="Y1923" t="str">
        <f>IF(Table1[[#This Row],[customer_subscription]]=1,"Subscribed","Not Subscribed")</f>
        <v>Not Subscribed</v>
      </c>
      <c r="Z1923" t="s">
        <v>194</v>
      </c>
    </row>
    <row r="1924" spans="1:26" x14ac:dyDescent="0.25">
      <c r="A1924">
        <v>1923</v>
      </c>
      <c r="B1924">
        <v>18</v>
      </c>
      <c r="C1924" t="s">
        <v>22</v>
      </c>
      <c r="D1924">
        <v>1923</v>
      </c>
      <c r="E1924" t="s">
        <v>146</v>
      </c>
      <c r="F1924" t="s">
        <v>70</v>
      </c>
      <c r="G1924">
        <v>1923</v>
      </c>
      <c r="H1924">
        <v>2506</v>
      </c>
      <c r="I1924">
        <v>63</v>
      </c>
      <c r="J1924" t="s">
        <v>25</v>
      </c>
      <c r="K1924" t="s">
        <v>39</v>
      </c>
      <c r="L1924" t="s">
        <v>103</v>
      </c>
      <c r="M1924" t="s">
        <v>56</v>
      </c>
      <c r="N1924">
        <v>4.5999999999999996</v>
      </c>
      <c r="O1924">
        <v>0</v>
      </c>
      <c r="P1924" t="s">
        <v>57</v>
      </c>
      <c r="Q1924" t="s">
        <v>155</v>
      </c>
      <c r="R1924" t="s">
        <v>155</v>
      </c>
      <c r="S1924">
        <v>9</v>
      </c>
      <c r="T1924" t="s">
        <v>49</v>
      </c>
      <c r="U1924" t="s">
        <v>91</v>
      </c>
      <c r="V1924" s="1">
        <v>45512</v>
      </c>
      <c r="W1924">
        <f>Table1[[#This Row],[customer_purchase count]]+1</f>
        <v>10</v>
      </c>
      <c r="X1924">
        <f>Table1[[#This Row],[customer_purchase count]]*Rules!$B$3</f>
        <v>537.87923076923084</v>
      </c>
      <c r="Y1924" t="str">
        <f>IF(Table1[[#This Row],[customer_subscription]]=1,"Subscribed","Not Subscribed")</f>
        <v>Not Subscribed</v>
      </c>
      <c r="Z1924" t="s">
        <v>187</v>
      </c>
    </row>
    <row r="1925" spans="1:26" x14ac:dyDescent="0.25">
      <c r="A1925">
        <v>1924</v>
      </c>
      <c r="B1925">
        <v>64</v>
      </c>
      <c r="C1925" t="s">
        <v>22</v>
      </c>
      <c r="D1925">
        <v>1924</v>
      </c>
      <c r="E1925" t="s">
        <v>44</v>
      </c>
      <c r="F1925" t="s">
        <v>45</v>
      </c>
      <c r="G1925">
        <v>1924</v>
      </c>
      <c r="H1925">
        <v>2507</v>
      </c>
      <c r="I1925">
        <v>36</v>
      </c>
      <c r="J1925" t="s">
        <v>148</v>
      </c>
      <c r="K1925" t="s">
        <v>95</v>
      </c>
      <c r="L1925" t="s">
        <v>147</v>
      </c>
      <c r="M1925" t="s">
        <v>56</v>
      </c>
      <c r="N1925">
        <v>4.3</v>
      </c>
      <c r="O1925">
        <v>0</v>
      </c>
      <c r="P1925" t="s">
        <v>57</v>
      </c>
      <c r="Q1925" t="s">
        <v>155</v>
      </c>
      <c r="R1925" t="s">
        <v>155</v>
      </c>
      <c r="S1925">
        <v>7</v>
      </c>
      <c r="T1925" t="s">
        <v>36</v>
      </c>
      <c r="U1925" t="s">
        <v>52</v>
      </c>
      <c r="V1925" s="1">
        <v>45510</v>
      </c>
      <c r="W1925">
        <f>Table1[[#This Row],[customer_purchase count]]+1</f>
        <v>8</v>
      </c>
      <c r="X1925">
        <f>Table1[[#This Row],[customer_purchase count]]*Rules!$B$3</f>
        <v>418.35051282051285</v>
      </c>
      <c r="Y1925" t="str">
        <f>IF(Table1[[#This Row],[customer_subscription]]=1,"Subscribed","Not Subscribed")</f>
        <v>Not Subscribed</v>
      </c>
      <c r="Z1925" t="s">
        <v>194</v>
      </c>
    </row>
    <row r="1926" spans="1:26" x14ac:dyDescent="0.25">
      <c r="A1926">
        <v>1925</v>
      </c>
      <c r="B1926">
        <v>30</v>
      </c>
      <c r="C1926" t="s">
        <v>22</v>
      </c>
      <c r="D1926">
        <v>1925</v>
      </c>
      <c r="E1926" t="s">
        <v>105</v>
      </c>
      <c r="F1926" t="s">
        <v>66</v>
      </c>
      <c r="G1926">
        <v>1925</v>
      </c>
      <c r="H1926">
        <v>2509</v>
      </c>
      <c r="I1926">
        <v>63</v>
      </c>
      <c r="J1926" t="s">
        <v>154</v>
      </c>
      <c r="K1926" t="s">
        <v>47</v>
      </c>
      <c r="L1926" t="s">
        <v>27</v>
      </c>
      <c r="M1926" t="s">
        <v>60</v>
      </c>
      <c r="N1926">
        <v>4.8</v>
      </c>
      <c r="O1926">
        <v>0</v>
      </c>
      <c r="P1926" t="s">
        <v>41</v>
      </c>
      <c r="Q1926" t="s">
        <v>155</v>
      </c>
      <c r="R1926" t="s">
        <v>155</v>
      </c>
      <c r="S1926">
        <v>42</v>
      </c>
      <c r="T1926" t="s">
        <v>49</v>
      </c>
      <c r="U1926" t="s">
        <v>61</v>
      </c>
      <c r="V1926" s="1">
        <v>45598</v>
      </c>
      <c r="W1926">
        <f>Table1[[#This Row],[customer_purchase count]]+1</f>
        <v>43</v>
      </c>
      <c r="X1926">
        <f>Table1[[#This Row],[customer_purchase count]]*Rules!$B$3</f>
        <v>2510.103076923077</v>
      </c>
      <c r="Y1926" t="str">
        <f>IF(Table1[[#This Row],[customer_subscription]]=1,"Subscribed","Not Subscribed")</f>
        <v>Not Subscribed</v>
      </c>
    </row>
    <row r="1927" spans="1:26" x14ac:dyDescent="0.25">
      <c r="A1927">
        <v>1926</v>
      </c>
      <c r="B1927">
        <v>59</v>
      </c>
      <c r="C1927" t="s">
        <v>22</v>
      </c>
      <c r="D1927">
        <v>1926</v>
      </c>
      <c r="E1927" t="s">
        <v>53</v>
      </c>
      <c r="F1927" t="s">
        <v>45</v>
      </c>
      <c r="G1927">
        <v>1926</v>
      </c>
      <c r="H1927">
        <v>2510</v>
      </c>
      <c r="I1927">
        <v>32</v>
      </c>
      <c r="J1927" t="s">
        <v>143</v>
      </c>
      <c r="K1927" t="s">
        <v>26</v>
      </c>
      <c r="L1927" t="s">
        <v>97</v>
      </c>
      <c r="M1927" t="s">
        <v>28</v>
      </c>
      <c r="N1927">
        <v>2.9</v>
      </c>
      <c r="O1927">
        <v>0</v>
      </c>
      <c r="P1927" t="s">
        <v>29</v>
      </c>
      <c r="Q1927" t="s">
        <v>155</v>
      </c>
      <c r="R1927" t="s">
        <v>155</v>
      </c>
      <c r="S1927">
        <v>44</v>
      </c>
      <c r="T1927" t="s">
        <v>42</v>
      </c>
      <c r="U1927" t="s">
        <v>32</v>
      </c>
      <c r="V1927" s="1">
        <v>45313</v>
      </c>
      <c r="W1927">
        <f>Table1[[#This Row],[customer_purchase count]]+1</f>
        <v>45</v>
      </c>
      <c r="X1927">
        <f>Table1[[#This Row],[customer_purchase count]]*Rules!$B$3</f>
        <v>2629.6317948717951</v>
      </c>
      <c r="Y1927" t="str">
        <f>IF(Table1[[#This Row],[customer_subscription]]=1,"Subscribed","Not Subscribed")</f>
        <v>Not Subscribed</v>
      </c>
    </row>
    <row r="1928" spans="1:26" x14ac:dyDescent="0.25">
      <c r="A1928">
        <v>1927</v>
      </c>
      <c r="B1928">
        <v>66</v>
      </c>
      <c r="C1928" t="s">
        <v>22</v>
      </c>
      <c r="D1928">
        <v>1927</v>
      </c>
      <c r="E1928" t="s">
        <v>135</v>
      </c>
      <c r="F1928" t="s">
        <v>70</v>
      </c>
      <c r="G1928">
        <v>1927</v>
      </c>
      <c r="H1928">
        <v>2511</v>
      </c>
      <c r="I1928">
        <v>93</v>
      </c>
      <c r="J1928" t="s">
        <v>133</v>
      </c>
      <c r="K1928" t="s">
        <v>47</v>
      </c>
      <c r="L1928" t="s">
        <v>68</v>
      </c>
      <c r="M1928" t="s">
        <v>40</v>
      </c>
      <c r="N1928">
        <v>3</v>
      </c>
      <c r="O1928">
        <v>0</v>
      </c>
      <c r="P1928" t="s">
        <v>29</v>
      </c>
      <c r="Q1928" t="s">
        <v>155</v>
      </c>
      <c r="R1928" t="s">
        <v>155</v>
      </c>
      <c r="S1928">
        <v>6</v>
      </c>
      <c r="T1928" t="s">
        <v>49</v>
      </c>
      <c r="U1928" t="s">
        <v>52</v>
      </c>
      <c r="V1928" s="1">
        <v>45415</v>
      </c>
      <c r="W1928">
        <f>Table1[[#This Row],[customer_purchase count]]+1</f>
        <v>7</v>
      </c>
      <c r="X1928">
        <f>Table1[[#This Row],[customer_purchase count]]*Rules!$B$3</f>
        <v>358.58615384615388</v>
      </c>
      <c r="Y1928" t="str">
        <f>IF(Table1[[#This Row],[customer_subscription]]=1,"Subscribed","Not Subscribed")</f>
        <v>Not Subscribed</v>
      </c>
      <c r="Z1928" t="s">
        <v>194</v>
      </c>
    </row>
    <row r="1929" spans="1:26" x14ac:dyDescent="0.25">
      <c r="A1929">
        <v>1928</v>
      </c>
      <c r="B1929">
        <v>40</v>
      </c>
      <c r="C1929" t="s">
        <v>22</v>
      </c>
      <c r="D1929">
        <v>1928</v>
      </c>
      <c r="E1929" t="s">
        <v>98</v>
      </c>
      <c r="F1929" t="s">
        <v>24</v>
      </c>
      <c r="G1929">
        <v>1928</v>
      </c>
      <c r="H1929">
        <v>2512</v>
      </c>
      <c r="I1929">
        <v>29</v>
      </c>
      <c r="J1929" t="s">
        <v>106</v>
      </c>
      <c r="K1929" t="s">
        <v>47</v>
      </c>
      <c r="L1929" t="s">
        <v>72</v>
      </c>
      <c r="M1929" t="s">
        <v>56</v>
      </c>
      <c r="N1929">
        <v>2.9</v>
      </c>
      <c r="O1929">
        <v>0</v>
      </c>
      <c r="P1929" t="s">
        <v>57</v>
      </c>
      <c r="Q1929" t="s">
        <v>155</v>
      </c>
      <c r="R1929" t="s">
        <v>155</v>
      </c>
      <c r="S1929">
        <v>8</v>
      </c>
      <c r="T1929" t="s">
        <v>36</v>
      </c>
      <c r="U1929" t="s">
        <v>100</v>
      </c>
      <c r="V1929" s="1">
        <v>45467</v>
      </c>
      <c r="W1929">
        <f>Table1[[#This Row],[customer_purchase count]]+1</f>
        <v>9</v>
      </c>
      <c r="X1929">
        <f>Table1[[#This Row],[customer_purchase count]]*Rules!$B$3</f>
        <v>478.11487179487182</v>
      </c>
      <c r="Y1929" t="str">
        <f>IF(Table1[[#This Row],[customer_subscription]]=1,"Subscribed","Not Subscribed")</f>
        <v>Not Subscribed</v>
      </c>
      <c r="Z1929" t="s">
        <v>194</v>
      </c>
    </row>
    <row r="1930" spans="1:26" x14ac:dyDescent="0.25">
      <c r="A1930">
        <v>1929</v>
      </c>
      <c r="B1930">
        <v>25</v>
      </c>
      <c r="C1930" t="s">
        <v>22</v>
      </c>
      <c r="D1930">
        <v>1929</v>
      </c>
      <c r="E1930" t="s">
        <v>92</v>
      </c>
      <c r="F1930" t="s">
        <v>70</v>
      </c>
      <c r="G1930">
        <v>1929</v>
      </c>
      <c r="H1930">
        <v>2513</v>
      </c>
      <c r="I1930">
        <v>92</v>
      </c>
      <c r="J1930" t="s">
        <v>94</v>
      </c>
      <c r="K1930" t="s">
        <v>39</v>
      </c>
      <c r="L1930" t="s">
        <v>96</v>
      </c>
      <c r="M1930" t="s">
        <v>56</v>
      </c>
      <c r="N1930">
        <v>3.7</v>
      </c>
      <c r="O1930">
        <v>0</v>
      </c>
      <c r="P1930" t="s">
        <v>57</v>
      </c>
      <c r="Q1930" t="s">
        <v>155</v>
      </c>
      <c r="R1930" t="s">
        <v>155</v>
      </c>
      <c r="S1930">
        <v>10</v>
      </c>
      <c r="T1930" t="s">
        <v>49</v>
      </c>
      <c r="U1930" t="s">
        <v>43</v>
      </c>
      <c r="V1930" s="1">
        <v>45517</v>
      </c>
      <c r="W1930">
        <f>Table1[[#This Row],[customer_purchase count]]+1</f>
        <v>11</v>
      </c>
      <c r="X1930">
        <f>Table1[[#This Row],[customer_purchase count]]*Rules!$B$3</f>
        <v>597.64358974358981</v>
      </c>
      <c r="Y1930" t="str">
        <f>IF(Table1[[#This Row],[customer_subscription]]=1,"Subscribed","Not Subscribed")</f>
        <v>Not Subscribed</v>
      </c>
      <c r="Z1930" t="s">
        <v>187</v>
      </c>
    </row>
    <row r="1931" spans="1:26" x14ac:dyDescent="0.25">
      <c r="A1931">
        <v>1930</v>
      </c>
      <c r="B1931">
        <v>59</v>
      </c>
      <c r="C1931" t="s">
        <v>22</v>
      </c>
      <c r="D1931">
        <v>1930</v>
      </c>
      <c r="E1931" t="s">
        <v>37</v>
      </c>
      <c r="F1931" t="s">
        <v>24</v>
      </c>
      <c r="G1931">
        <v>1930</v>
      </c>
      <c r="H1931">
        <v>2515</v>
      </c>
      <c r="I1931">
        <v>33</v>
      </c>
      <c r="J1931" t="s">
        <v>80</v>
      </c>
      <c r="K1931" t="s">
        <v>26</v>
      </c>
      <c r="L1931" t="s">
        <v>113</v>
      </c>
      <c r="M1931" t="s">
        <v>60</v>
      </c>
      <c r="N1931">
        <v>4.7</v>
      </c>
      <c r="O1931">
        <v>0</v>
      </c>
      <c r="P1931" t="s">
        <v>57</v>
      </c>
      <c r="Q1931" t="s">
        <v>155</v>
      </c>
      <c r="R1931" t="s">
        <v>155</v>
      </c>
      <c r="S1931">
        <v>46</v>
      </c>
      <c r="T1931" t="s">
        <v>31</v>
      </c>
      <c r="U1931" t="s">
        <v>61</v>
      </c>
      <c r="V1931" s="1">
        <v>45585</v>
      </c>
      <c r="W1931">
        <f>Table1[[#This Row],[customer_purchase count]]+1</f>
        <v>47</v>
      </c>
      <c r="X1931">
        <f>Table1[[#This Row],[customer_purchase count]]*Rules!$B$3</f>
        <v>2749.1605128205128</v>
      </c>
      <c r="Y1931" t="str">
        <f>IF(Table1[[#This Row],[customer_subscription]]=1,"Subscribed","Not Subscribed")</f>
        <v>Not Subscribed</v>
      </c>
    </row>
    <row r="1932" spans="1:26" x14ac:dyDescent="0.25">
      <c r="A1932">
        <v>1931</v>
      </c>
      <c r="B1932">
        <v>66</v>
      </c>
      <c r="C1932" t="s">
        <v>22</v>
      </c>
      <c r="D1932">
        <v>1931</v>
      </c>
      <c r="E1932" t="s">
        <v>98</v>
      </c>
      <c r="F1932" t="s">
        <v>24</v>
      </c>
      <c r="G1932">
        <v>1931</v>
      </c>
      <c r="H1932">
        <v>2516</v>
      </c>
      <c r="I1932">
        <v>52</v>
      </c>
      <c r="J1932" t="s">
        <v>101</v>
      </c>
      <c r="K1932" t="s">
        <v>26</v>
      </c>
      <c r="L1932" t="s">
        <v>51</v>
      </c>
      <c r="M1932" t="s">
        <v>40</v>
      </c>
      <c r="N1932">
        <v>3.5</v>
      </c>
      <c r="O1932">
        <v>0</v>
      </c>
      <c r="P1932" t="s">
        <v>77</v>
      </c>
      <c r="Q1932" t="s">
        <v>155</v>
      </c>
      <c r="R1932" t="s">
        <v>155</v>
      </c>
      <c r="S1932">
        <v>26</v>
      </c>
      <c r="T1932" t="s">
        <v>36</v>
      </c>
      <c r="U1932" t="s">
        <v>43</v>
      </c>
      <c r="V1932" s="1">
        <v>45366</v>
      </c>
      <c r="W1932">
        <f>Table1[[#This Row],[customer_purchase count]]+1</f>
        <v>27</v>
      </c>
      <c r="X1932">
        <f>Table1[[#This Row],[customer_purchase count]]*Rules!$B$3</f>
        <v>1553.8733333333334</v>
      </c>
      <c r="Y1932" t="str">
        <f>IF(Table1[[#This Row],[customer_subscription]]=1,"Subscribed","Not Subscribed")</f>
        <v>Not Subscribed</v>
      </c>
    </row>
    <row r="1933" spans="1:26" x14ac:dyDescent="0.25">
      <c r="A1933">
        <v>1932</v>
      </c>
      <c r="B1933">
        <v>54</v>
      </c>
      <c r="C1933" t="s">
        <v>22</v>
      </c>
      <c r="D1933">
        <v>1932</v>
      </c>
      <c r="E1933" t="s">
        <v>109</v>
      </c>
      <c r="F1933" t="s">
        <v>70</v>
      </c>
      <c r="G1933">
        <v>1932</v>
      </c>
      <c r="H1933">
        <v>2517</v>
      </c>
      <c r="I1933">
        <v>42</v>
      </c>
      <c r="J1933" t="s">
        <v>118</v>
      </c>
      <c r="K1933" t="s">
        <v>39</v>
      </c>
      <c r="L1933" t="s">
        <v>81</v>
      </c>
      <c r="M1933" t="s">
        <v>40</v>
      </c>
      <c r="N1933">
        <v>2.7</v>
      </c>
      <c r="O1933">
        <v>0</v>
      </c>
      <c r="P1933" t="s">
        <v>77</v>
      </c>
      <c r="Q1933" t="s">
        <v>155</v>
      </c>
      <c r="R1933" t="s">
        <v>155</v>
      </c>
      <c r="S1933">
        <v>6</v>
      </c>
      <c r="T1933" t="s">
        <v>89</v>
      </c>
      <c r="U1933" t="s">
        <v>100</v>
      </c>
      <c r="V1933" s="1">
        <v>45413</v>
      </c>
      <c r="W1933">
        <f>Table1[[#This Row],[customer_purchase count]]+1</f>
        <v>7</v>
      </c>
      <c r="X1933">
        <f>Table1[[#This Row],[customer_purchase count]]*Rules!$B$3</f>
        <v>358.58615384615388</v>
      </c>
      <c r="Y1933" t="str">
        <f>IF(Table1[[#This Row],[customer_subscription]]=1,"Subscribed","Not Subscribed")</f>
        <v>Not Subscribed</v>
      </c>
      <c r="Z1933" t="s">
        <v>194</v>
      </c>
    </row>
    <row r="1934" spans="1:26" x14ac:dyDescent="0.25">
      <c r="A1934">
        <v>1933</v>
      </c>
      <c r="B1934">
        <v>42</v>
      </c>
      <c r="C1934" t="s">
        <v>22</v>
      </c>
      <c r="D1934">
        <v>1933</v>
      </c>
      <c r="E1934" t="s">
        <v>107</v>
      </c>
      <c r="F1934" t="s">
        <v>24</v>
      </c>
      <c r="G1934">
        <v>1933</v>
      </c>
      <c r="H1934">
        <v>2518</v>
      </c>
      <c r="I1934">
        <v>36</v>
      </c>
      <c r="J1934" t="s">
        <v>131</v>
      </c>
      <c r="K1934" t="s">
        <v>47</v>
      </c>
      <c r="L1934" t="s">
        <v>55</v>
      </c>
      <c r="M1934" t="s">
        <v>40</v>
      </c>
      <c r="N1934">
        <v>5</v>
      </c>
      <c r="O1934">
        <v>0</v>
      </c>
      <c r="P1934" t="s">
        <v>41</v>
      </c>
      <c r="Q1934" t="s">
        <v>155</v>
      </c>
      <c r="R1934" t="s">
        <v>155</v>
      </c>
      <c r="S1934">
        <v>47</v>
      </c>
      <c r="T1934" t="s">
        <v>42</v>
      </c>
      <c r="U1934" t="s">
        <v>100</v>
      </c>
      <c r="V1934" s="1">
        <v>45419</v>
      </c>
      <c r="W1934">
        <f>Table1[[#This Row],[customer_purchase count]]+1</f>
        <v>48</v>
      </c>
      <c r="X1934">
        <f>Table1[[#This Row],[customer_purchase count]]*Rules!$B$3</f>
        <v>2808.9248717948717</v>
      </c>
      <c r="Y1934" t="str">
        <f>IF(Table1[[#This Row],[customer_subscription]]=1,"Subscribed","Not Subscribed")</f>
        <v>Not Subscribed</v>
      </c>
    </row>
    <row r="1935" spans="1:26" x14ac:dyDescent="0.25">
      <c r="A1935">
        <v>1934</v>
      </c>
      <c r="B1935">
        <v>48</v>
      </c>
      <c r="C1935" t="s">
        <v>22</v>
      </c>
      <c r="D1935">
        <v>1934</v>
      </c>
      <c r="E1935" t="s">
        <v>44</v>
      </c>
      <c r="F1935" t="s">
        <v>45</v>
      </c>
      <c r="G1935">
        <v>1934</v>
      </c>
      <c r="H1935">
        <v>2519</v>
      </c>
      <c r="I1935">
        <v>67</v>
      </c>
      <c r="J1935" t="s">
        <v>59</v>
      </c>
      <c r="K1935" t="s">
        <v>26</v>
      </c>
      <c r="L1935" t="s">
        <v>86</v>
      </c>
      <c r="M1935" t="s">
        <v>56</v>
      </c>
      <c r="N1935">
        <v>4.0999999999999996</v>
      </c>
      <c r="O1935">
        <v>0</v>
      </c>
      <c r="P1935" t="s">
        <v>48</v>
      </c>
      <c r="Q1935" t="s">
        <v>155</v>
      </c>
      <c r="R1935" t="s">
        <v>155</v>
      </c>
      <c r="S1935">
        <v>28</v>
      </c>
      <c r="T1935" t="s">
        <v>31</v>
      </c>
      <c r="U1935" t="s">
        <v>52</v>
      </c>
      <c r="V1935" s="1">
        <v>45505</v>
      </c>
      <c r="W1935">
        <f>Table1[[#This Row],[customer_purchase count]]+1</f>
        <v>29</v>
      </c>
      <c r="X1935">
        <f>Table1[[#This Row],[customer_purchase count]]*Rules!$B$3</f>
        <v>1673.4020512820514</v>
      </c>
      <c r="Y1935" t="str">
        <f>IF(Table1[[#This Row],[customer_subscription]]=1,"Subscribed","Not Subscribed")</f>
        <v>Not Subscribed</v>
      </c>
    </row>
    <row r="1936" spans="1:26" x14ac:dyDescent="0.25">
      <c r="A1936">
        <v>1935</v>
      </c>
      <c r="B1936">
        <v>34</v>
      </c>
      <c r="C1936" t="s">
        <v>22</v>
      </c>
      <c r="D1936">
        <v>1935</v>
      </c>
      <c r="E1936" t="s">
        <v>105</v>
      </c>
      <c r="F1936" t="s">
        <v>66</v>
      </c>
      <c r="G1936">
        <v>1935</v>
      </c>
      <c r="H1936">
        <v>2521</v>
      </c>
      <c r="I1936">
        <v>43</v>
      </c>
      <c r="J1936" t="s">
        <v>154</v>
      </c>
      <c r="K1936" t="s">
        <v>26</v>
      </c>
      <c r="L1936" t="s">
        <v>83</v>
      </c>
      <c r="M1936" t="s">
        <v>28</v>
      </c>
      <c r="N1936">
        <v>2.7</v>
      </c>
      <c r="O1936">
        <v>0</v>
      </c>
      <c r="P1936" t="s">
        <v>41</v>
      </c>
      <c r="Q1936" t="s">
        <v>155</v>
      </c>
      <c r="R1936" t="s">
        <v>155</v>
      </c>
      <c r="S1936">
        <v>23</v>
      </c>
      <c r="T1936" t="s">
        <v>78</v>
      </c>
      <c r="U1936" t="s">
        <v>52</v>
      </c>
      <c r="V1936" s="1">
        <v>45346</v>
      </c>
      <c r="W1936">
        <f>Table1[[#This Row],[customer_purchase count]]+1</f>
        <v>24</v>
      </c>
      <c r="X1936">
        <f>Table1[[#This Row],[customer_purchase count]]*Rules!$B$3</f>
        <v>1374.5802564102564</v>
      </c>
      <c r="Y1936" t="str">
        <f>IF(Table1[[#This Row],[customer_subscription]]=1,"Subscribed","Not Subscribed")</f>
        <v>Not Subscribed</v>
      </c>
    </row>
    <row r="1937" spans="1:26" x14ac:dyDescent="0.25">
      <c r="A1937">
        <v>1936</v>
      </c>
      <c r="B1937">
        <v>19</v>
      </c>
      <c r="C1937" t="s">
        <v>22</v>
      </c>
      <c r="D1937">
        <v>1936</v>
      </c>
      <c r="E1937" t="s">
        <v>23</v>
      </c>
      <c r="F1937" t="s">
        <v>24</v>
      </c>
      <c r="G1937">
        <v>1936</v>
      </c>
      <c r="H1937">
        <v>2522</v>
      </c>
      <c r="I1937">
        <v>68</v>
      </c>
      <c r="J1937" t="s">
        <v>101</v>
      </c>
      <c r="K1937" t="s">
        <v>95</v>
      </c>
      <c r="L1937" t="s">
        <v>86</v>
      </c>
      <c r="M1937" t="s">
        <v>40</v>
      </c>
      <c r="N1937">
        <v>4.8</v>
      </c>
      <c r="O1937">
        <v>0</v>
      </c>
      <c r="P1937" t="s">
        <v>41</v>
      </c>
      <c r="Q1937" t="s">
        <v>155</v>
      </c>
      <c r="R1937" t="s">
        <v>155</v>
      </c>
      <c r="S1937">
        <v>45</v>
      </c>
      <c r="T1937" t="s">
        <v>36</v>
      </c>
      <c r="U1937" t="s">
        <v>32</v>
      </c>
      <c r="V1937" s="1">
        <v>45406</v>
      </c>
      <c r="W1937">
        <f>Table1[[#This Row],[customer_purchase count]]+1</f>
        <v>46</v>
      </c>
      <c r="X1937">
        <f>Table1[[#This Row],[customer_purchase count]]*Rules!$B$3</f>
        <v>2689.396153846154</v>
      </c>
      <c r="Y1937" t="str">
        <f>IF(Table1[[#This Row],[customer_subscription]]=1,"Subscribed","Not Subscribed")</f>
        <v>Not Subscribed</v>
      </c>
    </row>
    <row r="1938" spans="1:26" x14ac:dyDescent="0.25">
      <c r="A1938">
        <v>1937</v>
      </c>
      <c r="B1938">
        <v>70</v>
      </c>
      <c r="C1938" t="s">
        <v>22</v>
      </c>
      <c r="D1938">
        <v>1937</v>
      </c>
      <c r="E1938" t="s">
        <v>109</v>
      </c>
      <c r="F1938" t="s">
        <v>70</v>
      </c>
      <c r="G1938">
        <v>1937</v>
      </c>
      <c r="H1938">
        <v>2523</v>
      </c>
      <c r="I1938">
        <v>60</v>
      </c>
      <c r="J1938" t="s">
        <v>151</v>
      </c>
      <c r="K1938" t="s">
        <v>39</v>
      </c>
      <c r="L1938" t="s">
        <v>88</v>
      </c>
      <c r="M1938" t="s">
        <v>56</v>
      </c>
      <c r="N1938">
        <v>4.3</v>
      </c>
      <c r="O1938">
        <v>0</v>
      </c>
      <c r="P1938" t="s">
        <v>73</v>
      </c>
      <c r="Q1938" t="s">
        <v>155</v>
      </c>
      <c r="R1938" t="s">
        <v>155</v>
      </c>
      <c r="S1938">
        <v>44</v>
      </c>
      <c r="T1938" t="s">
        <v>49</v>
      </c>
      <c r="U1938" t="s">
        <v>100</v>
      </c>
      <c r="V1938" s="1">
        <v>45479</v>
      </c>
      <c r="W1938">
        <f>Table1[[#This Row],[customer_purchase count]]+1</f>
        <v>45</v>
      </c>
      <c r="X1938">
        <f>Table1[[#This Row],[customer_purchase count]]*Rules!$B$3</f>
        <v>2629.6317948717951</v>
      </c>
      <c r="Y1938" t="str">
        <f>IF(Table1[[#This Row],[customer_subscription]]=1,"Subscribed","Not Subscribed")</f>
        <v>Not Subscribed</v>
      </c>
    </row>
    <row r="1939" spans="1:26" x14ac:dyDescent="0.25">
      <c r="A1939">
        <v>1938</v>
      </c>
      <c r="B1939">
        <v>43</v>
      </c>
      <c r="C1939" t="s">
        <v>22</v>
      </c>
      <c r="D1939">
        <v>1938</v>
      </c>
      <c r="E1939" t="s">
        <v>128</v>
      </c>
      <c r="F1939" t="s">
        <v>24</v>
      </c>
      <c r="G1939">
        <v>1938</v>
      </c>
      <c r="H1939">
        <v>2524</v>
      </c>
      <c r="I1939">
        <v>53</v>
      </c>
      <c r="J1939" t="s">
        <v>82</v>
      </c>
      <c r="K1939" t="s">
        <v>47</v>
      </c>
      <c r="L1939" t="s">
        <v>81</v>
      </c>
      <c r="M1939" t="s">
        <v>56</v>
      </c>
      <c r="N1939">
        <v>4.5</v>
      </c>
      <c r="O1939">
        <v>0</v>
      </c>
      <c r="P1939" t="s">
        <v>73</v>
      </c>
      <c r="Q1939" t="s">
        <v>155</v>
      </c>
      <c r="R1939" t="s">
        <v>155</v>
      </c>
      <c r="S1939">
        <v>11</v>
      </c>
      <c r="T1939" t="s">
        <v>78</v>
      </c>
      <c r="U1939" t="s">
        <v>91</v>
      </c>
      <c r="V1939" s="1">
        <v>45481</v>
      </c>
      <c r="W1939">
        <f>Table1[[#This Row],[customer_purchase count]]+1</f>
        <v>12</v>
      </c>
      <c r="X1939">
        <f>Table1[[#This Row],[customer_purchase count]]*Rules!$B$3</f>
        <v>657.40794871794878</v>
      </c>
      <c r="Y1939" t="str">
        <f>IF(Table1[[#This Row],[customer_subscription]]=1,"Subscribed","Not Subscribed")</f>
        <v>Not Subscribed</v>
      </c>
      <c r="Z1939" t="s">
        <v>194</v>
      </c>
    </row>
    <row r="1940" spans="1:26" x14ac:dyDescent="0.25">
      <c r="A1940">
        <v>1939</v>
      </c>
      <c r="B1940">
        <v>46</v>
      </c>
      <c r="C1940" t="s">
        <v>22</v>
      </c>
      <c r="D1940">
        <v>1939</v>
      </c>
      <c r="E1940" t="s">
        <v>37</v>
      </c>
      <c r="F1940" t="s">
        <v>24</v>
      </c>
      <c r="G1940">
        <v>1939</v>
      </c>
      <c r="H1940">
        <v>2525</v>
      </c>
      <c r="I1940">
        <v>23</v>
      </c>
      <c r="J1940" t="s">
        <v>25</v>
      </c>
      <c r="K1940" t="s">
        <v>26</v>
      </c>
      <c r="L1940" t="s">
        <v>147</v>
      </c>
      <c r="M1940" t="s">
        <v>40</v>
      </c>
      <c r="N1940">
        <v>3.8</v>
      </c>
      <c r="O1940">
        <v>0</v>
      </c>
      <c r="P1940" t="s">
        <v>57</v>
      </c>
      <c r="Q1940" t="s">
        <v>155</v>
      </c>
      <c r="R1940" t="s">
        <v>155</v>
      </c>
      <c r="S1940">
        <v>39</v>
      </c>
      <c r="T1940" t="s">
        <v>89</v>
      </c>
      <c r="U1940" t="s">
        <v>79</v>
      </c>
      <c r="V1940" s="1">
        <v>45372</v>
      </c>
      <c r="W1940">
        <f>Table1[[#This Row],[customer_purchase count]]+1</f>
        <v>40</v>
      </c>
      <c r="X1940">
        <f>Table1[[#This Row],[customer_purchase count]]*Rules!$B$3</f>
        <v>2330.81</v>
      </c>
      <c r="Y1940" t="str">
        <f>IF(Table1[[#This Row],[customer_subscription]]=1,"Subscribed","Not Subscribed")</f>
        <v>Not Subscribed</v>
      </c>
    </row>
    <row r="1941" spans="1:26" x14ac:dyDescent="0.25">
      <c r="A1941">
        <v>1940</v>
      </c>
      <c r="B1941">
        <v>66</v>
      </c>
      <c r="C1941" t="s">
        <v>22</v>
      </c>
      <c r="D1941">
        <v>1940</v>
      </c>
      <c r="E1941" t="s">
        <v>146</v>
      </c>
      <c r="F1941" t="s">
        <v>70</v>
      </c>
      <c r="G1941">
        <v>1940</v>
      </c>
      <c r="H1941">
        <v>2527</v>
      </c>
      <c r="I1941">
        <v>57</v>
      </c>
      <c r="J1941" t="s">
        <v>126</v>
      </c>
      <c r="K1941" t="s">
        <v>26</v>
      </c>
      <c r="L1941" t="s">
        <v>139</v>
      </c>
      <c r="M1941" t="s">
        <v>28</v>
      </c>
      <c r="N1941">
        <v>3.7</v>
      </c>
      <c r="O1941">
        <v>0</v>
      </c>
      <c r="P1941" t="s">
        <v>77</v>
      </c>
      <c r="Q1941" t="s">
        <v>155</v>
      </c>
      <c r="R1941" t="s">
        <v>155</v>
      </c>
      <c r="S1941">
        <v>20</v>
      </c>
      <c r="T1941" t="s">
        <v>49</v>
      </c>
      <c r="U1941" t="s">
        <v>100</v>
      </c>
      <c r="V1941" s="1">
        <v>45644</v>
      </c>
      <c r="W1941">
        <f>Table1[[#This Row],[customer_purchase count]]+1</f>
        <v>21</v>
      </c>
      <c r="X1941">
        <f>Table1[[#This Row],[customer_purchase count]]*Rules!$B$3</f>
        <v>1195.2871794871796</v>
      </c>
      <c r="Y1941" t="str">
        <f>IF(Table1[[#This Row],[customer_subscription]]=1,"Subscribed","Not Subscribed")</f>
        <v>Not Subscribed</v>
      </c>
    </row>
    <row r="1942" spans="1:26" x14ac:dyDescent="0.25">
      <c r="A1942">
        <v>1941</v>
      </c>
      <c r="B1942">
        <v>50</v>
      </c>
      <c r="C1942" t="s">
        <v>22</v>
      </c>
      <c r="D1942">
        <v>1941</v>
      </c>
      <c r="E1942" t="s">
        <v>127</v>
      </c>
      <c r="F1942" t="s">
        <v>70</v>
      </c>
      <c r="G1942">
        <v>1941</v>
      </c>
      <c r="H1942">
        <v>2528</v>
      </c>
      <c r="I1942">
        <v>89</v>
      </c>
      <c r="J1942" t="s">
        <v>123</v>
      </c>
      <c r="K1942" t="s">
        <v>26</v>
      </c>
      <c r="L1942" t="s">
        <v>27</v>
      </c>
      <c r="M1942" t="s">
        <v>60</v>
      </c>
      <c r="N1942">
        <v>3.9</v>
      </c>
      <c r="O1942">
        <v>0</v>
      </c>
      <c r="P1942" t="s">
        <v>73</v>
      </c>
      <c r="Q1942" t="s">
        <v>155</v>
      </c>
      <c r="R1942" t="s">
        <v>155</v>
      </c>
      <c r="S1942">
        <v>48</v>
      </c>
      <c r="T1942" t="s">
        <v>49</v>
      </c>
      <c r="U1942" t="s">
        <v>32</v>
      </c>
      <c r="V1942" s="1">
        <v>45598</v>
      </c>
      <c r="W1942">
        <f>Table1[[#This Row],[customer_purchase count]]+1</f>
        <v>49</v>
      </c>
      <c r="X1942">
        <f>Table1[[#This Row],[customer_purchase count]]*Rules!$B$3</f>
        <v>2868.689230769231</v>
      </c>
      <c r="Y1942" t="str">
        <f>IF(Table1[[#This Row],[customer_subscription]]=1,"Subscribed","Not Subscribed")</f>
        <v>Not Subscribed</v>
      </c>
    </row>
    <row r="1943" spans="1:26" x14ac:dyDescent="0.25">
      <c r="A1943">
        <v>1942</v>
      </c>
      <c r="B1943">
        <v>55</v>
      </c>
      <c r="C1943" t="s">
        <v>22</v>
      </c>
      <c r="D1943">
        <v>1942</v>
      </c>
      <c r="E1943" t="s">
        <v>74</v>
      </c>
      <c r="F1943" t="s">
        <v>45</v>
      </c>
      <c r="G1943">
        <v>1942</v>
      </c>
      <c r="H1943">
        <v>2529</v>
      </c>
      <c r="I1943">
        <v>99</v>
      </c>
      <c r="J1943" t="s">
        <v>132</v>
      </c>
      <c r="K1943" t="s">
        <v>95</v>
      </c>
      <c r="L1943" t="s">
        <v>103</v>
      </c>
      <c r="M1943" t="s">
        <v>28</v>
      </c>
      <c r="N1943">
        <v>3.3</v>
      </c>
      <c r="O1943">
        <v>0</v>
      </c>
      <c r="P1943" t="s">
        <v>57</v>
      </c>
      <c r="Q1943" t="s">
        <v>155</v>
      </c>
      <c r="R1943" t="s">
        <v>155</v>
      </c>
      <c r="S1943">
        <v>46</v>
      </c>
      <c r="T1943" t="s">
        <v>42</v>
      </c>
      <c r="U1943" t="s">
        <v>61</v>
      </c>
      <c r="V1943" s="1">
        <v>45332</v>
      </c>
      <c r="W1943">
        <f>Table1[[#This Row],[customer_purchase count]]+1</f>
        <v>47</v>
      </c>
      <c r="X1943">
        <f>Table1[[#This Row],[customer_purchase count]]*Rules!$B$3</f>
        <v>2749.1605128205128</v>
      </c>
      <c r="Y1943" t="str">
        <f>IF(Table1[[#This Row],[customer_subscription]]=1,"Subscribed","Not Subscribed")</f>
        <v>Not Subscribed</v>
      </c>
    </row>
    <row r="1944" spans="1:26" x14ac:dyDescent="0.25">
      <c r="A1944">
        <v>1943</v>
      </c>
      <c r="B1944">
        <v>63</v>
      </c>
      <c r="C1944" t="s">
        <v>22</v>
      </c>
      <c r="D1944">
        <v>1943</v>
      </c>
      <c r="E1944" t="s">
        <v>98</v>
      </c>
      <c r="F1944" t="s">
        <v>24</v>
      </c>
      <c r="G1944">
        <v>1943</v>
      </c>
      <c r="H1944">
        <v>2530</v>
      </c>
      <c r="I1944">
        <v>28</v>
      </c>
      <c r="J1944" t="s">
        <v>93</v>
      </c>
      <c r="K1944" t="s">
        <v>47</v>
      </c>
      <c r="L1944" t="s">
        <v>112</v>
      </c>
      <c r="M1944" t="s">
        <v>60</v>
      </c>
      <c r="N1944">
        <v>3.4</v>
      </c>
      <c r="O1944">
        <v>0</v>
      </c>
      <c r="P1944" t="s">
        <v>29</v>
      </c>
      <c r="Q1944" t="s">
        <v>155</v>
      </c>
      <c r="R1944" t="s">
        <v>155</v>
      </c>
      <c r="S1944">
        <v>22</v>
      </c>
      <c r="T1944" t="s">
        <v>49</v>
      </c>
      <c r="U1944" t="s">
        <v>91</v>
      </c>
      <c r="V1944" s="1">
        <v>45563</v>
      </c>
      <c r="W1944">
        <f>Table1[[#This Row],[customer_purchase count]]+1</f>
        <v>23</v>
      </c>
      <c r="X1944">
        <f>Table1[[#This Row],[customer_purchase count]]*Rules!$B$3</f>
        <v>1314.8158974358976</v>
      </c>
      <c r="Y1944" t="str">
        <f>IF(Table1[[#This Row],[customer_subscription]]=1,"Subscribed","Not Subscribed")</f>
        <v>Not Subscribed</v>
      </c>
    </row>
    <row r="1945" spans="1:26" x14ac:dyDescent="0.25">
      <c r="A1945">
        <v>1944</v>
      </c>
      <c r="B1945">
        <v>32</v>
      </c>
      <c r="C1945" t="s">
        <v>22</v>
      </c>
      <c r="D1945">
        <v>1944</v>
      </c>
      <c r="E1945" t="s">
        <v>128</v>
      </c>
      <c r="F1945" t="s">
        <v>24</v>
      </c>
      <c r="G1945">
        <v>1944</v>
      </c>
      <c r="H1945">
        <v>2531</v>
      </c>
      <c r="I1945">
        <v>53</v>
      </c>
      <c r="J1945" t="s">
        <v>153</v>
      </c>
      <c r="K1945" t="s">
        <v>26</v>
      </c>
      <c r="L1945" t="s">
        <v>86</v>
      </c>
      <c r="M1945" t="s">
        <v>56</v>
      </c>
      <c r="N1945">
        <v>3.8</v>
      </c>
      <c r="O1945">
        <v>0</v>
      </c>
      <c r="P1945" t="s">
        <v>48</v>
      </c>
      <c r="Q1945" t="s">
        <v>155</v>
      </c>
      <c r="R1945" t="s">
        <v>155</v>
      </c>
      <c r="S1945">
        <v>45</v>
      </c>
      <c r="T1945" t="s">
        <v>36</v>
      </c>
      <c r="U1945" t="s">
        <v>52</v>
      </c>
      <c r="V1945" s="1">
        <v>45482</v>
      </c>
      <c r="W1945">
        <f>Table1[[#This Row],[customer_purchase count]]+1</f>
        <v>46</v>
      </c>
      <c r="X1945">
        <f>Table1[[#This Row],[customer_purchase count]]*Rules!$B$3</f>
        <v>2689.396153846154</v>
      </c>
      <c r="Y1945" t="str">
        <f>IF(Table1[[#This Row],[customer_subscription]]=1,"Subscribed","Not Subscribed")</f>
        <v>Not Subscribed</v>
      </c>
    </row>
    <row r="1946" spans="1:26" x14ac:dyDescent="0.25">
      <c r="A1946">
        <v>1945</v>
      </c>
      <c r="B1946">
        <v>30</v>
      </c>
      <c r="C1946" t="s">
        <v>22</v>
      </c>
      <c r="D1946">
        <v>1945</v>
      </c>
      <c r="E1946" t="s">
        <v>107</v>
      </c>
      <c r="F1946" t="s">
        <v>24</v>
      </c>
      <c r="G1946">
        <v>1945</v>
      </c>
      <c r="H1946">
        <v>2533</v>
      </c>
      <c r="I1946">
        <v>45</v>
      </c>
      <c r="J1946" t="s">
        <v>75</v>
      </c>
      <c r="K1946" t="s">
        <v>47</v>
      </c>
      <c r="L1946" t="s">
        <v>83</v>
      </c>
      <c r="M1946" t="s">
        <v>28</v>
      </c>
      <c r="N1946">
        <v>2.7</v>
      </c>
      <c r="O1946">
        <v>0</v>
      </c>
      <c r="P1946" t="s">
        <v>41</v>
      </c>
      <c r="Q1946" t="s">
        <v>155</v>
      </c>
      <c r="R1946" t="s">
        <v>155</v>
      </c>
      <c r="S1946">
        <v>49</v>
      </c>
      <c r="T1946" t="s">
        <v>36</v>
      </c>
      <c r="U1946" t="s">
        <v>100</v>
      </c>
      <c r="V1946" s="1">
        <v>45296</v>
      </c>
      <c r="W1946">
        <f>Table1[[#This Row],[customer_purchase count]]+1</f>
        <v>50</v>
      </c>
      <c r="X1946">
        <f>Table1[[#This Row],[customer_purchase count]]*Rules!$B$3</f>
        <v>2928.4535897435899</v>
      </c>
      <c r="Y1946" t="str">
        <f>IF(Table1[[#This Row],[customer_subscription]]=1,"Subscribed","Not Subscribed")</f>
        <v>Not Subscribed</v>
      </c>
    </row>
    <row r="1947" spans="1:26" x14ac:dyDescent="0.25">
      <c r="A1947">
        <v>1946</v>
      </c>
      <c r="B1947">
        <v>35</v>
      </c>
      <c r="C1947" t="s">
        <v>22</v>
      </c>
      <c r="D1947">
        <v>1946</v>
      </c>
      <c r="E1947" t="s">
        <v>107</v>
      </c>
      <c r="F1947" t="s">
        <v>24</v>
      </c>
      <c r="G1947">
        <v>1946</v>
      </c>
      <c r="H1947">
        <v>2534</v>
      </c>
      <c r="I1947">
        <v>38</v>
      </c>
      <c r="J1947" t="s">
        <v>145</v>
      </c>
      <c r="K1947" t="s">
        <v>47</v>
      </c>
      <c r="L1947" t="s">
        <v>83</v>
      </c>
      <c r="M1947" t="s">
        <v>28</v>
      </c>
      <c r="N1947">
        <v>2.9</v>
      </c>
      <c r="O1947">
        <v>0</v>
      </c>
      <c r="P1947" t="s">
        <v>73</v>
      </c>
      <c r="Q1947" t="s">
        <v>155</v>
      </c>
      <c r="R1947" t="s">
        <v>155</v>
      </c>
      <c r="S1947">
        <v>9</v>
      </c>
      <c r="T1947" t="s">
        <v>42</v>
      </c>
      <c r="U1947" t="s">
        <v>100</v>
      </c>
      <c r="V1947" s="1">
        <v>45324</v>
      </c>
      <c r="W1947">
        <f>Table1[[#This Row],[customer_purchase count]]+1</f>
        <v>10</v>
      </c>
      <c r="X1947">
        <f>Table1[[#This Row],[customer_purchase count]]*Rules!$B$3</f>
        <v>537.87923076923084</v>
      </c>
      <c r="Y1947" t="str">
        <f>IF(Table1[[#This Row],[customer_subscription]]=1,"Subscribed","Not Subscribed")</f>
        <v>Not Subscribed</v>
      </c>
      <c r="Z1947" t="s">
        <v>194</v>
      </c>
    </row>
    <row r="1948" spans="1:26" x14ac:dyDescent="0.25">
      <c r="A1948">
        <v>1947</v>
      </c>
      <c r="B1948">
        <v>59</v>
      </c>
      <c r="C1948" t="s">
        <v>22</v>
      </c>
      <c r="D1948">
        <v>1947</v>
      </c>
      <c r="E1948" t="s">
        <v>98</v>
      </c>
      <c r="F1948" t="s">
        <v>24</v>
      </c>
      <c r="G1948">
        <v>1947</v>
      </c>
      <c r="H1948">
        <v>2535</v>
      </c>
      <c r="I1948">
        <v>49</v>
      </c>
      <c r="J1948" t="s">
        <v>63</v>
      </c>
      <c r="K1948" t="s">
        <v>47</v>
      </c>
      <c r="L1948" t="s">
        <v>55</v>
      </c>
      <c r="M1948" t="s">
        <v>56</v>
      </c>
      <c r="N1948">
        <v>4.5</v>
      </c>
      <c r="O1948">
        <v>0</v>
      </c>
      <c r="P1948" t="s">
        <v>57</v>
      </c>
      <c r="Q1948" t="s">
        <v>155</v>
      </c>
      <c r="R1948" t="s">
        <v>155</v>
      </c>
      <c r="S1948">
        <v>41</v>
      </c>
      <c r="T1948" t="s">
        <v>42</v>
      </c>
      <c r="U1948" t="s">
        <v>61</v>
      </c>
      <c r="V1948" s="1">
        <v>45517</v>
      </c>
      <c r="W1948">
        <f>Table1[[#This Row],[customer_purchase count]]+1</f>
        <v>42</v>
      </c>
      <c r="X1948">
        <f>Table1[[#This Row],[customer_purchase count]]*Rules!$B$3</f>
        <v>2450.3387179487181</v>
      </c>
      <c r="Y1948" t="str">
        <f>IF(Table1[[#This Row],[customer_subscription]]=1,"Subscribed","Not Subscribed")</f>
        <v>Not Subscribed</v>
      </c>
    </row>
    <row r="1949" spans="1:26" x14ac:dyDescent="0.25">
      <c r="A1949">
        <v>1948</v>
      </c>
      <c r="B1949">
        <v>59</v>
      </c>
      <c r="C1949" t="s">
        <v>22</v>
      </c>
      <c r="D1949">
        <v>1948</v>
      </c>
      <c r="E1949" t="s">
        <v>58</v>
      </c>
      <c r="F1949" t="s">
        <v>24</v>
      </c>
      <c r="G1949">
        <v>1948</v>
      </c>
      <c r="H1949">
        <v>2536</v>
      </c>
      <c r="I1949">
        <v>32</v>
      </c>
      <c r="J1949" t="s">
        <v>87</v>
      </c>
      <c r="K1949" t="s">
        <v>47</v>
      </c>
      <c r="L1949" t="s">
        <v>27</v>
      </c>
      <c r="M1949" t="s">
        <v>56</v>
      </c>
      <c r="N1949">
        <v>2.6</v>
      </c>
      <c r="O1949">
        <v>0</v>
      </c>
      <c r="P1949" t="s">
        <v>77</v>
      </c>
      <c r="Q1949" t="s">
        <v>155</v>
      </c>
      <c r="R1949" t="s">
        <v>155</v>
      </c>
      <c r="S1949">
        <v>2</v>
      </c>
      <c r="T1949" t="s">
        <v>49</v>
      </c>
      <c r="U1949" t="s">
        <v>91</v>
      </c>
      <c r="V1949" s="1">
        <v>45508</v>
      </c>
      <c r="W1949">
        <f>Table1[[#This Row],[customer_purchase count]]+1</f>
        <v>3</v>
      </c>
      <c r="X1949">
        <f>Table1[[#This Row],[customer_purchase count]]*Rules!$B$3</f>
        <v>119.52871794871795</v>
      </c>
      <c r="Y1949" t="str">
        <f>IF(Table1[[#This Row],[customer_subscription]]=1,"Subscribed","Not Subscribed")</f>
        <v>Not Subscribed</v>
      </c>
      <c r="Z1949" t="s">
        <v>194</v>
      </c>
    </row>
    <row r="1950" spans="1:26" x14ac:dyDescent="0.25">
      <c r="A1950">
        <v>1949</v>
      </c>
      <c r="B1950">
        <v>54</v>
      </c>
      <c r="C1950" t="s">
        <v>22</v>
      </c>
      <c r="D1950">
        <v>1949</v>
      </c>
      <c r="E1950" t="s">
        <v>116</v>
      </c>
      <c r="F1950" t="s">
        <v>24</v>
      </c>
      <c r="G1950">
        <v>1949</v>
      </c>
      <c r="H1950">
        <v>2537</v>
      </c>
      <c r="I1950">
        <v>37</v>
      </c>
      <c r="J1950" t="s">
        <v>142</v>
      </c>
      <c r="K1950" t="s">
        <v>26</v>
      </c>
      <c r="L1950" t="s">
        <v>113</v>
      </c>
      <c r="M1950" t="s">
        <v>28</v>
      </c>
      <c r="N1950">
        <v>3.1</v>
      </c>
      <c r="O1950">
        <v>0</v>
      </c>
      <c r="P1950" t="s">
        <v>48</v>
      </c>
      <c r="Q1950" t="s">
        <v>155</v>
      </c>
      <c r="R1950" t="s">
        <v>155</v>
      </c>
      <c r="S1950">
        <v>39</v>
      </c>
      <c r="T1950" t="s">
        <v>49</v>
      </c>
      <c r="U1950" t="s">
        <v>79</v>
      </c>
      <c r="V1950" s="1">
        <v>45330</v>
      </c>
      <c r="W1950">
        <f>Table1[[#This Row],[customer_purchase count]]+1</f>
        <v>40</v>
      </c>
      <c r="X1950">
        <f>Table1[[#This Row],[customer_purchase count]]*Rules!$B$3</f>
        <v>2330.81</v>
      </c>
      <c r="Y1950" t="str">
        <f>IF(Table1[[#This Row],[customer_subscription]]=1,"Subscribed","Not Subscribed")</f>
        <v>Not Subscribed</v>
      </c>
    </row>
    <row r="1951" spans="1:26" x14ac:dyDescent="0.25">
      <c r="A1951">
        <v>1950</v>
      </c>
      <c r="B1951">
        <v>63</v>
      </c>
      <c r="C1951" t="s">
        <v>22</v>
      </c>
      <c r="D1951">
        <v>1950</v>
      </c>
      <c r="E1951" t="s">
        <v>84</v>
      </c>
      <c r="F1951" t="s">
        <v>24</v>
      </c>
      <c r="G1951">
        <v>1950</v>
      </c>
      <c r="H1951">
        <v>2539</v>
      </c>
      <c r="I1951">
        <v>80</v>
      </c>
      <c r="J1951" t="s">
        <v>148</v>
      </c>
      <c r="K1951" t="s">
        <v>26</v>
      </c>
      <c r="L1951" t="s">
        <v>27</v>
      </c>
      <c r="M1951" t="s">
        <v>28</v>
      </c>
      <c r="N1951">
        <v>4.7</v>
      </c>
      <c r="O1951">
        <v>0</v>
      </c>
      <c r="P1951" t="s">
        <v>77</v>
      </c>
      <c r="Q1951" t="s">
        <v>155</v>
      </c>
      <c r="R1951" t="s">
        <v>155</v>
      </c>
      <c r="S1951">
        <v>12</v>
      </c>
      <c r="T1951" t="s">
        <v>49</v>
      </c>
      <c r="U1951" t="s">
        <v>61</v>
      </c>
      <c r="V1951" s="1">
        <v>45324</v>
      </c>
      <c r="W1951">
        <f>Table1[[#This Row],[customer_purchase count]]+1</f>
        <v>13</v>
      </c>
      <c r="X1951">
        <f>Table1[[#This Row],[customer_purchase count]]*Rules!$B$3</f>
        <v>717.17230769230775</v>
      </c>
      <c r="Y1951" t="str">
        <f>IF(Table1[[#This Row],[customer_subscription]]=1,"Subscribed","Not Subscribed")</f>
        <v>Not Subscribed</v>
      </c>
      <c r="Z1951" t="s">
        <v>194</v>
      </c>
    </row>
    <row r="1952" spans="1:26" x14ac:dyDescent="0.25">
      <c r="A1952">
        <v>1951</v>
      </c>
      <c r="B1952">
        <v>43</v>
      </c>
      <c r="C1952" t="s">
        <v>22</v>
      </c>
      <c r="D1952">
        <v>1951</v>
      </c>
      <c r="E1952" t="s">
        <v>135</v>
      </c>
      <c r="F1952" t="s">
        <v>70</v>
      </c>
      <c r="G1952">
        <v>1951</v>
      </c>
      <c r="H1952">
        <v>2540</v>
      </c>
      <c r="I1952">
        <v>78</v>
      </c>
      <c r="J1952" t="s">
        <v>75</v>
      </c>
      <c r="K1952" t="s">
        <v>26</v>
      </c>
      <c r="L1952" t="s">
        <v>147</v>
      </c>
      <c r="M1952" t="s">
        <v>56</v>
      </c>
      <c r="N1952">
        <v>4.5999999999999996</v>
      </c>
      <c r="O1952">
        <v>0</v>
      </c>
      <c r="P1952" t="s">
        <v>41</v>
      </c>
      <c r="Q1952" t="s">
        <v>155</v>
      </c>
      <c r="R1952" t="s">
        <v>155</v>
      </c>
      <c r="S1952">
        <v>26</v>
      </c>
      <c r="T1952" t="s">
        <v>49</v>
      </c>
      <c r="U1952" t="s">
        <v>100</v>
      </c>
      <c r="V1952" s="1">
        <v>45506</v>
      </c>
      <c r="W1952">
        <f>Table1[[#This Row],[customer_purchase count]]+1</f>
        <v>27</v>
      </c>
      <c r="X1952">
        <f>Table1[[#This Row],[customer_purchase count]]*Rules!$B$3</f>
        <v>1553.8733333333334</v>
      </c>
      <c r="Y1952" t="str">
        <f>IF(Table1[[#This Row],[customer_subscription]]=1,"Subscribed","Not Subscribed")</f>
        <v>Not Subscribed</v>
      </c>
    </row>
    <row r="1953" spans="1:26" x14ac:dyDescent="0.25">
      <c r="A1953">
        <v>1952</v>
      </c>
      <c r="B1953">
        <v>33</v>
      </c>
      <c r="C1953" t="s">
        <v>22</v>
      </c>
      <c r="D1953">
        <v>1952</v>
      </c>
      <c r="E1953" t="s">
        <v>146</v>
      </c>
      <c r="F1953" t="s">
        <v>70</v>
      </c>
      <c r="G1953">
        <v>1952</v>
      </c>
      <c r="H1953">
        <v>2541</v>
      </c>
      <c r="I1953">
        <v>53</v>
      </c>
      <c r="J1953" t="s">
        <v>142</v>
      </c>
      <c r="K1953" t="s">
        <v>26</v>
      </c>
      <c r="L1953" t="s">
        <v>83</v>
      </c>
      <c r="M1953" t="s">
        <v>56</v>
      </c>
      <c r="N1953">
        <v>2.7</v>
      </c>
      <c r="O1953">
        <v>0</v>
      </c>
      <c r="P1953" t="s">
        <v>48</v>
      </c>
      <c r="Q1953" t="s">
        <v>155</v>
      </c>
      <c r="R1953" t="s">
        <v>155</v>
      </c>
      <c r="S1953">
        <v>32</v>
      </c>
      <c r="T1953" t="s">
        <v>78</v>
      </c>
      <c r="U1953" t="s">
        <v>79</v>
      </c>
      <c r="V1953" s="1">
        <v>45512</v>
      </c>
      <c r="W1953">
        <f>Table1[[#This Row],[customer_purchase count]]+1</f>
        <v>33</v>
      </c>
      <c r="X1953">
        <f>Table1[[#This Row],[customer_purchase count]]*Rules!$B$3</f>
        <v>1912.4594871794873</v>
      </c>
      <c r="Y1953" t="str">
        <f>IF(Table1[[#This Row],[customer_subscription]]=1,"Subscribed","Not Subscribed")</f>
        <v>Not Subscribed</v>
      </c>
    </row>
    <row r="1954" spans="1:26" x14ac:dyDescent="0.25">
      <c r="A1954">
        <v>1953</v>
      </c>
      <c r="B1954">
        <v>57</v>
      </c>
      <c r="C1954" t="s">
        <v>22</v>
      </c>
      <c r="D1954">
        <v>1953</v>
      </c>
      <c r="E1954" t="s">
        <v>74</v>
      </c>
      <c r="F1954" t="s">
        <v>45</v>
      </c>
      <c r="G1954">
        <v>1953</v>
      </c>
      <c r="H1954">
        <v>2542</v>
      </c>
      <c r="I1954">
        <v>82</v>
      </c>
      <c r="J1954" t="s">
        <v>131</v>
      </c>
      <c r="K1954" t="s">
        <v>26</v>
      </c>
      <c r="L1954" t="s">
        <v>137</v>
      </c>
      <c r="M1954" t="s">
        <v>56</v>
      </c>
      <c r="N1954">
        <v>4.5999999999999996</v>
      </c>
      <c r="O1954">
        <v>0</v>
      </c>
      <c r="P1954" t="s">
        <v>73</v>
      </c>
      <c r="Q1954" t="s">
        <v>155</v>
      </c>
      <c r="R1954" t="s">
        <v>155</v>
      </c>
      <c r="S1954">
        <v>50</v>
      </c>
      <c r="T1954" t="s">
        <v>36</v>
      </c>
      <c r="U1954" t="s">
        <v>79</v>
      </c>
      <c r="V1954" s="1">
        <v>45507</v>
      </c>
      <c r="W1954">
        <f>Table1[[#This Row],[customer_purchase count]]+1</f>
        <v>51</v>
      </c>
      <c r="X1954">
        <f>Table1[[#This Row],[customer_purchase count]]*Rules!$B$3</f>
        <v>2988.2179487179487</v>
      </c>
      <c r="Y1954" t="str">
        <f>IF(Table1[[#This Row],[customer_subscription]]=1,"Subscribed","Not Subscribed")</f>
        <v>Not Subscribed</v>
      </c>
    </row>
    <row r="1955" spans="1:26" x14ac:dyDescent="0.25">
      <c r="A1955">
        <v>1954</v>
      </c>
      <c r="B1955">
        <v>25</v>
      </c>
      <c r="C1955" t="s">
        <v>22</v>
      </c>
      <c r="D1955">
        <v>1954</v>
      </c>
      <c r="E1955" t="s">
        <v>90</v>
      </c>
      <c r="F1955" t="s">
        <v>24</v>
      </c>
      <c r="G1955">
        <v>1954</v>
      </c>
      <c r="H1955">
        <v>2543</v>
      </c>
      <c r="I1955">
        <v>33</v>
      </c>
      <c r="J1955" t="s">
        <v>115</v>
      </c>
      <c r="K1955" t="s">
        <v>95</v>
      </c>
      <c r="L1955" t="s">
        <v>99</v>
      </c>
      <c r="M1955" t="s">
        <v>40</v>
      </c>
      <c r="N1955">
        <v>4.8</v>
      </c>
      <c r="O1955">
        <v>0</v>
      </c>
      <c r="P1955" t="s">
        <v>57</v>
      </c>
      <c r="Q1955" t="s">
        <v>155</v>
      </c>
      <c r="R1955" t="s">
        <v>155</v>
      </c>
      <c r="S1955">
        <v>3</v>
      </c>
      <c r="T1955" t="s">
        <v>49</v>
      </c>
      <c r="U1955" t="s">
        <v>32</v>
      </c>
      <c r="V1955" s="1">
        <v>45427</v>
      </c>
      <c r="W1955">
        <f>Table1[[#This Row],[customer_purchase count]]+1</f>
        <v>4</v>
      </c>
      <c r="X1955">
        <f>Table1[[#This Row],[customer_purchase count]]*Rules!$B$3</f>
        <v>179.29307692307694</v>
      </c>
      <c r="Y1955" t="str">
        <f>IF(Table1[[#This Row],[customer_subscription]]=1,"Subscribed","Not Subscribed")</f>
        <v>Not Subscribed</v>
      </c>
      <c r="Z1955" t="s">
        <v>194</v>
      </c>
    </row>
    <row r="1956" spans="1:26" x14ac:dyDescent="0.25">
      <c r="A1956">
        <v>1955</v>
      </c>
      <c r="B1956">
        <v>26</v>
      </c>
      <c r="C1956" t="s">
        <v>22</v>
      </c>
      <c r="D1956">
        <v>1955</v>
      </c>
      <c r="E1956" t="s">
        <v>146</v>
      </c>
      <c r="F1956" t="s">
        <v>70</v>
      </c>
      <c r="G1956">
        <v>1955</v>
      </c>
      <c r="H1956">
        <v>2545</v>
      </c>
      <c r="I1956">
        <v>77</v>
      </c>
      <c r="J1956" t="s">
        <v>115</v>
      </c>
      <c r="K1956" t="s">
        <v>47</v>
      </c>
      <c r="L1956" t="s">
        <v>72</v>
      </c>
      <c r="M1956" t="s">
        <v>28</v>
      </c>
      <c r="N1956">
        <v>4.2</v>
      </c>
      <c r="O1956">
        <v>0</v>
      </c>
      <c r="P1956" t="s">
        <v>41</v>
      </c>
      <c r="Q1956" t="s">
        <v>155</v>
      </c>
      <c r="R1956" t="s">
        <v>155</v>
      </c>
      <c r="S1956">
        <v>3</v>
      </c>
      <c r="T1956" t="s">
        <v>31</v>
      </c>
      <c r="U1956" t="s">
        <v>61</v>
      </c>
      <c r="V1956" s="1">
        <v>45644</v>
      </c>
      <c r="W1956">
        <f>Table1[[#This Row],[customer_purchase count]]+1</f>
        <v>4</v>
      </c>
      <c r="X1956">
        <f>Table1[[#This Row],[customer_purchase count]]*Rules!$B$3</f>
        <v>179.29307692307694</v>
      </c>
      <c r="Y1956" t="str">
        <f>IF(Table1[[#This Row],[customer_subscription]]=1,"Subscribed","Not Subscribed")</f>
        <v>Not Subscribed</v>
      </c>
      <c r="Z1956" t="s">
        <v>194</v>
      </c>
    </row>
    <row r="1957" spans="1:26" x14ac:dyDescent="0.25">
      <c r="A1957">
        <v>1956</v>
      </c>
      <c r="B1957">
        <v>50</v>
      </c>
      <c r="C1957" t="s">
        <v>22</v>
      </c>
      <c r="D1957">
        <v>1956</v>
      </c>
      <c r="E1957" t="s">
        <v>107</v>
      </c>
      <c r="F1957" t="s">
        <v>24</v>
      </c>
      <c r="G1957">
        <v>1956</v>
      </c>
      <c r="H1957">
        <v>2546</v>
      </c>
      <c r="I1957">
        <v>56</v>
      </c>
      <c r="J1957" t="s">
        <v>34</v>
      </c>
      <c r="K1957" t="s">
        <v>47</v>
      </c>
      <c r="L1957" t="s">
        <v>72</v>
      </c>
      <c r="M1957" t="s">
        <v>28</v>
      </c>
      <c r="N1957">
        <v>4.9000000000000004</v>
      </c>
      <c r="O1957">
        <v>0</v>
      </c>
      <c r="P1957" t="s">
        <v>29</v>
      </c>
      <c r="Q1957" t="s">
        <v>155</v>
      </c>
      <c r="R1957" t="s">
        <v>155</v>
      </c>
      <c r="S1957">
        <v>37</v>
      </c>
      <c r="T1957" t="s">
        <v>36</v>
      </c>
      <c r="U1957" t="s">
        <v>91</v>
      </c>
      <c r="V1957" s="1">
        <v>45643</v>
      </c>
      <c r="W1957">
        <f>Table1[[#This Row],[customer_purchase count]]+1</f>
        <v>38</v>
      </c>
      <c r="X1957">
        <f>Table1[[#This Row],[customer_purchase count]]*Rules!$B$3</f>
        <v>2211.2812820512822</v>
      </c>
      <c r="Y1957" t="str">
        <f>IF(Table1[[#This Row],[customer_subscription]]=1,"Subscribed","Not Subscribed")</f>
        <v>Not Subscribed</v>
      </c>
    </row>
    <row r="1958" spans="1:26" x14ac:dyDescent="0.25">
      <c r="A1958">
        <v>1957</v>
      </c>
      <c r="B1958">
        <v>70</v>
      </c>
      <c r="C1958" t="s">
        <v>22</v>
      </c>
      <c r="D1958">
        <v>1957</v>
      </c>
      <c r="E1958" t="s">
        <v>128</v>
      </c>
      <c r="F1958" t="s">
        <v>24</v>
      </c>
      <c r="G1958">
        <v>1957</v>
      </c>
      <c r="H1958">
        <v>2547</v>
      </c>
      <c r="I1958">
        <v>37</v>
      </c>
      <c r="J1958" t="s">
        <v>104</v>
      </c>
      <c r="K1958" t="s">
        <v>47</v>
      </c>
      <c r="L1958" t="s">
        <v>72</v>
      </c>
      <c r="M1958" t="s">
        <v>28</v>
      </c>
      <c r="N1958">
        <v>4.9000000000000004</v>
      </c>
      <c r="O1958">
        <v>0</v>
      </c>
      <c r="P1958" t="s">
        <v>29</v>
      </c>
      <c r="Q1958" t="s">
        <v>155</v>
      </c>
      <c r="R1958" t="s">
        <v>155</v>
      </c>
      <c r="S1958">
        <v>20</v>
      </c>
      <c r="T1958" t="s">
        <v>42</v>
      </c>
      <c r="U1958" t="s">
        <v>32</v>
      </c>
      <c r="V1958" s="1">
        <v>45330</v>
      </c>
      <c r="W1958">
        <f>Table1[[#This Row],[customer_purchase count]]+1</f>
        <v>21</v>
      </c>
      <c r="X1958">
        <f>Table1[[#This Row],[customer_purchase count]]*Rules!$B$3</f>
        <v>1195.2871794871796</v>
      </c>
      <c r="Y1958" t="str">
        <f>IF(Table1[[#This Row],[customer_subscription]]=1,"Subscribed","Not Subscribed")</f>
        <v>Not Subscribed</v>
      </c>
    </row>
    <row r="1959" spans="1:26" x14ac:dyDescent="0.25">
      <c r="A1959">
        <v>1958</v>
      </c>
      <c r="B1959">
        <v>68</v>
      </c>
      <c r="C1959" t="s">
        <v>22</v>
      </c>
      <c r="D1959">
        <v>1958</v>
      </c>
      <c r="E1959" t="s">
        <v>146</v>
      </c>
      <c r="F1959" t="s">
        <v>70</v>
      </c>
      <c r="G1959">
        <v>1958</v>
      </c>
      <c r="H1959">
        <v>2548</v>
      </c>
      <c r="I1959">
        <v>54</v>
      </c>
      <c r="J1959" t="s">
        <v>134</v>
      </c>
      <c r="K1959" t="s">
        <v>47</v>
      </c>
      <c r="L1959" t="s">
        <v>112</v>
      </c>
      <c r="M1959" t="s">
        <v>40</v>
      </c>
      <c r="N1959">
        <v>4.5</v>
      </c>
      <c r="O1959">
        <v>0</v>
      </c>
      <c r="P1959" t="s">
        <v>77</v>
      </c>
      <c r="Q1959" t="s">
        <v>155</v>
      </c>
      <c r="R1959" t="s">
        <v>155</v>
      </c>
      <c r="S1959">
        <v>26</v>
      </c>
      <c r="T1959" t="s">
        <v>36</v>
      </c>
      <c r="U1959" t="s">
        <v>79</v>
      </c>
      <c r="V1959" s="1">
        <v>45398</v>
      </c>
      <c r="W1959">
        <f>Table1[[#This Row],[customer_purchase count]]+1</f>
        <v>27</v>
      </c>
      <c r="X1959">
        <f>Table1[[#This Row],[customer_purchase count]]*Rules!$B$3</f>
        <v>1553.8733333333334</v>
      </c>
      <c r="Y1959" t="str">
        <f>IF(Table1[[#This Row],[customer_subscription]]=1,"Subscribed","Not Subscribed")</f>
        <v>Not Subscribed</v>
      </c>
    </row>
    <row r="1960" spans="1:26" x14ac:dyDescent="0.25">
      <c r="A1960">
        <v>1959</v>
      </c>
      <c r="B1960">
        <v>39</v>
      </c>
      <c r="C1960" t="s">
        <v>22</v>
      </c>
      <c r="D1960">
        <v>1959</v>
      </c>
      <c r="E1960" t="s">
        <v>62</v>
      </c>
      <c r="F1960" t="s">
        <v>24</v>
      </c>
      <c r="G1960">
        <v>1959</v>
      </c>
      <c r="H1960">
        <v>2549</v>
      </c>
      <c r="I1960">
        <v>67</v>
      </c>
      <c r="J1960" t="s">
        <v>110</v>
      </c>
      <c r="K1960" t="s">
        <v>47</v>
      </c>
      <c r="L1960" t="s">
        <v>27</v>
      </c>
      <c r="M1960" t="s">
        <v>28</v>
      </c>
      <c r="N1960">
        <v>2.7</v>
      </c>
      <c r="O1960">
        <v>0</v>
      </c>
      <c r="P1960" t="s">
        <v>77</v>
      </c>
      <c r="Q1960" t="s">
        <v>155</v>
      </c>
      <c r="R1960" t="s">
        <v>155</v>
      </c>
      <c r="S1960">
        <v>47</v>
      </c>
      <c r="T1960" t="s">
        <v>36</v>
      </c>
      <c r="U1960" t="s">
        <v>61</v>
      </c>
      <c r="V1960" s="1">
        <v>45299</v>
      </c>
      <c r="W1960">
        <f>Table1[[#This Row],[customer_purchase count]]+1</f>
        <v>48</v>
      </c>
      <c r="X1960">
        <f>Table1[[#This Row],[customer_purchase count]]*Rules!$B$3</f>
        <v>2808.9248717948717</v>
      </c>
      <c r="Y1960" t="str">
        <f>IF(Table1[[#This Row],[customer_subscription]]=1,"Subscribed","Not Subscribed")</f>
        <v>Not Subscribed</v>
      </c>
    </row>
    <row r="1961" spans="1:26" x14ac:dyDescent="0.25">
      <c r="A1961">
        <v>1960</v>
      </c>
      <c r="B1961">
        <v>46</v>
      </c>
      <c r="C1961" t="s">
        <v>22</v>
      </c>
      <c r="D1961">
        <v>1960</v>
      </c>
      <c r="E1961" t="s">
        <v>74</v>
      </c>
      <c r="F1961" t="s">
        <v>45</v>
      </c>
      <c r="G1961">
        <v>1960</v>
      </c>
      <c r="H1961">
        <v>2551</v>
      </c>
      <c r="I1961">
        <v>90</v>
      </c>
      <c r="J1961" t="s">
        <v>115</v>
      </c>
      <c r="K1961" t="s">
        <v>47</v>
      </c>
      <c r="L1961" t="s">
        <v>55</v>
      </c>
      <c r="M1961" t="s">
        <v>60</v>
      </c>
      <c r="N1961">
        <v>3.1</v>
      </c>
      <c r="O1961">
        <v>0</v>
      </c>
      <c r="P1961" t="s">
        <v>77</v>
      </c>
      <c r="Q1961" t="s">
        <v>155</v>
      </c>
      <c r="R1961" t="s">
        <v>155</v>
      </c>
      <c r="S1961">
        <v>7</v>
      </c>
      <c r="T1961" t="s">
        <v>42</v>
      </c>
      <c r="U1961" t="s">
        <v>100</v>
      </c>
      <c r="V1961" s="1">
        <v>45613</v>
      </c>
      <c r="W1961">
        <f>Table1[[#This Row],[customer_purchase count]]+1</f>
        <v>8</v>
      </c>
      <c r="X1961">
        <f>Table1[[#This Row],[customer_purchase count]]*Rules!$B$3</f>
        <v>418.35051282051285</v>
      </c>
      <c r="Y1961" t="str">
        <f>IF(Table1[[#This Row],[customer_subscription]]=1,"Subscribed","Not Subscribed")</f>
        <v>Not Subscribed</v>
      </c>
      <c r="Z1961" t="s">
        <v>194</v>
      </c>
    </row>
    <row r="1962" spans="1:26" x14ac:dyDescent="0.25">
      <c r="A1962">
        <v>1961</v>
      </c>
      <c r="B1962">
        <v>57</v>
      </c>
      <c r="C1962" t="s">
        <v>22</v>
      </c>
      <c r="D1962">
        <v>1961</v>
      </c>
      <c r="E1962" t="s">
        <v>37</v>
      </c>
      <c r="F1962" t="s">
        <v>24</v>
      </c>
      <c r="G1962">
        <v>1961</v>
      </c>
      <c r="H1962">
        <v>2552</v>
      </c>
      <c r="I1962">
        <v>72</v>
      </c>
      <c r="J1962" t="s">
        <v>38</v>
      </c>
      <c r="K1962" t="s">
        <v>26</v>
      </c>
      <c r="L1962" t="s">
        <v>111</v>
      </c>
      <c r="M1962" t="s">
        <v>56</v>
      </c>
      <c r="N1962">
        <v>3.3</v>
      </c>
      <c r="O1962">
        <v>0</v>
      </c>
      <c r="P1962" t="s">
        <v>73</v>
      </c>
      <c r="Q1962" t="s">
        <v>155</v>
      </c>
      <c r="R1962" t="s">
        <v>155</v>
      </c>
      <c r="S1962">
        <v>40</v>
      </c>
      <c r="T1962" t="s">
        <v>42</v>
      </c>
      <c r="U1962" t="s">
        <v>52</v>
      </c>
      <c r="V1962" s="1">
        <v>45524</v>
      </c>
      <c r="W1962">
        <f>Table1[[#This Row],[customer_purchase count]]+1</f>
        <v>41</v>
      </c>
      <c r="X1962">
        <f>Table1[[#This Row],[customer_purchase count]]*Rules!$B$3</f>
        <v>2390.5743589743593</v>
      </c>
      <c r="Y1962" t="str">
        <f>IF(Table1[[#This Row],[customer_subscription]]=1,"Subscribed","Not Subscribed")</f>
        <v>Not Subscribed</v>
      </c>
    </row>
    <row r="1963" spans="1:26" x14ac:dyDescent="0.25">
      <c r="A1963">
        <v>1962</v>
      </c>
      <c r="B1963">
        <v>47</v>
      </c>
      <c r="C1963" t="s">
        <v>22</v>
      </c>
      <c r="D1963">
        <v>1962</v>
      </c>
      <c r="E1963" t="s">
        <v>140</v>
      </c>
      <c r="F1963" t="s">
        <v>45</v>
      </c>
      <c r="G1963">
        <v>1962</v>
      </c>
      <c r="H1963">
        <v>2553</v>
      </c>
      <c r="I1963">
        <v>59</v>
      </c>
      <c r="J1963" t="s">
        <v>110</v>
      </c>
      <c r="K1963" t="s">
        <v>26</v>
      </c>
      <c r="L1963" t="s">
        <v>97</v>
      </c>
      <c r="M1963" t="s">
        <v>56</v>
      </c>
      <c r="N1963">
        <v>2.6</v>
      </c>
      <c r="O1963">
        <v>0</v>
      </c>
      <c r="P1963" t="s">
        <v>41</v>
      </c>
      <c r="Q1963" t="s">
        <v>155</v>
      </c>
      <c r="R1963" t="s">
        <v>155</v>
      </c>
      <c r="S1963">
        <v>45</v>
      </c>
      <c r="T1963" t="s">
        <v>89</v>
      </c>
      <c r="U1963" t="s">
        <v>61</v>
      </c>
      <c r="V1963" s="1">
        <v>45505</v>
      </c>
      <c r="W1963">
        <f>Table1[[#This Row],[customer_purchase count]]+1</f>
        <v>46</v>
      </c>
      <c r="X1963">
        <f>Table1[[#This Row],[customer_purchase count]]*Rules!$B$3</f>
        <v>2689.396153846154</v>
      </c>
      <c r="Y1963" t="str">
        <f>IF(Table1[[#This Row],[customer_subscription]]=1,"Subscribed","Not Subscribed")</f>
        <v>Not Subscribed</v>
      </c>
    </row>
    <row r="1964" spans="1:26" x14ac:dyDescent="0.25">
      <c r="A1964">
        <v>1963</v>
      </c>
      <c r="B1964">
        <v>40</v>
      </c>
      <c r="C1964" t="s">
        <v>22</v>
      </c>
      <c r="D1964">
        <v>1963</v>
      </c>
      <c r="E1964" t="s">
        <v>127</v>
      </c>
      <c r="F1964" t="s">
        <v>70</v>
      </c>
      <c r="G1964">
        <v>1963</v>
      </c>
      <c r="H1964">
        <v>2554</v>
      </c>
      <c r="I1964">
        <v>45</v>
      </c>
      <c r="J1964" t="s">
        <v>149</v>
      </c>
      <c r="K1964" t="s">
        <v>47</v>
      </c>
      <c r="L1964" t="s">
        <v>68</v>
      </c>
      <c r="M1964" t="s">
        <v>60</v>
      </c>
      <c r="N1964">
        <v>4.4000000000000004</v>
      </c>
      <c r="O1964">
        <v>0</v>
      </c>
      <c r="P1964" t="s">
        <v>57</v>
      </c>
      <c r="Q1964" t="s">
        <v>155</v>
      </c>
      <c r="R1964" t="s">
        <v>155</v>
      </c>
      <c r="S1964">
        <v>20</v>
      </c>
      <c r="T1964" t="s">
        <v>49</v>
      </c>
      <c r="U1964" t="s">
        <v>32</v>
      </c>
      <c r="V1964" s="1">
        <v>45581</v>
      </c>
      <c r="W1964">
        <f>Table1[[#This Row],[customer_purchase count]]+1</f>
        <v>21</v>
      </c>
      <c r="X1964">
        <f>Table1[[#This Row],[customer_purchase count]]*Rules!$B$3</f>
        <v>1195.2871794871796</v>
      </c>
      <c r="Y1964" t="str">
        <f>IF(Table1[[#This Row],[customer_subscription]]=1,"Subscribed","Not Subscribed")</f>
        <v>Not Subscribed</v>
      </c>
    </row>
    <row r="1965" spans="1:26" x14ac:dyDescent="0.25">
      <c r="A1965">
        <v>1964</v>
      </c>
      <c r="B1965">
        <v>52</v>
      </c>
      <c r="C1965" t="s">
        <v>22</v>
      </c>
      <c r="D1965">
        <v>1964</v>
      </c>
      <c r="E1965" t="s">
        <v>62</v>
      </c>
      <c r="F1965" t="s">
        <v>24</v>
      </c>
      <c r="G1965">
        <v>1964</v>
      </c>
      <c r="H1965">
        <v>2555</v>
      </c>
      <c r="I1965">
        <v>30</v>
      </c>
      <c r="J1965" t="s">
        <v>154</v>
      </c>
      <c r="K1965" t="s">
        <v>26</v>
      </c>
      <c r="L1965" t="s">
        <v>72</v>
      </c>
      <c r="M1965" t="s">
        <v>40</v>
      </c>
      <c r="N1965">
        <v>3.9</v>
      </c>
      <c r="O1965">
        <v>0</v>
      </c>
      <c r="P1965" t="s">
        <v>57</v>
      </c>
      <c r="Q1965" t="s">
        <v>155</v>
      </c>
      <c r="R1965" t="s">
        <v>155</v>
      </c>
      <c r="S1965">
        <v>11</v>
      </c>
      <c r="T1965" t="s">
        <v>42</v>
      </c>
      <c r="U1965" t="s">
        <v>43</v>
      </c>
      <c r="V1965" s="1">
        <v>45385</v>
      </c>
      <c r="W1965">
        <f>Table1[[#This Row],[customer_purchase count]]+1</f>
        <v>12</v>
      </c>
      <c r="X1965">
        <f>Table1[[#This Row],[customer_purchase count]]*Rules!$B$3</f>
        <v>657.40794871794878</v>
      </c>
      <c r="Y1965" t="str">
        <f>IF(Table1[[#This Row],[customer_subscription]]=1,"Subscribed","Not Subscribed")</f>
        <v>Not Subscribed</v>
      </c>
      <c r="Z1965" t="s">
        <v>194</v>
      </c>
    </row>
    <row r="1966" spans="1:26" x14ac:dyDescent="0.25">
      <c r="A1966">
        <v>1965</v>
      </c>
      <c r="B1966">
        <v>40</v>
      </c>
      <c r="C1966" t="s">
        <v>22</v>
      </c>
      <c r="D1966">
        <v>1965</v>
      </c>
      <c r="E1966" t="s">
        <v>98</v>
      </c>
      <c r="F1966" t="s">
        <v>24</v>
      </c>
      <c r="G1966">
        <v>1965</v>
      </c>
      <c r="H1966">
        <v>2557</v>
      </c>
      <c r="I1966">
        <v>51</v>
      </c>
      <c r="J1966" t="s">
        <v>67</v>
      </c>
      <c r="K1966" t="s">
        <v>39</v>
      </c>
      <c r="L1966" t="s">
        <v>112</v>
      </c>
      <c r="M1966" t="s">
        <v>56</v>
      </c>
      <c r="N1966">
        <v>4.5999999999999996</v>
      </c>
      <c r="O1966">
        <v>0</v>
      </c>
      <c r="P1966" t="s">
        <v>29</v>
      </c>
      <c r="Q1966" t="s">
        <v>155</v>
      </c>
      <c r="R1966" t="s">
        <v>155</v>
      </c>
      <c r="S1966">
        <v>50</v>
      </c>
      <c r="T1966" t="s">
        <v>89</v>
      </c>
      <c r="U1966" t="s">
        <v>91</v>
      </c>
      <c r="V1966" s="1">
        <v>45491</v>
      </c>
      <c r="W1966">
        <f>Table1[[#This Row],[customer_purchase count]]+1</f>
        <v>51</v>
      </c>
      <c r="X1966">
        <f>Table1[[#This Row],[customer_purchase count]]*Rules!$B$3</f>
        <v>2988.2179487179487</v>
      </c>
      <c r="Y1966" t="str">
        <f>IF(Table1[[#This Row],[customer_subscription]]=1,"Subscribed","Not Subscribed")</f>
        <v>Not Subscribed</v>
      </c>
    </row>
    <row r="1967" spans="1:26" x14ac:dyDescent="0.25">
      <c r="A1967">
        <v>1966</v>
      </c>
      <c r="B1967">
        <v>67</v>
      </c>
      <c r="C1967" t="s">
        <v>22</v>
      </c>
      <c r="D1967">
        <v>1966</v>
      </c>
      <c r="E1967" t="s">
        <v>33</v>
      </c>
      <c r="F1967" t="s">
        <v>24</v>
      </c>
      <c r="G1967">
        <v>1966</v>
      </c>
      <c r="H1967">
        <v>2558</v>
      </c>
      <c r="I1967">
        <v>90</v>
      </c>
      <c r="J1967" t="s">
        <v>119</v>
      </c>
      <c r="K1967" t="s">
        <v>47</v>
      </c>
      <c r="L1967" t="s">
        <v>55</v>
      </c>
      <c r="M1967" t="s">
        <v>60</v>
      </c>
      <c r="N1967">
        <v>4.9000000000000004</v>
      </c>
      <c r="O1967">
        <v>0</v>
      </c>
      <c r="P1967" t="s">
        <v>29</v>
      </c>
      <c r="Q1967" t="s">
        <v>155</v>
      </c>
      <c r="R1967" t="s">
        <v>155</v>
      </c>
      <c r="S1967">
        <v>25</v>
      </c>
      <c r="T1967" t="s">
        <v>89</v>
      </c>
      <c r="U1967" t="s">
        <v>61</v>
      </c>
      <c r="V1967" s="1">
        <v>45575</v>
      </c>
      <c r="W1967">
        <f>Table1[[#This Row],[customer_purchase count]]+1</f>
        <v>26</v>
      </c>
      <c r="X1967">
        <f>Table1[[#This Row],[customer_purchase count]]*Rules!$B$3</f>
        <v>1494.1089743589744</v>
      </c>
      <c r="Y1967" t="str">
        <f>IF(Table1[[#This Row],[customer_subscription]]=1,"Subscribed","Not Subscribed")</f>
        <v>Not Subscribed</v>
      </c>
    </row>
    <row r="1968" spans="1:26" x14ac:dyDescent="0.25">
      <c r="A1968">
        <v>1967</v>
      </c>
      <c r="B1968">
        <v>67</v>
      </c>
      <c r="C1968" t="s">
        <v>22</v>
      </c>
      <c r="D1968">
        <v>1967</v>
      </c>
      <c r="E1968" t="s">
        <v>105</v>
      </c>
      <c r="F1968" t="s">
        <v>66</v>
      </c>
      <c r="G1968">
        <v>1967</v>
      </c>
      <c r="H1968">
        <v>2559</v>
      </c>
      <c r="I1968">
        <v>95</v>
      </c>
      <c r="J1968" t="s">
        <v>119</v>
      </c>
      <c r="K1968" t="s">
        <v>95</v>
      </c>
      <c r="L1968" t="s">
        <v>76</v>
      </c>
      <c r="M1968" t="s">
        <v>28</v>
      </c>
      <c r="N1968">
        <v>3.7</v>
      </c>
      <c r="O1968">
        <v>0</v>
      </c>
      <c r="P1968" t="s">
        <v>29</v>
      </c>
      <c r="Q1968" t="s">
        <v>155</v>
      </c>
      <c r="R1968" t="s">
        <v>155</v>
      </c>
      <c r="S1968">
        <v>5</v>
      </c>
      <c r="T1968" t="s">
        <v>42</v>
      </c>
      <c r="U1968" t="s">
        <v>32</v>
      </c>
      <c r="V1968" s="1">
        <v>45645</v>
      </c>
      <c r="W1968">
        <f>Table1[[#This Row],[customer_purchase count]]+1</f>
        <v>6</v>
      </c>
      <c r="X1968">
        <f>Table1[[#This Row],[customer_purchase count]]*Rules!$B$3</f>
        <v>298.82179487179491</v>
      </c>
      <c r="Y1968" t="str">
        <f>IF(Table1[[#This Row],[customer_subscription]]=1,"Subscribed","Not Subscribed")</f>
        <v>Not Subscribed</v>
      </c>
      <c r="Z1968" t="s">
        <v>194</v>
      </c>
    </row>
    <row r="1969" spans="1:26" x14ac:dyDescent="0.25">
      <c r="A1969">
        <v>1968</v>
      </c>
      <c r="B1969">
        <v>37</v>
      </c>
      <c r="C1969" t="s">
        <v>22</v>
      </c>
      <c r="D1969">
        <v>1968</v>
      </c>
      <c r="E1969" t="s">
        <v>84</v>
      </c>
      <c r="F1969" t="s">
        <v>24</v>
      </c>
      <c r="G1969">
        <v>1968</v>
      </c>
      <c r="H1969">
        <v>2560</v>
      </c>
      <c r="I1969">
        <v>81</v>
      </c>
      <c r="J1969" t="s">
        <v>145</v>
      </c>
      <c r="K1969" t="s">
        <v>26</v>
      </c>
      <c r="L1969" t="s">
        <v>137</v>
      </c>
      <c r="M1969" t="s">
        <v>60</v>
      </c>
      <c r="N1969">
        <v>3.7</v>
      </c>
      <c r="O1969">
        <v>0</v>
      </c>
      <c r="P1969" t="s">
        <v>57</v>
      </c>
      <c r="Q1969" t="s">
        <v>155</v>
      </c>
      <c r="R1969" t="s">
        <v>155</v>
      </c>
      <c r="S1969">
        <v>4</v>
      </c>
      <c r="T1969" t="s">
        <v>31</v>
      </c>
      <c r="U1969" t="s">
        <v>52</v>
      </c>
      <c r="V1969" s="1">
        <v>45617</v>
      </c>
      <c r="W1969">
        <f>Table1[[#This Row],[customer_purchase count]]+1</f>
        <v>5</v>
      </c>
      <c r="X1969">
        <f>Table1[[#This Row],[customer_purchase count]]*Rules!$B$3</f>
        <v>239.05743589743591</v>
      </c>
      <c r="Y1969" t="str">
        <f>IF(Table1[[#This Row],[customer_subscription]]=1,"Subscribed","Not Subscribed")</f>
        <v>Not Subscribed</v>
      </c>
      <c r="Z1969" t="s">
        <v>194</v>
      </c>
    </row>
    <row r="1970" spans="1:26" x14ac:dyDescent="0.25">
      <c r="A1970">
        <v>1969</v>
      </c>
      <c r="B1970">
        <v>67</v>
      </c>
      <c r="C1970" t="s">
        <v>22</v>
      </c>
      <c r="D1970">
        <v>1969</v>
      </c>
      <c r="E1970" t="s">
        <v>58</v>
      </c>
      <c r="F1970" t="s">
        <v>24</v>
      </c>
      <c r="G1970">
        <v>1969</v>
      </c>
      <c r="H1970">
        <v>2561</v>
      </c>
      <c r="I1970">
        <v>70</v>
      </c>
      <c r="J1970" t="s">
        <v>151</v>
      </c>
      <c r="K1970" t="s">
        <v>39</v>
      </c>
      <c r="L1970" t="s">
        <v>147</v>
      </c>
      <c r="M1970" t="s">
        <v>40</v>
      </c>
      <c r="N1970">
        <v>4.2</v>
      </c>
      <c r="O1970">
        <v>0</v>
      </c>
      <c r="P1970" t="s">
        <v>57</v>
      </c>
      <c r="Q1970" t="s">
        <v>155</v>
      </c>
      <c r="R1970" t="s">
        <v>155</v>
      </c>
      <c r="S1970">
        <v>25</v>
      </c>
      <c r="T1970" t="s">
        <v>42</v>
      </c>
      <c r="U1970" t="s">
        <v>43</v>
      </c>
      <c r="V1970" s="1">
        <v>45436</v>
      </c>
      <c r="W1970">
        <f>Table1[[#This Row],[customer_purchase count]]+1</f>
        <v>26</v>
      </c>
      <c r="X1970">
        <f>Table1[[#This Row],[customer_purchase count]]*Rules!$B$3</f>
        <v>1494.1089743589744</v>
      </c>
      <c r="Y1970" t="str">
        <f>IF(Table1[[#This Row],[customer_subscription]]=1,"Subscribed","Not Subscribed")</f>
        <v>Not Subscribed</v>
      </c>
    </row>
    <row r="1971" spans="1:26" x14ac:dyDescent="0.25">
      <c r="A1971">
        <v>1970</v>
      </c>
      <c r="B1971">
        <v>64</v>
      </c>
      <c r="C1971" t="s">
        <v>22</v>
      </c>
      <c r="D1971">
        <v>1970</v>
      </c>
      <c r="E1971" t="s">
        <v>84</v>
      </c>
      <c r="F1971" t="s">
        <v>24</v>
      </c>
      <c r="G1971">
        <v>1970</v>
      </c>
      <c r="H1971">
        <v>2563</v>
      </c>
      <c r="I1971">
        <v>32</v>
      </c>
      <c r="J1971" t="s">
        <v>63</v>
      </c>
      <c r="K1971" t="s">
        <v>39</v>
      </c>
      <c r="L1971" t="s">
        <v>112</v>
      </c>
      <c r="M1971" t="s">
        <v>28</v>
      </c>
      <c r="N1971">
        <v>3.5</v>
      </c>
      <c r="O1971">
        <v>0</v>
      </c>
      <c r="P1971" t="s">
        <v>48</v>
      </c>
      <c r="Q1971" t="s">
        <v>155</v>
      </c>
      <c r="R1971" t="s">
        <v>155</v>
      </c>
      <c r="S1971">
        <v>11</v>
      </c>
      <c r="T1971" t="s">
        <v>78</v>
      </c>
      <c r="U1971" t="s">
        <v>32</v>
      </c>
      <c r="V1971" s="1">
        <v>45299</v>
      </c>
      <c r="W1971">
        <f>Table1[[#This Row],[customer_purchase count]]+1</f>
        <v>12</v>
      </c>
      <c r="X1971">
        <f>Table1[[#This Row],[customer_purchase count]]*Rules!$B$3</f>
        <v>657.40794871794878</v>
      </c>
      <c r="Y1971" t="str">
        <f>IF(Table1[[#This Row],[customer_subscription]]=1,"Subscribed","Not Subscribed")</f>
        <v>Not Subscribed</v>
      </c>
      <c r="Z1971" t="s">
        <v>194</v>
      </c>
    </row>
    <row r="1972" spans="1:26" x14ac:dyDescent="0.25">
      <c r="A1972">
        <v>1971</v>
      </c>
      <c r="B1972">
        <v>28</v>
      </c>
      <c r="C1972" t="s">
        <v>22</v>
      </c>
      <c r="D1972">
        <v>1971</v>
      </c>
      <c r="E1972" t="s">
        <v>136</v>
      </c>
      <c r="F1972" t="s">
        <v>70</v>
      </c>
      <c r="G1972">
        <v>1971</v>
      </c>
      <c r="H1972">
        <v>2564</v>
      </c>
      <c r="I1972">
        <v>94</v>
      </c>
      <c r="J1972" t="s">
        <v>131</v>
      </c>
      <c r="K1972" t="s">
        <v>47</v>
      </c>
      <c r="L1972" t="s">
        <v>129</v>
      </c>
      <c r="M1972" t="s">
        <v>40</v>
      </c>
      <c r="N1972">
        <v>2.9</v>
      </c>
      <c r="O1972">
        <v>0</v>
      </c>
      <c r="P1972" t="s">
        <v>48</v>
      </c>
      <c r="Q1972" t="s">
        <v>155</v>
      </c>
      <c r="R1972" t="s">
        <v>155</v>
      </c>
      <c r="S1972">
        <v>4</v>
      </c>
      <c r="T1972" t="s">
        <v>42</v>
      </c>
      <c r="U1972" t="s">
        <v>79</v>
      </c>
      <c r="V1972" s="1">
        <v>45391</v>
      </c>
      <c r="W1972">
        <f>Table1[[#This Row],[customer_purchase count]]+1</f>
        <v>5</v>
      </c>
      <c r="X1972">
        <f>Table1[[#This Row],[customer_purchase count]]*Rules!$B$3</f>
        <v>239.05743589743591</v>
      </c>
      <c r="Y1972" t="str">
        <f>IF(Table1[[#This Row],[customer_subscription]]=1,"Subscribed","Not Subscribed")</f>
        <v>Not Subscribed</v>
      </c>
      <c r="Z1972" t="s">
        <v>194</v>
      </c>
    </row>
    <row r="1973" spans="1:26" x14ac:dyDescent="0.25">
      <c r="A1973">
        <v>1972</v>
      </c>
      <c r="B1973">
        <v>54</v>
      </c>
      <c r="C1973" t="s">
        <v>22</v>
      </c>
      <c r="D1973">
        <v>1972</v>
      </c>
      <c r="E1973" t="s">
        <v>127</v>
      </c>
      <c r="F1973" t="s">
        <v>70</v>
      </c>
      <c r="G1973">
        <v>1972</v>
      </c>
      <c r="H1973">
        <v>2565</v>
      </c>
      <c r="I1973">
        <v>29</v>
      </c>
      <c r="J1973" t="s">
        <v>141</v>
      </c>
      <c r="K1973" t="s">
        <v>95</v>
      </c>
      <c r="L1973" t="s">
        <v>129</v>
      </c>
      <c r="M1973" t="s">
        <v>40</v>
      </c>
      <c r="N1973">
        <v>3.4</v>
      </c>
      <c r="O1973">
        <v>0</v>
      </c>
      <c r="P1973" t="s">
        <v>48</v>
      </c>
      <c r="Q1973" t="s">
        <v>155</v>
      </c>
      <c r="R1973" t="s">
        <v>155</v>
      </c>
      <c r="S1973">
        <v>1</v>
      </c>
      <c r="T1973" t="s">
        <v>31</v>
      </c>
      <c r="U1973" t="s">
        <v>91</v>
      </c>
      <c r="V1973" s="1">
        <v>45406</v>
      </c>
      <c r="W1973">
        <f>Table1[[#This Row],[customer_purchase count]]+1</f>
        <v>2</v>
      </c>
      <c r="X1973">
        <f>Table1[[#This Row],[customer_purchase count]]*Rules!$B$3</f>
        <v>59.764358974358977</v>
      </c>
      <c r="Y1973" t="str">
        <f>IF(Table1[[#This Row],[customer_subscription]]=1,"Subscribed","Not Subscribed")</f>
        <v>Not Subscribed</v>
      </c>
      <c r="Z1973" t="s">
        <v>194</v>
      </c>
    </row>
    <row r="1974" spans="1:26" x14ac:dyDescent="0.25">
      <c r="A1974">
        <v>1973</v>
      </c>
      <c r="B1974">
        <v>54</v>
      </c>
      <c r="C1974" t="s">
        <v>22</v>
      </c>
      <c r="D1974">
        <v>1973</v>
      </c>
      <c r="E1974" t="s">
        <v>135</v>
      </c>
      <c r="F1974" t="s">
        <v>70</v>
      </c>
      <c r="G1974">
        <v>1973</v>
      </c>
      <c r="H1974">
        <v>2566</v>
      </c>
      <c r="I1974">
        <v>31</v>
      </c>
      <c r="J1974" t="s">
        <v>63</v>
      </c>
      <c r="K1974" t="s">
        <v>47</v>
      </c>
      <c r="L1974" t="s">
        <v>68</v>
      </c>
      <c r="M1974" t="s">
        <v>56</v>
      </c>
      <c r="N1974">
        <v>3.3</v>
      </c>
      <c r="O1974">
        <v>0</v>
      </c>
      <c r="P1974" t="s">
        <v>29</v>
      </c>
      <c r="Q1974" t="s">
        <v>155</v>
      </c>
      <c r="R1974" t="s">
        <v>155</v>
      </c>
      <c r="S1974">
        <v>48</v>
      </c>
      <c r="T1974" t="s">
        <v>49</v>
      </c>
      <c r="U1974" t="s">
        <v>100</v>
      </c>
      <c r="V1974" s="1">
        <v>45505</v>
      </c>
      <c r="W1974">
        <f>Table1[[#This Row],[customer_purchase count]]+1</f>
        <v>49</v>
      </c>
      <c r="X1974">
        <f>Table1[[#This Row],[customer_purchase count]]*Rules!$B$3</f>
        <v>2868.689230769231</v>
      </c>
      <c r="Y1974" t="str">
        <f>IF(Table1[[#This Row],[customer_subscription]]=1,"Subscribed","Not Subscribed")</f>
        <v>Not Subscribed</v>
      </c>
    </row>
    <row r="1975" spans="1:26" x14ac:dyDescent="0.25">
      <c r="A1975">
        <v>1974</v>
      </c>
      <c r="B1975">
        <v>24</v>
      </c>
      <c r="C1975" t="s">
        <v>22</v>
      </c>
      <c r="D1975">
        <v>1974</v>
      </c>
      <c r="E1975" t="s">
        <v>90</v>
      </c>
      <c r="F1975" t="s">
        <v>24</v>
      </c>
      <c r="G1975">
        <v>1974</v>
      </c>
      <c r="H1975">
        <v>2567</v>
      </c>
      <c r="I1975">
        <v>20</v>
      </c>
      <c r="J1975" t="s">
        <v>131</v>
      </c>
      <c r="K1975" t="s">
        <v>95</v>
      </c>
      <c r="L1975" t="s">
        <v>111</v>
      </c>
      <c r="M1975" t="s">
        <v>60</v>
      </c>
      <c r="N1975">
        <v>4.5</v>
      </c>
      <c r="O1975">
        <v>0</v>
      </c>
      <c r="P1975" t="s">
        <v>57</v>
      </c>
      <c r="Q1975" t="s">
        <v>155</v>
      </c>
      <c r="R1975" t="s">
        <v>155</v>
      </c>
      <c r="S1975">
        <v>9</v>
      </c>
      <c r="T1975" t="s">
        <v>31</v>
      </c>
      <c r="U1975" t="s">
        <v>100</v>
      </c>
      <c r="V1975" s="1">
        <v>45579</v>
      </c>
      <c r="W1975">
        <f>Table1[[#This Row],[customer_purchase count]]+1</f>
        <v>10</v>
      </c>
      <c r="X1975">
        <f>Table1[[#This Row],[customer_purchase count]]*Rules!$B$3</f>
        <v>537.87923076923084</v>
      </c>
      <c r="Y1975" t="str">
        <f>IF(Table1[[#This Row],[customer_subscription]]=1,"Subscribed","Not Subscribed")</f>
        <v>Not Subscribed</v>
      </c>
      <c r="Z1975" t="s">
        <v>187</v>
      </c>
    </row>
    <row r="1976" spans="1:26" x14ac:dyDescent="0.25">
      <c r="A1976">
        <v>1975</v>
      </c>
      <c r="B1976">
        <v>27</v>
      </c>
      <c r="C1976" t="s">
        <v>22</v>
      </c>
      <c r="D1976">
        <v>1975</v>
      </c>
      <c r="E1976" t="s">
        <v>146</v>
      </c>
      <c r="F1976" t="s">
        <v>70</v>
      </c>
      <c r="G1976">
        <v>1975</v>
      </c>
      <c r="H1976">
        <v>2569</v>
      </c>
      <c r="I1976">
        <v>44</v>
      </c>
      <c r="J1976" t="s">
        <v>125</v>
      </c>
      <c r="K1976" t="s">
        <v>47</v>
      </c>
      <c r="L1976" t="s">
        <v>103</v>
      </c>
      <c r="M1976" t="s">
        <v>28</v>
      </c>
      <c r="N1976">
        <v>4.5999999999999996</v>
      </c>
      <c r="O1976">
        <v>0</v>
      </c>
      <c r="P1976" t="s">
        <v>73</v>
      </c>
      <c r="Q1976" t="s">
        <v>155</v>
      </c>
      <c r="R1976" t="s">
        <v>155</v>
      </c>
      <c r="S1976">
        <v>2</v>
      </c>
      <c r="T1976" t="s">
        <v>49</v>
      </c>
      <c r="U1976" t="s">
        <v>32</v>
      </c>
      <c r="V1976" s="1">
        <v>45306</v>
      </c>
      <c r="W1976">
        <f>Table1[[#This Row],[customer_purchase count]]+1</f>
        <v>3</v>
      </c>
      <c r="X1976">
        <f>Table1[[#This Row],[customer_purchase count]]*Rules!$B$3</f>
        <v>119.52871794871795</v>
      </c>
      <c r="Y1976" t="str">
        <f>IF(Table1[[#This Row],[customer_subscription]]=1,"Subscribed","Not Subscribed")</f>
        <v>Not Subscribed</v>
      </c>
      <c r="Z1976" t="s">
        <v>194</v>
      </c>
    </row>
    <row r="1977" spans="1:26" x14ac:dyDescent="0.25">
      <c r="A1977">
        <v>1976</v>
      </c>
      <c r="B1977">
        <v>53</v>
      </c>
      <c r="C1977" t="s">
        <v>22</v>
      </c>
      <c r="D1977">
        <v>1976</v>
      </c>
      <c r="E1977" t="s">
        <v>105</v>
      </c>
      <c r="F1977" t="s">
        <v>66</v>
      </c>
      <c r="G1977">
        <v>1976</v>
      </c>
      <c r="H1977">
        <v>2570</v>
      </c>
      <c r="I1977">
        <v>77</v>
      </c>
      <c r="J1977" t="s">
        <v>118</v>
      </c>
      <c r="K1977" t="s">
        <v>26</v>
      </c>
      <c r="L1977" t="s">
        <v>51</v>
      </c>
      <c r="M1977" t="s">
        <v>60</v>
      </c>
      <c r="N1977">
        <v>2.9</v>
      </c>
      <c r="O1977">
        <v>0</v>
      </c>
      <c r="P1977" t="s">
        <v>29</v>
      </c>
      <c r="Q1977" t="s">
        <v>155</v>
      </c>
      <c r="R1977" t="s">
        <v>155</v>
      </c>
      <c r="S1977">
        <v>4</v>
      </c>
      <c r="T1977" t="s">
        <v>36</v>
      </c>
      <c r="U1977" t="s">
        <v>61</v>
      </c>
      <c r="V1977" s="1">
        <v>45624</v>
      </c>
      <c r="W1977">
        <f>Table1[[#This Row],[customer_purchase count]]+1</f>
        <v>5</v>
      </c>
      <c r="X1977">
        <f>Table1[[#This Row],[customer_purchase count]]*Rules!$B$3</f>
        <v>239.05743589743591</v>
      </c>
      <c r="Y1977" t="str">
        <f>IF(Table1[[#This Row],[customer_subscription]]=1,"Subscribed","Not Subscribed")</f>
        <v>Not Subscribed</v>
      </c>
      <c r="Z1977" t="s">
        <v>194</v>
      </c>
    </row>
    <row r="1978" spans="1:26" x14ac:dyDescent="0.25">
      <c r="A1978">
        <v>1977</v>
      </c>
      <c r="B1978">
        <v>32</v>
      </c>
      <c r="C1978" t="s">
        <v>22</v>
      </c>
      <c r="D1978">
        <v>1977</v>
      </c>
      <c r="E1978" t="s">
        <v>69</v>
      </c>
      <c r="F1978" t="s">
        <v>70</v>
      </c>
      <c r="G1978">
        <v>1977</v>
      </c>
      <c r="H1978">
        <v>2571</v>
      </c>
      <c r="I1978">
        <v>51</v>
      </c>
      <c r="J1978" t="s">
        <v>54</v>
      </c>
      <c r="K1978" t="s">
        <v>47</v>
      </c>
      <c r="L1978" t="s">
        <v>72</v>
      </c>
      <c r="M1978" t="s">
        <v>40</v>
      </c>
      <c r="N1978">
        <v>3.2</v>
      </c>
      <c r="O1978">
        <v>0</v>
      </c>
      <c r="P1978" t="s">
        <v>48</v>
      </c>
      <c r="Q1978" t="s">
        <v>155</v>
      </c>
      <c r="R1978" t="s">
        <v>155</v>
      </c>
      <c r="S1978">
        <v>43</v>
      </c>
      <c r="T1978" t="s">
        <v>49</v>
      </c>
      <c r="U1978" t="s">
        <v>32</v>
      </c>
      <c r="V1978" s="1">
        <v>45426</v>
      </c>
      <c r="W1978">
        <f>Table1[[#This Row],[customer_purchase count]]+1</f>
        <v>44</v>
      </c>
      <c r="X1978">
        <f>Table1[[#This Row],[customer_purchase count]]*Rules!$B$3</f>
        <v>2569.8674358974358</v>
      </c>
      <c r="Y1978" t="str">
        <f>IF(Table1[[#This Row],[customer_subscription]]=1,"Subscribed","Not Subscribed")</f>
        <v>Not Subscribed</v>
      </c>
    </row>
    <row r="1979" spans="1:26" x14ac:dyDescent="0.25">
      <c r="A1979">
        <v>1978</v>
      </c>
      <c r="B1979">
        <v>24</v>
      </c>
      <c r="C1979" t="s">
        <v>22</v>
      </c>
      <c r="D1979">
        <v>1978</v>
      </c>
      <c r="E1979" t="s">
        <v>44</v>
      </c>
      <c r="F1979" t="s">
        <v>45</v>
      </c>
      <c r="G1979">
        <v>1978</v>
      </c>
      <c r="H1979">
        <v>2572</v>
      </c>
      <c r="I1979">
        <v>49</v>
      </c>
      <c r="J1979" t="s">
        <v>106</v>
      </c>
      <c r="K1979" t="s">
        <v>47</v>
      </c>
      <c r="L1979" t="s">
        <v>88</v>
      </c>
      <c r="M1979" t="s">
        <v>56</v>
      </c>
      <c r="N1979">
        <v>2.6</v>
      </c>
      <c r="O1979">
        <v>0</v>
      </c>
      <c r="P1979" t="s">
        <v>41</v>
      </c>
      <c r="Q1979" t="s">
        <v>155</v>
      </c>
      <c r="R1979" t="s">
        <v>155</v>
      </c>
      <c r="S1979">
        <v>32</v>
      </c>
      <c r="T1979" t="s">
        <v>78</v>
      </c>
      <c r="U1979" t="s">
        <v>52</v>
      </c>
      <c r="V1979" s="1">
        <v>45527</v>
      </c>
      <c r="W1979">
        <f>Table1[[#This Row],[customer_purchase count]]+1</f>
        <v>33</v>
      </c>
      <c r="X1979">
        <f>Table1[[#This Row],[customer_purchase count]]*Rules!$B$3</f>
        <v>1912.4594871794873</v>
      </c>
      <c r="Y1979" t="str">
        <f>IF(Table1[[#This Row],[customer_subscription]]=1,"Subscribed","Not Subscribed")</f>
        <v>Not Subscribed</v>
      </c>
    </row>
    <row r="1980" spans="1:26" x14ac:dyDescent="0.25">
      <c r="A1980">
        <v>1979</v>
      </c>
      <c r="B1980">
        <v>45</v>
      </c>
      <c r="C1980" t="s">
        <v>22</v>
      </c>
      <c r="D1980">
        <v>1979</v>
      </c>
      <c r="E1980" t="s">
        <v>92</v>
      </c>
      <c r="F1980" t="s">
        <v>70</v>
      </c>
      <c r="G1980">
        <v>1979</v>
      </c>
      <c r="H1980">
        <v>2573</v>
      </c>
      <c r="I1980">
        <v>78</v>
      </c>
      <c r="J1980" t="s">
        <v>38</v>
      </c>
      <c r="K1980" t="s">
        <v>26</v>
      </c>
      <c r="L1980" t="s">
        <v>139</v>
      </c>
      <c r="M1980" t="s">
        <v>40</v>
      </c>
      <c r="N1980">
        <v>3.8</v>
      </c>
      <c r="O1980">
        <v>0</v>
      </c>
      <c r="P1980" t="s">
        <v>77</v>
      </c>
      <c r="Q1980" t="s">
        <v>155</v>
      </c>
      <c r="R1980" t="s">
        <v>155</v>
      </c>
      <c r="S1980">
        <v>1</v>
      </c>
      <c r="T1980" t="s">
        <v>36</v>
      </c>
      <c r="U1980" t="s">
        <v>61</v>
      </c>
      <c r="V1980" s="1">
        <v>45423</v>
      </c>
      <c r="W1980">
        <f>Table1[[#This Row],[customer_purchase count]]+1</f>
        <v>2</v>
      </c>
      <c r="X1980">
        <f>Table1[[#This Row],[customer_purchase count]]*Rules!$B$3</f>
        <v>59.764358974358977</v>
      </c>
      <c r="Y1980" t="str">
        <f>IF(Table1[[#This Row],[customer_subscription]]=1,"Subscribed","Not Subscribed")</f>
        <v>Not Subscribed</v>
      </c>
      <c r="Z1980" t="s">
        <v>194</v>
      </c>
    </row>
    <row r="1981" spans="1:26" x14ac:dyDescent="0.25">
      <c r="A1981">
        <v>1980</v>
      </c>
      <c r="B1981">
        <v>49</v>
      </c>
      <c r="C1981" t="s">
        <v>22</v>
      </c>
      <c r="D1981">
        <v>1980</v>
      </c>
      <c r="E1981" t="s">
        <v>37</v>
      </c>
      <c r="F1981" t="s">
        <v>24</v>
      </c>
      <c r="G1981">
        <v>1980</v>
      </c>
      <c r="H1981">
        <v>2575</v>
      </c>
      <c r="I1981">
        <v>98</v>
      </c>
      <c r="J1981" t="s">
        <v>125</v>
      </c>
      <c r="K1981" t="s">
        <v>26</v>
      </c>
      <c r="L1981" t="s">
        <v>147</v>
      </c>
      <c r="M1981" t="s">
        <v>40</v>
      </c>
      <c r="N1981">
        <v>2.8</v>
      </c>
      <c r="O1981">
        <v>0</v>
      </c>
      <c r="P1981" t="s">
        <v>77</v>
      </c>
      <c r="Q1981" t="s">
        <v>155</v>
      </c>
      <c r="R1981" t="s">
        <v>155</v>
      </c>
      <c r="S1981">
        <v>38</v>
      </c>
      <c r="T1981" t="s">
        <v>89</v>
      </c>
      <c r="U1981" t="s">
        <v>32</v>
      </c>
      <c r="V1981" s="1">
        <v>45419</v>
      </c>
      <c r="W1981">
        <f>Table1[[#This Row],[customer_purchase count]]+1</f>
        <v>39</v>
      </c>
      <c r="X1981">
        <f>Table1[[#This Row],[customer_purchase count]]*Rules!$B$3</f>
        <v>2271.0456410256411</v>
      </c>
      <c r="Y1981" t="str">
        <f>IF(Table1[[#This Row],[customer_subscription]]=1,"Subscribed","Not Subscribed")</f>
        <v>Not Subscribed</v>
      </c>
    </row>
    <row r="1982" spans="1:26" x14ac:dyDescent="0.25">
      <c r="A1982">
        <v>1981</v>
      </c>
      <c r="B1982">
        <v>51</v>
      </c>
      <c r="C1982" t="s">
        <v>22</v>
      </c>
      <c r="D1982">
        <v>1981</v>
      </c>
      <c r="E1982" t="s">
        <v>44</v>
      </c>
      <c r="F1982" t="s">
        <v>45</v>
      </c>
      <c r="G1982">
        <v>1981</v>
      </c>
      <c r="H1982">
        <v>2576</v>
      </c>
      <c r="I1982">
        <v>94</v>
      </c>
      <c r="J1982" t="s">
        <v>149</v>
      </c>
      <c r="K1982" t="s">
        <v>47</v>
      </c>
      <c r="L1982" t="s">
        <v>99</v>
      </c>
      <c r="M1982" t="s">
        <v>28</v>
      </c>
      <c r="N1982">
        <v>4.4000000000000004</v>
      </c>
      <c r="O1982">
        <v>0</v>
      </c>
      <c r="P1982" t="s">
        <v>77</v>
      </c>
      <c r="Q1982" t="s">
        <v>155</v>
      </c>
      <c r="R1982" t="s">
        <v>155</v>
      </c>
      <c r="S1982">
        <v>25</v>
      </c>
      <c r="T1982" t="s">
        <v>49</v>
      </c>
      <c r="U1982" t="s">
        <v>32</v>
      </c>
      <c r="V1982" s="1">
        <v>45342</v>
      </c>
      <c r="W1982">
        <f>Table1[[#This Row],[customer_purchase count]]+1</f>
        <v>26</v>
      </c>
      <c r="X1982">
        <f>Table1[[#This Row],[customer_purchase count]]*Rules!$B$3</f>
        <v>1494.1089743589744</v>
      </c>
      <c r="Y1982" t="str">
        <f>IF(Table1[[#This Row],[customer_subscription]]=1,"Subscribed","Not Subscribed")</f>
        <v>Not Subscribed</v>
      </c>
    </row>
    <row r="1983" spans="1:26" x14ac:dyDescent="0.25">
      <c r="A1983">
        <v>1982</v>
      </c>
      <c r="B1983">
        <v>69</v>
      </c>
      <c r="C1983" t="s">
        <v>22</v>
      </c>
      <c r="D1983">
        <v>1982</v>
      </c>
      <c r="E1983" t="s">
        <v>74</v>
      </c>
      <c r="F1983" t="s">
        <v>45</v>
      </c>
      <c r="G1983">
        <v>1982</v>
      </c>
      <c r="H1983">
        <v>2577</v>
      </c>
      <c r="I1983">
        <v>91</v>
      </c>
      <c r="J1983" t="s">
        <v>154</v>
      </c>
      <c r="K1983" t="s">
        <v>26</v>
      </c>
      <c r="L1983" t="s">
        <v>86</v>
      </c>
      <c r="M1983" t="s">
        <v>56</v>
      </c>
      <c r="N1983">
        <v>4.7</v>
      </c>
      <c r="O1983">
        <v>0</v>
      </c>
      <c r="P1983" t="s">
        <v>29</v>
      </c>
      <c r="Q1983" t="s">
        <v>155</v>
      </c>
      <c r="R1983" t="s">
        <v>155</v>
      </c>
      <c r="S1983">
        <v>42</v>
      </c>
      <c r="T1983" t="s">
        <v>49</v>
      </c>
      <c r="U1983" t="s">
        <v>61</v>
      </c>
      <c r="V1983" s="1">
        <v>45459</v>
      </c>
      <c r="W1983">
        <f>Table1[[#This Row],[customer_purchase count]]+1</f>
        <v>43</v>
      </c>
      <c r="X1983">
        <f>Table1[[#This Row],[customer_purchase count]]*Rules!$B$3</f>
        <v>2510.103076923077</v>
      </c>
      <c r="Y1983" t="str">
        <f>IF(Table1[[#This Row],[customer_subscription]]=1,"Subscribed","Not Subscribed")</f>
        <v>Not Subscribed</v>
      </c>
    </row>
    <row r="1984" spans="1:26" x14ac:dyDescent="0.25">
      <c r="A1984">
        <v>1983</v>
      </c>
      <c r="B1984">
        <v>41</v>
      </c>
      <c r="C1984" t="s">
        <v>22</v>
      </c>
      <c r="D1984">
        <v>1983</v>
      </c>
      <c r="E1984" t="s">
        <v>92</v>
      </c>
      <c r="F1984" t="s">
        <v>70</v>
      </c>
      <c r="G1984">
        <v>1983</v>
      </c>
      <c r="H1984">
        <v>2578</v>
      </c>
      <c r="I1984">
        <v>77</v>
      </c>
      <c r="J1984" t="s">
        <v>114</v>
      </c>
      <c r="K1984" t="s">
        <v>47</v>
      </c>
      <c r="L1984" t="s">
        <v>51</v>
      </c>
      <c r="M1984" t="s">
        <v>56</v>
      </c>
      <c r="N1984">
        <v>2.7</v>
      </c>
      <c r="O1984">
        <v>0</v>
      </c>
      <c r="P1984" t="s">
        <v>73</v>
      </c>
      <c r="Q1984" t="s">
        <v>155</v>
      </c>
      <c r="R1984" t="s">
        <v>155</v>
      </c>
      <c r="S1984">
        <v>32</v>
      </c>
      <c r="T1984" t="s">
        <v>49</v>
      </c>
      <c r="U1984" t="s">
        <v>91</v>
      </c>
      <c r="V1984" s="1">
        <v>45528</v>
      </c>
      <c r="W1984">
        <f>Table1[[#This Row],[customer_purchase count]]+1</f>
        <v>33</v>
      </c>
      <c r="X1984">
        <f>Table1[[#This Row],[customer_purchase count]]*Rules!$B$3</f>
        <v>1912.4594871794873</v>
      </c>
      <c r="Y1984" t="str">
        <f>IF(Table1[[#This Row],[customer_subscription]]=1,"Subscribed","Not Subscribed")</f>
        <v>Not Subscribed</v>
      </c>
    </row>
    <row r="1985" spans="1:26" x14ac:dyDescent="0.25">
      <c r="A1985">
        <v>1984</v>
      </c>
      <c r="B1985">
        <v>59</v>
      </c>
      <c r="C1985" t="s">
        <v>22</v>
      </c>
      <c r="D1985">
        <v>1984</v>
      </c>
      <c r="E1985" t="s">
        <v>122</v>
      </c>
      <c r="F1985" t="s">
        <v>70</v>
      </c>
      <c r="G1985">
        <v>1984</v>
      </c>
      <c r="H1985">
        <v>2579</v>
      </c>
      <c r="I1985">
        <v>97</v>
      </c>
      <c r="J1985" t="s">
        <v>145</v>
      </c>
      <c r="K1985" t="s">
        <v>47</v>
      </c>
      <c r="L1985" t="s">
        <v>72</v>
      </c>
      <c r="M1985" t="s">
        <v>56</v>
      </c>
      <c r="N1985">
        <v>2.6</v>
      </c>
      <c r="O1985">
        <v>0</v>
      </c>
      <c r="P1985" t="s">
        <v>48</v>
      </c>
      <c r="Q1985" t="s">
        <v>155</v>
      </c>
      <c r="R1985" t="s">
        <v>155</v>
      </c>
      <c r="S1985">
        <v>21</v>
      </c>
      <c r="T1985" t="s">
        <v>89</v>
      </c>
      <c r="U1985" t="s">
        <v>61</v>
      </c>
      <c r="V1985" s="1">
        <v>45498</v>
      </c>
      <c r="W1985">
        <f>Table1[[#This Row],[customer_purchase count]]+1</f>
        <v>22</v>
      </c>
      <c r="X1985">
        <f>Table1[[#This Row],[customer_purchase count]]*Rules!$B$3</f>
        <v>1255.0515384615385</v>
      </c>
      <c r="Y1985" t="str">
        <f>IF(Table1[[#This Row],[customer_subscription]]=1,"Subscribed","Not Subscribed")</f>
        <v>Not Subscribed</v>
      </c>
    </row>
    <row r="1986" spans="1:26" x14ac:dyDescent="0.25">
      <c r="A1986">
        <v>1985</v>
      </c>
      <c r="B1986">
        <v>26</v>
      </c>
      <c r="C1986" t="s">
        <v>22</v>
      </c>
      <c r="D1986">
        <v>1985</v>
      </c>
      <c r="E1986" t="s">
        <v>90</v>
      </c>
      <c r="F1986" t="s">
        <v>24</v>
      </c>
      <c r="G1986">
        <v>1985</v>
      </c>
      <c r="H1986">
        <v>2581</v>
      </c>
      <c r="I1986">
        <v>58</v>
      </c>
      <c r="J1986" t="s">
        <v>67</v>
      </c>
      <c r="K1986" t="s">
        <v>47</v>
      </c>
      <c r="L1986" t="s">
        <v>97</v>
      </c>
      <c r="M1986" t="s">
        <v>56</v>
      </c>
      <c r="N1986">
        <v>3.4</v>
      </c>
      <c r="O1986">
        <v>0</v>
      </c>
      <c r="P1986" t="s">
        <v>73</v>
      </c>
      <c r="Q1986" t="s">
        <v>155</v>
      </c>
      <c r="R1986" t="s">
        <v>155</v>
      </c>
      <c r="S1986">
        <v>26</v>
      </c>
      <c r="T1986" t="s">
        <v>49</v>
      </c>
      <c r="U1986" t="s">
        <v>32</v>
      </c>
      <c r="V1986" s="1">
        <v>45445</v>
      </c>
      <c r="W1986">
        <f>Table1[[#This Row],[customer_purchase count]]+1</f>
        <v>27</v>
      </c>
      <c r="X1986">
        <f>Table1[[#This Row],[customer_purchase count]]*Rules!$B$3</f>
        <v>1553.8733333333334</v>
      </c>
      <c r="Y1986" t="str">
        <f>IF(Table1[[#This Row],[customer_subscription]]=1,"Subscribed","Not Subscribed")</f>
        <v>Not Subscribed</v>
      </c>
    </row>
    <row r="1987" spans="1:26" x14ac:dyDescent="0.25">
      <c r="A1987">
        <v>1986</v>
      </c>
      <c r="B1987">
        <v>23</v>
      </c>
      <c r="C1987" t="s">
        <v>22</v>
      </c>
      <c r="D1987">
        <v>1986</v>
      </c>
      <c r="E1987" t="s">
        <v>146</v>
      </c>
      <c r="F1987" t="s">
        <v>70</v>
      </c>
      <c r="G1987">
        <v>1986</v>
      </c>
      <c r="H1987">
        <v>2582</v>
      </c>
      <c r="I1987">
        <v>97</v>
      </c>
      <c r="J1987" t="s">
        <v>125</v>
      </c>
      <c r="K1987" t="s">
        <v>47</v>
      </c>
      <c r="L1987" t="s">
        <v>83</v>
      </c>
      <c r="M1987" t="s">
        <v>40</v>
      </c>
      <c r="N1987">
        <v>3.9</v>
      </c>
      <c r="O1987">
        <v>0</v>
      </c>
      <c r="P1987" t="s">
        <v>73</v>
      </c>
      <c r="Q1987" t="s">
        <v>155</v>
      </c>
      <c r="R1987" t="s">
        <v>155</v>
      </c>
      <c r="S1987">
        <v>6</v>
      </c>
      <c r="T1987" t="s">
        <v>42</v>
      </c>
      <c r="U1987" t="s">
        <v>32</v>
      </c>
      <c r="V1987" s="1">
        <v>45373</v>
      </c>
      <c r="W1987">
        <f>Table1[[#This Row],[customer_purchase count]]+1</f>
        <v>7</v>
      </c>
      <c r="X1987">
        <f>Table1[[#This Row],[customer_purchase count]]*Rules!$B$3</f>
        <v>358.58615384615388</v>
      </c>
      <c r="Y1987" t="str">
        <f>IF(Table1[[#This Row],[customer_subscription]]=1,"Subscribed","Not Subscribed")</f>
        <v>Not Subscribed</v>
      </c>
      <c r="Z1987" t="s">
        <v>194</v>
      </c>
    </row>
    <row r="1988" spans="1:26" x14ac:dyDescent="0.25">
      <c r="A1988">
        <v>1987</v>
      </c>
      <c r="B1988">
        <v>62</v>
      </c>
      <c r="C1988" t="s">
        <v>22</v>
      </c>
      <c r="D1988">
        <v>1987</v>
      </c>
      <c r="E1988" t="s">
        <v>65</v>
      </c>
      <c r="F1988" t="s">
        <v>66</v>
      </c>
      <c r="G1988">
        <v>1987</v>
      </c>
      <c r="H1988">
        <v>2583</v>
      </c>
      <c r="I1988">
        <v>48</v>
      </c>
      <c r="J1988" t="s">
        <v>75</v>
      </c>
      <c r="K1988" t="s">
        <v>26</v>
      </c>
      <c r="L1988" t="s">
        <v>99</v>
      </c>
      <c r="M1988" t="s">
        <v>56</v>
      </c>
      <c r="N1988">
        <v>3.4</v>
      </c>
      <c r="O1988">
        <v>0</v>
      </c>
      <c r="P1988" t="s">
        <v>73</v>
      </c>
      <c r="Q1988" t="s">
        <v>155</v>
      </c>
      <c r="R1988" t="s">
        <v>155</v>
      </c>
      <c r="S1988">
        <v>14</v>
      </c>
      <c r="T1988" t="s">
        <v>31</v>
      </c>
      <c r="U1988" t="s">
        <v>61</v>
      </c>
      <c r="V1988" s="1">
        <v>45445</v>
      </c>
      <c r="W1988">
        <f>Table1[[#This Row],[customer_purchase count]]+1</f>
        <v>15</v>
      </c>
      <c r="X1988">
        <f>Table1[[#This Row],[customer_purchase count]]*Rules!$B$3</f>
        <v>836.70102564102569</v>
      </c>
      <c r="Y1988" t="str">
        <f>IF(Table1[[#This Row],[customer_subscription]]=1,"Subscribed","Not Subscribed")</f>
        <v>Not Subscribed</v>
      </c>
      <c r="Z1988" t="s">
        <v>194</v>
      </c>
    </row>
    <row r="1989" spans="1:26" x14ac:dyDescent="0.25">
      <c r="A1989">
        <v>1988</v>
      </c>
      <c r="B1989">
        <v>69</v>
      </c>
      <c r="C1989" t="s">
        <v>22</v>
      </c>
      <c r="D1989">
        <v>1988</v>
      </c>
      <c r="E1989" t="s">
        <v>136</v>
      </c>
      <c r="F1989" t="s">
        <v>70</v>
      </c>
      <c r="G1989">
        <v>1988</v>
      </c>
      <c r="H1989">
        <v>2584</v>
      </c>
      <c r="I1989">
        <v>23</v>
      </c>
      <c r="J1989" t="s">
        <v>132</v>
      </c>
      <c r="K1989" t="s">
        <v>95</v>
      </c>
      <c r="L1989" t="s">
        <v>55</v>
      </c>
      <c r="M1989" t="s">
        <v>56</v>
      </c>
      <c r="N1989">
        <v>3.4</v>
      </c>
      <c r="O1989">
        <v>0</v>
      </c>
      <c r="P1989" t="s">
        <v>29</v>
      </c>
      <c r="Q1989" t="s">
        <v>155</v>
      </c>
      <c r="R1989" t="s">
        <v>155</v>
      </c>
      <c r="S1989">
        <v>4</v>
      </c>
      <c r="T1989" t="s">
        <v>36</v>
      </c>
      <c r="U1989" t="s">
        <v>61</v>
      </c>
      <c r="V1989" s="1">
        <v>45510</v>
      </c>
      <c r="W1989">
        <f>Table1[[#This Row],[customer_purchase count]]+1</f>
        <v>5</v>
      </c>
      <c r="X1989">
        <f>Table1[[#This Row],[customer_purchase count]]*Rules!$B$3</f>
        <v>239.05743589743591</v>
      </c>
      <c r="Y1989" t="str">
        <f>IF(Table1[[#This Row],[customer_subscription]]=1,"Subscribed","Not Subscribed")</f>
        <v>Not Subscribed</v>
      </c>
      <c r="Z1989" t="s">
        <v>194</v>
      </c>
    </row>
    <row r="1990" spans="1:26" x14ac:dyDescent="0.25">
      <c r="A1990">
        <v>1989</v>
      </c>
      <c r="B1990">
        <v>46</v>
      </c>
      <c r="C1990" t="s">
        <v>22</v>
      </c>
      <c r="D1990">
        <v>1989</v>
      </c>
      <c r="E1990" t="s">
        <v>98</v>
      </c>
      <c r="F1990" t="s">
        <v>24</v>
      </c>
      <c r="G1990">
        <v>1989</v>
      </c>
      <c r="H1990">
        <v>2585</v>
      </c>
      <c r="I1990">
        <v>79</v>
      </c>
      <c r="J1990" t="s">
        <v>144</v>
      </c>
      <c r="K1990" t="s">
        <v>47</v>
      </c>
      <c r="L1990" t="s">
        <v>83</v>
      </c>
      <c r="M1990" t="s">
        <v>28</v>
      </c>
      <c r="N1990">
        <v>3.9</v>
      </c>
      <c r="O1990">
        <v>0</v>
      </c>
      <c r="P1990" t="s">
        <v>41</v>
      </c>
      <c r="Q1990" t="s">
        <v>155</v>
      </c>
      <c r="R1990" t="s">
        <v>155</v>
      </c>
      <c r="S1990">
        <v>26</v>
      </c>
      <c r="T1990" t="s">
        <v>78</v>
      </c>
      <c r="U1990" t="s">
        <v>43</v>
      </c>
      <c r="V1990" s="1">
        <v>45633</v>
      </c>
      <c r="W1990">
        <f>Table1[[#This Row],[customer_purchase count]]+1</f>
        <v>27</v>
      </c>
      <c r="X1990">
        <f>Table1[[#This Row],[customer_purchase count]]*Rules!$B$3</f>
        <v>1553.8733333333334</v>
      </c>
      <c r="Y1990" t="str">
        <f>IF(Table1[[#This Row],[customer_subscription]]=1,"Subscribed","Not Subscribed")</f>
        <v>Not Subscribed</v>
      </c>
    </row>
    <row r="1991" spans="1:26" x14ac:dyDescent="0.25">
      <c r="A1991">
        <v>1990</v>
      </c>
      <c r="B1991">
        <v>35</v>
      </c>
      <c r="C1991" t="s">
        <v>22</v>
      </c>
      <c r="D1991">
        <v>1990</v>
      </c>
      <c r="E1991" t="s">
        <v>109</v>
      </c>
      <c r="F1991" t="s">
        <v>70</v>
      </c>
      <c r="G1991">
        <v>1990</v>
      </c>
      <c r="H1991">
        <v>2587</v>
      </c>
      <c r="I1991">
        <v>42</v>
      </c>
      <c r="J1991" t="s">
        <v>131</v>
      </c>
      <c r="K1991" t="s">
        <v>39</v>
      </c>
      <c r="L1991" t="s">
        <v>64</v>
      </c>
      <c r="M1991" t="s">
        <v>40</v>
      </c>
      <c r="N1991">
        <v>4</v>
      </c>
      <c r="O1991">
        <v>0</v>
      </c>
      <c r="P1991" t="s">
        <v>29</v>
      </c>
      <c r="Q1991" t="s">
        <v>155</v>
      </c>
      <c r="R1991" t="s">
        <v>155</v>
      </c>
      <c r="S1991">
        <v>39</v>
      </c>
      <c r="T1991" t="s">
        <v>49</v>
      </c>
      <c r="U1991" t="s">
        <v>79</v>
      </c>
      <c r="V1991" s="1">
        <v>45390</v>
      </c>
      <c r="W1991">
        <f>Table1[[#This Row],[customer_purchase count]]+1</f>
        <v>40</v>
      </c>
      <c r="X1991">
        <f>Table1[[#This Row],[customer_purchase count]]*Rules!$B$3</f>
        <v>2330.81</v>
      </c>
      <c r="Y1991" t="str">
        <f>IF(Table1[[#This Row],[customer_subscription]]=1,"Subscribed","Not Subscribed")</f>
        <v>Not Subscribed</v>
      </c>
    </row>
    <row r="1992" spans="1:26" x14ac:dyDescent="0.25">
      <c r="A1992">
        <v>1991</v>
      </c>
      <c r="B1992">
        <v>32</v>
      </c>
      <c r="C1992" t="s">
        <v>22</v>
      </c>
      <c r="D1992">
        <v>1991</v>
      </c>
      <c r="E1992" t="s">
        <v>135</v>
      </c>
      <c r="F1992" t="s">
        <v>70</v>
      </c>
      <c r="G1992">
        <v>1991</v>
      </c>
      <c r="H1992">
        <v>2588</v>
      </c>
      <c r="I1992">
        <v>95</v>
      </c>
      <c r="J1992" t="s">
        <v>142</v>
      </c>
      <c r="K1992" t="s">
        <v>26</v>
      </c>
      <c r="L1992" t="s">
        <v>55</v>
      </c>
      <c r="M1992" t="s">
        <v>40</v>
      </c>
      <c r="N1992">
        <v>3.4</v>
      </c>
      <c r="O1992">
        <v>0</v>
      </c>
      <c r="P1992" t="s">
        <v>73</v>
      </c>
      <c r="Q1992" t="s">
        <v>155</v>
      </c>
      <c r="R1992" t="s">
        <v>155</v>
      </c>
      <c r="S1992">
        <v>15</v>
      </c>
      <c r="T1992" t="s">
        <v>49</v>
      </c>
      <c r="U1992" t="s">
        <v>52</v>
      </c>
      <c r="V1992" s="1">
        <v>45364</v>
      </c>
      <c r="W1992">
        <f>Table1[[#This Row],[customer_purchase count]]+1</f>
        <v>16</v>
      </c>
      <c r="X1992">
        <f>Table1[[#This Row],[customer_purchase count]]*Rules!$B$3</f>
        <v>896.46538461538466</v>
      </c>
      <c r="Y1992" t="str">
        <f>IF(Table1[[#This Row],[customer_subscription]]=1,"Subscribed","Not Subscribed")</f>
        <v>Not Subscribed</v>
      </c>
      <c r="Z1992" t="s">
        <v>194</v>
      </c>
    </row>
    <row r="1993" spans="1:26" x14ac:dyDescent="0.25">
      <c r="A1993">
        <v>1992</v>
      </c>
      <c r="B1993">
        <v>46</v>
      </c>
      <c r="C1993" t="s">
        <v>22</v>
      </c>
      <c r="D1993">
        <v>1992</v>
      </c>
      <c r="E1993" t="s">
        <v>53</v>
      </c>
      <c r="F1993" t="s">
        <v>45</v>
      </c>
      <c r="G1993">
        <v>1992</v>
      </c>
      <c r="H1993">
        <v>2589</v>
      </c>
      <c r="I1993">
        <v>29</v>
      </c>
      <c r="J1993" t="s">
        <v>71</v>
      </c>
      <c r="K1993" t="s">
        <v>47</v>
      </c>
      <c r="L1993" t="s">
        <v>113</v>
      </c>
      <c r="M1993" t="s">
        <v>56</v>
      </c>
      <c r="N1993">
        <v>3.7</v>
      </c>
      <c r="O1993">
        <v>0</v>
      </c>
      <c r="P1993" t="s">
        <v>48</v>
      </c>
      <c r="Q1993" t="s">
        <v>155</v>
      </c>
      <c r="R1993" t="s">
        <v>155</v>
      </c>
      <c r="S1993">
        <v>1</v>
      </c>
      <c r="T1993" t="s">
        <v>31</v>
      </c>
      <c r="U1993" t="s">
        <v>100</v>
      </c>
      <c r="V1993" s="1">
        <v>45449</v>
      </c>
      <c r="W1993">
        <f>Table1[[#This Row],[customer_purchase count]]+1</f>
        <v>2</v>
      </c>
      <c r="X1993">
        <f>Table1[[#This Row],[customer_purchase count]]*Rules!$B$3</f>
        <v>59.764358974358977</v>
      </c>
      <c r="Y1993" t="str">
        <f>IF(Table1[[#This Row],[customer_subscription]]=1,"Subscribed","Not Subscribed")</f>
        <v>Not Subscribed</v>
      </c>
      <c r="Z1993" t="s">
        <v>194</v>
      </c>
    </row>
    <row r="1994" spans="1:26" x14ac:dyDescent="0.25">
      <c r="A1994">
        <v>1993</v>
      </c>
      <c r="B1994">
        <v>33</v>
      </c>
      <c r="C1994" t="s">
        <v>22</v>
      </c>
      <c r="D1994">
        <v>1993</v>
      </c>
      <c r="E1994" t="s">
        <v>107</v>
      </c>
      <c r="F1994" t="s">
        <v>24</v>
      </c>
      <c r="G1994">
        <v>1993</v>
      </c>
      <c r="H1994">
        <v>2590</v>
      </c>
      <c r="I1994">
        <v>98</v>
      </c>
      <c r="J1994" t="s">
        <v>130</v>
      </c>
      <c r="K1994" t="s">
        <v>26</v>
      </c>
      <c r="L1994" t="s">
        <v>83</v>
      </c>
      <c r="M1994" t="s">
        <v>28</v>
      </c>
      <c r="N1994">
        <v>4.9000000000000004</v>
      </c>
      <c r="O1994">
        <v>0</v>
      </c>
      <c r="P1994" t="s">
        <v>73</v>
      </c>
      <c r="Q1994" t="s">
        <v>155</v>
      </c>
      <c r="R1994" t="s">
        <v>155</v>
      </c>
      <c r="S1994">
        <v>28</v>
      </c>
      <c r="T1994" t="s">
        <v>31</v>
      </c>
      <c r="U1994" t="s">
        <v>91</v>
      </c>
      <c r="V1994" s="1">
        <v>45641</v>
      </c>
      <c r="W1994">
        <f>Table1[[#This Row],[customer_purchase count]]+1</f>
        <v>29</v>
      </c>
      <c r="X1994">
        <f>Table1[[#This Row],[customer_purchase count]]*Rules!$B$3</f>
        <v>1673.4020512820514</v>
      </c>
      <c r="Y1994" t="str">
        <f>IF(Table1[[#This Row],[customer_subscription]]=1,"Subscribed","Not Subscribed")</f>
        <v>Not Subscribed</v>
      </c>
    </row>
    <row r="1995" spans="1:26" x14ac:dyDescent="0.25">
      <c r="A1995">
        <v>1994</v>
      </c>
      <c r="B1995">
        <v>32</v>
      </c>
      <c r="C1995" t="s">
        <v>22</v>
      </c>
      <c r="D1995">
        <v>1994</v>
      </c>
      <c r="E1995" t="s">
        <v>23</v>
      </c>
      <c r="F1995" t="s">
        <v>24</v>
      </c>
      <c r="G1995">
        <v>1994</v>
      </c>
      <c r="H1995">
        <v>2591</v>
      </c>
      <c r="I1995">
        <v>96</v>
      </c>
      <c r="J1995" t="s">
        <v>75</v>
      </c>
      <c r="K1995" t="s">
        <v>39</v>
      </c>
      <c r="L1995" t="s">
        <v>76</v>
      </c>
      <c r="M1995" t="s">
        <v>40</v>
      </c>
      <c r="N1995">
        <v>5</v>
      </c>
      <c r="O1995">
        <v>0</v>
      </c>
      <c r="P1995" t="s">
        <v>29</v>
      </c>
      <c r="Q1995" t="s">
        <v>155</v>
      </c>
      <c r="R1995" t="s">
        <v>155</v>
      </c>
      <c r="S1995">
        <v>17</v>
      </c>
      <c r="T1995" t="s">
        <v>36</v>
      </c>
      <c r="U1995" t="s">
        <v>43</v>
      </c>
      <c r="V1995" s="1">
        <v>45438</v>
      </c>
      <c r="W1995">
        <f>Table1[[#This Row],[customer_purchase count]]+1</f>
        <v>18</v>
      </c>
      <c r="X1995">
        <f>Table1[[#This Row],[customer_purchase count]]*Rules!$B$3</f>
        <v>1015.9941025641026</v>
      </c>
      <c r="Y1995" t="str">
        <f>IF(Table1[[#This Row],[customer_subscription]]=1,"Subscribed","Not Subscribed")</f>
        <v>Not Subscribed</v>
      </c>
      <c r="Z1995" t="s">
        <v>194</v>
      </c>
    </row>
    <row r="1996" spans="1:26" x14ac:dyDescent="0.25">
      <c r="A1996">
        <v>1995</v>
      </c>
      <c r="B1996">
        <v>33</v>
      </c>
      <c r="C1996" t="s">
        <v>22</v>
      </c>
      <c r="D1996">
        <v>1995</v>
      </c>
      <c r="E1996" t="s">
        <v>92</v>
      </c>
      <c r="F1996" t="s">
        <v>70</v>
      </c>
      <c r="G1996">
        <v>1995</v>
      </c>
      <c r="H1996">
        <v>2593</v>
      </c>
      <c r="I1996">
        <v>66</v>
      </c>
      <c r="J1996" t="s">
        <v>110</v>
      </c>
      <c r="K1996" t="s">
        <v>47</v>
      </c>
      <c r="L1996" t="s">
        <v>113</v>
      </c>
      <c r="M1996" t="s">
        <v>60</v>
      </c>
      <c r="N1996">
        <v>2.9</v>
      </c>
      <c r="O1996">
        <v>0</v>
      </c>
      <c r="P1996" t="s">
        <v>48</v>
      </c>
      <c r="Q1996" t="s">
        <v>155</v>
      </c>
      <c r="R1996" t="s">
        <v>155</v>
      </c>
      <c r="S1996">
        <v>24</v>
      </c>
      <c r="T1996" t="s">
        <v>42</v>
      </c>
      <c r="U1996" t="s">
        <v>43</v>
      </c>
      <c r="V1996" s="1">
        <v>45547</v>
      </c>
      <c r="W1996">
        <f>Table1[[#This Row],[customer_purchase count]]+1</f>
        <v>25</v>
      </c>
      <c r="X1996">
        <f>Table1[[#This Row],[customer_purchase count]]*Rules!$B$3</f>
        <v>1434.3446153846155</v>
      </c>
      <c r="Y1996" t="str">
        <f>IF(Table1[[#This Row],[customer_subscription]]=1,"Subscribed","Not Subscribed")</f>
        <v>Not Subscribed</v>
      </c>
    </row>
    <row r="1997" spans="1:26" x14ac:dyDescent="0.25">
      <c r="A1997">
        <v>1996</v>
      </c>
      <c r="B1997">
        <v>67</v>
      </c>
      <c r="C1997" t="s">
        <v>22</v>
      </c>
      <c r="D1997">
        <v>1996</v>
      </c>
      <c r="E1997" t="s">
        <v>140</v>
      </c>
      <c r="F1997" t="s">
        <v>45</v>
      </c>
      <c r="G1997">
        <v>1996</v>
      </c>
      <c r="H1997">
        <v>2594</v>
      </c>
      <c r="I1997">
        <v>80</v>
      </c>
      <c r="J1997" t="s">
        <v>71</v>
      </c>
      <c r="K1997" t="s">
        <v>39</v>
      </c>
      <c r="L1997" t="s">
        <v>88</v>
      </c>
      <c r="M1997" t="s">
        <v>40</v>
      </c>
      <c r="N1997">
        <v>3</v>
      </c>
      <c r="O1997">
        <v>0</v>
      </c>
      <c r="P1997" t="s">
        <v>57</v>
      </c>
      <c r="Q1997" t="s">
        <v>155</v>
      </c>
      <c r="R1997" t="s">
        <v>155</v>
      </c>
      <c r="S1997">
        <v>29</v>
      </c>
      <c r="T1997" t="s">
        <v>89</v>
      </c>
      <c r="U1997" t="s">
        <v>61</v>
      </c>
      <c r="V1997" s="1">
        <v>45416</v>
      </c>
      <c r="W1997">
        <f>Table1[[#This Row],[customer_purchase count]]+1</f>
        <v>30</v>
      </c>
      <c r="X1997">
        <f>Table1[[#This Row],[customer_purchase count]]*Rules!$B$3</f>
        <v>1733.1664102564102</v>
      </c>
      <c r="Y1997" t="str">
        <f>IF(Table1[[#This Row],[customer_subscription]]=1,"Subscribed","Not Subscribed")</f>
        <v>Not Subscribed</v>
      </c>
    </row>
    <row r="1998" spans="1:26" x14ac:dyDescent="0.25">
      <c r="A1998">
        <v>1997</v>
      </c>
      <c r="B1998">
        <v>67</v>
      </c>
      <c r="C1998" t="s">
        <v>22</v>
      </c>
      <c r="D1998">
        <v>1997</v>
      </c>
      <c r="E1998" t="s">
        <v>53</v>
      </c>
      <c r="F1998" t="s">
        <v>45</v>
      </c>
      <c r="G1998">
        <v>1997</v>
      </c>
      <c r="H1998">
        <v>2595</v>
      </c>
      <c r="I1998">
        <v>27</v>
      </c>
      <c r="J1998" t="s">
        <v>150</v>
      </c>
      <c r="K1998" t="s">
        <v>26</v>
      </c>
      <c r="L1998" t="s">
        <v>129</v>
      </c>
      <c r="M1998" t="s">
        <v>56</v>
      </c>
      <c r="N1998">
        <v>3.3</v>
      </c>
      <c r="O1998">
        <v>0</v>
      </c>
      <c r="P1998" t="s">
        <v>48</v>
      </c>
      <c r="Q1998" t="s">
        <v>155</v>
      </c>
      <c r="R1998" t="s">
        <v>155</v>
      </c>
      <c r="S1998">
        <v>18</v>
      </c>
      <c r="T1998" t="s">
        <v>36</v>
      </c>
      <c r="U1998" t="s">
        <v>100</v>
      </c>
      <c r="V1998" s="1">
        <v>45522</v>
      </c>
      <c r="W1998">
        <f>Table1[[#This Row],[customer_purchase count]]+1</f>
        <v>19</v>
      </c>
      <c r="X1998">
        <f>Table1[[#This Row],[customer_purchase count]]*Rules!$B$3</f>
        <v>1075.7584615384617</v>
      </c>
      <c r="Y1998" t="str">
        <f>IF(Table1[[#This Row],[customer_subscription]]=1,"Subscribed","Not Subscribed")</f>
        <v>Not Subscribed</v>
      </c>
    </row>
    <row r="1999" spans="1:26" x14ac:dyDescent="0.25">
      <c r="A1999">
        <v>1998</v>
      </c>
      <c r="B1999">
        <v>42</v>
      </c>
      <c r="C1999" t="s">
        <v>22</v>
      </c>
      <c r="D1999">
        <v>1998</v>
      </c>
      <c r="E1999" t="s">
        <v>135</v>
      </c>
      <c r="F1999" t="s">
        <v>70</v>
      </c>
      <c r="G1999">
        <v>1998</v>
      </c>
      <c r="H1999">
        <v>2596</v>
      </c>
      <c r="I1999">
        <v>25</v>
      </c>
      <c r="J1999" t="s">
        <v>142</v>
      </c>
      <c r="K1999" t="s">
        <v>47</v>
      </c>
      <c r="L1999" t="s">
        <v>76</v>
      </c>
      <c r="M1999" t="s">
        <v>60</v>
      </c>
      <c r="N1999">
        <v>4.7</v>
      </c>
      <c r="O1999">
        <v>0</v>
      </c>
      <c r="P1999" t="s">
        <v>29</v>
      </c>
      <c r="Q1999" t="s">
        <v>155</v>
      </c>
      <c r="R1999" t="s">
        <v>155</v>
      </c>
      <c r="S1999">
        <v>10</v>
      </c>
      <c r="T1999" t="s">
        <v>89</v>
      </c>
      <c r="U1999" t="s">
        <v>79</v>
      </c>
      <c r="V1999" s="1">
        <v>45575</v>
      </c>
      <c r="W1999">
        <f>Table1[[#This Row],[customer_purchase count]]+1</f>
        <v>11</v>
      </c>
      <c r="X1999">
        <f>Table1[[#This Row],[customer_purchase count]]*Rules!$B$3</f>
        <v>597.64358974358981</v>
      </c>
      <c r="Y1999" t="str">
        <f>IF(Table1[[#This Row],[customer_subscription]]=1,"Subscribed","Not Subscribed")</f>
        <v>Not Subscribed</v>
      </c>
      <c r="Z1999" t="s">
        <v>194</v>
      </c>
    </row>
    <row r="2000" spans="1:26" x14ac:dyDescent="0.25">
      <c r="A2000">
        <v>1999</v>
      </c>
      <c r="B2000">
        <v>20</v>
      </c>
      <c r="C2000" t="s">
        <v>22</v>
      </c>
      <c r="D2000">
        <v>1999</v>
      </c>
      <c r="E2000" t="s">
        <v>98</v>
      </c>
      <c r="F2000" t="s">
        <v>24</v>
      </c>
      <c r="G2000">
        <v>1999</v>
      </c>
      <c r="H2000">
        <v>2597</v>
      </c>
      <c r="I2000">
        <v>45</v>
      </c>
      <c r="J2000" t="s">
        <v>132</v>
      </c>
      <c r="K2000" t="s">
        <v>47</v>
      </c>
      <c r="L2000" t="s">
        <v>124</v>
      </c>
      <c r="M2000" t="s">
        <v>60</v>
      </c>
      <c r="N2000">
        <v>3.4</v>
      </c>
      <c r="O2000">
        <v>0</v>
      </c>
      <c r="P2000" t="s">
        <v>73</v>
      </c>
      <c r="Q2000" t="s">
        <v>155</v>
      </c>
      <c r="R2000" t="s">
        <v>155</v>
      </c>
      <c r="S2000">
        <v>19</v>
      </c>
      <c r="T2000" t="s">
        <v>36</v>
      </c>
      <c r="U2000" t="s">
        <v>61</v>
      </c>
      <c r="V2000" s="1">
        <v>45592</v>
      </c>
      <c r="W2000">
        <f>Table1[[#This Row],[customer_purchase count]]+1</f>
        <v>20</v>
      </c>
      <c r="X2000">
        <f>Table1[[#This Row],[customer_purchase count]]*Rules!$B$3</f>
        <v>1135.5228205128205</v>
      </c>
      <c r="Y2000" t="str">
        <f>IF(Table1[[#This Row],[customer_subscription]]=1,"Subscribed","Not Subscribed")</f>
        <v>Not Subscribed</v>
      </c>
    </row>
    <row r="2001" spans="1:26" x14ac:dyDescent="0.25">
      <c r="A2001">
        <v>2000</v>
      </c>
      <c r="B2001">
        <v>39</v>
      </c>
      <c r="C2001" t="s">
        <v>22</v>
      </c>
      <c r="D2001">
        <v>2000</v>
      </c>
      <c r="E2001" t="s">
        <v>128</v>
      </c>
      <c r="F2001" t="s">
        <v>24</v>
      </c>
      <c r="G2001">
        <v>2000</v>
      </c>
      <c r="H2001">
        <v>2599</v>
      </c>
      <c r="I2001">
        <v>89</v>
      </c>
      <c r="J2001" t="s">
        <v>125</v>
      </c>
      <c r="K2001" t="s">
        <v>26</v>
      </c>
      <c r="L2001" t="s">
        <v>129</v>
      </c>
      <c r="M2001" t="s">
        <v>28</v>
      </c>
      <c r="N2001">
        <v>4.5999999999999996</v>
      </c>
      <c r="O2001">
        <v>0</v>
      </c>
      <c r="P2001" t="s">
        <v>73</v>
      </c>
      <c r="Q2001" t="s">
        <v>155</v>
      </c>
      <c r="R2001" t="s">
        <v>155</v>
      </c>
      <c r="S2001">
        <v>26</v>
      </c>
      <c r="T2001" t="s">
        <v>89</v>
      </c>
      <c r="U2001" t="s">
        <v>91</v>
      </c>
      <c r="V2001" s="1">
        <v>45642</v>
      </c>
      <c r="W2001">
        <f>Table1[[#This Row],[customer_purchase count]]+1</f>
        <v>27</v>
      </c>
      <c r="X2001">
        <f>Table1[[#This Row],[customer_purchase count]]*Rules!$B$3</f>
        <v>1553.8733333333334</v>
      </c>
      <c r="Y2001" t="str">
        <f>IF(Table1[[#This Row],[customer_subscription]]=1,"Subscribed","Not Subscribed")</f>
        <v>Not Subscribed</v>
      </c>
    </row>
    <row r="2002" spans="1:26" x14ac:dyDescent="0.25">
      <c r="A2002">
        <v>2001</v>
      </c>
      <c r="B2002">
        <v>26</v>
      </c>
      <c r="C2002" t="s">
        <v>22</v>
      </c>
      <c r="D2002">
        <v>2001</v>
      </c>
      <c r="E2002" t="s">
        <v>136</v>
      </c>
      <c r="F2002" t="s">
        <v>70</v>
      </c>
      <c r="G2002">
        <v>2001</v>
      </c>
      <c r="H2002">
        <v>2600</v>
      </c>
      <c r="I2002">
        <v>27</v>
      </c>
      <c r="J2002" t="s">
        <v>102</v>
      </c>
      <c r="K2002" t="s">
        <v>47</v>
      </c>
      <c r="L2002" t="s">
        <v>96</v>
      </c>
      <c r="M2002" t="s">
        <v>28</v>
      </c>
      <c r="N2002">
        <v>3.6</v>
      </c>
      <c r="O2002">
        <v>0</v>
      </c>
      <c r="P2002" t="s">
        <v>73</v>
      </c>
      <c r="Q2002" t="s">
        <v>155</v>
      </c>
      <c r="R2002" t="s">
        <v>155</v>
      </c>
      <c r="S2002">
        <v>25</v>
      </c>
      <c r="T2002" t="s">
        <v>36</v>
      </c>
      <c r="U2002" t="s">
        <v>79</v>
      </c>
      <c r="V2002" s="1">
        <v>45645</v>
      </c>
      <c r="W2002">
        <f>Table1[[#This Row],[customer_purchase count]]+1</f>
        <v>26</v>
      </c>
      <c r="X2002">
        <f>Table1[[#This Row],[customer_purchase count]]*Rules!$B$3</f>
        <v>1494.1089743589744</v>
      </c>
      <c r="Y2002" t="str">
        <f>IF(Table1[[#This Row],[customer_subscription]]=1,"Subscribed","Not Subscribed")</f>
        <v>Not Subscribed</v>
      </c>
    </row>
    <row r="2003" spans="1:26" x14ac:dyDescent="0.25">
      <c r="A2003">
        <v>2002</v>
      </c>
      <c r="B2003">
        <v>51</v>
      </c>
      <c r="C2003" t="s">
        <v>22</v>
      </c>
      <c r="D2003">
        <v>2002</v>
      </c>
      <c r="E2003" t="s">
        <v>92</v>
      </c>
      <c r="F2003" t="s">
        <v>70</v>
      </c>
      <c r="G2003">
        <v>2002</v>
      </c>
      <c r="H2003">
        <v>2601</v>
      </c>
      <c r="I2003">
        <v>90</v>
      </c>
      <c r="J2003" t="s">
        <v>54</v>
      </c>
      <c r="K2003" t="s">
        <v>39</v>
      </c>
      <c r="L2003" t="s">
        <v>76</v>
      </c>
      <c r="M2003" t="s">
        <v>28</v>
      </c>
      <c r="N2003">
        <v>2.6</v>
      </c>
      <c r="O2003">
        <v>0</v>
      </c>
      <c r="P2003" t="s">
        <v>41</v>
      </c>
      <c r="Q2003" t="s">
        <v>155</v>
      </c>
      <c r="R2003" t="s">
        <v>155</v>
      </c>
      <c r="S2003">
        <v>2</v>
      </c>
      <c r="T2003" t="s">
        <v>89</v>
      </c>
      <c r="U2003" t="s">
        <v>32</v>
      </c>
      <c r="V2003" s="1">
        <v>45649</v>
      </c>
      <c r="W2003">
        <f>Table1[[#This Row],[customer_purchase count]]+1</f>
        <v>3</v>
      </c>
      <c r="X2003">
        <f>Table1[[#This Row],[customer_purchase count]]*Rules!$B$3</f>
        <v>119.52871794871795</v>
      </c>
      <c r="Y2003" t="str">
        <f>IF(Table1[[#This Row],[customer_subscription]]=1,"Subscribed","Not Subscribed")</f>
        <v>Not Subscribed</v>
      </c>
      <c r="Z2003" t="s">
        <v>194</v>
      </c>
    </row>
    <row r="2004" spans="1:26" x14ac:dyDescent="0.25">
      <c r="A2004">
        <v>2003</v>
      </c>
      <c r="B2004">
        <v>31</v>
      </c>
      <c r="C2004" t="s">
        <v>22</v>
      </c>
      <c r="D2004">
        <v>2003</v>
      </c>
      <c r="E2004" t="s">
        <v>58</v>
      </c>
      <c r="F2004" t="s">
        <v>24</v>
      </c>
      <c r="G2004">
        <v>2003</v>
      </c>
      <c r="H2004">
        <v>2602</v>
      </c>
      <c r="I2004">
        <v>65</v>
      </c>
      <c r="J2004" t="s">
        <v>87</v>
      </c>
      <c r="K2004" t="s">
        <v>47</v>
      </c>
      <c r="L2004" t="s">
        <v>111</v>
      </c>
      <c r="M2004" t="s">
        <v>56</v>
      </c>
      <c r="N2004">
        <v>2.7</v>
      </c>
      <c r="O2004">
        <v>0</v>
      </c>
      <c r="P2004" t="s">
        <v>29</v>
      </c>
      <c r="Q2004" t="s">
        <v>155</v>
      </c>
      <c r="R2004" t="s">
        <v>155</v>
      </c>
      <c r="S2004">
        <v>19</v>
      </c>
      <c r="T2004" t="s">
        <v>49</v>
      </c>
      <c r="U2004" t="s">
        <v>100</v>
      </c>
      <c r="V2004" s="1">
        <v>45461</v>
      </c>
      <c r="W2004">
        <f>Table1[[#This Row],[customer_purchase count]]+1</f>
        <v>20</v>
      </c>
      <c r="X2004">
        <f>Table1[[#This Row],[customer_purchase count]]*Rules!$B$3</f>
        <v>1135.5228205128205</v>
      </c>
      <c r="Y2004" t="str">
        <f>IF(Table1[[#This Row],[customer_subscription]]=1,"Subscribed","Not Subscribed")</f>
        <v>Not Subscribed</v>
      </c>
    </row>
    <row r="2005" spans="1:26" x14ac:dyDescent="0.25">
      <c r="A2005">
        <v>2004</v>
      </c>
      <c r="B2005">
        <v>68</v>
      </c>
      <c r="C2005" t="s">
        <v>22</v>
      </c>
      <c r="D2005">
        <v>2004</v>
      </c>
      <c r="E2005" t="s">
        <v>53</v>
      </c>
      <c r="F2005" t="s">
        <v>45</v>
      </c>
      <c r="G2005">
        <v>2004</v>
      </c>
      <c r="H2005">
        <v>2603</v>
      </c>
      <c r="I2005">
        <v>72</v>
      </c>
      <c r="J2005" t="s">
        <v>34</v>
      </c>
      <c r="K2005" t="s">
        <v>39</v>
      </c>
      <c r="L2005" t="s">
        <v>147</v>
      </c>
      <c r="M2005" t="s">
        <v>40</v>
      </c>
      <c r="N2005">
        <v>3.1</v>
      </c>
      <c r="O2005">
        <v>0</v>
      </c>
      <c r="P2005" t="s">
        <v>29</v>
      </c>
      <c r="Q2005" t="s">
        <v>155</v>
      </c>
      <c r="R2005" t="s">
        <v>155</v>
      </c>
      <c r="S2005">
        <v>32</v>
      </c>
      <c r="T2005" t="s">
        <v>36</v>
      </c>
      <c r="U2005" t="s">
        <v>61</v>
      </c>
      <c r="V2005" s="1">
        <v>45413</v>
      </c>
      <c r="W2005">
        <f>Table1[[#This Row],[customer_purchase count]]+1</f>
        <v>33</v>
      </c>
      <c r="X2005">
        <f>Table1[[#This Row],[customer_purchase count]]*Rules!$B$3</f>
        <v>1912.4594871794873</v>
      </c>
      <c r="Y2005" t="str">
        <f>IF(Table1[[#This Row],[customer_subscription]]=1,"Subscribed","Not Subscribed")</f>
        <v>Not Subscribed</v>
      </c>
    </row>
    <row r="2006" spans="1:26" x14ac:dyDescent="0.25">
      <c r="A2006">
        <v>2005</v>
      </c>
      <c r="B2006">
        <v>44</v>
      </c>
      <c r="C2006" t="s">
        <v>22</v>
      </c>
      <c r="D2006">
        <v>2005</v>
      </c>
      <c r="E2006" t="s">
        <v>74</v>
      </c>
      <c r="F2006" t="s">
        <v>45</v>
      </c>
      <c r="G2006">
        <v>2005</v>
      </c>
      <c r="H2006">
        <v>2605</v>
      </c>
      <c r="I2006">
        <v>70</v>
      </c>
      <c r="J2006" t="s">
        <v>145</v>
      </c>
      <c r="K2006" t="s">
        <v>26</v>
      </c>
      <c r="L2006" t="s">
        <v>147</v>
      </c>
      <c r="M2006" t="s">
        <v>60</v>
      </c>
      <c r="N2006">
        <v>3.2</v>
      </c>
      <c r="O2006">
        <v>0</v>
      </c>
      <c r="P2006" t="s">
        <v>73</v>
      </c>
      <c r="Q2006" t="s">
        <v>155</v>
      </c>
      <c r="R2006" t="s">
        <v>155</v>
      </c>
      <c r="S2006">
        <v>13</v>
      </c>
      <c r="T2006" t="s">
        <v>36</v>
      </c>
      <c r="U2006" t="s">
        <v>79</v>
      </c>
      <c r="V2006" s="1">
        <v>45570</v>
      </c>
      <c r="W2006">
        <f>Table1[[#This Row],[customer_purchase count]]+1</f>
        <v>14</v>
      </c>
      <c r="X2006">
        <f>Table1[[#This Row],[customer_purchase count]]*Rules!$B$3</f>
        <v>776.93666666666672</v>
      </c>
      <c r="Y2006" t="str">
        <f>IF(Table1[[#This Row],[customer_subscription]]=1,"Subscribed","Not Subscribed")</f>
        <v>Not Subscribed</v>
      </c>
      <c r="Z2006" t="s">
        <v>194</v>
      </c>
    </row>
    <row r="2007" spans="1:26" x14ac:dyDescent="0.25">
      <c r="A2007">
        <v>2006</v>
      </c>
      <c r="B2007">
        <v>18</v>
      </c>
      <c r="C2007" t="s">
        <v>22</v>
      </c>
      <c r="D2007">
        <v>2006</v>
      </c>
      <c r="E2007" t="s">
        <v>44</v>
      </c>
      <c r="F2007" t="s">
        <v>45</v>
      </c>
      <c r="G2007">
        <v>2006</v>
      </c>
      <c r="H2007">
        <v>2606</v>
      </c>
      <c r="I2007">
        <v>82</v>
      </c>
      <c r="J2007" t="s">
        <v>125</v>
      </c>
      <c r="K2007" t="s">
        <v>47</v>
      </c>
      <c r="L2007" t="s">
        <v>112</v>
      </c>
      <c r="M2007" t="s">
        <v>28</v>
      </c>
      <c r="N2007">
        <v>3.4</v>
      </c>
      <c r="O2007">
        <v>0</v>
      </c>
      <c r="P2007" t="s">
        <v>77</v>
      </c>
      <c r="Q2007" t="s">
        <v>155</v>
      </c>
      <c r="R2007" t="s">
        <v>155</v>
      </c>
      <c r="S2007">
        <v>30</v>
      </c>
      <c r="T2007" t="s">
        <v>49</v>
      </c>
      <c r="U2007" t="s">
        <v>32</v>
      </c>
      <c r="V2007" s="1">
        <v>45346</v>
      </c>
      <c r="W2007">
        <f>Table1[[#This Row],[customer_purchase count]]+1</f>
        <v>31</v>
      </c>
      <c r="X2007">
        <f>Table1[[#This Row],[customer_purchase count]]*Rules!$B$3</f>
        <v>1792.9307692307693</v>
      </c>
      <c r="Y2007" t="str">
        <f>IF(Table1[[#This Row],[customer_subscription]]=1,"Subscribed","Not Subscribed")</f>
        <v>Not Subscribed</v>
      </c>
    </row>
    <row r="2008" spans="1:26" x14ac:dyDescent="0.25">
      <c r="A2008">
        <v>2007</v>
      </c>
      <c r="B2008">
        <v>58</v>
      </c>
      <c r="C2008" t="s">
        <v>22</v>
      </c>
      <c r="D2008">
        <v>2007</v>
      </c>
      <c r="E2008" t="s">
        <v>122</v>
      </c>
      <c r="F2008" t="s">
        <v>70</v>
      </c>
      <c r="G2008">
        <v>2007</v>
      </c>
      <c r="H2008">
        <v>2607</v>
      </c>
      <c r="I2008">
        <v>97</v>
      </c>
      <c r="J2008" t="s">
        <v>133</v>
      </c>
      <c r="K2008" t="s">
        <v>39</v>
      </c>
      <c r="L2008" t="s">
        <v>72</v>
      </c>
      <c r="M2008" t="s">
        <v>60</v>
      </c>
      <c r="N2008">
        <v>4.4000000000000004</v>
      </c>
      <c r="O2008">
        <v>0</v>
      </c>
      <c r="P2008" t="s">
        <v>29</v>
      </c>
      <c r="Q2008" t="s">
        <v>155</v>
      </c>
      <c r="R2008" t="s">
        <v>155</v>
      </c>
      <c r="S2008">
        <v>2</v>
      </c>
      <c r="T2008" t="s">
        <v>42</v>
      </c>
      <c r="U2008" t="s">
        <v>52</v>
      </c>
      <c r="V2008" s="1">
        <v>45544</v>
      </c>
      <c r="W2008">
        <f>Table1[[#This Row],[customer_purchase count]]+1</f>
        <v>3</v>
      </c>
      <c r="X2008">
        <f>Table1[[#This Row],[customer_purchase count]]*Rules!$B$3</f>
        <v>119.52871794871795</v>
      </c>
      <c r="Y2008" t="str">
        <f>IF(Table1[[#This Row],[customer_subscription]]=1,"Subscribed","Not Subscribed")</f>
        <v>Not Subscribed</v>
      </c>
      <c r="Z2008" t="s">
        <v>194</v>
      </c>
    </row>
    <row r="2009" spans="1:26" x14ac:dyDescent="0.25">
      <c r="A2009">
        <v>2008</v>
      </c>
      <c r="B2009">
        <v>26</v>
      </c>
      <c r="C2009" t="s">
        <v>22</v>
      </c>
      <c r="D2009">
        <v>2008</v>
      </c>
      <c r="E2009" t="s">
        <v>58</v>
      </c>
      <c r="F2009" t="s">
        <v>24</v>
      </c>
      <c r="G2009">
        <v>2008</v>
      </c>
      <c r="H2009">
        <v>2608</v>
      </c>
      <c r="I2009">
        <v>25</v>
      </c>
      <c r="J2009" t="s">
        <v>144</v>
      </c>
      <c r="K2009" t="s">
        <v>47</v>
      </c>
      <c r="L2009" t="s">
        <v>68</v>
      </c>
      <c r="M2009" t="s">
        <v>56</v>
      </c>
      <c r="N2009">
        <v>3.2</v>
      </c>
      <c r="O2009">
        <v>0</v>
      </c>
      <c r="P2009" t="s">
        <v>73</v>
      </c>
      <c r="Q2009" t="s">
        <v>155</v>
      </c>
      <c r="R2009" t="s">
        <v>155</v>
      </c>
      <c r="S2009">
        <v>8</v>
      </c>
      <c r="T2009" t="s">
        <v>49</v>
      </c>
      <c r="U2009" t="s">
        <v>61</v>
      </c>
      <c r="V2009" s="1">
        <v>45478</v>
      </c>
      <c r="W2009">
        <f>Table1[[#This Row],[customer_purchase count]]+1</f>
        <v>9</v>
      </c>
      <c r="X2009">
        <f>Table1[[#This Row],[customer_purchase count]]*Rules!$B$3</f>
        <v>478.11487179487182</v>
      </c>
      <c r="Y2009" t="str">
        <f>IF(Table1[[#This Row],[customer_subscription]]=1,"Subscribed","Not Subscribed")</f>
        <v>Not Subscribed</v>
      </c>
      <c r="Z2009" t="s">
        <v>194</v>
      </c>
    </row>
    <row r="2010" spans="1:26" x14ac:dyDescent="0.25">
      <c r="A2010">
        <v>2009</v>
      </c>
      <c r="B2010">
        <v>57</v>
      </c>
      <c r="C2010" t="s">
        <v>22</v>
      </c>
      <c r="D2010">
        <v>2009</v>
      </c>
      <c r="E2010" t="s">
        <v>90</v>
      </c>
      <c r="F2010" t="s">
        <v>24</v>
      </c>
      <c r="G2010">
        <v>2009</v>
      </c>
      <c r="H2010">
        <v>2609</v>
      </c>
      <c r="I2010">
        <v>48</v>
      </c>
      <c r="J2010" t="s">
        <v>106</v>
      </c>
      <c r="K2010" t="s">
        <v>47</v>
      </c>
      <c r="L2010" t="s">
        <v>27</v>
      </c>
      <c r="M2010" t="s">
        <v>40</v>
      </c>
      <c r="N2010">
        <v>2.5</v>
      </c>
      <c r="O2010">
        <v>0</v>
      </c>
      <c r="P2010" t="s">
        <v>41</v>
      </c>
      <c r="Q2010" t="s">
        <v>155</v>
      </c>
      <c r="R2010" t="s">
        <v>155</v>
      </c>
      <c r="S2010">
        <v>27</v>
      </c>
      <c r="T2010" t="s">
        <v>49</v>
      </c>
      <c r="U2010" t="s">
        <v>100</v>
      </c>
      <c r="V2010" s="1">
        <v>45353</v>
      </c>
      <c r="W2010">
        <f>Table1[[#This Row],[customer_purchase count]]+1</f>
        <v>28</v>
      </c>
      <c r="X2010">
        <f>Table1[[#This Row],[customer_purchase count]]*Rules!$B$3</f>
        <v>1613.6376923076923</v>
      </c>
      <c r="Y2010" t="str">
        <f>IF(Table1[[#This Row],[customer_subscription]]=1,"Subscribed","Not Subscribed")</f>
        <v>Not Subscribed</v>
      </c>
    </row>
    <row r="2011" spans="1:26" x14ac:dyDescent="0.25">
      <c r="A2011">
        <v>2010</v>
      </c>
      <c r="B2011">
        <v>37</v>
      </c>
      <c r="C2011" t="s">
        <v>22</v>
      </c>
      <c r="D2011">
        <v>2010</v>
      </c>
      <c r="E2011" t="s">
        <v>140</v>
      </c>
      <c r="F2011" t="s">
        <v>45</v>
      </c>
      <c r="G2011">
        <v>2010</v>
      </c>
      <c r="H2011">
        <v>2611</v>
      </c>
      <c r="I2011">
        <v>99</v>
      </c>
      <c r="J2011" t="s">
        <v>93</v>
      </c>
      <c r="K2011" t="s">
        <v>47</v>
      </c>
      <c r="L2011" t="s">
        <v>129</v>
      </c>
      <c r="M2011" t="s">
        <v>56</v>
      </c>
      <c r="N2011">
        <v>3.8</v>
      </c>
      <c r="O2011">
        <v>0</v>
      </c>
      <c r="P2011" t="s">
        <v>48</v>
      </c>
      <c r="Q2011" t="s">
        <v>155</v>
      </c>
      <c r="R2011" t="s">
        <v>155</v>
      </c>
      <c r="S2011">
        <v>26</v>
      </c>
      <c r="T2011" t="s">
        <v>31</v>
      </c>
      <c r="U2011" t="s">
        <v>79</v>
      </c>
      <c r="V2011" s="1">
        <v>45475</v>
      </c>
      <c r="W2011">
        <f>Table1[[#This Row],[customer_purchase count]]+1</f>
        <v>27</v>
      </c>
      <c r="X2011">
        <f>Table1[[#This Row],[customer_purchase count]]*Rules!$B$3</f>
        <v>1553.8733333333334</v>
      </c>
      <c r="Y2011" t="str">
        <f>IF(Table1[[#This Row],[customer_subscription]]=1,"Subscribed","Not Subscribed")</f>
        <v>Not Subscribed</v>
      </c>
    </row>
    <row r="2012" spans="1:26" x14ac:dyDescent="0.25">
      <c r="A2012">
        <v>2011</v>
      </c>
      <c r="B2012">
        <v>24</v>
      </c>
      <c r="C2012" t="s">
        <v>22</v>
      </c>
      <c r="D2012">
        <v>2011</v>
      </c>
      <c r="E2012" t="s">
        <v>33</v>
      </c>
      <c r="F2012" t="s">
        <v>24</v>
      </c>
      <c r="G2012">
        <v>2011</v>
      </c>
      <c r="H2012">
        <v>2612</v>
      </c>
      <c r="I2012">
        <v>21</v>
      </c>
      <c r="J2012" t="s">
        <v>108</v>
      </c>
      <c r="K2012" t="s">
        <v>47</v>
      </c>
      <c r="L2012" t="s">
        <v>35</v>
      </c>
      <c r="M2012" t="s">
        <v>56</v>
      </c>
      <c r="N2012">
        <v>4.4000000000000004</v>
      </c>
      <c r="O2012">
        <v>0</v>
      </c>
      <c r="P2012" t="s">
        <v>73</v>
      </c>
      <c r="Q2012" t="s">
        <v>155</v>
      </c>
      <c r="R2012" t="s">
        <v>155</v>
      </c>
      <c r="S2012">
        <v>3</v>
      </c>
      <c r="T2012" t="s">
        <v>89</v>
      </c>
      <c r="U2012" t="s">
        <v>79</v>
      </c>
      <c r="V2012" s="1">
        <v>45522</v>
      </c>
      <c r="W2012">
        <f>Table1[[#This Row],[customer_purchase count]]+1</f>
        <v>4</v>
      </c>
      <c r="X2012">
        <f>Table1[[#This Row],[customer_purchase count]]*Rules!$B$3</f>
        <v>179.29307692307694</v>
      </c>
      <c r="Y2012" t="str">
        <f>IF(Table1[[#This Row],[customer_subscription]]=1,"Subscribed","Not Subscribed")</f>
        <v>Not Subscribed</v>
      </c>
      <c r="Z2012" t="s">
        <v>194</v>
      </c>
    </row>
    <row r="2013" spans="1:26" x14ac:dyDescent="0.25">
      <c r="A2013">
        <v>2012</v>
      </c>
      <c r="B2013">
        <v>57</v>
      </c>
      <c r="C2013" t="s">
        <v>22</v>
      </c>
      <c r="D2013">
        <v>2012</v>
      </c>
      <c r="E2013" t="s">
        <v>44</v>
      </c>
      <c r="F2013" t="s">
        <v>45</v>
      </c>
      <c r="G2013">
        <v>2012</v>
      </c>
      <c r="H2013">
        <v>2613</v>
      </c>
      <c r="I2013">
        <v>94</v>
      </c>
      <c r="J2013" t="s">
        <v>67</v>
      </c>
      <c r="K2013" t="s">
        <v>47</v>
      </c>
      <c r="L2013" t="s">
        <v>121</v>
      </c>
      <c r="M2013" t="s">
        <v>40</v>
      </c>
      <c r="N2013">
        <v>3.7</v>
      </c>
      <c r="O2013">
        <v>0</v>
      </c>
      <c r="P2013" t="s">
        <v>29</v>
      </c>
      <c r="Q2013" t="s">
        <v>155</v>
      </c>
      <c r="R2013" t="s">
        <v>155</v>
      </c>
      <c r="S2013">
        <v>4</v>
      </c>
      <c r="T2013" t="s">
        <v>78</v>
      </c>
      <c r="U2013" t="s">
        <v>91</v>
      </c>
      <c r="V2013" s="1">
        <v>45388</v>
      </c>
      <c r="W2013">
        <f>Table1[[#This Row],[customer_purchase count]]+1</f>
        <v>5</v>
      </c>
      <c r="X2013">
        <f>Table1[[#This Row],[customer_purchase count]]*Rules!$B$3</f>
        <v>239.05743589743591</v>
      </c>
      <c r="Y2013" t="str">
        <f>IF(Table1[[#This Row],[customer_subscription]]=1,"Subscribed","Not Subscribed")</f>
        <v>Not Subscribed</v>
      </c>
      <c r="Z2013" t="s">
        <v>194</v>
      </c>
    </row>
    <row r="2014" spans="1:26" x14ac:dyDescent="0.25">
      <c r="A2014">
        <v>2013</v>
      </c>
      <c r="B2014">
        <v>48</v>
      </c>
      <c r="C2014" t="s">
        <v>22</v>
      </c>
      <c r="D2014">
        <v>2013</v>
      </c>
      <c r="E2014" t="s">
        <v>37</v>
      </c>
      <c r="F2014" t="s">
        <v>24</v>
      </c>
      <c r="G2014">
        <v>2013</v>
      </c>
      <c r="H2014">
        <v>2614</v>
      </c>
      <c r="I2014">
        <v>53</v>
      </c>
      <c r="J2014" t="s">
        <v>110</v>
      </c>
      <c r="K2014" t="s">
        <v>26</v>
      </c>
      <c r="L2014" t="s">
        <v>99</v>
      </c>
      <c r="M2014" t="s">
        <v>60</v>
      </c>
      <c r="N2014">
        <v>3.2</v>
      </c>
      <c r="O2014">
        <v>0</v>
      </c>
      <c r="P2014" t="s">
        <v>77</v>
      </c>
      <c r="Q2014" t="s">
        <v>155</v>
      </c>
      <c r="R2014" t="s">
        <v>155</v>
      </c>
      <c r="S2014">
        <v>5</v>
      </c>
      <c r="T2014" t="s">
        <v>36</v>
      </c>
      <c r="U2014" t="s">
        <v>32</v>
      </c>
      <c r="V2014" s="1">
        <v>45618</v>
      </c>
      <c r="W2014">
        <f>Table1[[#This Row],[customer_purchase count]]+1</f>
        <v>6</v>
      </c>
      <c r="X2014">
        <f>Table1[[#This Row],[customer_purchase count]]*Rules!$B$3</f>
        <v>298.82179487179491</v>
      </c>
      <c r="Y2014" t="str">
        <f>IF(Table1[[#This Row],[customer_subscription]]=1,"Subscribed","Not Subscribed")</f>
        <v>Not Subscribed</v>
      </c>
      <c r="Z2014" t="s">
        <v>194</v>
      </c>
    </row>
    <row r="2015" spans="1:26" x14ac:dyDescent="0.25">
      <c r="A2015">
        <v>2014</v>
      </c>
      <c r="B2015">
        <v>39</v>
      </c>
      <c r="C2015" t="s">
        <v>22</v>
      </c>
      <c r="D2015">
        <v>2014</v>
      </c>
      <c r="E2015" t="s">
        <v>135</v>
      </c>
      <c r="F2015" t="s">
        <v>70</v>
      </c>
      <c r="G2015">
        <v>2014</v>
      </c>
      <c r="H2015">
        <v>2615</v>
      </c>
      <c r="I2015">
        <v>70</v>
      </c>
      <c r="J2015" t="s">
        <v>144</v>
      </c>
      <c r="K2015" t="s">
        <v>47</v>
      </c>
      <c r="L2015" t="s">
        <v>103</v>
      </c>
      <c r="M2015" t="s">
        <v>28</v>
      </c>
      <c r="N2015">
        <v>4.9000000000000004</v>
      </c>
      <c r="O2015">
        <v>0</v>
      </c>
      <c r="P2015" t="s">
        <v>57</v>
      </c>
      <c r="Q2015" t="s">
        <v>155</v>
      </c>
      <c r="R2015" t="s">
        <v>155</v>
      </c>
      <c r="S2015">
        <v>25</v>
      </c>
      <c r="T2015" t="s">
        <v>89</v>
      </c>
      <c r="U2015" t="s">
        <v>61</v>
      </c>
      <c r="V2015" s="1">
        <v>45649</v>
      </c>
      <c r="W2015">
        <f>Table1[[#This Row],[customer_purchase count]]+1</f>
        <v>26</v>
      </c>
      <c r="X2015">
        <f>Table1[[#This Row],[customer_purchase count]]*Rules!$B$3</f>
        <v>1494.1089743589744</v>
      </c>
      <c r="Y2015" t="str">
        <f>IF(Table1[[#This Row],[customer_subscription]]=1,"Subscribed","Not Subscribed")</f>
        <v>Not Subscribed</v>
      </c>
    </row>
    <row r="2016" spans="1:26" x14ac:dyDescent="0.25">
      <c r="A2016">
        <v>2015</v>
      </c>
      <c r="B2016">
        <v>51</v>
      </c>
      <c r="C2016" t="s">
        <v>22</v>
      </c>
      <c r="D2016">
        <v>2015</v>
      </c>
      <c r="E2016" t="s">
        <v>90</v>
      </c>
      <c r="F2016" t="s">
        <v>24</v>
      </c>
      <c r="G2016">
        <v>2015</v>
      </c>
      <c r="H2016">
        <v>2617</v>
      </c>
      <c r="I2016">
        <v>26</v>
      </c>
      <c r="J2016" t="s">
        <v>153</v>
      </c>
      <c r="K2016" t="s">
        <v>26</v>
      </c>
      <c r="L2016" t="s">
        <v>97</v>
      </c>
      <c r="M2016" t="s">
        <v>56</v>
      </c>
      <c r="N2016">
        <v>3.9</v>
      </c>
      <c r="O2016">
        <v>0</v>
      </c>
      <c r="P2016" t="s">
        <v>57</v>
      </c>
      <c r="Q2016" t="s">
        <v>155</v>
      </c>
      <c r="R2016" t="s">
        <v>155</v>
      </c>
      <c r="S2016">
        <v>47</v>
      </c>
      <c r="T2016" t="s">
        <v>49</v>
      </c>
      <c r="U2016" t="s">
        <v>79</v>
      </c>
      <c r="V2016" s="1">
        <v>45479</v>
      </c>
      <c r="W2016">
        <f>Table1[[#This Row],[customer_purchase count]]+1</f>
        <v>48</v>
      </c>
      <c r="X2016">
        <f>Table1[[#This Row],[customer_purchase count]]*Rules!$B$3</f>
        <v>2808.9248717948717</v>
      </c>
      <c r="Y2016" t="str">
        <f>IF(Table1[[#This Row],[customer_subscription]]=1,"Subscribed","Not Subscribed")</f>
        <v>Not Subscribed</v>
      </c>
    </row>
    <row r="2017" spans="1:26" x14ac:dyDescent="0.25">
      <c r="A2017">
        <v>2016</v>
      </c>
      <c r="B2017">
        <v>57</v>
      </c>
      <c r="C2017" t="s">
        <v>22</v>
      </c>
      <c r="D2017">
        <v>2016</v>
      </c>
      <c r="E2017" t="s">
        <v>136</v>
      </c>
      <c r="F2017" t="s">
        <v>70</v>
      </c>
      <c r="G2017">
        <v>2016</v>
      </c>
      <c r="H2017">
        <v>2618</v>
      </c>
      <c r="I2017">
        <v>82</v>
      </c>
      <c r="J2017" t="s">
        <v>144</v>
      </c>
      <c r="K2017" t="s">
        <v>39</v>
      </c>
      <c r="L2017" t="s">
        <v>72</v>
      </c>
      <c r="M2017" t="s">
        <v>56</v>
      </c>
      <c r="N2017">
        <v>4.5</v>
      </c>
      <c r="O2017">
        <v>0</v>
      </c>
      <c r="P2017" t="s">
        <v>48</v>
      </c>
      <c r="Q2017" t="s">
        <v>155</v>
      </c>
      <c r="R2017" t="s">
        <v>155</v>
      </c>
      <c r="S2017">
        <v>8</v>
      </c>
      <c r="T2017" t="s">
        <v>42</v>
      </c>
      <c r="U2017" t="s">
        <v>32</v>
      </c>
      <c r="V2017" s="1">
        <v>45489</v>
      </c>
      <c r="W2017">
        <f>Table1[[#This Row],[customer_purchase count]]+1</f>
        <v>9</v>
      </c>
      <c r="X2017">
        <f>Table1[[#This Row],[customer_purchase count]]*Rules!$B$3</f>
        <v>478.11487179487182</v>
      </c>
      <c r="Y2017" t="str">
        <f>IF(Table1[[#This Row],[customer_subscription]]=1,"Subscribed","Not Subscribed")</f>
        <v>Not Subscribed</v>
      </c>
      <c r="Z2017" t="s">
        <v>194</v>
      </c>
    </row>
    <row r="2018" spans="1:26" x14ac:dyDescent="0.25">
      <c r="A2018">
        <v>2017</v>
      </c>
      <c r="B2018">
        <v>53</v>
      </c>
      <c r="C2018" t="s">
        <v>22</v>
      </c>
      <c r="D2018">
        <v>2017</v>
      </c>
      <c r="E2018" t="s">
        <v>74</v>
      </c>
      <c r="F2018" t="s">
        <v>45</v>
      </c>
      <c r="G2018">
        <v>2017</v>
      </c>
      <c r="H2018">
        <v>2619</v>
      </c>
      <c r="I2018">
        <v>47</v>
      </c>
      <c r="J2018" t="s">
        <v>34</v>
      </c>
      <c r="K2018" t="s">
        <v>39</v>
      </c>
      <c r="L2018" t="s">
        <v>86</v>
      </c>
      <c r="M2018" t="s">
        <v>28</v>
      </c>
      <c r="N2018">
        <v>3.4</v>
      </c>
      <c r="O2018">
        <v>0</v>
      </c>
      <c r="P2018" t="s">
        <v>57</v>
      </c>
      <c r="Q2018" t="s">
        <v>155</v>
      </c>
      <c r="R2018" t="s">
        <v>155</v>
      </c>
      <c r="S2018">
        <v>20</v>
      </c>
      <c r="T2018" t="s">
        <v>89</v>
      </c>
      <c r="U2018" t="s">
        <v>32</v>
      </c>
      <c r="V2018" s="1">
        <v>45326</v>
      </c>
      <c r="W2018">
        <f>Table1[[#This Row],[customer_purchase count]]+1</f>
        <v>21</v>
      </c>
      <c r="X2018">
        <f>Table1[[#This Row],[customer_purchase count]]*Rules!$B$3</f>
        <v>1195.2871794871796</v>
      </c>
      <c r="Y2018" t="str">
        <f>IF(Table1[[#This Row],[customer_subscription]]=1,"Subscribed","Not Subscribed")</f>
        <v>Not Subscribed</v>
      </c>
    </row>
    <row r="2019" spans="1:26" x14ac:dyDescent="0.25">
      <c r="A2019">
        <v>2018</v>
      </c>
      <c r="B2019">
        <v>70</v>
      </c>
      <c r="C2019" t="s">
        <v>22</v>
      </c>
      <c r="D2019">
        <v>2018</v>
      </c>
      <c r="E2019" t="s">
        <v>128</v>
      </c>
      <c r="F2019" t="s">
        <v>24</v>
      </c>
      <c r="G2019">
        <v>2018</v>
      </c>
      <c r="H2019">
        <v>2620</v>
      </c>
      <c r="I2019">
        <v>32</v>
      </c>
      <c r="J2019" t="s">
        <v>38</v>
      </c>
      <c r="K2019" t="s">
        <v>39</v>
      </c>
      <c r="L2019" t="s">
        <v>99</v>
      </c>
      <c r="M2019" t="s">
        <v>28</v>
      </c>
      <c r="N2019">
        <v>4.0999999999999996</v>
      </c>
      <c r="O2019">
        <v>0</v>
      </c>
      <c r="P2019" t="s">
        <v>48</v>
      </c>
      <c r="Q2019" t="s">
        <v>155</v>
      </c>
      <c r="R2019" t="s">
        <v>155</v>
      </c>
      <c r="S2019">
        <v>42</v>
      </c>
      <c r="T2019" t="s">
        <v>78</v>
      </c>
      <c r="U2019" t="s">
        <v>100</v>
      </c>
      <c r="V2019" s="1">
        <v>45296</v>
      </c>
      <c r="W2019">
        <f>Table1[[#This Row],[customer_purchase count]]+1</f>
        <v>43</v>
      </c>
      <c r="X2019">
        <f>Table1[[#This Row],[customer_purchase count]]*Rules!$B$3</f>
        <v>2510.103076923077</v>
      </c>
      <c r="Y2019" t="str">
        <f>IF(Table1[[#This Row],[customer_subscription]]=1,"Subscribed","Not Subscribed")</f>
        <v>Not Subscribed</v>
      </c>
    </row>
    <row r="2020" spans="1:26" x14ac:dyDescent="0.25">
      <c r="A2020">
        <v>2019</v>
      </c>
      <c r="B2020">
        <v>60</v>
      </c>
      <c r="C2020" t="s">
        <v>22</v>
      </c>
      <c r="D2020">
        <v>2019</v>
      </c>
      <c r="E2020" t="s">
        <v>135</v>
      </c>
      <c r="F2020" t="s">
        <v>70</v>
      </c>
      <c r="G2020">
        <v>2019</v>
      </c>
      <c r="H2020">
        <v>2621</v>
      </c>
      <c r="I2020">
        <v>97</v>
      </c>
      <c r="J2020" t="s">
        <v>75</v>
      </c>
      <c r="K2020" t="s">
        <v>39</v>
      </c>
      <c r="L2020" t="s">
        <v>83</v>
      </c>
      <c r="M2020" t="s">
        <v>60</v>
      </c>
      <c r="N2020">
        <v>4.5</v>
      </c>
      <c r="O2020">
        <v>0</v>
      </c>
      <c r="P2020" t="s">
        <v>77</v>
      </c>
      <c r="Q2020" t="s">
        <v>155</v>
      </c>
      <c r="R2020" t="s">
        <v>155</v>
      </c>
      <c r="S2020">
        <v>20</v>
      </c>
      <c r="T2020" t="s">
        <v>78</v>
      </c>
      <c r="U2020" t="s">
        <v>43</v>
      </c>
      <c r="V2020" s="1">
        <v>45624</v>
      </c>
      <c r="W2020">
        <f>Table1[[#This Row],[customer_purchase count]]+1</f>
        <v>21</v>
      </c>
      <c r="X2020">
        <f>Table1[[#This Row],[customer_purchase count]]*Rules!$B$3</f>
        <v>1195.2871794871796</v>
      </c>
      <c r="Y2020" t="str">
        <f>IF(Table1[[#This Row],[customer_subscription]]=1,"Subscribed","Not Subscribed")</f>
        <v>Not Subscribed</v>
      </c>
    </row>
    <row r="2021" spans="1:26" x14ac:dyDescent="0.25">
      <c r="A2021">
        <v>2020</v>
      </c>
      <c r="B2021">
        <v>31</v>
      </c>
      <c r="C2021" t="s">
        <v>22</v>
      </c>
      <c r="D2021">
        <v>2020</v>
      </c>
      <c r="E2021" t="s">
        <v>58</v>
      </c>
      <c r="F2021" t="s">
        <v>24</v>
      </c>
      <c r="G2021">
        <v>2020</v>
      </c>
      <c r="H2021">
        <v>2623</v>
      </c>
      <c r="I2021">
        <v>68</v>
      </c>
      <c r="J2021" t="s">
        <v>138</v>
      </c>
      <c r="K2021" t="s">
        <v>39</v>
      </c>
      <c r="L2021" t="s">
        <v>111</v>
      </c>
      <c r="M2021" t="s">
        <v>28</v>
      </c>
      <c r="N2021">
        <v>4.7</v>
      </c>
      <c r="O2021">
        <v>0</v>
      </c>
      <c r="P2021" t="s">
        <v>77</v>
      </c>
      <c r="Q2021" t="s">
        <v>155</v>
      </c>
      <c r="R2021" t="s">
        <v>155</v>
      </c>
      <c r="S2021">
        <v>23</v>
      </c>
      <c r="T2021" t="s">
        <v>36</v>
      </c>
      <c r="U2021" t="s">
        <v>32</v>
      </c>
      <c r="V2021" s="1">
        <v>45634</v>
      </c>
      <c r="W2021">
        <f>Table1[[#This Row],[customer_purchase count]]+1</f>
        <v>24</v>
      </c>
      <c r="X2021">
        <f>Table1[[#This Row],[customer_purchase count]]*Rules!$B$3</f>
        <v>1374.5802564102564</v>
      </c>
      <c r="Y2021" t="str">
        <f>IF(Table1[[#This Row],[customer_subscription]]=1,"Subscribed","Not Subscribed")</f>
        <v>Not Subscribed</v>
      </c>
    </row>
    <row r="2022" spans="1:26" x14ac:dyDescent="0.25">
      <c r="A2022">
        <v>2021</v>
      </c>
      <c r="B2022">
        <v>41</v>
      </c>
      <c r="C2022" t="s">
        <v>22</v>
      </c>
      <c r="D2022">
        <v>2021</v>
      </c>
      <c r="E2022" t="s">
        <v>33</v>
      </c>
      <c r="F2022" t="s">
        <v>24</v>
      </c>
      <c r="G2022">
        <v>2021</v>
      </c>
      <c r="H2022">
        <v>2624</v>
      </c>
      <c r="I2022">
        <v>23</v>
      </c>
      <c r="J2022" t="s">
        <v>141</v>
      </c>
      <c r="K2022" t="s">
        <v>47</v>
      </c>
      <c r="L2022" t="s">
        <v>121</v>
      </c>
      <c r="M2022" t="s">
        <v>28</v>
      </c>
      <c r="N2022">
        <v>4.8</v>
      </c>
      <c r="O2022">
        <v>0</v>
      </c>
      <c r="P2022" t="s">
        <v>48</v>
      </c>
      <c r="Q2022" t="s">
        <v>155</v>
      </c>
      <c r="R2022" t="s">
        <v>155</v>
      </c>
      <c r="S2022">
        <v>26</v>
      </c>
      <c r="T2022" t="s">
        <v>36</v>
      </c>
      <c r="U2022" t="s">
        <v>61</v>
      </c>
      <c r="V2022" s="1">
        <v>45348</v>
      </c>
      <c r="W2022">
        <f>Table1[[#This Row],[customer_purchase count]]+1</f>
        <v>27</v>
      </c>
      <c r="X2022">
        <f>Table1[[#This Row],[customer_purchase count]]*Rules!$B$3</f>
        <v>1553.8733333333334</v>
      </c>
      <c r="Y2022" t="str">
        <f>IF(Table1[[#This Row],[customer_subscription]]=1,"Subscribed","Not Subscribed")</f>
        <v>Not Subscribed</v>
      </c>
    </row>
    <row r="2023" spans="1:26" x14ac:dyDescent="0.25">
      <c r="A2023">
        <v>2022</v>
      </c>
      <c r="B2023">
        <v>62</v>
      </c>
      <c r="C2023" t="s">
        <v>22</v>
      </c>
      <c r="D2023">
        <v>2022</v>
      </c>
      <c r="E2023" t="s">
        <v>69</v>
      </c>
      <c r="F2023" t="s">
        <v>70</v>
      </c>
      <c r="G2023">
        <v>2022</v>
      </c>
      <c r="H2023">
        <v>2625</v>
      </c>
      <c r="I2023">
        <v>33</v>
      </c>
      <c r="J2023" t="s">
        <v>34</v>
      </c>
      <c r="K2023" t="s">
        <v>47</v>
      </c>
      <c r="L2023" t="s">
        <v>99</v>
      </c>
      <c r="M2023" t="s">
        <v>28</v>
      </c>
      <c r="N2023">
        <v>4.4000000000000004</v>
      </c>
      <c r="O2023">
        <v>0</v>
      </c>
      <c r="P2023" t="s">
        <v>57</v>
      </c>
      <c r="Q2023" t="s">
        <v>155</v>
      </c>
      <c r="R2023" t="s">
        <v>155</v>
      </c>
      <c r="S2023">
        <v>48</v>
      </c>
      <c r="T2023" t="s">
        <v>31</v>
      </c>
      <c r="U2023" t="s">
        <v>61</v>
      </c>
      <c r="V2023" s="1">
        <v>45304</v>
      </c>
      <c r="W2023">
        <f>Table1[[#This Row],[customer_purchase count]]+1</f>
        <v>49</v>
      </c>
      <c r="X2023">
        <f>Table1[[#This Row],[customer_purchase count]]*Rules!$B$3</f>
        <v>2868.689230769231</v>
      </c>
      <c r="Y2023" t="str">
        <f>IF(Table1[[#This Row],[customer_subscription]]=1,"Subscribed","Not Subscribed")</f>
        <v>Not Subscribed</v>
      </c>
    </row>
    <row r="2024" spans="1:26" x14ac:dyDescent="0.25">
      <c r="A2024">
        <v>2023</v>
      </c>
      <c r="B2024">
        <v>59</v>
      </c>
      <c r="C2024" t="s">
        <v>22</v>
      </c>
      <c r="D2024">
        <v>2023</v>
      </c>
      <c r="E2024" t="s">
        <v>109</v>
      </c>
      <c r="F2024" t="s">
        <v>70</v>
      </c>
      <c r="G2024">
        <v>2023</v>
      </c>
      <c r="H2024">
        <v>2626</v>
      </c>
      <c r="I2024">
        <v>38</v>
      </c>
      <c r="J2024" t="s">
        <v>93</v>
      </c>
      <c r="K2024" t="s">
        <v>39</v>
      </c>
      <c r="L2024" t="s">
        <v>97</v>
      </c>
      <c r="M2024" t="s">
        <v>28</v>
      </c>
      <c r="N2024">
        <v>4</v>
      </c>
      <c r="O2024">
        <v>0</v>
      </c>
      <c r="P2024" t="s">
        <v>77</v>
      </c>
      <c r="Q2024" t="s">
        <v>155</v>
      </c>
      <c r="R2024" t="s">
        <v>155</v>
      </c>
      <c r="S2024">
        <v>16</v>
      </c>
      <c r="T2024" t="s">
        <v>36</v>
      </c>
      <c r="U2024" t="s">
        <v>79</v>
      </c>
      <c r="V2024" s="1">
        <v>45295</v>
      </c>
      <c r="W2024">
        <f>Table1[[#This Row],[customer_purchase count]]+1</f>
        <v>17</v>
      </c>
      <c r="X2024">
        <f>Table1[[#This Row],[customer_purchase count]]*Rules!$B$3</f>
        <v>956.22974358974363</v>
      </c>
      <c r="Y2024" t="str">
        <f>IF(Table1[[#This Row],[customer_subscription]]=1,"Subscribed","Not Subscribed")</f>
        <v>Not Subscribed</v>
      </c>
      <c r="Z2024" t="s">
        <v>194</v>
      </c>
    </row>
    <row r="2025" spans="1:26" x14ac:dyDescent="0.25">
      <c r="A2025">
        <v>2024</v>
      </c>
      <c r="B2025">
        <v>46</v>
      </c>
      <c r="C2025" t="s">
        <v>22</v>
      </c>
      <c r="D2025">
        <v>2024</v>
      </c>
      <c r="E2025" t="s">
        <v>128</v>
      </c>
      <c r="F2025" t="s">
        <v>24</v>
      </c>
      <c r="G2025">
        <v>2024</v>
      </c>
      <c r="H2025">
        <v>2627</v>
      </c>
      <c r="I2025">
        <v>68</v>
      </c>
      <c r="J2025" t="s">
        <v>138</v>
      </c>
      <c r="K2025" t="s">
        <v>39</v>
      </c>
      <c r="L2025" t="s">
        <v>88</v>
      </c>
      <c r="M2025" t="s">
        <v>28</v>
      </c>
      <c r="N2025">
        <v>4.0999999999999996</v>
      </c>
      <c r="O2025">
        <v>0</v>
      </c>
      <c r="P2025" t="s">
        <v>77</v>
      </c>
      <c r="Q2025" t="s">
        <v>155</v>
      </c>
      <c r="R2025" t="s">
        <v>155</v>
      </c>
      <c r="S2025">
        <v>28</v>
      </c>
      <c r="T2025" t="s">
        <v>36</v>
      </c>
      <c r="U2025" t="s">
        <v>79</v>
      </c>
      <c r="V2025" s="1">
        <v>45330</v>
      </c>
      <c r="W2025">
        <f>Table1[[#This Row],[customer_purchase count]]+1</f>
        <v>29</v>
      </c>
      <c r="X2025">
        <f>Table1[[#This Row],[customer_purchase count]]*Rules!$B$3</f>
        <v>1673.4020512820514</v>
      </c>
      <c r="Y2025" t="str">
        <f>IF(Table1[[#This Row],[customer_subscription]]=1,"Subscribed","Not Subscribed")</f>
        <v>Not Subscribed</v>
      </c>
    </row>
    <row r="2026" spans="1:26" x14ac:dyDescent="0.25">
      <c r="A2026">
        <v>2025</v>
      </c>
      <c r="B2026">
        <v>62</v>
      </c>
      <c r="C2026" t="s">
        <v>22</v>
      </c>
      <c r="D2026">
        <v>2025</v>
      </c>
      <c r="E2026" t="s">
        <v>128</v>
      </c>
      <c r="F2026" t="s">
        <v>24</v>
      </c>
      <c r="G2026">
        <v>2025</v>
      </c>
      <c r="H2026">
        <v>2629</v>
      </c>
      <c r="I2026">
        <v>23</v>
      </c>
      <c r="J2026" t="s">
        <v>75</v>
      </c>
      <c r="K2026" t="s">
        <v>26</v>
      </c>
      <c r="L2026" t="s">
        <v>68</v>
      </c>
      <c r="M2026" t="s">
        <v>60</v>
      </c>
      <c r="N2026">
        <v>3.7</v>
      </c>
      <c r="O2026">
        <v>0</v>
      </c>
      <c r="P2026" t="s">
        <v>29</v>
      </c>
      <c r="Q2026" t="s">
        <v>155</v>
      </c>
      <c r="R2026" t="s">
        <v>155</v>
      </c>
      <c r="S2026">
        <v>39</v>
      </c>
      <c r="T2026" t="s">
        <v>49</v>
      </c>
      <c r="U2026" t="s">
        <v>43</v>
      </c>
      <c r="V2026" s="1">
        <v>45538</v>
      </c>
      <c r="W2026">
        <f>Table1[[#This Row],[customer_purchase count]]+1</f>
        <v>40</v>
      </c>
      <c r="X2026">
        <f>Table1[[#This Row],[customer_purchase count]]*Rules!$B$3</f>
        <v>2330.81</v>
      </c>
      <c r="Y2026" t="str">
        <f>IF(Table1[[#This Row],[customer_subscription]]=1,"Subscribed","Not Subscribed")</f>
        <v>Not Subscribed</v>
      </c>
    </row>
    <row r="2027" spans="1:26" x14ac:dyDescent="0.25">
      <c r="A2027">
        <v>2026</v>
      </c>
      <c r="B2027">
        <v>42</v>
      </c>
      <c r="C2027" t="s">
        <v>22</v>
      </c>
      <c r="D2027">
        <v>2026</v>
      </c>
      <c r="E2027" t="s">
        <v>58</v>
      </c>
      <c r="F2027" t="s">
        <v>24</v>
      </c>
      <c r="G2027">
        <v>2026</v>
      </c>
      <c r="H2027">
        <v>2630</v>
      </c>
      <c r="I2027">
        <v>29</v>
      </c>
      <c r="J2027" t="s">
        <v>82</v>
      </c>
      <c r="K2027" t="s">
        <v>47</v>
      </c>
      <c r="L2027" t="s">
        <v>51</v>
      </c>
      <c r="M2027" t="s">
        <v>56</v>
      </c>
      <c r="N2027">
        <v>3</v>
      </c>
      <c r="O2027">
        <v>0</v>
      </c>
      <c r="P2027" t="s">
        <v>29</v>
      </c>
      <c r="Q2027" t="s">
        <v>155</v>
      </c>
      <c r="R2027" t="s">
        <v>155</v>
      </c>
      <c r="S2027">
        <v>43</v>
      </c>
      <c r="T2027" t="s">
        <v>89</v>
      </c>
      <c r="U2027" t="s">
        <v>32</v>
      </c>
      <c r="V2027" s="1">
        <v>45521</v>
      </c>
      <c r="W2027">
        <f>Table1[[#This Row],[customer_purchase count]]+1</f>
        <v>44</v>
      </c>
      <c r="X2027">
        <f>Table1[[#This Row],[customer_purchase count]]*Rules!$B$3</f>
        <v>2569.8674358974358</v>
      </c>
      <c r="Y2027" t="str">
        <f>IF(Table1[[#This Row],[customer_subscription]]=1,"Subscribed","Not Subscribed")</f>
        <v>Not Subscribed</v>
      </c>
    </row>
    <row r="2028" spans="1:26" x14ac:dyDescent="0.25">
      <c r="A2028">
        <v>2027</v>
      </c>
      <c r="B2028">
        <v>37</v>
      </c>
      <c r="C2028" t="s">
        <v>22</v>
      </c>
      <c r="D2028">
        <v>2027</v>
      </c>
      <c r="E2028" t="s">
        <v>122</v>
      </c>
      <c r="F2028" t="s">
        <v>70</v>
      </c>
      <c r="G2028">
        <v>2027</v>
      </c>
      <c r="H2028">
        <v>2631</v>
      </c>
      <c r="I2028">
        <v>35</v>
      </c>
      <c r="J2028" t="s">
        <v>34</v>
      </c>
      <c r="K2028" t="s">
        <v>47</v>
      </c>
      <c r="L2028" t="s">
        <v>124</v>
      </c>
      <c r="M2028" t="s">
        <v>28</v>
      </c>
      <c r="N2028">
        <v>3.6</v>
      </c>
      <c r="O2028">
        <v>0</v>
      </c>
      <c r="P2028" t="s">
        <v>29</v>
      </c>
      <c r="Q2028" t="s">
        <v>155</v>
      </c>
      <c r="R2028" t="s">
        <v>155</v>
      </c>
      <c r="S2028">
        <v>45</v>
      </c>
      <c r="T2028" t="s">
        <v>78</v>
      </c>
      <c r="U2028" t="s">
        <v>100</v>
      </c>
      <c r="V2028" s="1">
        <v>45318</v>
      </c>
      <c r="W2028">
        <f>Table1[[#This Row],[customer_purchase count]]+1</f>
        <v>46</v>
      </c>
      <c r="X2028">
        <f>Table1[[#This Row],[customer_purchase count]]*Rules!$B$3</f>
        <v>2689.396153846154</v>
      </c>
      <c r="Y2028" t="str">
        <f>IF(Table1[[#This Row],[customer_subscription]]=1,"Subscribed","Not Subscribed")</f>
        <v>Not Subscribed</v>
      </c>
    </row>
    <row r="2029" spans="1:26" x14ac:dyDescent="0.25">
      <c r="A2029">
        <v>2028</v>
      </c>
      <c r="B2029">
        <v>50</v>
      </c>
      <c r="C2029" t="s">
        <v>22</v>
      </c>
      <c r="D2029">
        <v>2028</v>
      </c>
      <c r="E2029" t="s">
        <v>74</v>
      </c>
      <c r="F2029" t="s">
        <v>45</v>
      </c>
      <c r="G2029">
        <v>2028</v>
      </c>
      <c r="H2029">
        <v>2632</v>
      </c>
      <c r="I2029">
        <v>73</v>
      </c>
      <c r="J2029" t="s">
        <v>148</v>
      </c>
      <c r="K2029" t="s">
        <v>39</v>
      </c>
      <c r="L2029" t="s">
        <v>83</v>
      </c>
      <c r="M2029" t="s">
        <v>60</v>
      </c>
      <c r="N2029">
        <v>4.8</v>
      </c>
      <c r="O2029">
        <v>0</v>
      </c>
      <c r="P2029" t="s">
        <v>57</v>
      </c>
      <c r="Q2029" t="s">
        <v>155</v>
      </c>
      <c r="R2029" t="s">
        <v>155</v>
      </c>
      <c r="S2029">
        <v>50</v>
      </c>
      <c r="T2029" t="s">
        <v>42</v>
      </c>
      <c r="U2029" t="s">
        <v>100</v>
      </c>
      <c r="V2029" s="1">
        <v>45558</v>
      </c>
      <c r="W2029">
        <f>Table1[[#This Row],[customer_purchase count]]+1</f>
        <v>51</v>
      </c>
      <c r="X2029">
        <f>Table1[[#This Row],[customer_purchase count]]*Rules!$B$3</f>
        <v>2988.2179487179487</v>
      </c>
      <c r="Y2029" t="str">
        <f>IF(Table1[[#This Row],[customer_subscription]]=1,"Subscribed","Not Subscribed")</f>
        <v>Not Subscribed</v>
      </c>
    </row>
    <row r="2030" spans="1:26" x14ac:dyDescent="0.25">
      <c r="A2030">
        <v>2029</v>
      </c>
      <c r="B2030">
        <v>29</v>
      </c>
      <c r="C2030" t="s">
        <v>22</v>
      </c>
      <c r="D2030">
        <v>2029</v>
      </c>
      <c r="E2030" t="s">
        <v>74</v>
      </c>
      <c r="F2030" t="s">
        <v>45</v>
      </c>
      <c r="G2030">
        <v>2029</v>
      </c>
      <c r="H2030">
        <v>2633</v>
      </c>
      <c r="I2030">
        <v>84</v>
      </c>
      <c r="J2030" t="s">
        <v>126</v>
      </c>
      <c r="K2030" t="s">
        <v>95</v>
      </c>
      <c r="L2030" t="s">
        <v>76</v>
      </c>
      <c r="M2030" t="s">
        <v>60</v>
      </c>
      <c r="N2030">
        <v>3.7</v>
      </c>
      <c r="O2030">
        <v>0</v>
      </c>
      <c r="P2030" t="s">
        <v>73</v>
      </c>
      <c r="Q2030" t="s">
        <v>155</v>
      </c>
      <c r="R2030" t="s">
        <v>155</v>
      </c>
      <c r="S2030">
        <v>10</v>
      </c>
      <c r="T2030" t="s">
        <v>31</v>
      </c>
      <c r="U2030" t="s">
        <v>79</v>
      </c>
      <c r="V2030" s="1">
        <v>45599</v>
      </c>
      <c r="W2030">
        <f>Table1[[#This Row],[customer_purchase count]]+1</f>
        <v>11</v>
      </c>
      <c r="X2030">
        <f>Table1[[#This Row],[customer_purchase count]]*Rules!$B$3</f>
        <v>597.64358974358981</v>
      </c>
      <c r="Y2030" t="str">
        <f>IF(Table1[[#This Row],[customer_subscription]]=1,"Subscribed","Not Subscribed")</f>
        <v>Not Subscribed</v>
      </c>
      <c r="Z2030" t="s">
        <v>187</v>
      </c>
    </row>
    <row r="2031" spans="1:26" x14ac:dyDescent="0.25">
      <c r="A2031">
        <v>2030</v>
      </c>
      <c r="B2031">
        <v>25</v>
      </c>
      <c r="C2031" t="s">
        <v>22</v>
      </c>
      <c r="D2031">
        <v>2030</v>
      </c>
      <c r="E2031" t="s">
        <v>122</v>
      </c>
      <c r="F2031" t="s">
        <v>70</v>
      </c>
      <c r="G2031">
        <v>2030</v>
      </c>
      <c r="H2031">
        <v>2635</v>
      </c>
      <c r="I2031">
        <v>23</v>
      </c>
      <c r="J2031" t="s">
        <v>59</v>
      </c>
      <c r="K2031" t="s">
        <v>47</v>
      </c>
      <c r="L2031" t="s">
        <v>72</v>
      </c>
      <c r="M2031" t="s">
        <v>40</v>
      </c>
      <c r="N2031">
        <v>4.5999999999999996</v>
      </c>
      <c r="O2031">
        <v>0</v>
      </c>
      <c r="P2031" t="s">
        <v>48</v>
      </c>
      <c r="Q2031" t="s">
        <v>155</v>
      </c>
      <c r="R2031" t="s">
        <v>155</v>
      </c>
      <c r="S2031">
        <v>40</v>
      </c>
      <c r="T2031" t="s">
        <v>49</v>
      </c>
      <c r="U2031" t="s">
        <v>61</v>
      </c>
      <c r="V2031" s="1">
        <v>45402</v>
      </c>
      <c r="W2031">
        <f>Table1[[#This Row],[customer_purchase count]]+1</f>
        <v>41</v>
      </c>
      <c r="X2031">
        <f>Table1[[#This Row],[customer_purchase count]]*Rules!$B$3</f>
        <v>2390.5743589743593</v>
      </c>
      <c r="Y2031" t="str">
        <f>IF(Table1[[#This Row],[customer_subscription]]=1,"Subscribed","Not Subscribed")</f>
        <v>Not Subscribed</v>
      </c>
    </row>
    <row r="2032" spans="1:26" x14ac:dyDescent="0.25">
      <c r="A2032">
        <v>2031</v>
      </c>
      <c r="B2032">
        <v>66</v>
      </c>
      <c r="C2032" t="s">
        <v>22</v>
      </c>
      <c r="D2032">
        <v>2031</v>
      </c>
      <c r="E2032" t="s">
        <v>92</v>
      </c>
      <c r="F2032" t="s">
        <v>70</v>
      </c>
      <c r="G2032">
        <v>2031</v>
      </c>
      <c r="H2032">
        <v>2636</v>
      </c>
      <c r="I2032">
        <v>67</v>
      </c>
      <c r="J2032" t="s">
        <v>133</v>
      </c>
      <c r="K2032" t="s">
        <v>39</v>
      </c>
      <c r="L2032" t="s">
        <v>99</v>
      </c>
      <c r="M2032" t="s">
        <v>56</v>
      </c>
      <c r="N2032">
        <v>2.8</v>
      </c>
      <c r="O2032">
        <v>0</v>
      </c>
      <c r="P2032" t="s">
        <v>57</v>
      </c>
      <c r="Q2032" t="s">
        <v>155</v>
      </c>
      <c r="R2032" t="s">
        <v>155</v>
      </c>
      <c r="S2032">
        <v>38</v>
      </c>
      <c r="T2032" t="s">
        <v>42</v>
      </c>
      <c r="U2032" t="s">
        <v>91</v>
      </c>
      <c r="V2032" s="1">
        <v>45490</v>
      </c>
      <c r="W2032">
        <f>Table1[[#This Row],[customer_purchase count]]+1</f>
        <v>39</v>
      </c>
      <c r="X2032">
        <f>Table1[[#This Row],[customer_purchase count]]*Rules!$B$3</f>
        <v>2271.0456410256411</v>
      </c>
      <c r="Y2032" t="str">
        <f>IF(Table1[[#This Row],[customer_subscription]]=1,"Subscribed","Not Subscribed")</f>
        <v>Not Subscribed</v>
      </c>
    </row>
    <row r="2033" spans="1:26" x14ac:dyDescent="0.25">
      <c r="A2033">
        <v>2032</v>
      </c>
      <c r="B2033">
        <v>21</v>
      </c>
      <c r="C2033" t="s">
        <v>22</v>
      </c>
      <c r="D2033">
        <v>2032</v>
      </c>
      <c r="E2033" t="s">
        <v>128</v>
      </c>
      <c r="F2033" t="s">
        <v>24</v>
      </c>
      <c r="G2033">
        <v>2032</v>
      </c>
      <c r="H2033">
        <v>2637</v>
      </c>
      <c r="I2033">
        <v>51</v>
      </c>
      <c r="J2033" t="s">
        <v>101</v>
      </c>
      <c r="K2033" t="s">
        <v>26</v>
      </c>
      <c r="L2033" t="s">
        <v>64</v>
      </c>
      <c r="M2033" t="s">
        <v>40</v>
      </c>
      <c r="N2033">
        <v>4</v>
      </c>
      <c r="O2033">
        <v>0</v>
      </c>
      <c r="P2033" t="s">
        <v>57</v>
      </c>
      <c r="Q2033" t="s">
        <v>155</v>
      </c>
      <c r="R2033" t="s">
        <v>155</v>
      </c>
      <c r="S2033">
        <v>2</v>
      </c>
      <c r="T2033" t="s">
        <v>42</v>
      </c>
      <c r="U2033" t="s">
        <v>91</v>
      </c>
      <c r="V2033" s="1">
        <v>45434</v>
      </c>
      <c r="W2033">
        <f>Table1[[#This Row],[customer_purchase count]]+1</f>
        <v>3</v>
      </c>
      <c r="X2033">
        <f>Table1[[#This Row],[customer_purchase count]]*Rules!$B$3</f>
        <v>119.52871794871795</v>
      </c>
      <c r="Y2033" t="str">
        <f>IF(Table1[[#This Row],[customer_subscription]]=1,"Subscribed","Not Subscribed")</f>
        <v>Not Subscribed</v>
      </c>
      <c r="Z2033" t="s">
        <v>194</v>
      </c>
    </row>
    <row r="2034" spans="1:26" x14ac:dyDescent="0.25">
      <c r="A2034">
        <v>2033</v>
      </c>
      <c r="B2034">
        <v>46</v>
      </c>
      <c r="C2034" t="s">
        <v>22</v>
      </c>
      <c r="D2034">
        <v>2033</v>
      </c>
      <c r="E2034" t="s">
        <v>23</v>
      </c>
      <c r="F2034" t="s">
        <v>24</v>
      </c>
      <c r="G2034">
        <v>2033</v>
      </c>
      <c r="H2034">
        <v>2638</v>
      </c>
      <c r="I2034">
        <v>36</v>
      </c>
      <c r="J2034" t="s">
        <v>134</v>
      </c>
      <c r="K2034" t="s">
        <v>47</v>
      </c>
      <c r="L2034" t="s">
        <v>35</v>
      </c>
      <c r="M2034" t="s">
        <v>28</v>
      </c>
      <c r="N2034">
        <v>4.2</v>
      </c>
      <c r="O2034">
        <v>0</v>
      </c>
      <c r="P2034" t="s">
        <v>48</v>
      </c>
      <c r="Q2034" t="s">
        <v>155</v>
      </c>
      <c r="R2034" t="s">
        <v>155</v>
      </c>
      <c r="S2034">
        <v>13</v>
      </c>
      <c r="T2034" t="s">
        <v>36</v>
      </c>
      <c r="U2034" t="s">
        <v>52</v>
      </c>
      <c r="V2034" s="1">
        <v>45335</v>
      </c>
      <c r="W2034">
        <f>Table1[[#This Row],[customer_purchase count]]+1</f>
        <v>14</v>
      </c>
      <c r="X2034">
        <f>Table1[[#This Row],[customer_purchase count]]*Rules!$B$3</f>
        <v>776.93666666666672</v>
      </c>
      <c r="Y2034" t="str">
        <f>IF(Table1[[#This Row],[customer_subscription]]=1,"Subscribed","Not Subscribed")</f>
        <v>Not Subscribed</v>
      </c>
      <c r="Z2034" t="s">
        <v>194</v>
      </c>
    </row>
    <row r="2035" spans="1:26" x14ac:dyDescent="0.25">
      <c r="A2035">
        <v>2034</v>
      </c>
      <c r="B2035">
        <v>57</v>
      </c>
      <c r="C2035" t="s">
        <v>22</v>
      </c>
      <c r="D2035">
        <v>2034</v>
      </c>
      <c r="E2035" t="s">
        <v>37</v>
      </c>
      <c r="F2035" t="s">
        <v>24</v>
      </c>
      <c r="G2035">
        <v>2034</v>
      </c>
      <c r="H2035">
        <v>2639</v>
      </c>
      <c r="I2035">
        <v>55</v>
      </c>
      <c r="J2035" t="s">
        <v>118</v>
      </c>
      <c r="K2035" t="s">
        <v>26</v>
      </c>
      <c r="L2035" t="s">
        <v>81</v>
      </c>
      <c r="M2035" t="s">
        <v>56</v>
      </c>
      <c r="N2035">
        <v>3.6</v>
      </c>
      <c r="O2035">
        <v>0</v>
      </c>
      <c r="P2035" t="s">
        <v>29</v>
      </c>
      <c r="Q2035" t="s">
        <v>155</v>
      </c>
      <c r="R2035" t="s">
        <v>155</v>
      </c>
      <c r="S2035">
        <v>33</v>
      </c>
      <c r="T2035" t="s">
        <v>31</v>
      </c>
      <c r="U2035" t="s">
        <v>52</v>
      </c>
      <c r="V2035" s="1">
        <v>45444</v>
      </c>
      <c r="W2035">
        <f>Table1[[#This Row],[customer_purchase count]]+1</f>
        <v>34</v>
      </c>
      <c r="X2035">
        <f>Table1[[#This Row],[customer_purchase count]]*Rules!$B$3</f>
        <v>1972.2238461538464</v>
      </c>
      <c r="Y2035" t="str">
        <f>IF(Table1[[#This Row],[customer_subscription]]=1,"Subscribed","Not Subscribed")</f>
        <v>Not Subscribed</v>
      </c>
    </row>
    <row r="2036" spans="1:26" x14ac:dyDescent="0.25">
      <c r="A2036">
        <v>2035</v>
      </c>
      <c r="B2036">
        <v>61</v>
      </c>
      <c r="C2036" t="s">
        <v>22</v>
      </c>
      <c r="D2036">
        <v>2035</v>
      </c>
      <c r="E2036" t="s">
        <v>62</v>
      </c>
      <c r="F2036" t="s">
        <v>24</v>
      </c>
      <c r="G2036">
        <v>2035</v>
      </c>
      <c r="H2036">
        <v>2641</v>
      </c>
      <c r="I2036">
        <v>30</v>
      </c>
      <c r="J2036" t="s">
        <v>93</v>
      </c>
      <c r="K2036" t="s">
        <v>47</v>
      </c>
      <c r="L2036" t="s">
        <v>103</v>
      </c>
      <c r="M2036" t="s">
        <v>40</v>
      </c>
      <c r="N2036">
        <v>2.9</v>
      </c>
      <c r="O2036">
        <v>0</v>
      </c>
      <c r="P2036" t="s">
        <v>77</v>
      </c>
      <c r="Q2036" t="s">
        <v>155</v>
      </c>
      <c r="R2036" t="s">
        <v>155</v>
      </c>
      <c r="S2036">
        <v>27</v>
      </c>
      <c r="T2036" t="s">
        <v>49</v>
      </c>
      <c r="U2036" t="s">
        <v>91</v>
      </c>
      <c r="V2036" s="1">
        <v>45372</v>
      </c>
      <c r="W2036">
        <f>Table1[[#This Row],[customer_purchase count]]+1</f>
        <v>28</v>
      </c>
      <c r="X2036">
        <f>Table1[[#This Row],[customer_purchase count]]*Rules!$B$3</f>
        <v>1613.6376923076923</v>
      </c>
      <c r="Y2036" t="str">
        <f>IF(Table1[[#This Row],[customer_subscription]]=1,"Subscribed","Not Subscribed")</f>
        <v>Not Subscribed</v>
      </c>
    </row>
    <row r="2037" spans="1:26" x14ac:dyDescent="0.25">
      <c r="A2037">
        <v>2036</v>
      </c>
      <c r="B2037">
        <v>53</v>
      </c>
      <c r="C2037" t="s">
        <v>22</v>
      </c>
      <c r="D2037">
        <v>2036</v>
      </c>
      <c r="E2037" t="s">
        <v>116</v>
      </c>
      <c r="F2037" t="s">
        <v>24</v>
      </c>
      <c r="G2037">
        <v>2036</v>
      </c>
      <c r="H2037">
        <v>2642</v>
      </c>
      <c r="I2037">
        <v>70</v>
      </c>
      <c r="J2037" t="s">
        <v>104</v>
      </c>
      <c r="K2037" t="s">
        <v>39</v>
      </c>
      <c r="L2037" t="s">
        <v>137</v>
      </c>
      <c r="M2037" t="s">
        <v>56</v>
      </c>
      <c r="N2037">
        <v>4.0999999999999996</v>
      </c>
      <c r="O2037">
        <v>0</v>
      </c>
      <c r="P2037" t="s">
        <v>29</v>
      </c>
      <c r="Q2037" t="s">
        <v>155</v>
      </c>
      <c r="R2037" t="s">
        <v>155</v>
      </c>
      <c r="S2037">
        <v>43</v>
      </c>
      <c r="T2037" t="s">
        <v>78</v>
      </c>
      <c r="U2037" t="s">
        <v>43</v>
      </c>
      <c r="V2037" s="1">
        <v>45458</v>
      </c>
      <c r="W2037">
        <f>Table1[[#This Row],[customer_purchase count]]+1</f>
        <v>44</v>
      </c>
      <c r="X2037">
        <f>Table1[[#This Row],[customer_purchase count]]*Rules!$B$3</f>
        <v>2569.8674358974358</v>
      </c>
      <c r="Y2037" t="str">
        <f>IF(Table1[[#This Row],[customer_subscription]]=1,"Subscribed","Not Subscribed")</f>
        <v>Not Subscribed</v>
      </c>
    </row>
    <row r="2038" spans="1:26" x14ac:dyDescent="0.25">
      <c r="A2038">
        <v>2037</v>
      </c>
      <c r="B2038">
        <v>37</v>
      </c>
      <c r="C2038" t="s">
        <v>22</v>
      </c>
      <c r="D2038">
        <v>2037</v>
      </c>
      <c r="E2038" t="s">
        <v>23</v>
      </c>
      <c r="F2038" t="s">
        <v>24</v>
      </c>
      <c r="G2038">
        <v>2037</v>
      </c>
      <c r="H2038">
        <v>2643</v>
      </c>
      <c r="I2038">
        <v>63</v>
      </c>
      <c r="J2038" t="s">
        <v>151</v>
      </c>
      <c r="K2038" t="s">
        <v>39</v>
      </c>
      <c r="L2038" t="s">
        <v>96</v>
      </c>
      <c r="M2038" t="s">
        <v>28</v>
      </c>
      <c r="N2038">
        <v>3.1</v>
      </c>
      <c r="O2038">
        <v>0</v>
      </c>
      <c r="P2038" t="s">
        <v>48</v>
      </c>
      <c r="Q2038" t="s">
        <v>155</v>
      </c>
      <c r="R2038" t="s">
        <v>155</v>
      </c>
      <c r="S2038">
        <v>46</v>
      </c>
      <c r="T2038" t="s">
        <v>36</v>
      </c>
      <c r="U2038" t="s">
        <v>43</v>
      </c>
      <c r="V2038" s="1">
        <v>45315</v>
      </c>
      <c r="W2038">
        <f>Table1[[#This Row],[customer_purchase count]]+1</f>
        <v>47</v>
      </c>
      <c r="X2038">
        <f>Table1[[#This Row],[customer_purchase count]]*Rules!$B$3</f>
        <v>2749.1605128205128</v>
      </c>
      <c r="Y2038" t="str">
        <f>IF(Table1[[#This Row],[customer_subscription]]=1,"Subscribed","Not Subscribed")</f>
        <v>Not Subscribed</v>
      </c>
    </row>
    <row r="2039" spans="1:26" x14ac:dyDescent="0.25">
      <c r="A2039">
        <v>2038</v>
      </c>
      <c r="B2039">
        <v>39</v>
      </c>
      <c r="C2039" t="s">
        <v>22</v>
      </c>
      <c r="D2039">
        <v>2038</v>
      </c>
      <c r="E2039" t="s">
        <v>136</v>
      </c>
      <c r="F2039" t="s">
        <v>70</v>
      </c>
      <c r="G2039">
        <v>2038</v>
      </c>
      <c r="H2039">
        <v>2644</v>
      </c>
      <c r="I2039">
        <v>87</v>
      </c>
      <c r="J2039" t="s">
        <v>118</v>
      </c>
      <c r="K2039" t="s">
        <v>39</v>
      </c>
      <c r="L2039" t="s">
        <v>99</v>
      </c>
      <c r="M2039" t="s">
        <v>56</v>
      </c>
      <c r="N2039">
        <v>4.3</v>
      </c>
      <c r="O2039">
        <v>0</v>
      </c>
      <c r="P2039" t="s">
        <v>29</v>
      </c>
      <c r="Q2039" t="s">
        <v>155</v>
      </c>
      <c r="R2039" t="s">
        <v>155</v>
      </c>
      <c r="S2039">
        <v>7</v>
      </c>
      <c r="T2039" t="s">
        <v>31</v>
      </c>
      <c r="U2039" t="s">
        <v>79</v>
      </c>
      <c r="V2039" s="1">
        <v>45451</v>
      </c>
      <c r="W2039">
        <f>Table1[[#This Row],[customer_purchase count]]+1</f>
        <v>8</v>
      </c>
      <c r="X2039">
        <f>Table1[[#This Row],[customer_purchase count]]*Rules!$B$3</f>
        <v>418.35051282051285</v>
      </c>
      <c r="Y2039" t="str">
        <f>IF(Table1[[#This Row],[customer_subscription]]=1,"Subscribed","Not Subscribed")</f>
        <v>Not Subscribed</v>
      </c>
      <c r="Z2039" t="s">
        <v>194</v>
      </c>
    </row>
    <row r="2040" spans="1:26" x14ac:dyDescent="0.25">
      <c r="A2040">
        <v>2039</v>
      </c>
      <c r="B2040">
        <v>53</v>
      </c>
      <c r="C2040" t="s">
        <v>22</v>
      </c>
      <c r="D2040">
        <v>2039</v>
      </c>
      <c r="E2040" t="s">
        <v>23</v>
      </c>
      <c r="F2040" t="s">
        <v>24</v>
      </c>
      <c r="G2040">
        <v>2039</v>
      </c>
      <c r="H2040">
        <v>2645</v>
      </c>
      <c r="I2040">
        <v>70</v>
      </c>
      <c r="J2040" t="s">
        <v>75</v>
      </c>
      <c r="K2040" t="s">
        <v>26</v>
      </c>
      <c r="L2040" t="s">
        <v>124</v>
      </c>
      <c r="M2040" t="s">
        <v>40</v>
      </c>
      <c r="N2040">
        <v>4.4000000000000004</v>
      </c>
      <c r="O2040">
        <v>0</v>
      </c>
      <c r="P2040" t="s">
        <v>48</v>
      </c>
      <c r="Q2040" t="s">
        <v>155</v>
      </c>
      <c r="R2040" t="s">
        <v>155</v>
      </c>
      <c r="S2040">
        <v>35</v>
      </c>
      <c r="T2040" t="s">
        <v>42</v>
      </c>
      <c r="U2040" t="s">
        <v>32</v>
      </c>
      <c r="V2040" s="1">
        <v>45370</v>
      </c>
      <c r="W2040">
        <f>Table1[[#This Row],[customer_purchase count]]+1</f>
        <v>36</v>
      </c>
      <c r="X2040">
        <f>Table1[[#This Row],[customer_purchase count]]*Rules!$B$3</f>
        <v>2091.7525641025641</v>
      </c>
      <c r="Y2040" t="str">
        <f>IF(Table1[[#This Row],[customer_subscription]]=1,"Subscribed","Not Subscribed")</f>
        <v>Not Subscribed</v>
      </c>
    </row>
    <row r="2041" spans="1:26" x14ac:dyDescent="0.25">
      <c r="A2041">
        <v>2040</v>
      </c>
      <c r="B2041">
        <v>35</v>
      </c>
      <c r="C2041" t="s">
        <v>22</v>
      </c>
      <c r="D2041">
        <v>2040</v>
      </c>
      <c r="E2041" t="s">
        <v>116</v>
      </c>
      <c r="F2041" t="s">
        <v>24</v>
      </c>
      <c r="G2041">
        <v>2040</v>
      </c>
      <c r="H2041">
        <v>2647</v>
      </c>
      <c r="I2041">
        <v>51</v>
      </c>
      <c r="J2041" t="s">
        <v>151</v>
      </c>
      <c r="K2041" t="s">
        <v>47</v>
      </c>
      <c r="L2041" t="s">
        <v>81</v>
      </c>
      <c r="M2041" t="s">
        <v>40</v>
      </c>
      <c r="N2041">
        <v>3.1</v>
      </c>
      <c r="O2041">
        <v>0</v>
      </c>
      <c r="P2041" t="s">
        <v>48</v>
      </c>
      <c r="Q2041" t="s">
        <v>155</v>
      </c>
      <c r="R2041" t="s">
        <v>155</v>
      </c>
      <c r="S2041">
        <v>31</v>
      </c>
      <c r="T2041" t="s">
        <v>89</v>
      </c>
      <c r="U2041" t="s">
        <v>79</v>
      </c>
      <c r="V2041" s="1">
        <v>45398</v>
      </c>
      <c r="W2041">
        <f>Table1[[#This Row],[customer_purchase count]]+1</f>
        <v>32</v>
      </c>
      <c r="X2041">
        <f>Table1[[#This Row],[customer_purchase count]]*Rules!$B$3</f>
        <v>1852.6951282051282</v>
      </c>
      <c r="Y2041" t="str">
        <f>IF(Table1[[#This Row],[customer_subscription]]=1,"Subscribed","Not Subscribed")</f>
        <v>Not Subscribed</v>
      </c>
    </row>
    <row r="2042" spans="1:26" x14ac:dyDescent="0.25">
      <c r="A2042">
        <v>2041</v>
      </c>
      <c r="B2042">
        <v>69</v>
      </c>
      <c r="C2042" t="s">
        <v>22</v>
      </c>
      <c r="D2042">
        <v>2041</v>
      </c>
      <c r="E2042" t="s">
        <v>109</v>
      </c>
      <c r="F2042" t="s">
        <v>70</v>
      </c>
      <c r="G2042">
        <v>2041</v>
      </c>
      <c r="H2042">
        <v>2648</v>
      </c>
      <c r="I2042">
        <v>25</v>
      </c>
      <c r="J2042" t="s">
        <v>134</v>
      </c>
      <c r="K2042" t="s">
        <v>95</v>
      </c>
      <c r="L2042" t="s">
        <v>27</v>
      </c>
      <c r="M2042" t="s">
        <v>40</v>
      </c>
      <c r="N2042">
        <v>2.9</v>
      </c>
      <c r="O2042">
        <v>0</v>
      </c>
      <c r="P2042" t="s">
        <v>41</v>
      </c>
      <c r="Q2042" t="s">
        <v>155</v>
      </c>
      <c r="R2042" t="s">
        <v>155</v>
      </c>
      <c r="S2042">
        <v>42</v>
      </c>
      <c r="T2042" t="s">
        <v>31</v>
      </c>
      <c r="U2042" t="s">
        <v>61</v>
      </c>
      <c r="V2042" s="1">
        <v>45390</v>
      </c>
      <c r="W2042">
        <f>Table1[[#This Row],[customer_purchase count]]+1</f>
        <v>43</v>
      </c>
      <c r="X2042">
        <f>Table1[[#This Row],[customer_purchase count]]*Rules!$B$3</f>
        <v>2510.103076923077</v>
      </c>
      <c r="Y2042" t="str">
        <f>IF(Table1[[#This Row],[customer_subscription]]=1,"Subscribed","Not Subscribed")</f>
        <v>Not Subscribed</v>
      </c>
    </row>
    <row r="2043" spans="1:26" x14ac:dyDescent="0.25">
      <c r="A2043">
        <v>2042</v>
      </c>
      <c r="B2043">
        <v>66</v>
      </c>
      <c r="C2043" t="s">
        <v>22</v>
      </c>
      <c r="D2043">
        <v>2042</v>
      </c>
      <c r="E2043" t="s">
        <v>105</v>
      </c>
      <c r="F2043" t="s">
        <v>66</v>
      </c>
      <c r="G2043">
        <v>2042</v>
      </c>
      <c r="H2043">
        <v>2649</v>
      </c>
      <c r="I2043">
        <v>32</v>
      </c>
      <c r="J2043" t="s">
        <v>87</v>
      </c>
      <c r="K2043" t="s">
        <v>39</v>
      </c>
      <c r="L2043" t="s">
        <v>96</v>
      </c>
      <c r="M2043" t="s">
        <v>28</v>
      </c>
      <c r="N2043">
        <v>3.2</v>
      </c>
      <c r="O2043">
        <v>0</v>
      </c>
      <c r="P2043" t="s">
        <v>48</v>
      </c>
      <c r="Q2043" t="s">
        <v>155</v>
      </c>
      <c r="R2043" t="s">
        <v>155</v>
      </c>
      <c r="S2043">
        <v>14</v>
      </c>
      <c r="T2043" t="s">
        <v>49</v>
      </c>
      <c r="U2043" t="s">
        <v>79</v>
      </c>
      <c r="V2043" s="1">
        <v>45636</v>
      </c>
      <c r="W2043">
        <f>Table1[[#This Row],[customer_purchase count]]+1</f>
        <v>15</v>
      </c>
      <c r="X2043">
        <f>Table1[[#This Row],[customer_purchase count]]*Rules!$B$3</f>
        <v>836.70102564102569</v>
      </c>
      <c r="Y2043" t="str">
        <f>IF(Table1[[#This Row],[customer_subscription]]=1,"Subscribed","Not Subscribed")</f>
        <v>Not Subscribed</v>
      </c>
      <c r="Z2043" t="s">
        <v>194</v>
      </c>
    </row>
    <row r="2044" spans="1:26" x14ac:dyDescent="0.25">
      <c r="A2044">
        <v>2043</v>
      </c>
      <c r="B2044">
        <v>19</v>
      </c>
      <c r="C2044" t="s">
        <v>22</v>
      </c>
      <c r="D2044">
        <v>2043</v>
      </c>
      <c r="E2044" t="s">
        <v>74</v>
      </c>
      <c r="F2044" t="s">
        <v>45</v>
      </c>
      <c r="G2044">
        <v>2043</v>
      </c>
      <c r="H2044">
        <v>2650</v>
      </c>
      <c r="I2044">
        <v>52</v>
      </c>
      <c r="J2044" t="s">
        <v>93</v>
      </c>
      <c r="K2044" t="s">
        <v>47</v>
      </c>
      <c r="L2044" t="s">
        <v>111</v>
      </c>
      <c r="M2044" t="s">
        <v>40</v>
      </c>
      <c r="N2044">
        <v>4</v>
      </c>
      <c r="O2044">
        <v>0</v>
      </c>
      <c r="P2044" t="s">
        <v>73</v>
      </c>
      <c r="Q2044" t="s">
        <v>155</v>
      </c>
      <c r="R2044" t="s">
        <v>155</v>
      </c>
      <c r="S2044">
        <v>35</v>
      </c>
      <c r="T2044" t="s">
        <v>31</v>
      </c>
      <c r="U2044" t="s">
        <v>91</v>
      </c>
      <c r="V2044" s="1">
        <v>45429</v>
      </c>
      <c r="W2044">
        <f>Table1[[#This Row],[customer_purchase count]]+1</f>
        <v>36</v>
      </c>
      <c r="X2044">
        <f>Table1[[#This Row],[customer_purchase count]]*Rules!$B$3</f>
        <v>2091.7525641025641</v>
      </c>
      <c r="Y2044" t="str">
        <f>IF(Table1[[#This Row],[customer_subscription]]=1,"Subscribed","Not Subscribed")</f>
        <v>Not Subscribed</v>
      </c>
    </row>
    <row r="2045" spans="1:26" x14ac:dyDescent="0.25">
      <c r="A2045">
        <v>2044</v>
      </c>
      <c r="B2045">
        <v>47</v>
      </c>
      <c r="C2045" t="s">
        <v>22</v>
      </c>
      <c r="D2045">
        <v>2044</v>
      </c>
      <c r="E2045" t="s">
        <v>146</v>
      </c>
      <c r="F2045" t="s">
        <v>70</v>
      </c>
      <c r="G2045">
        <v>2044</v>
      </c>
      <c r="H2045">
        <v>2651</v>
      </c>
      <c r="I2045">
        <v>33</v>
      </c>
      <c r="J2045" t="s">
        <v>87</v>
      </c>
      <c r="K2045" t="s">
        <v>47</v>
      </c>
      <c r="L2045" t="s">
        <v>64</v>
      </c>
      <c r="M2045" t="s">
        <v>56</v>
      </c>
      <c r="N2045">
        <v>2.7</v>
      </c>
      <c r="O2045">
        <v>0</v>
      </c>
      <c r="P2045" t="s">
        <v>57</v>
      </c>
      <c r="Q2045" t="s">
        <v>155</v>
      </c>
      <c r="R2045" t="s">
        <v>155</v>
      </c>
      <c r="S2045">
        <v>49</v>
      </c>
      <c r="T2045" t="s">
        <v>49</v>
      </c>
      <c r="U2045" t="s">
        <v>43</v>
      </c>
      <c r="V2045" s="1">
        <v>45459</v>
      </c>
      <c r="W2045">
        <f>Table1[[#This Row],[customer_purchase count]]+1</f>
        <v>50</v>
      </c>
      <c r="X2045">
        <f>Table1[[#This Row],[customer_purchase count]]*Rules!$B$3</f>
        <v>2928.4535897435899</v>
      </c>
      <c r="Y2045" t="str">
        <f>IF(Table1[[#This Row],[customer_subscription]]=1,"Subscribed","Not Subscribed")</f>
        <v>Not Subscribed</v>
      </c>
    </row>
    <row r="2046" spans="1:26" x14ac:dyDescent="0.25">
      <c r="A2046">
        <v>2045</v>
      </c>
      <c r="B2046">
        <v>49</v>
      </c>
      <c r="C2046" t="s">
        <v>22</v>
      </c>
      <c r="D2046">
        <v>2045</v>
      </c>
      <c r="E2046" t="s">
        <v>37</v>
      </c>
      <c r="F2046" t="s">
        <v>24</v>
      </c>
      <c r="G2046">
        <v>2045</v>
      </c>
      <c r="H2046">
        <v>2653</v>
      </c>
      <c r="I2046">
        <v>68</v>
      </c>
      <c r="J2046" t="s">
        <v>71</v>
      </c>
      <c r="K2046" t="s">
        <v>26</v>
      </c>
      <c r="L2046" t="s">
        <v>124</v>
      </c>
      <c r="M2046" t="s">
        <v>40</v>
      </c>
      <c r="N2046">
        <v>3</v>
      </c>
      <c r="O2046">
        <v>0</v>
      </c>
      <c r="P2046" t="s">
        <v>41</v>
      </c>
      <c r="Q2046" t="s">
        <v>155</v>
      </c>
      <c r="R2046" t="s">
        <v>155</v>
      </c>
      <c r="S2046">
        <v>17</v>
      </c>
      <c r="T2046" t="s">
        <v>49</v>
      </c>
      <c r="U2046" t="s">
        <v>32</v>
      </c>
      <c r="V2046" s="1">
        <v>45416</v>
      </c>
      <c r="W2046">
        <f>Table1[[#This Row],[customer_purchase count]]+1</f>
        <v>18</v>
      </c>
      <c r="X2046">
        <f>Table1[[#This Row],[customer_purchase count]]*Rules!$B$3</f>
        <v>1015.9941025641026</v>
      </c>
      <c r="Y2046" t="str">
        <f>IF(Table1[[#This Row],[customer_subscription]]=1,"Subscribed","Not Subscribed")</f>
        <v>Not Subscribed</v>
      </c>
      <c r="Z2046" t="s">
        <v>194</v>
      </c>
    </row>
    <row r="2047" spans="1:26" x14ac:dyDescent="0.25">
      <c r="A2047">
        <v>2046</v>
      </c>
      <c r="B2047">
        <v>31</v>
      </c>
      <c r="C2047" t="s">
        <v>22</v>
      </c>
      <c r="D2047">
        <v>2046</v>
      </c>
      <c r="E2047" t="s">
        <v>109</v>
      </c>
      <c r="F2047" t="s">
        <v>70</v>
      </c>
      <c r="G2047">
        <v>2046</v>
      </c>
      <c r="H2047">
        <v>2654</v>
      </c>
      <c r="I2047">
        <v>20</v>
      </c>
      <c r="J2047" t="s">
        <v>145</v>
      </c>
      <c r="K2047" t="s">
        <v>47</v>
      </c>
      <c r="L2047" t="s">
        <v>111</v>
      </c>
      <c r="M2047" t="s">
        <v>60</v>
      </c>
      <c r="N2047">
        <v>4.4000000000000004</v>
      </c>
      <c r="O2047">
        <v>0</v>
      </c>
      <c r="P2047" t="s">
        <v>29</v>
      </c>
      <c r="Q2047" t="s">
        <v>155</v>
      </c>
      <c r="R2047" t="s">
        <v>155</v>
      </c>
      <c r="S2047">
        <v>26</v>
      </c>
      <c r="T2047" t="s">
        <v>49</v>
      </c>
      <c r="U2047" t="s">
        <v>61</v>
      </c>
      <c r="V2047" s="1">
        <v>45573</v>
      </c>
      <c r="W2047">
        <f>Table1[[#This Row],[customer_purchase count]]+1</f>
        <v>27</v>
      </c>
      <c r="X2047">
        <f>Table1[[#This Row],[customer_purchase count]]*Rules!$B$3</f>
        <v>1553.8733333333334</v>
      </c>
      <c r="Y2047" t="str">
        <f>IF(Table1[[#This Row],[customer_subscription]]=1,"Subscribed","Not Subscribed")</f>
        <v>Not Subscribed</v>
      </c>
    </row>
    <row r="2048" spans="1:26" x14ac:dyDescent="0.25">
      <c r="A2048">
        <v>2047</v>
      </c>
      <c r="B2048">
        <v>39</v>
      </c>
      <c r="C2048" t="s">
        <v>22</v>
      </c>
      <c r="D2048">
        <v>2047</v>
      </c>
      <c r="E2048" t="s">
        <v>98</v>
      </c>
      <c r="F2048" t="s">
        <v>24</v>
      </c>
      <c r="G2048">
        <v>2047</v>
      </c>
      <c r="H2048">
        <v>2655</v>
      </c>
      <c r="I2048">
        <v>32</v>
      </c>
      <c r="J2048" t="s">
        <v>104</v>
      </c>
      <c r="K2048" t="s">
        <v>47</v>
      </c>
      <c r="L2048" t="s">
        <v>35</v>
      </c>
      <c r="M2048" t="s">
        <v>28</v>
      </c>
      <c r="N2048">
        <v>2.8</v>
      </c>
      <c r="O2048">
        <v>0</v>
      </c>
      <c r="P2048" t="s">
        <v>41</v>
      </c>
      <c r="Q2048" t="s">
        <v>155</v>
      </c>
      <c r="R2048" t="s">
        <v>155</v>
      </c>
      <c r="S2048">
        <v>30</v>
      </c>
      <c r="T2048" t="s">
        <v>36</v>
      </c>
      <c r="U2048" t="s">
        <v>100</v>
      </c>
      <c r="V2048" s="1">
        <v>45646</v>
      </c>
      <c r="W2048">
        <f>Table1[[#This Row],[customer_purchase count]]+1</f>
        <v>31</v>
      </c>
      <c r="X2048">
        <f>Table1[[#This Row],[customer_purchase count]]*Rules!$B$3</f>
        <v>1792.9307692307693</v>
      </c>
      <c r="Y2048" t="str">
        <f>IF(Table1[[#This Row],[customer_subscription]]=1,"Subscribed","Not Subscribed")</f>
        <v>Not Subscribed</v>
      </c>
    </row>
    <row r="2049" spans="1:26" x14ac:dyDescent="0.25">
      <c r="A2049">
        <v>2048</v>
      </c>
      <c r="B2049">
        <v>58</v>
      </c>
      <c r="C2049" t="s">
        <v>22</v>
      </c>
      <c r="D2049">
        <v>2048</v>
      </c>
      <c r="E2049" t="s">
        <v>109</v>
      </c>
      <c r="F2049" t="s">
        <v>70</v>
      </c>
      <c r="G2049">
        <v>2048</v>
      </c>
      <c r="H2049">
        <v>2656</v>
      </c>
      <c r="I2049">
        <v>82</v>
      </c>
      <c r="J2049" t="s">
        <v>142</v>
      </c>
      <c r="K2049" t="s">
        <v>47</v>
      </c>
      <c r="L2049" t="s">
        <v>68</v>
      </c>
      <c r="M2049" t="s">
        <v>56</v>
      </c>
      <c r="N2049">
        <v>3.1</v>
      </c>
      <c r="O2049">
        <v>0</v>
      </c>
      <c r="P2049" t="s">
        <v>77</v>
      </c>
      <c r="Q2049" t="s">
        <v>155</v>
      </c>
      <c r="R2049" t="s">
        <v>155</v>
      </c>
      <c r="S2049">
        <v>32</v>
      </c>
      <c r="T2049" t="s">
        <v>36</v>
      </c>
      <c r="U2049" t="s">
        <v>52</v>
      </c>
      <c r="V2049" s="1">
        <v>45513</v>
      </c>
      <c r="W2049">
        <f>Table1[[#This Row],[customer_purchase count]]+1</f>
        <v>33</v>
      </c>
      <c r="X2049">
        <f>Table1[[#This Row],[customer_purchase count]]*Rules!$B$3</f>
        <v>1912.4594871794873</v>
      </c>
      <c r="Y2049" t="str">
        <f>IF(Table1[[#This Row],[customer_subscription]]=1,"Subscribed","Not Subscribed")</f>
        <v>Not Subscribed</v>
      </c>
    </row>
    <row r="2050" spans="1:26" x14ac:dyDescent="0.25">
      <c r="A2050">
        <v>2049</v>
      </c>
      <c r="B2050">
        <v>45</v>
      </c>
      <c r="C2050" t="s">
        <v>22</v>
      </c>
      <c r="D2050">
        <v>2049</v>
      </c>
      <c r="E2050" t="s">
        <v>53</v>
      </c>
      <c r="F2050" t="s">
        <v>45</v>
      </c>
      <c r="G2050">
        <v>2049</v>
      </c>
      <c r="H2050">
        <v>2657</v>
      </c>
      <c r="I2050">
        <v>64</v>
      </c>
      <c r="J2050" t="s">
        <v>154</v>
      </c>
      <c r="K2050" t="s">
        <v>95</v>
      </c>
      <c r="L2050" t="s">
        <v>72</v>
      </c>
      <c r="M2050" t="s">
        <v>28</v>
      </c>
      <c r="N2050">
        <v>3.9</v>
      </c>
      <c r="O2050">
        <v>0</v>
      </c>
      <c r="P2050" t="s">
        <v>29</v>
      </c>
      <c r="Q2050" t="s">
        <v>155</v>
      </c>
      <c r="R2050" t="s">
        <v>155</v>
      </c>
      <c r="S2050">
        <v>35</v>
      </c>
      <c r="T2050" t="s">
        <v>78</v>
      </c>
      <c r="U2050" t="s">
        <v>61</v>
      </c>
      <c r="V2050" s="1">
        <v>45309</v>
      </c>
      <c r="W2050">
        <f>Table1[[#This Row],[customer_purchase count]]+1</f>
        <v>36</v>
      </c>
      <c r="X2050">
        <f>Table1[[#This Row],[customer_purchase count]]*Rules!$B$3</f>
        <v>2091.7525641025641</v>
      </c>
      <c r="Y2050" t="str">
        <f>IF(Table1[[#This Row],[customer_subscription]]=1,"Subscribed","Not Subscribed")</f>
        <v>Not Subscribed</v>
      </c>
    </row>
    <row r="2051" spans="1:26" x14ac:dyDescent="0.25">
      <c r="A2051">
        <v>2050</v>
      </c>
      <c r="B2051">
        <v>68</v>
      </c>
      <c r="C2051" t="s">
        <v>22</v>
      </c>
      <c r="D2051">
        <v>2050</v>
      </c>
      <c r="E2051" t="s">
        <v>140</v>
      </c>
      <c r="F2051" t="s">
        <v>45</v>
      </c>
      <c r="G2051">
        <v>2050</v>
      </c>
      <c r="H2051">
        <v>2659</v>
      </c>
      <c r="I2051">
        <v>24</v>
      </c>
      <c r="J2051" t="s">
        <v>46</v>
      </c>
      <c r="K2051" t="s">
        <v>26</v>
      </c>
      <c r="L2051" t="s">
        <v>147</v>
      </c>
      <c r="M2051" t="s">
        <v>60</v>
      </c>
      <c r="N2051">
        <v>2.7</v>
      </c>
      <c r="O2051">
        <v>0</v>
      </c>
      <c r="P2051" t="s">
        <v>57</v>
      </c>
      <c r="Q2051" t="s">
        <v>155</v>
      </c>
      <c r="R2051" t="s">
        <v>155</v>
      </c>
      <c r="S2051">
        <v>15</v>
      </c>
      <c r="T2051" t="s">
        <v>31</v>
      </c>
      <c r="U2051" t="s">
        <v>52</v>
      </c>
      <c r="V2051" s="1">
        <v>45566</v>
      </c>
      <c r="W2051">
        <f>Table1[[#This Row],[customer_purchase count]]+1</f>
        <v>16</v>
      </c>
      <c r="X2051">
        <f>Table1[[#This Row],[customer_purchase count]]*Rules!$B$3</f>
        <v>896.46538461538466</v>
      </c>
      <c r="Y2051" t="str">
        <f>IF(Table1[[#This Row],[customer_subscription]]=1,"Subscribed","Not Subscribed")</f>
        <v>Not Subscribed</v>
      </c>
      <c r="Z2051" t="s">
        <v>194</v>
      </c>
    </row>
    <row r="2052" spans="1:26" x14ac:dyDescent="0.25">
      <c r="A2052">
        <v>2051</v>
      </c>
      <c r="B2052">
        <v>35</v>
      </c>
      <c r="C2052" t="s">
        <v>22</v>
      </c>
      <c r="D2052">
        <v>2051</v>
      </c>
      <c r="E2052" t="s">
        <v>127</v>
      </c>
      <c r="F2052" t="s">
        <v>70</v>
      </c>
      <c r="G2052">
        <v>2051</v>
      </c>
      <c r="H2052">
        <v>2660</v>
      </c>
      <c r="I2052">
        <v>96</v>
      </c>
      <c r="J2052" t="s">
        <v>94</v>
      </c>
      <c r="K2052" t="s">
        <v>47</v>
      </c>
      <c r="L2052" t="s">
        <v>88</v>
      </c>
      <c r="M2052" t="s">
        <v>56</v>
      </c>
      <c r="N2052">
        <v>3.4</v>
      </c>
      <c r="O2052">
        <v>0</v>
      </c>
      <c r="P2052" t="s">
        <v>77</v>
      </c>
      <c r="Q2052" t="s">
        <v>155</v>
      </c>
      <c r="R2052" t="s">
        <v>155</v>
      </c>
      <c r="S2052">
        <v>10</v>
      </c>
      <c r="T2052" t="s">
        <v>89</v>
      </c>
      <c r="U2052" t="s">
        <v>52</v>
      </c>
      <c r="V2052" s="1">
        <v>45501</v>
      </c>
      <c r="W2052">
        <f>Table1[[#This Row],[customer_purchase count]]+1</f>
        <v>11</v>
      </c>
      <c r="X2052">
        <f>Table1[[#This Row],[customer_purchase count]]*Rules!$B$3</f>
        <v>597.64358974358981</v>
      </c>
      <c r="Y2052" t="str">
        <f>IF(Table1[[#This Row],[customer_subscription]]=1,"Subscribed","Not Subscribed")</f>
        <v>Not Subscribed</v>
      </c>
      <c r="Z2052" t="s">
        <v>194</v>
      </c>
    </row>
    <row r="2053" spans="1:26" x14ac:dyDescent="0.25">
      <c r="A2053">
        <v>2052</v>
      </c>
      <c r="B2053">
        <v>65</v>
      </c>
      <c r="C2053" t="s">
        <v>22</v>
      </c>
      <c r="D2053">
        <v>2052</v>
      </c>
      <c r="E2053" t="s">
        <v>116</v>
      </c>
      <c r="F2053" t="s">
        <v>24</v>
      </c>
      <c r="G2053">
        <v>2052</v>
      </c>
      <c r="H2053">
        <v>2661</v>
      </c>
      <c r="I2053">
        <v>94</v>
      </c>
      <c r="J2053" t="s">
        <v>38</v>
      </c>
      <c r="K2053" t="s">
        <v>26</v>
      </c>
      <c r="L2053" t="s">
        <v>97</v>
      </c>
      <c r="M2053" t="s">
        <v>40</v>
      </c>
      <c r="N2053">
        <v>3.8</v>
      </c>
      <c r="O2053">
        <v>0</v>
      </c>
      <c r="P2053" t="s">
        <v>41</v>
      </c>
      <c r="Q2053" t="s">
        <v>155</v>
      </c>
      <c r="R2053" t="s">
        <v>155</v>
      </c>
      <c r="S2053">
        <v>14</v>
      </c>
      <c r="T2053" t="s">
        <v>42</v>
      </c>
      <c r="U2053" t="s">
        <v>91</v>
      </c>
      <c r="V2053" s="1">
        <v>45430</v>
      </c>
      <c r="W2053">
        <f>Table1[[#This Row],[customer_purchase count]]+1</f>
        <v>15</v>
      </c>
      <c r="X2053">
        <f>Table1[[#This Row],[customer_purchase count]]*Rules!$B$3</f>
        <v>836.70102564102569</v>
      </c>
      <c r="Y2053" t="str">
        <f>IF(Table1[[#This Row],[customer_subscription]]=1,"Subscribed","Not Subscribed")</f>
        <v>Not Subscribed</v>
      </c>
      <c r="Z2053" t="s">
        <v>194</v>
      </c>
    </row>
    <row r="2054" spans="1:26" x14ac:dyDescent="0.25">
      <c r="A2054">
        <v>2053</v>
      </c>
      <c r="B2054">
        <v>45</v>
      </c>
      <c r="C2054" t="s">
        <v>22</v>
      </c>
      <c r="D2054">
        <v>2053</v>
      </c>
      <c r="E2054" t="s">
        <v>135</v>
      </c>
      <c r="F2054" t="s">
        <v>70</v>
      </c>
      <c r="G2054">
        <v>2053</v>
      </c>
      <c r="H2054">
        <v>2662</v>
      </c>
      <c r="I2054">
        <v>48</v>
      </c>
      <c r="J2054" t="s">
        <v>85</v>
      </c>
      <c r="K2054" t="s">
        <v>47</v>
      </c>
      <c r="L2054" t="s">
        <v>27</v>
      </c>
      <c r="M2054" t="s">
        <v>28</v>
      </c>
      <c r="N2054">
        <v>3.7</v>
      </c>
      <c r="O2054">
        <v>0</v>
      </c>
      <c r="P2054" t="s">
        <v>73</v>
      </c>
      <c r="Q2054" t="s">
        <v>155</v>
      </c>
      <c r="R2054" t="s">
        <v>155</v>
      </c>
      <c r="S2054">
        <v>30</v>
      </c>
      <c r="T2054" t="s">
        <v>78</v>
      </c>
      <c r="U2054" t="s">
        <v>52</v>
      </c>
      <c r="V2054" s="1">
        <v>45293</v>
      </c>
      <c r="W2054">
        <f>Table1[[#This Row],[customer_purchase count]]+1</f>
        <v>31</v>
      </c>
      <c r="X2054">
        <f>Table1[[#This Row],[customer_purchase count]]*Rules!$B$3</f>
        <v>1792.9307692307693</v>
      </c>
      <c r="Y2054" t="str">
        <f>IF(Table1[[#This Row],[customer_subscription]]=1,"Subscribed","Not Subscribed")</f>
        <v>Not Subscribed</v>
      </c>
    </row>
    <row r="2055" spans="1:26" x14ac:dyDescent="0.25">
      <c r="A2055">
        <v>2054</v>
      </c>
      <c r="B2055">
        <v>19</v>
      </c>
      <c r="C2055" t="s">
        <v>22</v>
      </c>
      <c r="D2055">
        <v>2054</v>
      </c>
      <c r="E2055" t="s">
        <v>92</v>
      </c>
      <c r="F2055" t="s">
        <v>70</v>
      </c>
      <c r="G2055">
        <v>2054</v>
      </c>
      <c r="H2055">
        <v>2663</v>
      </c>
      <c r="I2055">
        <v>60</v>
      </c>
      <c r="J2055" t="s">
        <v>54</v>
      </c>
      <c r="K2055" t="s">
        <v>39</v>
      </c>
      <c r="L2055" t="s">
        <v>76</v>
      </c>
      <c r="M2055" t="s">
        <v>40</v>
      </c>
      <c r="N2055">
        <v>4.5</v>
      </c>
      <c r="O2055">
        <v>0</v>
      </c>
      <c r="P2055" t="s">
        <v>73</v>
      </c>
      <c r="Q2055" t="s">
        <v>155</v>
      </c>
      <c r="R2055" t="s">
        <v>155</v>
      </c>
      <c r="S2055">
        <v>16</v>
      </c>
      <c r="T2055" t="s">
        <v>42</v>
      </c>
      <c r="U2055" t="s">
        <v>32</v>
      </c>
      <c r="V2055" s="1">
        <v>45384</v>
      </c>
      <c r="W2055">
        <f>Table1[[#This Row],[customer_purchase count]]+1</f>
        <v>17</v>
      </c>
      <c r="X2055">
        <f>Table1[[#This Row],[customer_purchase count]]*Rules!$B$3</f>
        <v>956.22974358974363</v>
      </c>
      <c r="Y2055" t="str">
        <f>IF(Table1[[#This Row],[customer_subscription]]=1,"Subscribed","Not Subscribed")</f>
        <v>Not Subscribed</v>
      </c>
      <c r="Z2055" t="s">
        <v>187</v>
      </c>
    </row>
    <row r="2056" spans="1:26" x14ac:dyDescent="0.25">
      <c r="A2056">
        <v>2055</v>
      </c>
      <c r="B2056">
        <v>65</v>
      </c>
      <c r="C2056" t="s">
        <v>22</v>
      </c>
      <c r="D2056">
        <v>2055</v>
      </c>
      <c r="E2056" t="s">
        <v>33</v>
      </c>
      <c r="F2056" t="s">
        <v>24</v>
      </c>
      <c r="G2056">
        <v>2055</v>
      </c>
      <c r="H2056">
        <v>2665</v>
      </c>
      <c r="I2056">
        <v>56</v>
      </c>
      <c r="J2056" t="s">
        <v>130</v>
      </c>
      <c r="K2056" t="s">
        <v>95</v>
      </c>
      <c r="L2056" t="s">
        <v>83</v>
      </c>
      <c r="M2056" t="s">
        <v>40</v>
      </c>
      <c r="N2056">
        <v>2.9</v>
      </c>
      <c r="O2056">
        <v>0</v>
      </c>
      <c r="P2056" t="s">
        <v>29</v>
      </c>
      <c r="Q2056" t="s">
        <v>155</v>
      </c>
      <c r="R2056" t="s">
        <v>155</v>
      </c>
      <c r="S2056">
        <v>14</v>
      </c>
      <c r="T2056" t="s">
        <v>49</v>
      </c>
      <c r="U2056" t="s">
        <v>52</v>
      </c>
      <c r="V2056" s="1">
        <v>45405</v>
      </c>
      <c r="W2056">
        <f>Table1[[#This Row],[customer_purchase count]]+1</f>
        <v>15</v>
      </c>
      <c r="X2056">
        <f>Table1[[#This Row],[customer_purchase count]]*Rules!$B$3</f>
        <v>836.70102564102569</v>
      </c>
      <c r="Y2056" t="str">
        <f>IF(Table1[[#This Row],[customer_subscription]]=1,"Subscribed","Not Subscribed")</f>
        <v>Not Subscribed</v>
      </c>
      <c r="Z2056" t="s">
        <v>194</v>
      </c>
    </row>
    <row r="2057" spans="1:26" x14ac:dyDescent="0.25">
      <c r="A2057">
        <v>2056</v>
      </c>
      <c r="B2057">
        <v>28</v>
      </c>
      <c r="C2057" t="s">
        <v>22</v>
      </c>
      <c r="D2057">
        <v>2056</v>
      </c>
      <c r="E2057" t="s">
        <v>69</v>
      </c>
      <c r="F2057" t="s">
        <v>70</v>
      </c>
      <c r="G2057">
        <v>2056</v>
      </c>
      <c r="H2057">
        <v>2666</v>
      </c>
      <c r="I2057">
        <v>33</v>
      </c>
      <c r="J2057" t="s">
        <v>108</v>
      </c>
      <c r="K2057" t="s">
        <v>47</v>
      </c>
      <c r="L2057" t="s">
        <v>68</v>
      </c>
      <c r="M2057" t="s">
        <v>60</v>
      </c>
      <c r="N2057">
        <v>3.4</v>
      </c>
      <c r="O2057">
        <v>0</v>
      </c>
      <c r="P2057" t="s">
        <v>73</v>
      </c>
      <c r="Q2057" t="s">
        <v>155</v>
      </c>
      <c r="R2057" t="s">
        <v>155</v>
      </c>
      <c r="S2057">
        <v>28</v>
      </c>
      <c r="T2057" t="s">
        <v>78</v>
      </c>
      <c r="U2057" t="s">
        <v>43</v>
      </c>
      <c r="V2057" s="1">
        <v>45544</v>
      </c>
      <c r="W2057">
        <f>Table1[[#This Row],[customer_purchase count]]+1</f>
        <v>29</v>
      </c>
      <c r="X2057">
        <f>Table1[[#This Row],[customer_purchase count]]*Rules!$B$3</f>
        <v>1673.4020512820514</v>
      </c>
      <c r="Y2057" t="str">
        <f>IF(Table1[[#This Row],[customer_subscription]]=1,"Subscribed","Not Subscribed")</f>
        <v>Not Subscribed</v>
      </c>
    </row>
    <row r="2058" spans="1:26" x14ac:dyDescent="0.25">
      <c r="A2058">
        <v>2057</v>
      </c>
      <c r="B2058">
        <v>55</v>
      </c>
      <c r="C2058" t="s">
        <v>22</v>
      </c>
      <c r="D2058">
        <v>2057</v>
      </c>
      <c r="E2058" t="s">
        <v>135</v>
      </c>
      <c r="F2058" t="s">
        <v>70</v>
      </c>
      <c r="G2058">
        <v>2057</v>
      </c>
      <c r="H2058">
        <v>2667</v>
      </c>
      <c r="I2058">
        <v>46</v>
      </c>
      <c r="J2058" t="s">
        <v>151</v>
      </c>
      <c r="K2058" t="s">
        <v>26</v>
      </c>
      <c r="L2058" t="s">
        <v>147</v>
      </c>
      <c r="M2058" t="s">
        <v>40</v>
      </c>
      <c r="N2058">
        <v>4.4000000000000004</v>
      </c>
      <c r="O2058">
        <v>0</v>
      </c>
      <c r="P2058" t="s">
        <v>73</v>
      </c>
      <c r="Q2058" t="s">
        <v>155</v>
      </c>
      <c r="R2058" t="s">
        <v>155</v>
      </c>
      <c r="S2058">
        <v>29</v>
      </c>
      <c r="T2058" t="s">
        <v>49</v>
      </c>
      <c r="U2058" t="s">
        <v>91</v>
      </c>
      <c r="V2058" s="1">
        <v>45426</v>
      </c>
      <c r="W2058">
        <f>Table1[[#This Row],[customer_purchase count]]+1</f>
        <v>30</v>
      </c>
      <c r="X2058">
        <f>Table1[[#This Row],[customer_purchase count]]*Rules!$B$3</f>
        <v>1733.1664102564102</v>
      </c>
      <c r="Y2058" t="str">
        <f>IF(Table1[[#This Row],[customer_subscription]]=1,"Subscribed","Not Subscribed")</f>
        <v>Not Subscribed</v>
      </c>
    </row>
    <row r="2059" spans="1:26" x14ac:dyDescent="0.25">
      <c r="A2059">
        <v>2058</v>
      </c>
      <c r="B2059">
        <v>66</v>
      </c>
      <c r="C2059" t="s">
        <v>22</v>
      </c>
      <c r="D2059">
        <v>2058</v>
      </c>
      <c r="E2059" t="s">
        <v>128</v>
      </c>
      <c r="F2059" t="s">
        <v>24</v>
      </c>
      <c r="G2059">
        <v>2058</v>
      </c>
      <c r="H2059">
        <v>2668</v>
      </c>
      <c r="I2059">
        <v>37</v>
      </c>
      <c r="J2059" t="s">
        <v>150</v>
      </c>
      <c r="K2059" t="s">
        <v>26</v>
      </c>
      <c r="L2059" t="s">
        <v>137</v>
      </c>
      <c r="M2059" t="s">
        <v>40</v>
      </c>
      <c r="N2059">
        <v>4.2</v>
      </c>
      <c r="O2059">
        <v>0</v>
      </c>
      <c r="P2059" t="s">
        <v>57</v>
      </c>
      <c r="Q2059" t="s">
        <v>155</v>
      </c>
      <c r="R2059" t="s">
        <v>155</v>
      </c>
      <c r="S2059">
        <v>5</v>
      </c>
      <c r="T2059" t="s">
        <v>49</v>
      </c>
      <c r="U2059" t="s">
        <v>100</v>
      </c>
      <c r="V2059" s="1">
        <v>45388</v>
      </c>
      <c r="W2059">
        <f>Table1[[#This Row],[customer_purchase count]]+1</f>
        <v>6</v>
      </c>
      <c r="X2059">
        <f>Table1[[#This Row],[customer_purchase count]]*Rules!$B$3</f>
        <v>298.82179487179491</v>
      </c>
      <c r="Y2059" t="str">
        <f>IF(Table1[[#This Row],[customer_subscription]]=1,"Subscribed","Not Subscribed")</f>
        <v>Not Subscribed</v>
      </c>
      <c r="Z2059" t="s">
        <v>194</v>
      </c>
    </row>
    <row r="2060" spans="1:26" x14ac:dyDescent="0.25">
      <c r="A2060">
        <v>2059</v>
      </c>
      <c r="B2060">
        <v>29</v>
      </c>
      <c r="C2060" t="s">
        <v>22</v>
      </c>
      <c r="D2060">
        <v>2059</v>
      </c>
      <c r="E2060" t="s">
        <v>58</v>
      </c>
      <c r="F2060" t="s">
        <v>24</v>
      </c>
      <c r="G2060">
        <v>2059</v>
      </c>
      <c r="H2060">
        <v>2669</v>
      </c>
      <c r="I2060">
        <v>98</v>
      </c>
      <c r="J2060" t="s">
        <v>152</v>
      </c>
      <c r="K2060" t="s">
        <v>47</v>
      </c>
      <c r="L2060" t="s">
        <v>113</v>
      </c>
      <c r="M2060" t="s">
        <v>28</v>
      </c>
      <c r="N2060">
        <v>3.3</v>
      </c>
      <c r="O2060">
        <v>0</v>
      </c>
      <c r="P2060" t="s">
        <v>77</v>
      </c>
      <c r="Q2060" t="s">
        <v>155</v>
      </c>
      <c r="R2060" t="s">
        <v>155</v>
      </c>
      <c r="S2060">
        <v>17</v>
      </c>
      <c r="T2060" t="s">
        <v>78</v>
      </c>
      <c r="U2060" t="s">
        <v>61</v>
      </c>
      <c r="V2060" s="1">
        <v>45347</v>
      </c>
      <c r="W2060">
        <f>Table1[[#This Row],[customer_purchase count]]+1</f>
        <v>18</v>
      </c>
      <c r="X2060">
        <f>Table1[[#This Row],[customer_purchase count]]*Rules!$B$3</f>
        <v>1015.9941025641026</v>
      </c>
      <c r="Y2060" t="str">
        <f>IF(Table1[[#This Row],[customer_subscription]]=1,"Subscribed","Not Subscribed")</f>
        <v>Not Subscribed</v>
      </c>
      <c r="Z2060" t="s">
        <v>187</v>
      </c>
    </row>
    <row r="2061" spans="1:26" x14ac:dyDescent="0.25">
      <c r="A2061">
        <v>2060</v>
      </c>
      <c r="B2061">
        <v>56</v>
      </c>
      <c r="C2061" t="s">
        <v>22</v>
      </c>
      <c r="D2061">
        <v>2060</v>
      </c>
      <c r="E2061" t="s">
        <v>62</v>
      </c>
      <c r="F2061" t="s">
        <v>24</v>
      </c>
      <c r="G2061">
        <v>2060</v>
      </c>
      <c r="H2061">
        <v>2671</v>
      </c>
      <c r="I2061">
        <v>50</v>
      </c>
      <c r="J2061" t="s">
        <v>102</v>
      </c>
      <c r="K2061" t="s">
        <v>95</v>
      </c>
      <c r="L2061" t="s">
        <v>121</v>
      </c>
      <c r="M2061" t="s">
        <v>40</v>
      </c>
      <c r="N2061">
        <v>3.7</v>
      </c>
      <c r="O2061">
        <v>0</v>
      </c>
      <c r="P2061" t="s">
        <v>29</v>
      </c>
      <c r="Q2061" t="s">
        <v>155</v>
      </c>
      <c r="R2061" t="s">
        <v>155</v>
      </c>
      <c r="S2061">
        <v>50</v>
      </c>
      <c r="T2061" t="s">
        <v>49</v>
      </c>
      <c r="U2061" t="s">
        <v>43</v>
      </c>
      <c r="V2061" s="1">
        <v>45402</v>
      </c>
      <c r="W2061">
        <f>Table1[[#This Row],[customer_purchase count]]+1</f>
        <v>51</v>
      </c>
      <c r="X2061">
        <f>Table1[[#This Row],[customer_purchase count]]*Rules!$B$3</f>
        <v>2988.2179487179487</v>
      </c>
      <c r="Y2061" t="str">
        <f>IF(Table1[[#This Row],[customer_subscription]]=1,"Subscribed","Not Subscribed")</f>
        <v>Not Subscribed</v>
      </c>
    </row>
    <row r="2062" spans="1:26" x14ac:dyDescent="0.25">
      <c r="A2062">
        <v>2061</v>
      </c>
      <c r="B2062">
        <v>21</v>
      </c>
      <c r="C2062" t="s">
        <v>22</v>
      </c>
      <c r="D2062">
        <v>2061</v>
      </c>
      <c r="E2062" t="s">
        <v>136</v>
      </c>
      <c r="F2062" t="s">
        <v>70</v>
      </c>
      <c r="G2062">
        <v>2061</v>
      </c>
      <c r="H2062">
        <v>2672</v>
      </c>
      <c r="I2062">
        <v>63</v>
      </c>
      <c r="J2062" t="s">
        <v>153</v>
      </c>
      <c r="K2062" t="s">
        <v>47</v>
      </c>
      <c r="L2062" t="s">
        <v>147</v>
      </c>
      <c r="M2062" t="s">
        <v>60</v>
      </c>
      <c r="N2062">
        <v>3.2</v>
      </c>
      <c r="O2062">
        <v>0</v>
      </c>
      <c r="P2062" t="s">
        <v>48</v>
      </c>
      <c r="Q2062" t="s">
        <v>155</v>
      </c>
      <c r="R2062" t="s">
        <v>155</v>
      </c>
      <c r="S2062">
        <v>23</v>
      </c>
      <c r="T2062" t="s">
        <v>78</v>
      </c>
      <c r="U2062" t="s">
        <v>61</v>
      </c>
      <c r="V2062" s="1">
        <v>45550</v>
      </c>
      <c r="W2062">
        <f>Table1[[#This Row],[customer_purchase count]]+1</f>
        <v>24</v>
      </c>
      <c r="X2062">
        <f>Table1[[#This Row],[customer_purchase count]]*Rules!$B$3</f>
        <v>1374.5802564102564</v>
      </c>
      <c r="Y2062" t="str">
        <f>IF(Table1[[#This Row],[customer_subscription]]=1,"Subscribed","Not Subscribed")</f>
        <v>Not Subscribed</v>
      </c>
    </row>
    <row r="2063" spans="1:26" x14ac:dyDescent="0.25">
      <c r="A2063">
        <v>2062</v>
      </c>
      <c r="B2063">
        <v>32</v>
      </c>
      <c r="C2063" t="s">
        <v>22</v>
      </c>
      <c r="D2063">
        <v>2062</v>
      </c>
      <c r="E2063" t="s">
        <v>33</v>
      </c>
      <c r="F2063" t="s">
        <v>24</v>
      </c>
      <c r="G2063">
        <v>2062</v>
      </c>
      <c r="H2063">
        <v>2673</v>
      </c>
      <c r="I2063">
        <v>70</v>
      </c>
      <c r="J2063" t="s">
        <v>154</v>
      </c>
      <c r="K2063" t="s">
        <v>39</v>
      </c>
      <c r="L2063" t="s">
        <v>139</v>
      </c>
      <c r="M2063" t="s">
        <v>56</v>
      </c>
      <c r="N2063">
        <v>2.6</v>
      </c>
      <c r="O2063">
        <v>0</v>
      </c>
      <c r="P2063" t="s">
        <v>77</v>
      </c>
      <c r="Q2063" t="s">
        <v>155</v>
      </c>
      <c r="R2063" t="s">
        <v>155</v>
      </c>
      <c r="S2063">
        <v>22</v>
      </c>
      <c r="T2063" t="s">
        <v>89</v>
      </c>
      <c r="U2063" t="s">
        <v>52</v>
      </c>
      <c r="V2063" s="1">
        <v>45515</v>
      </c>
      <c r="W2063">
        <f>Table1[[#This Row],[customer_purchase count]]+1</f>
        <v>23</v>
      </c>
      <c r="X2063">
        <f>Table1[[#This Row],[customer_purchase count]]*Rules!$B$3</f>
        <v>1314.8158974358976</v>
      </c>
      <c r="Y2063" t="str">
        <f>IF(Table1[[#This Row],[customer_subscription]]=1,"Subscribed","Not Subscribed")</f>
        <v>Not Subscribed</v>
      </c>
    </row>
    <row r="2064" spans="1:26" x14ac:dyDescent="0.25">
      <c r="A2064">
        <v>2063</v>
      </c>
      <c r="B2064">
        <v>54</v>
      </c>
      <c r="C2064" t="s">
        <v>22</v>
      </c>
      <c r="D2064">
        <v>2063</v>
      </c>
      <c r="E2064" t="s">
        <v>65</v>
      </c>
      <c r="F2064" t="s">
        <v>66</v>
      </c>
      <c r="G2064">
        <v>2063</v>
      </c>
      <c r="H2064">
        <v>2674</v>
      </c>
      <c r="I2064">
        <v>63</v>
      </c>
      <c r="J2064" t="s">
        <v>134</v>
      </c>
      <c r="K2064" t="s">
        <v>26</v>
      </c>
      <c r="L2064" t="s">
        <v>68</v>
      </c>
      <c r="M2064" t="s">
        <v>60</v>
      </c>
      <c r="N2064">
        <v>2.8</v>
      </c>
      <c r="O2064">
        <v>0</v>
      </c>
      <c r="P2064" t="s">
        <v>57</v>
      </c>
      <c r="Q2064" t="s">
        <v>155</v>
      </c>
      <c r="R2064" t="s">
        <v>155</v>
      </c>
      <c r="S2064">
        <v>15</v>
      </c>
      <c r="T2064" t="s">
        <v>36</v>
      </c>
      <c r="U2064" t="s">
        <v>61</v>
      </c>
      <c r="V2064" s="1">
        <v>45590</v>
      </c>
      <c r="W2064">
        <f>Table1[[#This Row],[customer_purchase count]]+1</f>
        <v>16</v>
      </c>
      <c r="X2064">
        <f>Table1[[#This Row],[customer_purchase count]]*Rules!$B$3</f>
        <v>896.46538461538466</v>
      </c>
      <c r="Y2064" t="str">
        <f>IF(Table1[[#This Row],[customer_subscription]]=1,"Subscribed","Not Subscribed")</f>
        <v>Not Subscribed</v>
      </c>
      <c r="Z2064" t="s">
        <v>194</v>
      </c>
    </row>
    <row r="2065" spans="1:26" x14ac:dyDescent="0.25">
      <c r="A2065">
        <v>2064</v>
      </c>
      <c r="B2065">
        <v>61</v>
      </c>
      <c r="C2065" t="s">
        <v>22</v>
      </c>
      <c r="D2065">
        <v>2064</v>
      </c>
      <c r="E2065" t="s">
        <v>62</v>
      </c>
      <c r="F2065" t="s">
        <v>24</v>
      </c>
      <c r="G2065">
        <v>2064</v>
      </c>
      <c r="H2065">
        <v>2675</v>
      </c>
      <c r="I2065">
        <v>86</v>
      </c>
      <c r="J2065" t="s">
        <v>119</v>
      </c>
      <c r="K2065" t="s">
        <v>47</v>
      </c>
      <c r="L2065" t="s">
        <v>112</v>
      </c>
      <c r="M2065" t="s">
        <v>60</v>
      </c>
      <c r="N2065">
        <v>2.9</v>
      </c>
      <c r="O2065">
        <v>0</v>
      </c>
      <c r="P2065" t="s">
        <v>57</v>
      </c>
      <c r="Q2065" t="s">
        <v>155</v>
      </c>
      <c r="R2065" t="s">
        <v>155</v>
      </c>
      <c r="S2065">
        <v>32</v>
      </c>
      <c r="T2065" t="s">
        <v>36</v>
      </c>
      <c r="U2065" t="s">
        <v>91</v>
      </c>
      <c r="V2065" s="1">
        <v>45618</v>
      </c>
      <c r="W2065">
        <f>Table1[[#This Row],[customer_purchase count]]+1</f>
        <v>33</v>
      </c>
      <c r="X2065">
        <f>Table1[[#This Row],[customer_purchase count]]*Rules!$B$3</f>
        <v>1912.4594871794873</v>
      </c>
      <c r="Y2065" t="str">
        <f>IF(Table1[[#This Row],[customer_subscription]]=1,"Subscribed","Not Subscribed")</f>
        <v>Not Subscribed</v>
      </c>
    </row>
    <row r="2066" spans="1:26" x14ac:dyDescent="0.25">
      <c r="A2066">
        <v>2065</v>
      </c>
      <c r="B2066">
        <v>31</v>
      </c>
      <c r="C2066" t="s">
        <v>22</v>
      </c>
      <c r="D2066">
        <v>2065</v>
      </c>
      <c r="E2066" t="s">
        <v>74</v>
      </c>
      <c r="F2066" t="s">
        <v>45</v>
      </c>
      <c r="G2066">
        <v>2065</v>
      </c>
      <c r="H2066">
        <v>2677</v>
      </c>
      <c r="I2066">
        <v>99</v>
      </c>
      <c r="J2066" t="s">
        <v>75</v>
      </c>
      <c r="K2066" t="s">
        <v>47</v>
      </c>
      <c r="L2066" t="s">
        <v>99</v>
      </c>
      <c r="M2066" t="s">
        <v>56</v>
      </c>
      <c r="N2066">
        <v>4</v>
      </c>
      <c r="O2066">
        <v>0</v>
      </c>
      <c r="P2066" t="s">
        <v>73</v>
      </c>
      <c r="Q2066" t="s">
        <v>155</v>
      </c>
      <c r="R2066" t="s">
        <v>155</v>
      </c>
      <c r="S2066">
        <v>5</v>
      </c>
      <c r="T2066" t="s">
        <v>78</v>
      </c>
      <c r="U2066" t="s">
        <v>91</v>
      </c>
      <c r="V2066" s="1">
        <v>45512</v>
      </c>
      <c r="W2066">
        <f>Table1[[#This Row],[customer_purchase count]]+1</f>
        <v>6</v>
      </c>
      <c r="X2066">
        <f>Table1[[#This Row],[customer_purchase count]]*Rules!$B$3</f>
        <v>298.82179487179491</v>
      </c>
      <c r="Y2066" t="str">
        <f>IF(Table1[[#This Row],[customer_subscription]]=1,"Subscribed","Not Subscribed")</f>
        <v>Not Subscribed</v>
      </c>
      <c r="Z2066" t="s">
        <v>194</v>
      </c>
    </row>
    <row r="2067" spans="1:26" x14ac:dyDescent="0.25">
      <c r="A2067">
        <v>2066</v>
      </c>
      <c r="B2067">
        <v>27</v>
      </c>
      <c r="C2067" t="s">
        <v>22</v>
      </c>
      <c r="D2067">
        <v>2066</v>
      </c>
      <c r="E2067" t="s">
        <v>53</v>
      </c>
      <c r="F2067" t="s">
        <v>45</v>
      </c>
      <c r="G2067">
        <v>2066</v>
      </c>
      <c r="H2067">
        <v>2678</v>
      </c>
      <c r="I2067">
        <v>40</v>
      </c>
      <c r="J2067" t="s">
        <v>50</v>
      </c>
      <c r="K2067" t="s">
        <v>47</v>
      </c>
      <c r="L2067" t="s">
        <v>147</v>
      </c>
      <c r="M2067" t="s">
        <v>40</v>
      </c>
      <c r="N2067">
        <v>2.9</v>
      </c>
      <c r="O2067">
        <v>0</v>
      </c>
      <c r="P2067" t="s">
        <v>41</v>
      </c>
      <c r="Q2067" t="s">
        <v>155</v>
      </c>
      <c r="R2067" t="s">
        <v>155</v>
      </c>
      <c r="S2067">
        <v>6</v>
      </c>
      <c r="T2067" t="s">
        <v>78</v>
      </c>
      <c r="U2067" t="s">
        <v>79</v>
      </c>
      <c r="V2067" s="1">
        <v>45369</v>
      </c>
      <c r="W2067">
        <f>Table1[[#This Row],[customer_purchase count]]+1</f>
        <v>7</v>
      </c>
      <c r="X2067">
        <f>Table1[[#This Row],[customer_purchase count]]*Rules!$B$3</f>
        <v>358.58615384615388</v>
      </c>
      <c r="Y2067" t="str">
        <f>IF(Table1[[#This Row],[customer_subscription]]=1,"Subscribed","Not Subscribed")</f>
        <v>Not Subscribed</v>
      </c>
      <c r="Z2067" t="s">
        <v>194</v>
      </c>
    </row>
    <row r="2068" spans="1:26" x14ac:dyDescent="0.25">
      <c r="A2068">
        <v>2067</v>
      </c>
      <c r="B2068">
        <v>64</v>
      </c>
      <c r="C2068" t="s">
        <v>22</v>
      </c>
      <c r="D2068">
        <v>2067</v>
      </c>
      <c r="E2068" t="s">
        <v>53</v>
      </c>
      <c r="F2068" t="s">
        <v>45</v>
      </c>
      <c r="G2068">
        <v>2067</v>
      </c>
      <c r="H2068">
        <v>2679</v>
      </c>
      <c r="I2068">
        <v>92</v>
      </c>
      <c r="J2068" t="s">
        <v>118</v>
      </c>
      <c r="K2068" t="s">
        <v>47</v>
      </c>
      <c r="L2068" t="s">
        <v>81</v>
      </c>
      <c r="M2068" t="s">
        <v>60</v>
      </c>
      <c r="N2068">
        <v>4.7</v>
      </c>
      <c r="O2068">
        <v>0</v>
      </c>
      <c r="P2068" t="s">
        <v>77</v>
      </c>
      <c r="Q2068" t="s">
        <v>155</v>
      </c>
      <c r="R2068" t="s">
        <v>155</v>
      </c>
      <c r="S2068">
        <v>44</v>
      </c>
      <c r="T2068" t="s">
        <v>89</v>
      </c>
      <c r="U2068" t="s">
        <v>32</v>
      </c>
      <c r="V2068" s="1">
        <v>45575</v>
      </c>
      <c r="W2068">
        <f>Table1[[#This Row],[customer_purchase count]]+1</f>
        <v>45</v>
      </c>
      <c r="X2068">
        <f>Table1[[#This Row],[customer_purchase count]]*Rules!$B$3</f>
        <v>2629.6317948717951</v>
      </c>
      <c r="Y2068" t="str">
        <f>IF(Table1[[#This Row],[customer_subscription]]=1,"Subscribed","Not Subscribed")</f>
        <v>Not Subscribed</v>
      </c>
    </row>
    <row r="2069" spans="1:26" x14ac:dyDescent="0.25">
      <c r="A2069">
        <v>2068</v>
      </c>
      <c r="B2069">
        <v>60</v>
      </c>
      <c r="C2069" t="s">
        <v>22</v>
      </c>
      <c r="D2069">
        <v>2068</v>
      </c>
      <c r="E2069" t="s">
        <v>98</v>
      </c>
      <c r="F2069" t="s">
        <v>24</v>
      </c>
      <c r="G2069">
        <v>2068</v>
      </c>
      <c r="H2069">
        <v>2680</v>
      </c>
      <c r="I2069">
        <v>21</v>
      </c>
      <c r="J2069" t="s">
        <v>131</v>
      </c>
      <c r="K2069" t="s">
        <v>95</v>
      </c>
      <c r="L2069" t="s">
        <v>121</v>
      </c>
      <c r="M2069" t="s">
        <v>60</v>
      </c>
      <c r="N2069">
        <v>3.1</v>
      </c>
      <c r="O2069">
        <v>0</v>
      </c>
      <c r="P2069" t="s">
        <v>73</v>
      </c>
      <c r="Q2069" t="s">
        <v>155</v>
      </c>
      <c r="R2069" t="s">
        <v>155</v>
      </c>
      <c r="S2069">
        <v>23</v>
      </c>
      <c r="T2069" t="s">
        <v>36</v>
      </c>
      <c r="U2069" t="s">
        <v>32</v>
      </c>
      <c r="V2069" s="1">
        <v>45557</v>
      </c>
      <c r="W2069">
        <f>Table1[[#This Row],[customer_purchase count]]+1</f>
        <v>24</v>
      </c>
      <c r="X2069">
        <f>Table1[[#This Row],[customer_purchase count]]*Rules!$B$3</f>
        <v>1374.5802564102564</v>
      </c>
      <c r="Y2069" t="str">
        <f>IF(Table1[[#This Row],[customer_subscription]]=1,"Subscribed","Not Subscribed")</f>
        <v>Not Subscribed</v>
      </c>
    </row>
    <row r="2070" spans="1:26" x14ac:dyDescent="0.25">
      <c r="A2070">
        <v>2069</v>
      </c>
      <c r="B2070">
        <v>70</v>
      </c>
      <c r="C2070" t="s">
        <v>22</v>
      </c>
      <c r="D2070">
        <v>2069</v>
      </c>
      <c r="E2070" t="s">
        <v>109</v>
      </c>
      <c r="F2070" t="s">
        <v>70</v>
      </c>
      <c r="G2070">
        <v>2069</v>
      </c>
      <c r="H2070">
        <v>2681</v>
      </c>
      <c r="I2070">
        <v>81</v>
      </c>
      <c r="J2070" t="s">
        <v>132</v>
      </c>
      <c r="K2070" t="s">
        <v>95</v>
      </c>
      <c r="L2070" t="s">
        <v>97</v>
      </c>
      <c r="M2070" t="s">
        <v>56</v>
      </c>
      <c r="N2070">
        <v>3.9</v>
      </c>
      <c r="O2070">
        <v>0</v>
      </c>
      <c r="P2070" t="s">
        <v>77</v>
      </c>
      <c r="Q2070" t="s">
        <v>155</v>
      </c>
      <c r="R2070" t="s">
        <v>155</v>
      </c>
      <c r="S2070">
        <v>44</v>
      </c>
      <c r="T2070" t="s">
        <v>31</v>
      </c>
      <c r="U2070" t="s">
        <v>91</v>
      </c>
      <c r="V2070" s="1">
        <v>45459</v>
      </c>
      <c r="W2070">
        <f>Table1[[#This Row],[customer_purchase count]]+1</f>
        <v>45</v>
      </c>
      <c r="X2070">
        <f>Table1[[#This Row],[customer_purchase count]]*Rules!$B$3</f>
        <v>2629.6317948717951</v>
      </c>
      <c r="Y2070" t="str">
        <f>IF(Table1[[#This Row],[customer_subscription]]=1,"Subscribed","Not Subscribed")</f>
        <v>Not Subscribed</v>
      </c>
    </row>
    <row r="2071" spans="1:26" x14ac:dyDescent="0.25">
      <c r="A2071">
        <v>2070</v>
      </c>
      <c r="B2071">
        <v>36</v>
      </c>
      <c r="C2071" t="s">
        <v>22</v>
      </c>
      <c r="D2071">
        <v>2070</v>
      </c>
      <c r="E2071" t="s">
        <v>116</v>
      </c>
      <c r="F2071" t="s">
        <v>24</v>
      </c>
      <c r="G2071">
        <v>2070</v>
      </c>
      <c r="H2071">
        <v>2683</v>
      </c>
      <c r="I2071">
        <v>82</v>
      </c>
      <c r="J2071" t="s">
        <v>108</v>
      </c>
      <c r="K2071" t="s">
        <v>47</v>
      </c>
      <c r="L2071" t="s">
        <v>129</v>
      </c>
      <c r="M2071" t="s">
        <v>60</v>
      </c>
      <c r="N2071">
        <v>3.4</v>
      </c>
      <c r="O2071">
        <v>0</v>
      </c>
      <c r="P2071" t="s">
        <v>41</v>
      </c>
      <c r="Q2071" t="s">
        <v>155</v>
      </c>
      <c r="R2071" t="s">
        <v>155</v>
      </c>
      <c r="S2071">
        <v>3</v>
      </c>
      <c r="T2071" t="s">
        <v>89</v>
      </c>
      <c r="U2071" t="s">
        <v>61</v>
      </c>
      <c r="V2071" s="1">
        <v>45609</v>
      </c>
      <c r="W2071">
        <f>Table1[[#This Row],[customer_purchase count]]+1</f>
        <v>4</v>
      </c>
      <c r="X2071">
        <f>Table1[[#This Row],[customer_purchase count]]*Rules!$B$3</f>
        <v>179.29307692307694</v>
      </c>
      <c r="Y2071" t="str">
        <f>IF(Table1[[#This Row],[customer_subscription]]=1,"Subscribed","Not Subscribed")</f>
        <v>Not Subscribed</v>
      </c>
      <c r="Z2071" t="s">
        <v>194</v>
      </c>
    </row>
    <row r="2072" spans="1:26" x14ac:dyDescent="0.25">
      <c r="A2072">
        <v>2071</v>
      </c>
      <c r="B2072">
        <v>56</v>
      </c>
      <c r="C2072" t="s">
        <v>22</v>
      </c>
      <c r="D2072">
        <v>2071</v>
      </c>
      <c r="E2072" t="s">
        <v>109</v>
      </c>
      <c r="F2072" t="s">
        <v>70</v>
      </c>
      <c r="G2072">
        <v>2071</v>
      </c>
      <c r="H2072">
        <v>2684</v>
      </c>
      <c r="I2072">
        <v>88</v>
      </c>
      <c r="J2072" t="s">
        <v>148</v>
      </c>
      <c r="K2072" t="s">
        <v>95</v>
      </c>
      <c r="L2072" t="s">
        <v>111</v>
      </c>
      <c r="M2072" t="s">
        <v>40</v>
      </c>
      <c r="N2072">
        <v>3.1</v>
      </c>
      <c r="O2072">
        <v>0</v>
      </c>
      <c r="P2072" t="s">
        <v>29</v>
      </c>
      <c r="Q2072" t="s">
        <v>155</v>
      </c>
      <c r="R2072" t="s">
        <v>155</v>
      </c>
      <c r="S2072">
        <v>14</v>
      </c>
      <c r="T2072" t="s">
        <v>36</v>
      </c>
      <c r="U2072" t="s">
        <v>91</v>
      </c>
      <c r="V2072" s="1">
        <v>45398</v>
      </c>
      <c r="W2072">
        <f>Table1[[#This Row],[customer_purchase count]]+1</f>
        <v>15</v>
      </c>
      <c r="X2072">
        <f>Table1[[#This Row],[customer_purchase count]]*Rules!$B$3</f>
        <v>836.70102564102569</v>
      </c>
      <c r="Y2072" t="str">
        <f>IF(Table1[[#This Row],[customer_subscription]]=1,"Subscribed","Not Subscribed")</f>
        <v>Not Subscribed</v>
      </c>
      <c r="Z2072" t="s">
        <v>194</v>
      </c>
    </row>
    <row r="2073" spans="1:26" x14ac:dyDescent="0.25">
      <c r="A2073">
        <v>2072</v>
      </c>
      <c r="B2073">
        <v>69</v>
      </c>
      <c r="C2073" t="s">
        <v>22</v>
      </c>
      <c r="D2073">
        <v>2072</v>
      </c>
      <c r="E2073" t="s">
        <v>105</v>
      </c>
      <c r="F2073" t="s">
        <v>66</v>
      </c>
      <c r="G2073">
        <v>2072</v>
      </c>
      <c r="H2073">
        <v>2685</v>
      </c>
      <c r="I2073">
        <v>100</v>
      </c>
      <c r="J2073" t="s">
        <v>134</v>
      </c>
      <c r="K2073" t="s">
        <v>39</v>
      </c>
      <c r="L2073" t="s">
        <v>137</v>
      </c>
      <c r="M2073" t="s">
        <v>60</v>
      </c>
      <c r="N2073">
        <v>4.8</v>
      </c>
      <c r="O2073">
        <v>0</v>
      </c>
      <c r="P2073" t="s">
        <v>77</v>
      </c>
      <c r="Q2073" t="s">
        <v>155</v>
      </c>
      <c r="R2073" t="s">
        <v>155</v>
      </c>
      <c r="S2073">
        <v>37</v>
      </c>
      <c r="T2073" t="s">
        <v>49</v>
      </c>
      <c r="U2073" t="s">
        <v>61</v>
      </c>
      <c r="V2073" s="1">
        <v>45615</v>
      </c>
      <c r="W2073">
        <f>Table1[[#This Row],[customer_purchase count]]+1</f>
        <v>38</v>
      </c>
      <c r="X2073">
        <f>Table1[[#This Row],[customer_purchase count]]*Rules!$B$3</f>
        <v>2211.2812820512822</v>
      </c>
      <c r="Y2073" t="str">
        <f>IF(Table1[[#This Row],[customer_subscription]]=1,"Subscribed","Not Subscribed")</f>
        <v>Not Subscribed</v>
      </c>
    </row>
    <row r="2074" spans="1:26" x14ac:dyDescent="0.25">
      <c r="A2074">
        <v>2073</v>
      </c>
      <c r="B2074">
        <v>39</v>
      </c>
      <c r="C2074" t="s">
        <v>22</v>
      </c>
      <c r="D2074">
        <v>2073</v>
      </c>
      <c r="E2074" t="s">
        <v>135</v>
      </c>
      <c r="F2074" t="s">
        <v>70</v>
      </c>
      <c r="G2074">
        <v>2073</v>
      </c>
      <c r="H2074">
        <v>2686</v>
      </c>
      <c r="I2074">
        <v>66</v>
      </c>
      <c r="J2074" t="s">
        <v>38</v>
      </c>
      <c r="K2074" t="s">
        <v>47</v>
      </c>
      <c r="L2074" t="s">
        <v>121</v>
      </c>
      <c r="M2074" t="s">
        <v>28</v>
      </c>
      <c r="N2074">
        <v>3.9</v>
      </c>
      <c r="O2074">
        <v>0</v>
      </c>
      <c r="P2074" t="s">
        <v>48</v>
      </c>
      <c r="Q2074" t="s">
        <v>155</v>
      </c>
      <c r="R2074" t="s">
        <v>155</v>
      </c>
      <c r="S2074">
        <v>22</v>
      </c>
      <c r="T2074" t="s">
        <v>78</v>
      </c>
      <c r="U2074" t="s">
        <v>43</v>
      </c>
      <c r="V2074" s="1">
        <v>45340</v>
      </c>
      <c r="W2074">
        <f>Table1[[#This Row],[customer_purchase count]]+1</f>
        <v>23</v>
      </c>
      <c r="X2074">
        <f>Table1[[#This Row],[customer_purchase count]]*Rules!$B$3</f>
        <v>1314.8158974358976</v>
      </c>
      <c r="Y2074" t="str">
        <f>IF(Table1[[#This Row],[customer_subscription]]=1,"Subscribed","Not Subscribed")</f>
        <v>Not Subscribed</v>
      </c>
    </row>
    <row r="2075" spans="1:26" x14ac:dyDescent="0.25">
      <c r="A2075">
        <v>2074</v>
      </c>
      <c r="B2075">
        <v>38</v>
      </c>
      <c r="C2075" t="s">
        <v>22</v>
      </c>
      <c r="D2075">
        <v>2074</v>
      </c>
      <c r="E2075" t="s">
        <v>136</v>
      </c>
      <c r="F2075" t="s">
        <v>70</v>
      </c>
      <c r="G2075">
        <v>2074</v>
      </c>
      <c r="H2075">
        <v>2687</v>
      </c>
      <c r="I2075">
        <v>25</v>
      </c>
      <c r="J2075" t="s">
        <v>108</v>
      </c>
      <c r="K2075" t="s">
        <v>39</v>
      </c>
      <c r="L2075" t="s">
        <v>99</v>
      </c>
      <c r="M2075" t="s">
        <v>28</v>
      </c>
      <c r="N2075">
        <v>3.5</v>
      </c>
      <c r="O2075">
        <v>0</v>
      </c>
      <c r="P2075" t="s">
        <v>48</v>
      </c>
      <c r="Q2075" t="s">
        <v>155</v>
      </c>
      <c r="R2075" t="s">
        <v>155</v>
      </c>
      <c r="S2075">
        <v>2</v>
      </c>
      <c r="T2075" t="s">
        <v>49</v>
      </c>
      <c r="U2075" t="s">
        <v>100</v>
      </c>
      <c r="V2075" s="1">
        <v>45330</v>
      </c>
      <c r="W2075">
        <f>Table1[[#This Row],[customer_purchase count]]+1</f>
        <v>3</v>
      </c>
      <c r="X2075">
        <f>Table1[[#This Row],[customer_purchase count]]*Rules!$B$3</f>
        <v>119.52871794871795</v>
      </c>
      <c r="Y2075" t="str">
        <f>IF(Table1[[#This Row],[customer_subscription]]=1,"Subscribed","Not Subscribed")</f>
        <v>Not Subscribed</v>
      </c>
      <c r="Z2075" t="s">
        <v>194</v>
      </c>
    </row>
    <row r="2076" spans="1:26" x14ac:dyDescent="0.25">
      <c r="A2076">
        <v>2075</v>
      </c>
      <c r="B2076">
        <v>36</v>
      </c>
      <c r="C2076" t="s">
        <v>22</v>
      </c>
      <c r="D2076">
        <v>2075</v>
      </c>
      <c r="E2076" t="s">
        <v>122</v>
      </c>
      <c r="F2076" t="s">
        <v>70</v>
      </c>
      <c r="G2076">
        <v>2075</v>
      </c>
      <c r="H2076">
        <v>2689</v>
      </c>
      <c r="I2076">
        <v>53</v>
      </c>
      <c r="J2076" t="s">
        <v>106</v>
      </c>
      <c r="K2076" t="s">
        <v>47</v>
      </c>
      <c r="L2076" t="s">
        <v>55</v>
      </c>
      <c r="M2076" t="s">
        <v>56</v>
      </c>
      <c r="N2076">
        <v>3.1</v>
      </c>
      <c r="O2076">
        <v>0</v>
      </c>
      <c r="P2076" t="s">
        <v>41</v>
      </c>
      <c r="Q2076" t="s">
        <v>155</v>
      </c>
      <c r="R2076" t="s">
        <v>155</v>
      </c>
      <c r="S2076">
        <v>44</v>
      </c>
      <c r="T2076" t="s">
        <v>89</v>
      </c>
      <c r="U2076" t="s">
        <v>32</v>
      </c>
      <c r="V2076" s="1">
        <v>45512</v>
      </c>
      <c r="W2076">
        <f>Table1[[#This Row],[customer_purchase count]]+1</f>
        <v>45</v>
      </c>
      <c r="X2076">
        <f>Table1[[#This Row],[customer_purchase count]]*Rules!$B$3</f>
        <v>2629.6317948717951</v>
      </c>
      <c r="Y2076" t="str">
        <f>IF(Table1[[#This Row],[customer_subscription]]=1,"Subscribed","Not Subscribed")</f>
        <v>Not Subscribed</v>
      </c>
    </row>
    <row r="2077" spans="1:26" x14ac:dyDescent="0.25">
      <c r="A2077">
        <v>2076</v>
      </c>
      <c r="B2077">
        <v>46</v>
      </c>
      <c r="C2077" t="s">
        <v>22</v>
      </c>
      <c r="D2077">
        <v>2076</v>
      </c>
      <c r="E2077" t="s">
        <v>33</v>
      </c>
      <c r="F2077" t="s">
        <v>24</v>
      </c>
      <c r="G2077">
        <v>2076</v>
      </c>
      <c r="H2077">
        <v>2690</v>
      </c>
      <c r="I2077">
        <v>28</v>
      </c>
      <c r="J2077" t="s">
        <v>134</v>
      </c>
      <c r="K2077" t="s">
        <v>39</v>
      </c>
      <c r="L2077" t="s">
        <v>51</v>
      </c>
      <c r="M2077" t="s">
        <v>60</v>
      </c>
      <c r="N2077">
        <v>4.7</v>
      </c>
      <c r="O2077">
        <v>0</v>
      </c>
      <c r="P2077" t="s">
        <v>29</v>
      </c>
      <c r="Q2077" t="s">
        <v>155</v>
      </c>
      <c r="R2077" t="s">
        <v>155</v>
      </c>
      <c r="S2077">
        <v>49</v>
      </c>
      <c r="T2077" t="s">
        <v>89</v>
      </c>
      <c r="U2077" t="s">
        <v>91</v>
      </c>
      <c r="V2077" s="1">
        <v>45614</v>
      </c>
      <c r="W2077">
        <f>Table1[[#This Row],[customer_purchase count]]+1</f>
        <v>50</v>
      </c>
      <c r="X2077">
        <f>Table1[[#This Row],[customer_purchase count]]*Rules!$B$3</f>
        <v>2928.4535897435899</v>
      </c>
      <c r="Y2077" t="str">
        <f>IF(Table1[[#This Row],[customer_subscription]]=1,"Subscribed","Not Subscribed")</f>
        <v>Not Subscribed</v>
      </c>
    </row>
    <row r="2078" spans="1:26" x14ac:dyDescent="0.25">
      <c r="A2078">
        <v>2077</v>
      </c>
      <c r="B2078">
        <v>59</v>
      </c>
      <c r="C2078" t="s">
        <v>22</v>
      </c>
      <c r="D2078">
        <v>2077</v>
      </c>
      <c r="E2078" t="s">
        <v>146</v>
      </c>
      <c r="F2078" t="s">
        <v>70</v>
      </c>
      <c r="G2078">
        <v>2077</v>
      </c>
      <c r="H2078">
        <v>2691</v>
      </c>
      <c r="I2078">
        <v>23</v>
      </c>
      <c r="J2078" t="s">
        <v>106</v>
      </c>
      <c r="K2078" t="s">
        <v>39</v>
      </c>
      <c r="L2078" t="s">
        <v>129</v>
      </c>
      <c r="M2078" t="s">
        <v>60</v>
      </c>
      <c r="N2078">
        <v>4.5999999999999996</v>
      </c>
      <c r="O2078">
        <v>0</v>
      </c>
      <c r="P2078" t="s">
        <v>41</v>
      </c>
      <c r="Q2078" t="s">
        <v>155</v>
      </c>
      <c r="R2078" t="s">
        <v>155</v>
      </c>
      <c r="S2078">
        <v>22</v>
      </c>
      <c r="T2078" t="s">
        <v>89</v>
      </c>
      <c r="U2078" t="s">
        <v>79</v>
      </c>
      <c r="V2078" s="1">
        <v>45586</v>
      </c>
      <c r="W2078">
        <f>Table1[[#This Row],[customer_purchase count]]+1</f>
        <v>23</v>
      </c>
      <c r="X2078">
        <f>Table1[[#This Row],[customer_purchase count]]*Rules!$B$3</f>
        <v>1314.8158974358976</v>
      </c>
      <c r="Y2078" t="str">
        <f>IF(Table1[[#This Row],[customer_subscription]]=1,"Subscribed","Not Subscribed")</f>
        <v>Not Subscribed</v>
      </c>
    </row>
    <row r="2079" spans="1:26" x14ac:dyDescent="0.25">
      <c r="A2079">
        <v>2078</v>
      </c>
      <c r="B2079">
        <v>64</v>
      </c>
      <c r="C2079" t="s">
        <v>22</v>
      </c>
      <c r="D2079">
        <v>2078</v>
      </c>
      <c r="E2079" t="s">
        <v>122</v>
      </c>
      <c r="F2079" t="s">
        <v>70</v>
      </c>
      <c r="G2079">
        <v>2078</v>
      </c>
      <c r="H2079">
        <v>2692</v>
      </c>
      <c r="I2079">
        <v>34</v>
      </c>
      <c r="J2079" t="s">
        <v>148</v>
      </c>
      <c r="K2079" t="s">
        <v>26</v>
      </c>
      <c r="L2079" t="s">
        <v>124</v>
      </c>
      <c r="M2079" t="s">
        <v>60</v>
      </c>
      <c r="N2079">
        <v>3.3</v>
      </c>
      <c r="O2079">
        <v>0</v>
      </c>
      <c r="P2079" t="s">
        <v>41</v>
      </c>
      <c r="Q2079" t="s">
        <v>155</v>
      </c>
      <c r="R2079" t="s">
        <v>155</v>
      </c>
      <c r="S2079">
        <v>26</v>
      </c>
      <c r="T2079" t="s">
        <v>78</v>
      </c>
      <c r="U2079" t="s">
        <v>52</v>
      </c>
      <c r="V2079" s="1">
        <v>45619</v>
      </c>
      <c r="W2079">
        <f>Table1[[#This Row],[customer_purchase count]]+1</f>
        <v>27</v>
      </c>
      <c r="X2079">
        <f>Table1[[#This Row],[customer_purchase count]]*Rules!$B$3</f>
        <v>1553.8733333333334</v>
      </c>
      <c r="Y2079" t="str">
        <f>IF(Table1[[#This Row],[customer_subscription]]=1,"Subscribed","Not Subscribed")</f>
        <v>Not Subscribed</v>
      </c>
    </row>
    <row r="2080" spans="1:26" x14ac:dyDescent="0.25">
      <c r="A2080">
        <v>2079</v>
      </c>
      <c r="B2080">
        <v>49</v>
      </c>
      <c r="C2080" t="s">
        <v>22</v>
      </c>
      <c r="D2080">
        <v>2079</v>
      </c>
      <c r="E2080" t="s">
        <v>84</v>
      </c>
      <c r="F2080" t="s">
        <v>24</v>
      </c>
      <c r="G2080">
        <v>2079</v>
      </c>
      <c r="H2080">
        <v>2693</v>
      </c>
      <c r="I2080">
        <v>42</v>
      </c>
      <c r="J2080" t="s">
        <v>80</v>
      </c>
      <c r="K2080" t="s">
        <v>47</v>
      </c>
      <c r="L2080" t="s">
        <v>147</v>
      </c>
      <c r="M2080" t="s">
        <v>40</v>
      </c>
      <c r="N2080">
        <v>3.2</v>
      </c>
      <c r="O2080">
        <v>0</v>
      </c>
      <c r="P2080" t="s">
        <v>48</v>
      </c>
      <c r="Q2080" t="s">
        <v>155</v>
      </c>
      <c r="R2080" t="s">
        <v>155</v>
      </c>
      <c r="S2080">
        <v>40</v>
      </c>
      <c r="T2080" t="s">
        <v>89</v>
      </c>
      <c r="U2080" t="s">
        <v>43</v>
      </c>
      <c r="V2080" s="1">
        <v>45356</v>
      </c>
      <c r="W2080">
        <f>Table1[[#This Row],[customer_purchase count]]+1</f>
        <v>41</v>
      </c>
      <c r="X2080">
        <f>Table1[[#This Row],[customer_purchase count]]*Rules!$B$3</f>
        <v>2390.5743589743593</v>
      </c>
      <c r="Y2080" t="str">
        <f>IF(Table1[[#This Row],[customer_subscription]]=1,"Subscribed","Not Subscribed")</f>
        <v>Not Subscribed</v>
      </c>
    </row>
    <row r="2081" spans="1:26" x14ac:dyDescent="0.25">
      <c r="A2081">
        <v>2080</v>
      </c>
      <c r="B2081">
        <v>32</v>
      </c>
      <c r="C2081" t="s">
        <v>22</v>
      </c>
      <c r="D2081">
        <v>2080</v>
      </c>
      <c r="E2081" t="s">
        <v>37</v>
      </c>
      <c r="F2081" t="s">
        <v>24</v>
      </c>
      <c r="G2081">
        <v>2080</v>
      </c>
      <c r="H2081">
        <v>2695</v>
      </c>
      <c r="I2081">
        <v>24</v>
      </c>
      <c r="J2081" t="s">
        <v>59</v>
      </c>
      <c r="K2081" t="s">
        <v>26</v>
      </c>
      <c r="L2081" t="s">
        <v>86</v>
      </c>
      <c r="M2081" t="s">
        <v>56</v>
      </c>
      <c r="N2081">
        <v>3.1</v>
      </c>
      <c r="O2081">
        <v>0</v>
      </c>
      <c r="P2081" t="s">
        <v>48</v>
      </c>
      <c r="Q2081" t="s">
        <v>155</v>
      </c>
      <c r="R2081" t="s">
        <v>155</v>
      </c>
      <c r="S2081">
        <v>16</v>
      </c>
      <c r="T2081" t="s">
        <v>49</v>
      </c>
      <c r="U2081" t="s">
        <v>61</v>
      </c>
      <c r="V2081" s="1">
        <v>45521</v>
      </c>
      <c r="W2081">
        <f>Table1[[#This Row],[customer_purchase count]]+1</f>
        <v>17</v>
      </c>
      <c r="X2081">
        <f>Table1[[#This Row],[customer_purchase count]]*Rules!$B$3</f>
        <v>956.22974358974363</v>
      </c>
      <c r="Y2081" t="str">
        <f>IF(Table1[[#This Row],[customer_subscription]]=1,"Subscribed","Not Subscribed")</f>
        <v>Not Subscribed</v>
      </c>
      <c r="Z2081" t="s">
        <v>194</v>
      </c>
    </row>
    <row r="2082" spans="1:26" x14ac:dyDescent="0.25">
      <c r="A2082">
        <v>2081</v>
      </c>
      <c r="B2082">
        <v>29</v>
      </c>
      <c r="C2082" t="s">
        <v>22</v>
      </c>
      <c r="D2082">
        <v>2081</v>
      </c>
      <c r="E2082" t="s">
        <v>92</v>
      </c>
      <c r="F2082" t="s">
        <v>70</v>
      </c>
      <c r="G2082">
        <v>2081</v>
      </c>
      <c r="H2082">
        <v>2696</v>
      </c>
      <c r="I2082">
        <v>47</v>
      </c>
      <c r="J2082" t="s">
        <v>150</v>
      </c>
      <c r="K2082" t="s">
        <v>39</v>
      </c>
      <c r="L2082" t="s">
        <v>27</v>
      </c>
      <c r="M2082" t="s">
        <v>60</v>
      </c>
      <c r="N2082">
        <v>3.5</v>
      </c>
      <c r="O2082">
        <v>0</v>
      </c>
      <c r="P2082" t="s">
        <v>41</v>
      </c>
      <c r="Q2082" t="s">
        <v>155</v>
      </c>
      <c r="R2082" t="s">
        <v>155</v>
      </c>
      <c r="S2082">
        <v>17</v>
      </c>
      <c r="T2082" t="s">
        <v>89</v>
      </c>
      <c r="U2082" t="s">
        <v>79</v>
      </c>
      <c r="V2082" s="1">
        <v>45620</v>
      </c>
      <c r="W2082">
        <f>Table1[[#This Row],[customer_purchase count]]+1</f>
        <v>18</v>
      </c>
      <c r="X2082">
        <f>Table1[[#This Row],[customer_purchase count]]*Rules!$B$3</f>
        <v>1015.9941025641026</v>
      </c>
      <c r="Y2082" t="str">
        <f>IF(Table1[[#This Row],[customer_subscription]]=1,"Subscribed","Not Subscribed")</f>
        <v>Not Subscribed</v>
      </c>
      <c r="Z2082" t="s">
        <v>187</v>
      </c>
    </row>
    <row r="2083" spans="1:26" x14ac:dyDescent="0.25">
      <c r="A2083">
        <v>2082</v>
      </c>
      <c r="B2083">
        <v>24</v>
      </c>
      <c r="C2083" t="s">
        <v>22</v>
      </c>
      <c r="D2083">
        <v>2082</v>
      </c>
      <c r="E2083" t="s">
        <v>65</v>
      </c>
      <c r="F2083" t="s">
        <v>66</v>
      </c>
      <c r="G2083">
        <v>2082</v>
      </c>
      <c r="H2083">
        <v>2697</v>
      </c>
      <c r="I2083">
        <v>78</v>
      </c>
      <c r="J2083" t="s">
        <v>93</v>
      </c>
      <c r="K2083" t="s">
        <v>39</v>
      </c>
      <c r="L2083" t="s">
        <v>112</v>
      </c>
      <c r="M2083" t="s">
        <v>40</v>
      </c>
      <c r="N2083">
        <v>4.3</v>
      </c>
      <c r="O2083">
        <v>0</v>
      </c>
      <c r="P2083" t="s">
        <v>57</v>
      </c>
      <c r="Q2083" t="s">
        <v>155</v>
      </c>
      <c r="R2083" t="s">
        <v>155</v>
      </c>
      <c r="S2083">
        <v>48</v>
      </c>
      <c r="T2083" t="s">
        <v>78</v>
      </c>
      <c r="U2083" t="s">
        <v>79</v>
      </c>
      <c r="V2083" s="1">
        <v>45360</v>
      </c>
      <c r="W2083">
        <f>Table1[[#This Row],[customer_purchase count]]+1</f>
        <v>49</v>
      </c>
      <c r="X2083">
        <f>Table1[[#This Row],[customer_purchase count]]*Rules!$B$3</f>
        <v>2868.689230769231</v>
      </c>
      <c r="Y2083" t="str">
        <f>IF(Table1[[#This Row],[customer_subscription]]=1,"Subscribed","Not Subscribed")</f>
        <v>Not Subscribed</v>
      </c>
    </row>
    <row r="2084" spans="1:26" x14ac:dyDescent="0.25">
      <c r="A2084">
        <v>2083</v>
      </c>
      <c r="B2084">
        <v>41</v>
      </c>
      <c r="C2084" t="s">
        <v>22</v>
      </c>
      <c r="D2084">
        <v>2083</v>
      </c>
      <c r="E2084" t="s">
        <v>37</v>
      </c>
      <c r="F2084" t="s">
        <v>24</v>
      </c>
      <c r="G2084">
        <v>2083</v>
      </c>
      <c r="H2084">
        <v>2698</v>
      </c>
      <c r="I2084">
        <v>89</v>
      </c>
      <c r="J2084" t="s">
        <v>75</v>
      </c>
      <c r="K2084" t="s">
        <v>47</v>
      </c>
      <c r="L2084" t="s">
        <v>137</v>
      </c>
      <c r="M2084" t="s">
        <v>56</v>
      </c>
      <c r="N2084">
        <v>2.9</v>
      </c>
      <c r="O2084">
        <v>0</v>
      </c>
      <c r="P2084" t="s">
        <v>41</v>
      </c>
      <c r="Q2084" t="s">
        <v>155</v>
      </c>
      <c r="R2084" t="s">
        <v>155</v>
      </c>
      <c r="S2084">
        <v>28</v>
      </c>
      <c r="T2084" t="s">
        <v>31</v>
      </c>
      <c r="U2084" t="s">
        <v>100</v>
      </c>
      <c r="V2084" s="1">
        <v>45461</v>
      </c>
      <c r="W2084">
        <f>Table1[[#This Row],[customer_purchase count]]+1</f>
        <v>29</v>
      </c>
      <c r="X2084">
        <f>Table1[[#This Row],[customer_purchase count]]*Rules!$B$3</f>
        <v>1673.4020512820514</v>
      </c>
      <c r="Y2084" t="str">
        <f>IF(Table1[[#This Row],[customer_subscription]]=1,"Subscribed","Not Subscribed")</f>
        <v>Not Subscribed</v>
      </c>
    </row>
    <row r="2085" spans="1:26" x14ac:dyDescent="0.25">
      <c r="A2085">
        <v>2084</v>
      </c>
      <c r="B2085">
        <v>41</v>
      </c>
      <c r="C2085" t="s">
        <v>22</v>
      </c>
      <c r="D2085">
        <v>2084</v>
      </c>
      <c r="E2085" t="s">
        <v>122</v>
      </c>
      <c r="F2085" t="s">
        <v>70</v>
      </c>
      <c r="G2085">
        <v>2084</v>
      </c>
      <c r="H2085">
        <v>2699</v>
      </c>
      <c r="I2085">
        <v>59</v>
      </c>
      <c r="J2085" t="s">
        <v>94</v>
      </c>
      <c r="K2085" t="s">
        <v>26</v>
      </c>
      <c r="L2085" t="s">
        <v>124</v>
      </c>
      <c r="M2085" t="s">
        <v>60</v>
      </c>
      <c r="N2085">
        <v>2.7</v>
      </c>
      <c r="O2085">
        <v>0</v>
      </c>
      <c r="P2085" t="s">
        <v>77</v>
      </c>
      <c r="Q2085" t="s">
        <v>155</v>
      </c>
      <c r="R2085" t="s">
        <v>155</v>
      </c>
      <c r="S2085">
        <v>26</v>
      </c>
      <c r="T2085" t="s">
        <v>42</v>
      </c>
      <c r="U2085" t="s">
        <v>32</v>
      </c>
      <c r="V2085" s="1">
        <v>45621</v>
      </c>
      <c r="W2085">
        <f>Table1[[#This Row],[customer_purchase count]]+1</f>
        <v>27</v>
      </c>
      <c r="X2085">
        <f>Table1[[#This Row],[customer_purchase count]]*Rules!$B$3</f>
        <v>1553.8733333333334</v>
      </c>
      <c r="Y2085" t="str">
        <f>IF(Table1[[#This Row],[customer_subscription]]=1,"Subscribed","Not Subscribed")</f>
        <v>Not Subscribed</v>
      </c>
    </row>
    <row r="2086" spans="1:26" x14ac:dyDescent="0.25">
      <c r="A2086">
        <v>2085</v>
      </c>
      <c r="B2086">
        <v>32</v>
      </c>
      <c r="C2086" t="s">
        <v>22</v>
      </c>
      <c r="D2086">
        <v>2085</v>
      </c>
      <c r="E2086" t="s">
        <v>23</v>
      </c>
      <c r="F2086" t="s">
        <v>24</v>
      </c>
      <c r="G2086">
        <v>2085</v>
      </c>
      <c r="H2086">
        <v>2701</v>
      </c>
      <c r="I2086">
        <v>94</v>
      </c>
      <c r="J2086" t="s">
        <v>132</v>
      </c>
      <c r="K2086" t="s">
        <v>39</v>
      </c>
      <c r="L2086" t="s">
        <v>113</v>
      </c>
      <c r="M2086" t="s">
        <v>56</v>
      </c>
      <c r="N2086">
        <v>4</v>
      </c>
      <c r="O2086">
        <v>0</v>
      </c>
      <c r="P2086" t="s">
        <v>57</v>
      </c>
      <c r="Q2086" t="s">
        <v>155</v>
      </c>
      <c r="R2086" t="s">
        <v>155</v>
      </c>
      <c r="S2086">
        <v>43</v>
      </c>
      <c r="T2086" t="s">
        <v>78</v>
      </c>
      <c r="U2086" t="s">
        <v>61</v>
      </c>
      <c r="V2086" s="1">
        <v>45484</v>
      </c>
      <c r="W2086">
        <f>Table1[[#This Row],[customer_purchase count]]+1</f>
        <v>44</v>
      </c>
      <c r="X2086">
        <f>Table1[[#This Row],[customer_purchase count]]*Rules!$B$3</f>
        <v>2569.8674358974358</v>
      </c>
      <c r="Y2086" t="str">
        <f>IF(Table1[[#This Row],[customer_subscription]]=1,"Subscribed","Not Subscribed")</f>
        <v>Not Subscribed</v>
      </c>
    </row>
    <row r="2087" spans="1:26" x14ac:dyDescent="0.25">
      <c r="A2087">
        <v>2086</v>
      </c>
      <c r="B2087">
        <v>69</v>
      </c>
      <c r="C2087" t="s">
        <v>22</v>
      </c>
      <c r="D2087">
        <v>2086</v>
      </c>
      <c r="E2087" t="s">
        <v>37</v>
      </c>
      <c r="F2087" t="s">
        <v>24</v>
      </c>
      <c r="G2087">
        <v>2086</v>
      </c>
      <c r="H2087">
        <v>2702</v>
      </c>
      <c r="I2087">
        <v>49</v>
      </c>
      <c r="J2087" t="s">
        <v>87</v>
      </c>
      <c r="K2087" t="s">
        <v>47</v>
      </c>
      <c r="L2087" t="s">
        <v>88</v>
      </c>
      <c r="M2087" t="s">
        <v>60</v>
      </c>
      <c r="N2087">
        <v>4.5999999999999996</v>
      </c>
      <c r="O2087">
        <v>0</v>
      </c>
      <c r="P2087" t="s">
        <v>41</v>
      </c>
      <c r="Q2087" t="s">
        <v>155</v>
      </c>
      <c r="R2087" t="s">
        <v>155</v>
      </c>
      <c r="S2087">
        <v>38</v>
      </c>
      <c r="T2087" t="s">
        <v>89</v>
      </c>
      <c r="U2087" t="s">
        <v>43</v>
      </c>
      <c r="V2087" s="1">
        <v>45550</v>
      </c>
      <c r="W2087">
        <f>Table1[[#This Row],[customer_purchase count]]+1</f>
        <v>39</v>
      </c>
      <c r="X2087">
        <f>Table1[[#This Row],[customer_purchase count]]*Rules!$B$3</f>
        <v>2271.0456410256411</v>
      </c>
      <c r="Y2087" t="str">
        <f>IF(Table1[[#This Row],[customer_subscription]]=1,"Subscribed","Not Subscribed")</f>
        <v>Not Subscribed</v>
      </c>
    </row>
    <row r="2088" spans="1:26" x14ac:dyDescent="0.25">
      <c r="A2088">
        <v>2087</v>
      </c>
      <c r="B2088">
        <v>65</v>
      </c>
      <c r="C2088" t="s">
        <v>22</v>
      </c>
      <c r="D2088">
        <v>2087</v>
      </c>
      <c r="E2088" t="s">
        <v>84</v>
      </c>
      <c r="F2088" t="s">
        <v>24</v>
      </c>
      <c r="G2088">
        <v>2087</v>
      </c>
      <c r="H2088">
        <v>2703</v>
      </c>
      <c r="I2088">
        <v>89</v>
      </c>
      <c r="J2088" t="s">
        <v>117</v>
      </c>
      <c r="K2088" t="s">
        <v>26</v>
      </c>
      <c r="L2088" t="s">
        <v>121</v>
      </c>
      <c r="M2088" t="s">
        <v>56</v>
      </c>
      <c r="N2088">
        <v>4.7</v>
      </c>
      <c r="O2088">
        <v>0</v>
      </c>
      <c r="P2088" t="s">
        <v>73</v>
      </c>
      <c r="Q2088" t="s">
        <v>155</v>
      </c>
      <c r="R2088" t="s">
        <v>155</v>
      </c>
      <c r="S2088">
        <v>36</v>
      </c>
      <c r="T2088" t="s">
        <v>36</v>
      </c>
      <c r="U2088" t="s">
        <v>100</v>
      </c>
      <c r="V2088" s="1">
        <v>45470</v>
      </c>
      <c r="W2088">
        <f>Table1[[#This Row],[customer_purchase count]]+1</f>
        <v>37</v>
      </c>
      <c r="X2088">
        <f>Table1[[#This Row],[customer_purchase count]]*Rules!$B$3</f>
        <v>2151.5169230769234</v>
      </c>
      <c r="Y2088" t="str">
        <f>IF(Table1[[#This Row],[customer_subscription]]=1,"Subscribed","Not Subscribed")</f>
        <v>Not Subscribed</v>
      </c>
    </row>
    <row r="2089" spans="1:26" x14ac:dyDescent="0.25">
      <c r="A2089">
        <v>2088</v>
      </c>
      <c r="B2089">
        <v>54</v>
      </c>
      <c r="C2089" t="s">
        <v>22</v>
      </c>
      <c r="D2089">
        <v>2088</v>
      </c>
      <c r="E2089" t="s">
        <v>127</v>
      </c>
      <c r="F2089" t="s">
        <v>70</v>
      </c>
      <c r="G2089">
        <v>2088</v>
      </c>
      <c r="H2089">
        <v>2704</v>
      </c>
      <c r="I2089">
        <v>91</v>
      </c>
      <c r="J2089" t="s">
        <v>153</v>
      </c>
      <c r="K2089" t="s">
        <v>47</v>
      </c>
      <c r="L2089" t="s">
        <v>147</v>
      </c>
      <c r="M2089" t="s">
        <v>56</v>
      </c>
      <c r="N2089">
        <v>4.7</v>
      </c>
      <c r="O2089">
        <v>0</v>
      </c>
      <c r="P2089" t="s">
        <v>57</v>
      </c>
      <c r="Q2089" t="s">
        <v>155</v>
      </c>
      <c r="R2089" t="s">
        <v>155</v>
      </c>
      <c r="S2089">
        <v>1</v>
      </c>
      <c r="T2089" t="s">
        <v>42</v>
      </c>
      <c r="U2089" t="s">
        <v>43</v>
      </c>
      <c r="V2089" s="1">
        <v>45498</v>
      </c>
      <c r="W2089">
        <f>Table1[[#This Row],[customer_purchase count]]+1</f>
        <v>2</v>
      </c>
      <c r="X2089">
        <f>Table1[[#This Row],[customer_purchase count]]*Rules!$B$3</f>
        <v>59.764358974358977</v>
      </c>
      <c r="Y2089" t="str">
        <f>IF(Table1[[#This Row],[customer_subscription]]=1,"Subscribed","Not Subscribed")</f>
        <v>Not Subscribed</v>
      </c>
      <c r="Z2089" t="s">
        <v>194</v>
      </c>
    </row>
    <row r="2090" spans="1:26" x14ac:dyDescent="0.25">
      <c r="A2090">
        <v>2089</v>
      </c>
      <c r="B2090">
        <v>39</v>
      </c>
      <c r="C2090" t="s">
        <v>22</v>
      </c>
      <c r="D2090">
        <v>2089</v>
      </c>
      <c r="E2090" t="s">
        <v>44</v>
      </c>
      <c r="F2090" t="s">
        <v>45</v>
      </c>
      <c r="G2090">
        <v>2089</v>
      </c>
      <c r="H2090">
        <v>2705</v>
      </c>
      <c r="I2090">
        <v>89</v>
      </c>
      <c r="J2090" t="s">
        <v>102</v>
      </c>
      <c r="K2090" t="s">
        <v>26</v>
      </c>
      <c r="L2090" t="s">
        <v>124</v>
      </c>
      <c r="M2090" t="s">
        <v>40</v>
      </c>
      <c r="N2090">
        <v>4</v>
      </c>
      <c r="O2090">
        <v>0</v>
      </c>
      <c r="P2090" t="s">
        <v>57</v>
      </c>
      <c r="Q2090" t="s">
        <v>155</v>
      </c>
      <c r="R2090" t="s">
        <v>155</v>
      </c>
      <c r="S2090">
        <v>49</v>
      </c>
      <c r="T2090" t="s">
        <v>89</v>
      </c>
      <c r="U2090" t="s">
        <v>52</v>
      </c>
      <c r="V2090" s="1">
        <v>45389</v>
      </c>
      <c r="W2090">
        <f>Table1[[#This Row],[customer_purchase count]]+1</f>
        <v>50</v>
      </c>
      <c r="X2090">
        <f>Table1[[#This Row],[customer_purchase count]]*Rules!$B$3</f>
        <v>2928.4535897435899</v>
      </c>
      <c r="Y2090" t="str">
        <f>IF(Table1[[#This Row],[customer_subscription]]=1,"Subscribed","Not Subscribed")</f>
        <v>Not Subscribed</v>
      </c>
    </row>
    <row r="2091" spans="1:26" x14ac:dyDescent="0.25">
      <c r="A2091">
        <v>2090</v>
      </c>
      <c r="B2091">
        <v>37</v>
      </c>
      <c r="C2091" t="s">
        <v>22</v>
      </c>
      <c r="D2091">
        <v>2090</v>
      </c>
      <c r="E2091" t="s">
        <v>105</v>
      </c>
      <c r="F2091" t="s">
        <v>66</v>
      </c>
      <c r="G2091">
        <v>2090</v>
      </c>
      <c r="H2091">
        <v>2707</v>
      </c>
      <c r="I2091">
        <v>57</v>
      </c>
      <c r="J2091" t="s">
        <v>131</v>
      </c>
      <c r="K2091" t="s">
        <v>26</v>
      </c>
      <c r="L2091" t="s">
        <v>83</v>
      </c>
      <c r="M2091" t="s">
        <v>40</v>
      </c>
      <c r="N2091">
        <v>3.6</v>
      </c>
      <c r="O2091">
        <v>0</v>
      </c>
      <c r="P2091" t="s">
        <v>41</v>
      </c>
      <c r="Q2091" t="s">
        <v>155</v>
      </c>
      <c r="R2091" t="s">
        <v>155</v>
      </c>
      <c r="S2091">
        <v>41</v>
      </c>
      <c r="T2091" t="s">
        <v>42</v>
      </c>
      <c r="U2091" t="s">
        <v>100</v>
      </c>
      <c r="V2091" s="1">
        <v>45427</v>
      </c>
      <c r="W2091">
        <f>Table1[[#This Row],[customer_purchase count]]+1</f>
        <v>42</v>
      </c>
      <c r="X2091">
        <f>Table1[[#This Row],[customer_purchase count]]*Rules!$B$3</f>
        <v>2450.3387179487181</v>
      </c>
      <c r="Y2091" t="str">
        <f>IF(Table1[[#This Row],[customer_subscription]]=1,"Subscribed","Not Subscribed")</f>
        <v>Not Subscribed</v>
      </c>
    </row>
    <row r="2092" spans="1:26" x14ac:dyDescent="0.25">
      <c r="A2092">
        <v>2091</v>
      </c>
      <c r="B2092">
        <v>51</v>
      </c>
      <c r="C2092" t="s">
        <v>22</v>
      </c>
      <c r="D2092">
        <v>2091</v>
      </c>
      <c r="E2092" t="s">
        <v>128</v>
      </c>
      <c r="F2092" t="s">
        <v>24</v>
      </c>
      <c r="G2092">
        <v>2091</v>
      </c>
      <c r="H2092">
        <v>2708</v>
      </c>
      <c r="I2092">
        <v>71</v>
      </c>
      <c r="J2092" t="s">
        <v>38</v>
      </c>
      <c r="K2092" t="s">
        <v>39</v>
      </c>
      <c r="L2092" t="s">
        <v>88</v>
      </c>
      <c r="M2092" t="s">
        <v>28</v>
      </c>
      <c r="N2092">
        <v>3.4</v>
      </c>
      <c r="O2092">
        <v>0</v>
      </c>
      <c r="P2092" t="s">
        <v>41</v>
      </c>
      <c r="Q2092" t="s">
        <v>155</v>
      </c>
      <c r="R2092" t="s">
        <v>155</v>
      </c>
      <c r="S2092">
        <v>21</v>
      </c>
      <c r="T2092" t="s">
        <v>89</v>
      </c>
      <c r="U2092" t="s">
        <v>91</v>
      </c>
      <c r="V2092" s="1">
        <v>45642</v>
      </c>
      <c r="W2092">
        <f>Table1[[#This Row],[customer_purchase count]]+1</f>
        <v>22</v>
      </c>
      <c r="X2092">
        <f>Table1[[#This Row],[customer_purchase count]]*Rules!$B$3</f>
        <v>1255.0515384615385</v>
      </c>
      <c r="Y2092" t="str">
        <f>IF(Table1[[#This Row],[customer_subscription]]=1,"Subscribed","Not Subscribed")</f>
        <v>Not Subscribed</v>
      </c>
    </row>
    <row r="2093" spans="1:26" x14ac:dyDescent="0.25">
      <c r="A2093">
        <v>2092</v>
      </c>
      <c r="B2093">
        <v>26</v>
      </c>
      <c r="C2093" t="s">
        <v>22</v>
      </c>
      <c r="D2093">
        <v>2092</v>
      </c>
      <c r="E2093" t="s">
        <v>37</v>
      </c>
      <c r="F2093" t="s">
        <v>24</v>
      </c>
      <c r="G2093">
        <v>2092</v>
      </c>
      <c r="H2093">
        <v>2709</v>
      </c>
      <c r="I2093">
        <v>97</v>
      </c>
      <c r="J2093" t="s">
        <v>152</v>
      </c>
      <c r="K2093" t="s">
        <v>95</v>
      </c>
      <c r="L2093" t="s">
        <v>121</v>
      </c>
      <c r="M2093" t="s">
        <v>60</v>
      </c>
      <c r="N2093">
        <v>3</v>
      </c>
      <c r="O2093">
        <v>0</v>
      </c>
      <c r="P2093" t="s">
        <v>48</v>
      </c>
      <c r="Q2093" t="s">
        <v>155</v>
      </c>
      <c r="R2093" t="s">
        <v>155</v>
      </c>
      <c r="S2093">
        <v>24</v>
      </c>
      <c r="T2093" t="s">
        <v>78</v>
      </c>
      <c r="U2093" t="s">
        <v>61</v>
      </c>
      <c r="V2093" s="1">
        <v>45541</v>
      </c>
      <c r="W2093">
        <f>Table1[[#This Row],[customer_purchase count]]+1</f>
        <v>25</v>
      </c>
      <c r="X2093">
        <f>Table1[[#This Row],[customer_purchase count]]*Rules!$B$3</f>
        <v>1434.3446153846155</v>
      </c>
      <c r="Y2093" t="str">
        <f>IF(Table1[[#This Row],[customer_subscription]]=1,"Subscribed","Not Subscribed")</f>
        <v>Not Subscribed</v>
      </c>
    </row>
    <row r="2094" spans="1:26" x14ac:dyDescent="0.25">
      <c r="A2094">
        <v>2093</v>
      </c>
      <c r="B2094">
        <v>42</v>
      </c>
      <c r="C2094" t="s">
        <v>22</v>
      </c>
      <c r="D2094">
        <v>2093</v>
      </c>
      <c r="E2094" t="s">
        <v>44</v>
      </c>
      <c r="F2094" t="s">
        <v>45</v>
      </c>
      <c r="G2094">
        <v>2093</v>
      </c>
      <c r="H2094">
        <v>2710</v>
      </c>
      <c r="I2094">
        <v>45</v>
      </c>
      <c r="J2094" t="s">
        <v>151</v>
      </c>
      <c r="K2094" t="s">
        <v>47</v>
      </c>
      <c r="L2094" t="s">
        <v>68</v>
      </c>
      <c r="M2094" t="s">
        <v>60</v>
      </c>
      <c r="N2094">
        <v>2.6</v>
      </c>
      <c r="O2094">
        <v>0</v>
      </c>
      <c r="P2094" t="s">
        <v>48</v>
      </c>
      <c r="Q2094" t="s">
        <v>155</v>
      </c>
      <c r="R2094" t="s">
        <v>155</v>
      </c>
      <c r="S2094">
        <v>27</v>
      </c>
      <c r="T2094" t="s">
        <v>78</v>
      </c>
      <c r="U2094" t="s">
        <v>43</v>
      </c>
      <c r="V2094" s="1">
        <v>45610</v>
      </c>
      <c r="W2094">
        <f>Table1[[#This Row],[customer_purchase count]]+1</f>
        <v>28</v>
      </c>
      <c r="X2094">
        <f>Table1[[#This Row],[customer_purchase count]]*Rules!$B$3</f>
        <v>1613.6376923076923</v>
      </c>
      <c r="Y2094" t="str">
        <f>IF(Table1[[#This Row],[customer_subscription]]=1,"Subscribed","Not Subscribed")</f>
        <v>Not Subscribed</v>
      </c>
    </row>
    <row r="2095" spans="1:26" x14ac:dyDescent="0.25">
      <c r="A2095">
        <v>2094</v>
      </c>
      <c r="B2095">
        <v>21</v>
      </c>
      <c r="C2095" t="s">
        <v>22</v>
      </c>
      <c r="D2095">
        <v>2094</v>
      </c>
      <c r="E2095" t="s">
        <v>84</v>
      </c>
      <c r="F2095" t="s">
        <v>24</v>
      </c>
      <c r="G2095">
        <v>2094</v>
      </c>
      <c r="H2095">
        <v>2711</v>
      </c>
      <c r="I2095">
        <v>91</v>
      </c>
      <c r="J2095" t="s">
        <v>152</v>
      </c>
      <c r="K2095" t="s">
        <v>47</v>
      </c>
      <c r="L2095" t="s">
        <v>35</v>
      </c>
      <c r="M2095" t="s">
        <v>40</v>
      </c>
      <c r="N2095">
        <v>4.2</v>
      </c>
      <c r="O2095">
        <v>0</v>
      </c>
      <c r="P2095" t="s">
        <v>77</v>
      </c>
      <c r="Q2095" t="s">
        <v>155</v>
      </c>
      <c r="R2095" t="s">
        <v>155</v>
      </c>
      <c r="S2095">
        <v>4</v>
      </c>
      <c r="T2095" t="s">
        <v>89</v>
      </c>
      <c r="U2095" t="s">
        <v>52</v>
      </c>
      <c r="V2095" s="1">
        <v>45437</v>
      </c>
      <c r="W2095">
        <f>Table1[[#This Row],[customer_purchase count]]+1</f>
        <v>5</v>
      </c>
      <c r="X2095">
        <f>Table1[[#This Row],[customer_purchase count]]*Rules!$B$3</f>
        <v>239.05743589743591</v>
      </c>
      <c r="Y2095" t="str">
        <f>IF(Table1[[#This Row],[customer_subscription]]=1,"Subscribed","Not Subscribed")</f>
        <v>Not Subscribed</v>
      </c>
      <c r="Z2095" t="s">
        <v>194</v>
      </c>
    </row>
    <row r="2096" spans="1:26" x14ac:dyDescent="0.25">
      <c r="A2096">
        <v>2095</v>
      </c>
      <c r="B2096">
        <v>53</v>
      </c>
      <c r="C2096" t="s">
        <v>22</v>
      </c>
      <c r="D2096">
        <v>2095</v>
      </c>
      <c r="E2096" t="s">
        <v>128</v>
      </c>
      <c r="F2096" t="s">
        <v>24</v>
      </c>
      <c r="G2096">
        <v>2095</v>
      </c>
      <c r="H2096">
        <v>2713</v>
      </c>
      <c r="I2096">
        <v>25</v>
      </c>
      <c r="J2096" t="s">
        <v>134</v>
      </c>
      <c r="K2096" t="s">
        <v>47</v>
      </c>
      <c r="L2096" t="s">
        <v>129</v>
      </c>
      <c r="M2096" t="s">
        <v>40</v>
      </c>
      <c r="N2096">
        <v>3.4</v>
      </c>
      <c r="O2096">
        <v>0</v>
      </c>
      <c r="P2096" t="s">
        <v>57</v>
      </c>
      <c r="Q2096" t="s">
        <v>155</v>
      </c>
      <c r="R2096" t="s">
        <v>155</v>
      </c>
      <c r="S2096">
        <v>19</v>
      </c>
      <c r="T2096" t="s">
        <v>31</v>
      </c>
      <c r="U2096" t="s">
        <v>52</v>
      </c>
      <c r="V2096" s="1">
        <v>45390</v>
      </c>
      <c r="W2096">
        <f>Table1[[#This Row],[customer_purchase count]]+1</f>
        <v>20</v>
      </c>
      <c r="X2096">
        <f>Table1[[#This Row],[customer_purchase count]]*Rules!$B$3</f>
        <v>1135.5228205128205</v>
      </c>
      <c r="Y2096" t="str">
        <f>IF(Table1[[#This Row],[customer_subscription]]=1,"Subscribed","Not Subscribed")</f>
        <v>Not Subscribed</v>
      </c>
    </row>
    <row r="2097" spans="1:26" x14ac:dyDescent="0.25">
      <c r="A2097">
        <v>2096</v>
      </c>
      <c r="B2097">
        <v>36</v>
      </c>
      <c r="C2097" t="s">
        <v>22</v>
      </c>
      <c r="D2097">
        <v>2096</v>
      </c>
      <c r="E2097" t="s">
        <v>107</v>
      </c>
      <c r="F2097" t="s">
        <v>24</v>
      </c>
      <c r="G2097">
        <v>2096</v>
      </c>
      <c r="H2097">
        <v>2714</v>
      </c>
      <c r="I2097">
        <v>63</v>
      </c>
      <c r="J2097" t="s">
        <v>133</v>
      </c>
      <c r="K2097" t="s">
        <v>47</v>
      </c>
      <c r="L2097" t="s">
        <v>27</v>
      </c>
      <c r="M2097" t="s">
        <v>60</v>
      </c>
      <c r="N2097">
        <v>4</v>
      </c>
      <c r="O2097">
        <v>0</v>
      </c>
      <c r="P2097" t="s">
        <v>77</v>
      </c>
      <c r="Q2097" t="s">
        <v>155</v>
      </c>
      <c r="R2097" t="s">
        <v>155</v>
      </c>
      <c r="S2097">
        <v>1</v>
      </c>
      <c r="T2097" t="s">
        <v>78</v>
      </c>
      <c r="U2097" t="s">
        <v>32</v>
      </c>
      <c r="V2097" s="1">
        <v>45586</v>
      </c>
      <c r="W2097">
        <f>Table1[[#This Row],[customer_purchase count]]+1</f>
        <v>2</v>
      </c>
      <c r="X2097">
        <f>Table1[[#This Row],[customer_purchase count]]*Rules!$B$3</f>
        <v>59.764358974358977</v>
      </c>
      <c r="Y2097" t="str">
        <f>IF(Table1[[#This Row],[customer_subscription]]=1,"Subscribed","Not Subscribed")</f>
        <v>Not Subscribed</v>
      </c>
      <c r="Z2097" t="s">
        <v>194</v>
      </c>
    </row>
    <row r="2098" spans="1:26" x14ac:dyDescent="0.25">
      <c r="A2098">
        <v>2097</v>
      </c>
      <c r="B2098">
        <v>21</v>
      </c>
      <c r="C2098" t="s">
        <v>22</v>
      </c>
      <c r="D2098">
        <v>2097</v>
      </c>
      <c r="E2098" t="s">
        <v>84</v>
      </c>
      <c r="F2098" t="s">
        <v>24</v>
      </c>
      <c r="G2098">
        <v>2097</v>
      </c>
      <c r="H2098">
        <v>2715</v>
      </c>
      <c r="I2098">
        <v>52</v>
      </c>
      <c r="J2098" t="s">
        <v>101</v>
      </c>
      <c r="K2098" t="s">
        <v>26</v>
      </c>
      <c r="L2098" t="s">
        <v>147</v>
      </c>
      <c r="M2098" t="s">
        <v>56</v>
      </c>
      <c r="N2098">
        <v>4.7</v>
      </c>
      <c r="O2098">
        <v>0</v>
      </c>
      <c r="P2098" t="s">
        <v>41</v>
      </c>
      <c r="Q2098" t="s">
        <v>155</v>
      </c>
      <c r="R2098" t="s">
        <v>155</v>
      </c>
      <c r="S2098">
        <v>27</v>
      </c>
      <c r="T2098" t="s">
        <v>89</v>
      </c>
      <c r="U2098" t="s">
        <v>52</v>
      </c>
      <c r="V2098" s="1">
        <v>45513</v>
      </c>
      <c r="W2098">
        <f>Table1[[#This Row],[customer_purchase count]]+1</f>
        <v>28</v>
      </c>
      <c r="X2098">
        <f>Table1[[#This Row],[customer_purchase count]]*Rules!$B$3</f>
        <v>1613.6376923076923</v>
      </c>
      <c r="Y2098" t="str">
        <f>IF(Table1[[#This Row],[customer_subscription]]=1,"Subscribed","Not Subscribed")</f>
        <v>Not Subscribed</v>
      </c>
    </row>
    <row r="2099" spans="1:26" x14ac:dyDescent="0.25">
      <c r="A2099">
        <v>2098</v>
      </c>
      <c r="B2099">
        <v>33</v>
      </c>
      <c r="C2099" t="s">
        <v>22</v>
      </c>
      <c r="D2099">
        <v>2098</v>
      </c>
      <c r="E2099" t="s">
        <v>53</v>
      </c>
      <c r="F2099" t="s">
        <v>45</v>
      </c>
      <c r="G2099">
        <v>2098</v>
      </c>
      <c r="H2099">
        <v>2716</v>
      </c>
      <c r="I2099">
        <v>43</v>
      </c>
      <c r="J2099" t="s">
        <v>149</v>
      </c>
      <c r="K2099" t="s">
        <v>39</v>
      </c>
      <c r="L2099" t="s">
        <v>112</v>
      </c>
      <c r="M2099" t="s">
        <v>28</v>
      </c>
      <c r="N2099">
        <v>3.9</v>
      </c>
      <c r="O2099">
        <v>0</v>
      </c>
      <c r="P2099" t="s">
        <v>48</v>
      </c>
      <c r="Q2099" t="s">
        <v>155</v>
      </c>
      <c r="R2099" t="s">
        <v>155</v>
      </c>
      <c r="S2099">
        <v>5</v>
      </c>
      <c r="T2099" t="s">
        <v>42</v>
      </c>
      <c r="U2099" t="s">
        <v>43</v>
      </c>
      <c r="V2099" s="1">
        <v>45316</v>
      </c>
      <c r="W2099">
        <f>Table1[[#This Row],[customer_purchase count]]+1</f>
        <v>6</v>
      </c>
      <c r="X2099">
        <f>Table1[[#This Row],[customer_purchase count]]*Rules!$B$3</f>
        <v>298.82179487179491</v>
      </c>
      <c r="Y2099" t="str">
        <f>IF(Table1[[#This Row],[customer_subscription]]=1,"Subscribed","Not Subscribed")</f>
        <v>Not Subscribed</v>
      </c>
      <c r="Z2099" t="s">
        <v>194</v>
      </c>
    </row>
    <row r="2100" spans="1:26" x14ac:dyDescent="0.25">
      <c r="A2100">
        <v>2099</v>
      </c>
      <c r="B2100">
        <v>49</v>
      </c>
      <c r="C2100" t="s">
        <v>22</v>
      </c>
      <c r="D2100">
        <v>2099</v>
      </c>
      <c r="E2100" t="s">
        <v>116</v>
      </c>
      <c r="F2100" t="s">
        <v>24</v>
      </c>
      <c r="G2100">
        <v>2099</v>
      </c>
      <c r="H2100">
        <v>2717</v>
      </c>
      <c r="I2100">
        <v>28</v>
      </c>
      <c r="J2100" t="s">
        <v>63</v>
      </c>
      <c r="K2100" t="s">
        <v>47</v>
      </c>
      <c r="L2100" t="s">
        <v>55</v>
      </c>
      <c r="M2100" t="s">
        <v>56</v>
      </c>
      <c r="N2100">
        <v>3.3</v>
      </c>
      <c r="O2100">
        <v>0</v>
      </c>
      <c r="P2100" t="s">
        <v>73</v>
      </c>
      <c r="Q2100" t="s">
        <v>155</v>
      </c>
      <c r="R2100" t="s">
        <v>155</v>
      </c>
      <c r="S2100">
        <v>20</v>
      </c>
      <c r="T2100" t="s">
        <v>31</v>
      </c>
      <c r="U2100" t="s">
        <v>61</v>
      </c>
      <c r="V2100" s="1">
        <v>45524</v>
      </c>
      <c r="W2100">
        <f>Table1[[#This Row],[customer_purchase count]]+1</f>
        <v>21</v>
      </c>
      <c r="X2100">
        <f>Table1[[#This Row],[customer_purchase count]]*Rules!$B$3</f>
        <v>1195.2871794871796</v>
      </c>
      <c r="Y2100" t="str">
        <f>IF(Table1[[#This Row],[customer_subscription]]=1,"Subscribed","Not Subscribed")</f>
        <v>Not Subscribed</v>
      </c>
    </row>
    <row r="2101" spans="1:26" x14ac:dyDescent="0.25">
      <c r="A2101">
        <v>2100</v>
      </c>
      <c r="B2101">
        <v>31</v>
      </c>
      <c r="C2101" t="s">
        <v>22</v>
      </c>
      <c r="D2101">
        <v>2100</v>
      </c>
      <c r="E2101" t="s">
        <v>116</v>
      </c>
      <c r="F2101" t="s">
        <v>24</v>
      </c>
      <c r="G2101">
        <v>2100</v>
      </c>
      <c r="H2101">
        <v>2719</v>
      </c>
      <c r="I2101">
        <v>78</v>
      </c>
      <c r="J2101" t="s">
        <v>104</v>
      </c>
      <c r="K2101" t="s">
        <v>26</v>
      </c>
      <c r="L2101" t="s">
        <v>99</v>
      </c>
      <c r="M2101" t="s">
        <v>56</v>
      </c>
      <c r="N2101">
        <v>2.9</v>
      </c>
      <c r="O2101">
        <v>0</v>
      </c>
      <c r="P2101" t="s">
        <v>29</v>
      </c>
      <c r="Q2101" t="s">
        <v>155</v>
      </c>
      <c r="R2101" t="s">
        <v>155</v>
      </c>
      <c r="S2101">
        <v>50</v>
      </c>
      <c r="T2101" t="s">
        <v>49</v>
      </c>
      <c r="U2101" t="s">
        <v>52</v>
      </c>
      <c r="V2101" s="1">
        <v>45494</v>
      </c>
      <c r="W2101">
        <f>Table1[[#This Row],[customer_purchase count]]+1</f>
        <v>51</v>
      </c>
      <c r="X2101">
        <f>Table1[[#This Row],[customer_purchase count]]*Rules!$B$3</f>
        <v>2988.2179487179487</v>
      </c>
      <c r="Y2101" t="str">
        <f>IF(Table1[[#This Row],[customer_subscription]]=1,"Subscribed","Not Subscribed")</f>
        <v>Not Subscribed</v>
      </c>
    </row>
    <row r="2102" spans="1:26" x14ac:dyDescent="0.25">
      <c r="A2102">
        <v>2101</v>
      </c>
      <c r="B2102">
        <v>68</v>
      </c>
      <c r="C2102" t="s">
        <v>22</v>
      </c>
      <c r="D2102">
        <v>2101</v>
      </c>
      <c r="E2102" t="s">
        <v>33</v>
      </c>
      <c r="F2102" t="s">
        <v>24</v>
      </c>
      <c r="G2102">
        <v>2101</v>
      </c>
      <c r="H2102">
        <v>2720</v>
      </c>
      <c r="I2102">
        <v>31</v>
      </c>
      <c r="J2102" t="s">
        <v>154</v>
      </c>
      <c r="K2102" t="s">
        <v>47</v>
      </c>
      <c r="L2102" t="s">
        <v>68</v>
      </c>
      <c r="M2102" t="s">
        <v>40</v>
      </c>
      <c r="N2102">
        <v>4.4000000000000004</v>
      </c>
      <c r="O2102">
        <v>0</v>
      </c>
      <c r="P2102" t="s">
        <v>41</v>
      </c>
      <c r="Q2102" t="s">
        <v>155</v>
      </c>
      <c r="R2102" t="s">
        <v>155</v>
      </c>
      <c r="S2102">
        <v>36</v>
      </c>
      <c r="T2102" t="s">
        <v>36</v>
      </c>
      <c r="U2102" t="s">
        <v>32</v>
      </c>
      <c r="V2102" s="1">
        <v>45424</v>
      </c>
      <c r="W2102">
        <f>Table1[[#This Row],[customer_purchase count]]+1</f>
        <v>37</v>
      </c>
      <c r="X2102">
        <f>Table1[[#This Row],[customer_purchase count]]*Rules!$B$3</f>
        <v>2151.5169230769234</v>
      </c>
      <c r="Y2102" t="str">
        <f>IF(Table1[[#This Row],[customer_subscription]]=1,"Subscribed","Not Subscribed")</f>
        <v>Not Subscribed</v>
      </c>
    </row>
    <row r="2103" spans="1:26" x14ac:dyDescent="0.25">
      <c r="A2103">
        <v>2102</v>
      </c>
      <c r="B2103">
        <v>49</v>
      </c>
      <c r="C2103" t="s">
        <v>22</v>
      </c>
      <c r="D2103">
        <v>2102</v>
      </c>
      <c r="E2103" t="s">
        <v>58</v>
      </c>
      <c r="F2103" t="s">
        <v>24</v>
      </c>
      <c r="G2103">
        <v>2102</v>
      </c>
      <c r="H2103">
        <v>2721</v>
      </c>
      <c r="I2103">
        <v>23</v>
      </c>
      <c r="J2103" t="s">
        <v>50</v>
      </c>
      <c r="K2103" t="s">
        <v>47</v>
      </c>
      <c r="L2103" t="s">
        <v>147</v>
      </c>
      <c r="M2103" t="s">
        <v>28</v>
      </c>
      <c r="N2103">
        <v>3.6</v>
      </c>
      <c r="O2103">
        <v>0</v>
      </c>
      <c r="P2103" t="s">
        <v>48</v>
      </c>
      <c r="Q2103" t="s">
        <v>155</v>
      </c>
      <c r="R2103" t="s">
        <v>155</v>
      </c>
      <c r="S2103">
        <v>12</v>
      </c>
      <c r="T2103" t="s">
        <v>78</v>
      </c>
      <c r="U2103" t="s">
        <v>79</v>
      </c>
      <c r="V2103" s="1">
        <v>45347</v>
      </c>
      <c r="W2103">
        <f>Table1[[#This Row],[customer_purchase count]]+1</f>
        <v>13</v>
      </c>
      <c r="X2103">
        <f>Table1[[#This Row],[customer_purchase count]]*Rules!$B$3</f>
        <v>717.17230769230775</v>
      </c>
      <c r="Y2103" t="str">
        <f>IF(Table1[[#This Row],[customer_subscription]]=1,"Subscribed","Not Subscribed")</f>
        <v>Not Subscribed</v>
      </c>
      <c r="Z2103" t="s">
        <v>194</v>
      </c>
    </row>
    <row r="2104" spans="1:26" x14ac:dyDescent="0.25">
      <c r="A2104">
        <v>2103</v>
      </c>
      <c r="B2104">
        <v>23</v>
      </c>
      <c r="C2104" t="s">
        <v>22</v>
      </c>
      <c r="D2104">
        <v>2103</v>
      </c>
      <c r="E2104" t="s">
        <v>127</v>
      </c>
      <c r="F2104" t="s">
        <v>70</v>
      </c>
      <c r="G2104">
        <v>2103</v>
      </c>
      <c r="H2104">
        <v>2722</v>
      </c>
      <c r="I2104">
        <v>25</v>
      </c>
      <c r="J2104" t="s">
        <v>138</v>
      </c>
      <c r="K2104" t="s">
        <v>47</v>
      </c>
      <c r="L2104" t="s">
        <v>113</v>
      </c>
      <c r="M2104" t="s">
        <v>40</v>
      </c>
      <c r="N2104">
        <v>4.5</v>
      </c>
      <c r="O2104">
        <v>0</v>
      </c>
      <c r="P2104" t="s">
        <v>77</v>
      </c>
      <c r="Q2104" t="s">
        <v>155</v>
      </c>
      <c r="R2104" t="s">
        <v>155</v>
      </c>
      <c r="S2104">
        <v>23</v>
      </c>
      <c r="T2104" t="s">
        <v>36</v>
      </c>
      <c r="U2104" t="s">
        <v>91</v>
      </c>
      <c r="V2104" s="1">
        <v>45391</v>
      </c>
      <c r="W2104">
        <f>Table1[[#This Row],[customer_purchase count]]+1</f>
        <v>24</v>
      </c>
      <c r="X2104">
        <f>Table1[[#This Row],[customer_purchase count]]*Rules!$B$3</f>
        <v>1374.5802564102564</v>
      </c>
      <c r="Y2104" t="str">
        <f>IF(Table1[[#This Row],[customer_subscription]]=1,"Subscribed","Not Subscribed")</f>
        <v>Not Subscribed</v>
      </c>
    </row>
    <row r="2105" spans="1:26" x14ac:dyDescent="0.25">
      <c r="A2105">
        <v>2104</v>
      </c>
      <c r="B2105">
        <v>30</v>
      </c>
      <c r="C2105" t="s">
        <v>22</v>
      </c>
      <c r="D2105">
        <v>2104</v>
      </c>
      <c r="E2105" t="s">
        <v>98</v>
      </c>
      <c r="F2105" t="s">
        <v>24</v>
      </c>
      <c r="G2105">
        <v>2104</v>
      </c>
      <c r="H2105">
        <v>2723</v>
      </c>
      <c r="I2105">
        <v>86</v>
      </c>
      <c r="J2105" t="s">
        <v>119</v>
      </c>
      <c r="K2105" t="s">
        <v>39</v>
      </c>
      <c r="L2105" t="s">
        <v>111</v>
      </c>
      <c r="M2105" t="s">
        <v>56</v>
      </c>
      <c r="N2105">
        <v>3.7</v>
      </c>
      <c r="O2105">
        <v>0</v>
      </c>
      <c r="P2105" t="s">
        <v>77</v>
      </c>
      <c r="Q2105" t="s">
        <v>155</v>
      </c>
      <c r="R2105" t="s">
        <v>155</v>
      </c>
      <c r="S2105">
        <v>21</v>
      </c>
      <c r="T2105" t="s">
        <v>31</v>
      </c>
      <c r="U2105" t="s">
        <v>43</v>
      </c>
      <c r="V2105" s="1">
        <v>45450</v>
      </c>
      <c r="W2105">
        <f>Table1[[#This Row],[customer_purchase count]]+1</f>
        <v>22</v>
      </c>
      <c r="X2105">
        <f>Table1[[#This Row],[customer_purchase count]]*Rules!$B$3</f>
        <v>1255.0515384615385</v>
      </c>
      <c r="Y2105" t="str">
        <f>IF(Table1[[#This Row],[customer_subscription]]=1,"Subscribed","Not Subscribed")</f>
        <v>Not Subscribed</v>
      </c>
    </row>
    <row r="2106" spans="1:26" x14ac:dyDescent="0.25">
      <c r="A2106">
        <v>2105</v>
      </c>
      <c r="B2106">
        <v>53</v>
      </c>
      <c r="C2106" t="s">
        <v>22</v>
      </c>
      <c r="D2106">
        <v>2105</v>
      </c>
      <c r="E2106" t="s">
        <v>74</v>
      </c>
      <c r="F2106" t="s">
        <v>45</v>
      </c>
      <c r="G2106">
        <v>2105</v>
      </c>
      <c r="H2106">
        <v>2725</v>
      </c>
      <c r="I2106">
        <v>88</v>
      </c>
      <c r="J2106" t="s">
        <v>133</v>
      </c>
      <c r="K2106" t="s">
        <v>47</v>
      </c>
      <c r="L2106" t="s">
        <v>83</v>
      </c>
      <c r="M2106" t="s">
        <v>40</v>
      </c>
      <c r="N2106">
        <v>2.8</v>
      </c>
      <c r="O2106">
        <v>0</v>
      </c>
      <c r="P2106" t="s">
        <v>41</v>
      </c>
      <c r="Q2106" t="s">
        <v>155</v>
      </c>
      <c r="R2106" t="s">
        <v>155</v>
      </c>
      <c r="S2106">
        <v>47</v>
      </c>
      <c r="T2106" t="s">
        <v>31</v>
      </c>
      <c r="U2106" t="s">
        <v>43</v>
      </c>
      <c r="V2106" s="1">
        <v>45400</v>
      </c>
      <c r="W2106">
        <f>Table1[[#This Row],[customer_purchase count]]+1</f>
        <v>48</v>
      </c>
      <c r="X2106">
        <f>Table1[[#This Row],[customer_purchase count]]*Rules!$B$3</f>
        <v>2808.9248717948717</v>
      </c>
      <c r="Y2106" t="str">
        <f>IF(Table1[[#This Row],[customer_subscription]]=1,"Subscribed","Not Subscribed")</f>
        <v>Not Subscribed</v>
      </c>
    </row>
    <row r="2107" spans="1:26" x14ac:dyDescent="0.25">
      <c r="A2107">
        <v>2106</v>
      </c>
      <c r="B2107">
        <v>65</v>
      </c>
      <c r="C2107" t="s">
        <v>22</v>
      </c>
      <c r="D2107">
        <v>2106</v>
      </c>
      <c r="E2107" t="s">
        <v>146</v>
      </c>
      <c r="F2107" t="s">
        <v>70</v>
      </c>
      <c r="G2107">
        <v>2106</v>
      </c>
      <c r="H2107">
        <v>2726</v>
      </c>
      <c r="I2107">
        <v>35</v>
      </c>
      <c r="J2107" t="s">
        <v>134</v>
      </c>
      <c r="K2107" t="s">
        <v>47</v>
      </c>
      <c r="L2107" t="s">
        <v>68</v>
      </c>
      <c r="M2107" t="s">
        <v>40</v>
      </c>
      <c r="N2107">
        <v>4.5</v>
      </c>
      <c r="O2107">
        <v>0</v>
      </c>
      <c r="P2107" t="s">
        <v>41</v>
      </c>
      <c r="Q2107" t="s">
        <v>155</v>
      </c>
      <c r="R2107" t="s">
        <v>155</v>
      </c>
      <c r="S2107">
        <v>38</v>
      </c>
      <c r="T2107" t="s">
        <v>31</v>
      </c>
      <c r="U2107" t="s">
        <v>79</v>
      </c>
      <c r="V2107" s="1">
        <v>45407</v>
      </c>
      <c r="W2107">
        <f>Table1[[#This Row],[customer_purchase count]]+1</f>
        <v>39</v>
      </c>
      <c r="X2107">
        <f>Table1[[#This Row],[customer_purchase count]]*Rules!$B$3</f>
        <v>2271.0456410256411</v>
      </c>
      <c r="Y2107" t="str">
        <f>IF(Table1[[#This Row],[customer_subscription]]=1,"Subscribed","Not Subscribed")</f>
        <v>Not Subscribed</v>
      </c>
    </row>
    <row r="2108" spans="1:26" x14ac:dyDescent="0.25">
      <c r="A2108">
        <v>2107</v>
      </c>
      <c r="B2108">
        <v>60</v>
      </c>
      <c r="C2108" t="s">
        <v>22</v>
      </c>
      <c r="D2108">
        <v>2107</v>
      </c>
      <c r="E2108" t="s">
        <v>109</v>
      </c>
      <c r="F2108" t="s">
        <v>70</v>
      </c>
      <c r="G2108">
        <v>2107</v>
      </c>
      <c r="H2108">
        <v>2727</v>
      </c>
      <c r="I2108">
        <v>34</v>
      </c>
      <c r="J2108" t="s">
        <v>132</v>
      </c>
      <c r="K2108" t="s">
        <v>47</v>
      </c>
      <c r="L2108" t="s">
        <v>27</v>
      </c>
      <c r="M2108" t="s">
        <v>60</v>
      </c>
      <c r="N2108">
        <v>4.4000000000000004</v>
      </c>
      <c r="O2108">
        <v>0</v>
      </c>
      <c r="P2108" t="s">
        <v>57</v>
      </c>
      <c r="Q2108" t="s">
        <v>155</v>
      </c>
      <c r="R2108" t="s">
        <v>155</v>
      </c>
      <c r="S2108">
        <v>40</v>
      </c>
      <c r="T2108" t="s">
        <v>42</v>
      </c>
      <c r="U2108" t="s">
        <v>100</v>
      </c>
      <c r="V2108" s="1">
        <v>45586</v>
      </c>
      <c r="W2108">
        <f>Table1[[#This Row],[customer_purchase count]]+1</f>
        <v>41</v>
      </c>
      <c r="X2108">
        <f>Table1[[#This Row],[customer_purchase count]]*Rules!$B$3</f>
        <v>2390.5743589743593</v>
      </c>
      <c r="Y2108" t="str">
        <f>IF(Table1[[#This Row],[customer_subscription]]=1,"Subscribed","Not Subscribed")</f>
        <v>Not Subscribed</v>
      </c>
    </row>
    <row r="2109" spans="1:26" x14ac:dyDescent="0.25">
      <c r="A2109">
        <v>2108</v>
      </c>
      <c r="B2109">
        <v>46</v>
      </c>
      <c r="C2109" t="s">
        <v>22</v>
      </c>
      <c r="D2109">
        <v>2108</v>
      </c>
      <c r="E2109" t="s">
        <v>98</v>
      </c>
      <c r="F2109" t="s">
        <v>24</v>
      </c>
      <c r="G2109">
        <v>2108</v>
      </c>
      <c r="H2109">
        <v>2728</v>
      </c>
      <c r="I2109">
        <v>75</v>
      </c>
      <c r="J2109" t="s">
        <v>82</v>
      </c>
      <c r="K2109" t="s">
        <v>47</v>
      </c>
      <c r="L2109" t="s">
        <v>97</v>
      </c>
      <c r="M2109" t="s">
        <v>28</v>
      </c>
      <c r="N2109">
        <v>3.3</v>
      </c>
      <c r="O2109">
        <v>0</v>
      </c>
      <c r="P2109" t="s">
        <v>57</v>
      </c>
      <c r="Q2109" t="s">
        <v>155</v>
      </c>
      <c r="R2109" t="s">
        <v>155</v>
      </c>
      <c r="S2109">
        <v>35</v>
      </c>
      <c r="T2109" t="s">
        <v>49</v>
      </c>
      <c r="U2109" t="s">
        <v>61</v>
      </c>
      <c r="V2109" s="1">
        <v>45302</v>
      </c>
      <c r="W2109">
        <f>Table1[[#This Row],[customer_purchase count]]+1</f>
        <v>36</v>
      </c>
      <c r="X2109">
        <f>Table1[[#This Row],[customer_purchase count]]*Rules!$B$3</f>
        <v>2091.7525641025641</v>
      </c>
      <c r="Y2109" t="str">
        <f>IF(Table1[[#This Row],[customer_subscription]]=1,"Subscribed","Not Subscribed")</f>
        <v>Not Subscribed</v>
      </c>
    </row>
    <row r="2110" spans="1:26" x14ac:dyDescent="0.25">
      <c r="A2110">
        <v>2109</v>
      </c>
      <c r="B2110">
        <v>54</v>
      </c>
      <c r="C2110" t="s">
        <v>22</v>
      </c>
      <c r="D2110">
        <v>2109</v>
      </c>
      <c r="E2110" t="s">
        <v>107</v>
      </c>
      <c r="F2110" t="s">
        <v>24</v>
      </c>
      <c r="G2110">
        <v>2109</v>
      </c>
      <c r="H2110">
        <v>2729</v>
      </c>
      <c r="I2110">
        <v>46</v>
      </c>
      <c r="J2110" t="s">
        <v>117</v>
      </c>
      <c r="K2110" t="s">
        <v>95</v>
      </c>
      <c r="L2110" t="s">
        <v>121</v>
      </c>
      <c r="M2110" t="s">
        <v>28</v>
      </c>
      <c r="N2110">
        <v>4.2</v>
      </c>
      <c r="O2110">
        <v>0</v>
      </c>
      <c r="P2110" t="s">
        <v>29</v>
      </c>
      <c r="Q2110" t="s">
        <v>155</v>
      </c>
      <c r="R2110" t="s">
        <v>155</v>
      </c>
      <c r="S2110">
        <v>4</v>
      </c>
      <c r="T2110" t="s">
        <v>42</v>
      </c>
      <c r="U2110" t="s">
        <v>61</v>
      </c>
      <c r="V2110" s="1">
        <v>45636</v>
      </c>
      <c r="W2110">
        <f>Table1[[#This Row],[customer_purchase count]]+1</f>
        <v>5</v>
      </c>
      <c r="X2110">
        <f>Table1[[#This Row],[customer_purchase count]]*Rules!$B$3</f>
        <v>239.05743589743591</v>
      </c>
      <c r="Y2110" t="str">
        <f>IF(Table1[[#This Row],[customer_subscription]]=1,"Subscribed","Not Subscribed")</f>
        <v>Not Subscribed</v>
      </c>
      <c r="Z2110" t="s">
        <v>194</v>
      </c>
    </row>
    <row r="2111" spans="1:26" x14ac:dyDescent="0.25">
      <c r="A2111">
        <v>2110</v>
      </c>
      <c r="B2111">
        <v>59</v>
      </c>
      <c r="C2111" t="s">
        <v>22</v>
      </c>
      <c r="D2111">
        <v>2110</v>
      </c>
      <c r="E2111" t="s">
        <v>109</v>
      </c>
      <c r="F2111" t="s">
        <v>70</v>
      </c>
      <c r="G2111">
        <v>2110</v>
      </c>
      <c r="H2111">
        <v>2731</v>
      </c>
      <c r="I2111">
        <v>31</v>
      </c>
      <c r="J2111" t="s">
        <v>102</v>
      </c>
      <c r="K2111" t="s">
        <v>26</v>
      </c>
      <c r="L2111" t="s">
        <v>103</v>
      </c>
      <c r="M2111" t="s">
        <v>60</v>
      </c>
      <c r="N2111">
        <v>2.7</v>
      </c>
      <c r="O2111">
        <v>0</v>
      </c>
      <c r="P2111" t="s">
        <v>41</v>
      </c>
      <c r="Q2111" t="s">
        <v>155</v>
      </c>
      <c r="R2111" t="s">
        <v>155</v>
      </c>
      <c r="S2111">
        <v>28</v>
      </c>
      <c r="T2111" t="s">
        <v>31</v>
      </c>
      <c r="U2111" t="s">
        <v>100</v>
      </c>
      <c r="V2111" s="1">
        <v>45621</v>
      </c>
      <c r="W2111">
        <f>Table1[[#This Row],[customer_purchase count]]+1</f>
        <v>29</v>
      </c>
      <c r="X2111">
        <f>Table1[[#This Row],[customer_purchase count]]*Rules!$B$3</f>
        <v>1673.4020512820514</v>
      </c>
      <c r="Y2111" t="str">
        <f>IF(Table1[[#This Row],[customer_subscription]]=1,"Subscribed","Not Subscribed")</f>
        <v>Not Subscribed</v>
      </c>
    </row>
    <row r="2112" spans="1:26" x14ac:dyDescent="0.25">
      <c r="A2112">
        <v>2111</v>
      </c>
      <c r="B2112">
        <v>52</v>
      </c>
      <c r="C2112" t="s">
        <v>22</v>
      </c>
      <c r="D2112">
        <v>2111</v>
      </c>
      <c r="E2112" t="s">
        <v>128</v>
      </c>
      <c r="F2112" t="s">
        <v>24</v>
      </c>
      <c r="G2112">
        <v>2111</v>
      </c>
      <c r="H2112">
        <v>2732</v>
      </c>
      <c r="I2112">
        <v>93</v>
      </c>
      <c r="J2112" t="s">
        <v>59</v>
      </c>
      <c r="K2112" t="s">
        <v>26</v>
      </c>
      <c r="L2112" t="s">
        <v>112</v>
      </c>
      <c r="M2112" t="s">
        <v>40</v>
      </c>
      <c r="N2112">
        <v>3.9</v>
      </c>
      <c r="O2112">
        <v>0</v>
      </c>
      <c r="P2112" t="s">
        <v>77</v>
      </c>
      <c r="Q2112" t="s">
        <v>155</v>
      </c>
      <c r="R2112" t="s">
        <v>155</v>
      </c>
      <c r="S2112">
        <v>36</v>
      </c>
      <c r="T2112" t="s">
        <v>89</v>
      </c>
      <c r="U2112" t="s">
        <v>100</v>
      </c>
      <c r="V2112" s="1">
        <v>45378</v>
      </c>
      <c r="W2112">
        <f>Table1[[#This Row],[customer_purchase count]]+1</f>
        <v>37</v>
      </c>
      <c r="X2112">
        <f>Table1[[#This Row],[customer_purchase count]]*Rules!$B$3</f>
        <v>2151.5169230769234</v>
      </c>
      <c r="Y2112" t="str">
        <f>IF(Table1[[#This Row],[customer_subscription]]=1,"Subscribed","Not Subscribed")</f>
        <v>Not Subscribed</v>
      </c>
    </row>
    <row r="2113" spans="1:26" x14ac:dyDescent="0.25">
      <c r="A2113">
        <v>2112</v>
      </c>
      <c r="B2113">
        <v>41</v>
      </c>
      <c r="C2113" t="s">
        <v>22</v>
      </c>
      <c r="D2113">
        <v>2112</v>
      </c>
      <c r="E2113" t="s">
        <v>92</v>
      </c>
      <c r="F2113" t="s">
        <v>70</v>
      </c>
      <c r="G2113">
        <v>2112</v>
      </c>
      <c r="H2113">
        <v>2733</v>
      </c>
      <c r="I2113">
        <v>85</v>
      </c>
      <c r="J2113" t="s">
        <v>71</v>
      </c>
      <c r="K2113" t="s">
        <v>95</v>
      </c>
      <c r="L2113" t="s">
        <v>72</v>
      </c>
      <c r="M2113" t="s">
        <v>40</v>
      </c>
      <c r="N2113">
        <v>2.6</v>
      </c>
      <c r="O2113">
        <v>0</v>
      </c>
      <c r="P2113" t="s">
        <v>41</v>
      </c>
      <c r="Q2113" t="s">
        <v>155</v>
      </c>
      <c r="R2113" t="s">
        <v>155</v>
      </c>
      <c r="S2113">
        <v>15</v>
      </c>
      <c r="T2113" t="s">
        <v>78</v>
      </c>
      <c r="U2113" t="s">
        <v>52</v>
      </c>
      <c r="V2113" s="1">
        <v>45384</v>
      </c>
      <c r="W2113">
        <f>Table1[[#This Row],[customer_purchase count]]+1</f>
        <v>16</v>
      </c>
      <c r="X2113">
        <f>Table1[[#This Row],[customer_purchase count]]*Rules!$B$3</f>
        <v>896.46538461538466</v>
      </c>
      <c r="Y2113" t="str">
        <f>IF(Table1[[#This Row],[customer_subscription]]=1,"Subscribed","Not Subscribed")</f>
        <v>Not Subscribed</v>
      </c>
      <c r="Z2113" t="s">
        <v>194</v>
      </c>
    </row>
    <row r="2114" spans="1:26" x14ac:dyDescent="0.25">
      <c r="A2114">
        <v>2113</v>
      </c>
      <c r="B2114">
        <v>43</v>
      </c>
      <c r="C2114" t="s">
        <v>22</v>
      </c>
      <c r="D2114">
        <v>2113</v>
      </c>
      <c r="E2114" t="s">
        <v>136</v>
      </c>
      <c r="F2114" t="s">
        <v>70</v>
      </c>
      <c r="G2114">
        <v>2113</v>
      </c>
      <c r="H2114">
        <v>2734</v>
      </c>
      <c r="I2114">
        <v>68</v>
      </c>
      <c r="J2114" t="s">
        <v>125</v>
      </c>
      <c r="K2114" t="s">
        <v>47</v>
      </c>
      <c r="L2114" t="s">
        <v>96</v>
      </c>
      <c r="M2114" t="s">
        <v>60</v>
      </c>
      <c r="N2114">
        <v>4.5</v>
      </c>
      <c r="O2114">
        <v>0</v>
      </c>
      <c r="P2114" t="s">
        <v>73</v>
      </c>
      <c r="Q2114" t="s">
        <v>155</v>
      </c>
      <c r="R2114" t="s">
        <v>155</v>
      </c>
      <c r="S2114">
        <v>7</v>
      </c>
      <c r="T2114" t="s">
        <v>36</v>
      </c>
      <c r="U2114" t="s">
        <v>32</v>
      </c>
      <c r="V2114" s="1">
        <v>45593</v>
      </c>
      <c r="W2114">
        <f>Table1[[#This Row],[customer_purchase count]]+1</f>
        <v>8</v>
      </c>
      <c r="X2114">
        <f>Table1[[#This Row],[customer_purchase count]]*Rules!$B$3</f>
        <v>418.35051282051285</v>
      </c>
      <c r="Y2114" t="str">
        <f>IF(Table1[[#This Row],[customer_subscription]]=1,"Subscribed","Not Subscribed")</f>
        <v>Not Subscribed</v>
      </c>
      <c r="Z2114" t="s">
        <v>194</v>
      </c>
    </row>
    <row r="2115" spans="1:26" x14ac:dyDescent="0.25">
      <c r="A2115">
        <v>2114</v>
      </c>
      <c r="B2115">
        <v>63</v>
      </c>
      <c r="C2115" t="s">
        <v>22</v>
      </c>
      <c r="D2115">
        <v>2114</v>
      </c>
      <c r="E2115" t="s">
        <v>84</v>
      </c>
      <c r="F2115" t="s">
        <v>24</v>
      </c>
      <c r="G2115">
        <v>2114</v>
      </c>
      <c r="H2115">
        <v>2735</v>
      </c>
      <c r="I2115">
        <v>40</v>
      </c>
      <c r="J2115" t="s">
        <v>144</v>
      </c>
      <c r="K2115" t="s">
        <v>47</v>
      </c>
      <c r="L2115" t="s">
        <v>113</v>
      </c>
      <c r="M2115" t="s">
        <v>40</v>
      </c>
      <c r="N2115">
        <v>2.7</v>
      </c>
      <c r="O2115">
        <v>0</v>
      </c>
      <c r="P2115" t="s">
        <v>77</v>
      </c>
      <c r="Q2115" t="s">
        <v>155</v>
      </c>
      <c r="R2115" t="s">
        <v>155</v>
      </c>
      <c r="S2115">
        <v>29</v>
      </c>
      <c r="T2115" t="s">
        <v>49</v>
      </c>
      <c r="U2115" t="s">
        <v>100</v>
      </c>
      <c r="V2115" s="1">
        <v>45431</v>
      </c>
      <c r="W2115">
        <f>Table1[[#This Row],[customer_purchase count]]+1</f>
        <v>30</v>
      </c>
      <c r="X2115">
        <f>Table1[[#This Row],[customer_purchase count]]*Rules!$B$3</f>
        <v>1733.1664102564102</v>
      </c>
      <c r="Y2115" t="str">
        <f>IF(Table1[[#This Row],[customer_subscription]]=1,"Subscribed","Not Subscribed")</f>
        <v>Not Subscribed</v>
      </c>
    </row>
    <row r="2116" spans="1:26" x14ac:dyDescent="0.25">
      <c r="A2116">
        <v>2115</v>
      </c>
      <c r="B2116">
        <v>37</v>
      </c>
      <c r="C2116" t="s">
        <v>22</v>
      </c>
      <c r="D2116">
        <v>2115</v>
      </c>
      <c r="E2116" t="s">
        <v>58</v>
      </c>
      <c r="F2116" t="s">
        <v>24</v>
      </c>
      <c r="G2116">
        <v>2115</v>
      </c>
      <c r="H2116">
        <v>2737</v>
      </c>
      <c r="I2116">
        <v>51</v>
      </c>
      <c r="J2116" t="s">
        <v>132</v>
      </c>
      <c r="K2116" t="s">
        <v>47</v>
      </c>
      <c r="L2116" t="s">
        <v>139</v>
      </c>
      <c r="M2116" t="s">
        <v>28</v>
      </c>
      <c r="N2116">
        <v>2.9</v>
      </c>
      <c r="O2116">
        <v>0</v>
      </c>
      <c r="P2116" t="s">
        <v>57</v>
      </c>
      <c r="Q2116" t="s">
        <v>155</v>
      </c>
      <c r="R2116" t="s">
        <v>155</v>
      </c>
      <c r="S2116">
        <v>12</v>
      </c>
      <c r="T2116" t="s">
        <v>89</v>
      </c>
      <c r="U2116" t="s">
        <v>52</v>
      </c>
      <c r="V2116" s="1">
        <v>45328</v>
      </c>
      <c r="W2116">
        <f>Table1[[#This Row],[customer_purchase count]]+1</f>
        <v>13</v>
      </c>
      <c r="X2116">
        <f>Table1[[#This Row],[customer_purchase count]]*Rules!$B$3</f>
        <v>717.17230769230775</v>
      </c>
      <c r="Y2116" t="str">
        <f>IF(Table1[[#This Row],[customer_subscription]]=1,"Subscribed","Not Subscribed")</f>
        <v>Not Subscribed</v>
      </c>
      <c r="Z2116" t="s">
        <v>194</v>
      </c>
    </row>
    <row r="2117" spans="1:26" x14ac:dyDescent="0.25">
      <c r="A2117">
        <v>2116</v>
      </c>
      <c r="B2117">
        <v>44</v>
      </c>
      <c r="C2117" t="s">
        <v>22</v>
      </c>
      <c r="D2117">
        <v>2116</v>
      </c>
      <c r="E2117" t="s">
        <v>122</v>
      </c>
      <c r="F2117" t="s">
        <v>70</v>
      </c>
      <c r="G2117">
        <v>2116</v>
      </c>
      <c r="H2117">
        <v>2738</v>
      </c>
      <c r="I2117">
        <v>85</v>
      </c>
      <c r="J2117" t="s">
        <v>46</v>
      </c>
      <c r="K2117" t="s">
        <v>47</v>
      </c>
      <c r="L2117" t="s">
        <v>86</v>
      </c>
      <c r="M2117" t="s">
        <v>28</v>
      </c>
      <c r="N2117">
        <v>3.4</v>
      </c>
      <c r="O2117">
        <v>0</v>
      </c>
      <c r="P2117" t="s">
        <v>77</v>
      </c>
      <c r="Q2117" t="s">
        <v>155</v>
      </c>
      <c r="R2117" t="s">
        <v>155</v>
      </c>
      <c r="S2117">
        <v>16</v>
      </c>
      <c r="T2117" t="s">
        <v>78</v>
      </c>
      <c r="U2117" t="s">
        <v>79</v>
      </c>
      <c r="V2117" s="1">
        <v>45306</v>
      </c>
      <c r="W2117">
        <f>Table1[[#This Row],[customer_purchase count]]+1</f>
        <v>17</v>
      </c>
      <c r="X2117">
        <f>Table1[[#This Row],[customer_purchase count]]*Rules!$B$3</f>
        <v>956.22974358974363</v>
      </c>
      <c r="Y2117" t="str">
        <f>IF(Table1[[#This Row],[customer_subscription]]=1,"Subscribed","Not Subscribed")</f>
        <v>Not Subscribed</v>
      </c>
      <c r="Z2117" t="s">
        <v>194</v>
      </c>
    </row>
    <row r="2118" spans="1:26" x14ac:dyDescent="0.25">
      <c r="A2118">
        <v>2117</v>
      </c>
      <c r="B2118">
        <v>67</v>
      </c>
      <c r="C2118" t="s">
        <v>22</v>
      </c>
      <c r="D2118">
        <v>2117</v>
      </c>
      <c r="E2118" t="s">
        <v>105</v>
      </c>
      <c r="F2118" t="s">
        <v>66</v>
      </c>
      <c r="G2118">
        <v>2117</v>
      </c>
      <c r="H2118">
        <v>2739</v>
      </c>
      <c r="I2118">
        <v>23</v>
      </c>
      <c r="J2118" t="s">
        <v>114</v>
      </c>
      <c r="K2118" t="s">
        <v>47</v>
      </c>
      <c r="L2118" t="s">
        <v>88</v>
      </c>
      <c r="M2118" t="s">
        <v>56</v>
      </c>
      <c r="N2118">
        <v>2.9</v>
      </c>
      <c r="O2118">
        <v>0</v>
      </c>
      <c r="P2118" t="s">
        <v>29</v>
      </c>
      <c r="Q2118" t="s">
        <v>155</v>
      </c>
      <c r="R2118" t="s">
        <v>155</v>
      </c>
      <c r="S2118">
        <v>50</v>
      </c>
      <c r="T2118" t="s">
        <v>89</v>
      </c>
      <c r="U2118" t="s">
        <v>79</v>
      </c>
      <c r="V2118" s="1">
        <v>45499</v>
      </c>
      <c r="W2118">
        <f>Table1[[#This Row],[customer_purchase count]]+1</f>
        <v>51</v>
      </c>
      <c r="X2118">
        <f>Table1[[#This Row],[customer_purchase count]]*Rules!$B$3</f>
        <v>2988.2179487179487</v>
      </c>
      <c r="Y2118" t="str">
        <f>IF(Table1[[#This Row],[customer_subscription]]=1,"Subscribed","Not Subscribed")</f>
        <v>Not Subscribed</v>
      </c>
    </row>
    <row r="2119" spans="1:26" x14ac:dyDescent="0.25">
      <c r="A2119">
        <v>2118</v>
      </c>
      <c r="B2119">
        <v>27</v>
      </c>
      <c r="C2119" t="s">
        <v>22</v>
      </c>
      <c r="D2119">
        <v>2118</v>
      </c>
      <c r="E2119" t="s">
        <v>84</v>
      </c>
      <c r="F2119" t="s">
        <v>24</v>
      </c>
      <c r="G2119">
        <v>2118</v>
      </c>
      <c r="H2119">
        <v>2740</v>
      </c>
      <c r="I2119">
        <v>28</v>
      </c>
      <c r="J2119" t="s">
        <v>115</v>
      </c>
      <c r="K2119" t="s">
        <v>26</v>
      </c>
      <c r="L2119" t="s">
        <v>113</v>
      </c>
      <c r="M2119" t="s">
        <v>56</v>
      </c>
      <c r="N2119">
        <v>3.8</v>
      </c>
      <c r="O2119">
        <v>0</v>
      </c>
      <c r="P2119" t="s">
        <v>41</v>
      </c>
      <c r="Q2119" t="s">
        <v>155</v>
      </c>
      <c r="R2119" t="s">
        <v>155</v>
      </c>
      <c r="S2119">
        <v>11</v>
      </c>
      <c r="T2119" t="s">
        <v>89</v>
      </c>
      <c r="U2119" t="s">
        <v>52</v>
      </c>
      <c r="V2119" s="1">
        <v>45479</v>
      </c>
      <c r="W2119">
        <f>Table1[[#This Row],[customer_purchase count]]+1</f>
        <v>12</v>
      </c>
      <c r="X2119">
        <f>Table1[[#This Row],[customer_purchase count]]*Rules!$B$3</f>
        <v>657.40794871794878</v>
      </c>
      <c r="Y2119" t="str">
        <f>IF(Table1[[#This Row],[customer_subscription]]=1,"Subscribed","Not Subscribed")</f>
        <v>Not Subscribed</v>
      </c>
      <c r="Z2119" t="s">
        <v>187</v>
      </c>
    </row>
    <row r="2120" spans="1:26" x14ac:dyDescent="0.25">
      <c r="A2120">
        <v>2119</v>
      </c>
      <c r="B2120">
        <v>60</v>
      </c>
      <c r="C2120" t="s">
        <v>22</v>
      </c>
      <c r="D2120">
        <v>2119</v>
      </c>
      <c r="E2120" t="s">
        <v>128</v>
      </c>
      <c r="F2120" t="s">
        <v>24</v>
      </c>
      <c r="G2120">
        <v>2119</v>
      </c>
      <c r="H2120">
        <v>2741</v>
      </c>
      <c r="I2120">
        <v>44</v>
      </c>
      <c r="J2120" t="s">
        <v>145</v>
      </c>
      <c r="K2120" t="s">
        <v>47</v>
      </c>
      <c r="L2120" t="s">
        <v>81</v>
      </c>
      <c r="M2120" t="s">
        <v>60</v>
      </c>
      <c r="N2120">
        <v>4.2</v>
      </c>
      <c r="O2120">
        <v>0</v>
      </c>
      <c r="P2120" t="s">
        <v>73</v>
      </c>
      <c r="Q2120" t="s">
        <v>155</v>
      </c>
      <c r="R2120" t="s">
        <v>155</v>
      </c>
      <c r="S2120">
        <v>28</v>
      </c>
      <c r="T2120" t="s">
        <v>89</v>
      </c>
      <c r="U2120" t="s">
        <v>61</v>
      </c>
      <c r="V2120" s="1">
        <v>45622</v>
      </c>
      <c r="W2120">
        <f>Table1[[#This Row],[customer_purchase count]]+1</f>
        <v>29</v>
      </c>
      <c r="X2120">
        <f>Table1[[#This Row],[customer_purchase count]]*Rules!$B$3</f>
        <v>1673.4020512820514</v>
      </c>
      <c r="Y2120" t="str">
        <f>IF(Table1[[#This Row],[customer_subscription]]=1,"Subscribed","Not Subscribed")</f>
        <v>Not Subscribed</v>
      </c>
    </row>
    <row r="2121" spans="1:26" x14ac:dyDescent="0.25">
      <c r="A2121">
        <v>2120</v>
      </c>
      <c r="B2121">
        <v>58</v>
      </c>
      <c r="C2121" t="s">
        <v>22</v>
      </c>
      <c r="D2121">
        <v>2120</v>
      </c>
      <c r="E2121" t="s">
        <v>109</v>
      </c>
      <c r="F2121" t="s">
        <v>70</v>
      </c>
      <c r="G2121">
        <v>2120</v>
      </c>
      <c r="H2121">
        <v>2743</v>
      </c>
      <c r="I2121">
        <v>57</v>
      </c>
      <c r="J2121" t="s">
        <v>148</v>
      </c>
      <c r="K2121" t="s">
        <v>47</v>
      </c>
      <c r="L2121" t="s">
        <v>129</v>
      </c>
      <c r="M2121" t="s">
        <v>40</v>
      </c>
      <c r="N2121">
        <v>3.5</v>
      </c>
      <c r="O2121">
        <v>0</v>
      </c>
      <c r="P2121" t="s">
        <v>77</v>
      </c>
      <c r="Q2121" t="s">
        <v>155</v>
      </c>
      <c r="R2121" t="s">
        <v>155</v>
      </c>
      <c r="S2121">
        <v>36</v>
      </c>
      <c r="T2121" t="s">
        <v>31</v>
      </c>
      <c r="U2121" t="s">
        <v>79</v>
      </c>
      <c r="V2121" s="1">
        <v>45401</v>
      </c>
      <c r="W2121">
        <f>Table1[[#This Row],[customer_purchase count]]+1</f>
        <v>37</v>
      </c>
      <c r="X2121">
        <f>Table1[[#This Row],[customer_purchase count]]*Rules!$B$3</f>
        <v>2151.5169230769234</v>
      </c>
      <c r="Y2121" t="str">
        <f>IF(Table1[[#This Row],[customer_subscription]]=1,"Subscribed","Not Subscribed")</f>
        <v>Not Subscribed</v>
      </c>
    </row>
    <row r="2122" spans="1:26" x14ac:dyDescent="0.25">
      <c r="A2122">
        <v>2121</v>
      </c>
      <c r="B2122">
        <v>53</v>
      </c>
      <c r="C2122" t="s">
        <v>22</v>
      </c>
      <c r="D2122">
        <v>2121</v>
      </c>
      <c r="E2122" t="s">
        <v>122</v>
      </c>
      <c r="F2122" t="s">
        <v>70</v>
      </c>
      <c r="G2122">
        <v>2121</v>
      </c>
      <c r="H2122">
        <v>2744</v>
      </c>
      <c r="I2122">
        <v>98</v>
      </c>
      <c r="J2122" t="s">
        <v>71</v>
      </c>
      <c r="K2122" t="s">
        <v>39</v>
      </c>
      <c r="L2122" t="s">
        <v>111</v>
      </c>
      <c r="M2122" t="s">
        <v>60</v>
      </c>
      <c r="N2122">
        <v>3.1</v>
      </c>
      <c r="O2122">
        <v>0</v>
      </c>
      <c r="P2122" t="s">
        <v>48</v>
      </c>
      <c r="Q2122" t="s">
        <v>155</v>
      </c>
      <c r="R2122" t="s">
        <v>155</v>
      </c>
      <c r="S2122">
        <v>38</v>
      </c>
      <c r="T2122" t="s">
        <v>49</v>
      </c>
      <c r="U2122" t="s">
        <v>61</v>
      </c>
      <c r="V2122" s="1">
        <v>45584</v>
      </c>
      <c r="W2122">
        <f>Table1[[#This Row],[customer_purchase count]]+1</f>
        <v>39</v>
      </c>
      <c r="X2122">
        <f>Table1[[#This Row],[customer_purchase count]]*Rules!$B$3</f>
        <v>2271.0456410256411</v>
      </c>
      <c r="Y2122" t="str">
        <f>IF(Table1[[#This Row],[customer_subscription]]=1,"Subscribed","Not Subscribed")</f>
        <v>Not Subscribed</v>
      </c>
    </row>
    <row r="2123" spans="1:26" x14ac:dyDescent="0.25">
      <c r="A2123">
        <v>2122</v>
      </c>
      <c r="B2123">
        <v>43</v>
      </c>
      <c r="C2123" t="s">
        <v>22</v>
      </c>
      <c r="D2123">
        <v>2122</v>
      </c>
      <c r="E2123" t="s">
        <v>135</v>
      </c>
      <c r="F2123" t="s">
        <v>70</v>
      </c>
      <c r="G2123">
        <v>2122</v>
      </c>
      <c r="H2123">
        <v>2745</v>
      </c>
      <c r="I2123">
        <v>68</v>
      </c>
      <c r="J2123" t="s">
        <v>123</v>
      </c>
      <c r="K2123" t="s">
        <v>47</v>
      </c>
      <c r="L2123" t="s">
        <v>81</v>
      </c>
      <c r="M2123" t="s">
        <v>28</v>
      </c>
      <c r="N2123">
        <v>3.5</v>
      </c>
      <c r="O2123">
        <v>0</v>
      </c>
      <c r="P2123" t="s">
        <v>73</v>
      </c>
      <c r="Q2123" t="s">
        <v>155</v>
      </c>
      <c r="R2123" t="s">
        <v>155</v>
      </c>
      <c r="S2123">
        <v>32</v>
      </c>
      <c r="T2123" t="s">
        <v>78</v>
      </c>
      <c r="U2123" t="s">
        <v>91</v>
      </c>
      <c r="V2123" s="1">
        <v>45299</v>
      </c>
      <c r="W2123">
        <f>Table1[[#This Row],[customer_purchase count]]+1</f>
        <v>33</v>
      </c>
      <c r="X2123">
        <f>Table1[[#This Row],[customer_purchase count]]*Rules!$B$3</f>
        <v>1912.4594871794873</v>
      </c>
      <c r="Y2123" t="str">
        <f>IF(Table1[[#This Row],[customer_subscription]]=1,"Subscribed","Not Subscribed")</f>
        <v>Not Subscribed</v>
      </c>
    </row>
    <row r="2124" spans="1:26" x14ac:dyDescent="0.25">
      <c r="A2124">
        <v>2123</v>
      </c>
      <c r="B2124">
        <v>32</v>
      </c>
      <c r="C2124" t="s">
        <v>22</v>
      </c>
      <c r="D2124">
        <v>2123</v>
      </c>
      <c r="E2124" t="s">
        <v>105</v>
      </c>
      <c r="F2124" t="s">
        <v>66</v>
      </c>
      <c r="G2124">
        <v>2123</v>
      </c>
      <c r="H2124">
        <v>2746</v>
      </c>
      <c r="I2124">
        <v>36</v>
      </c>
      <c r="J2124" t="s">
        <v>144</v>
      </c>
      <c r="K2124" t="s">
        <v>26</v>
      </c>
      <c r="L2124" t="s">
        <v>88</v>
      </c>
      <c r="M2124" t="s">
        <v>60</v>
      </c>
      <c r="N2124">
        <v>4</v>
      </c>
      <c r="O2124">
        <v>0</v>
      </c>
      <c r="P2124" t="s">
        <v>29</v>
      </c>
      <c r="Q2124" t="s">
        <v>155</v>
      </c>
      <c r="R2124" t="s">
        <v>155</v>
      </c>
      <c r="S2124">
        <v>42</v>
      </c>
      <c r="T2124" t="s">
        <v>89</v>
      </c>
      <c r="U2124" t="s">
        <v>43</v>
      </c>
      <c r="V2124" s="1">
        <v>45605</v>
      </c>
      <c r="W2124">
        <f>Table1[[#This Row],[customer_purchase count]]+1</f>
        <v>43</v>
      </c>
      <c r="X2124">
        <f>Table1[[#This Row],[customer_purchase count]]*Rules!$B$3</f>
        <v>2510.103076923077</v>
      </c>
      <c r="Y2124" t="str">
        <f>IF(Table1[[#This Row],[customer_subscription]]=1,"Subscribed","Not Subscribed")</f>
        <v>Not Subscribed</v>
      </c>
    </row>
    <row r="2125" spans="1:26" x14ac:dyDescent="0.25">
      <c r="A2125">
        <v>2124</v>
      </c>
      <c r="B2125">
        <v>54</v>
      </c>
      <c r="C2125" t="s">
        <v>22</v>
      </c>
      <c r="D2125">
        <v>2124</v>
      </c>
      <c r="E2125" t="s">
        <v>65</v>
      </c>
      <c r="F2125" t="s">
        <v>66</v>
      </c>
      <c r="G2125">
        <v>2124</v>
      </c>
      <c r="H2125">
        <v>2747</v>
      </c>
      <c r="I2125">
        <v>71</v>
      </c>
      <c r="J2125" t="s">
        <v>148</v>
      </c>
      <c r="K2125" t="s">
        <v>26</v>
      </c>
      <c r="L2125" t="s">
        <v>112</v>
      </c>
      <c r="M2125" t="s">
        <v>40</v>
      </c>
      <c r="N2125">
        <v>3.7</v>
      </c>
      <c r="O2125">
        <v>0</v>
      </c>
      <c r="P2125" t="s">
        <v>29</v>
      </c>
      <c r="Q2125" t="s">
        <v>155</v>
      </c>
      <c r="R2125" t="s">
        <v>155</v>
      </c>
      <c r="S2125">
        <v>22</v>
      </c>
      <c r="T2125" t="s">
        <v>89</v>
      </c>
      <c r="U2125" t="s">
        <v>79</v>
      </c>
      <c r="V2125" s="1">
        <v>45423</v>
      </c>
      <c r="W2125">
        <f>Table1[[#This Row],[customer_purchase count]]+1</f>
        <v>23</v>
      </c>
      <c r="X2125">
        <f>Table1[[#This Row],[customer_purchase count]]*Rules!$B$3</f>
        <v>1314.8158974358976</v>
      </c>
      <c r="Y2125" t="str">
        <f>IF(Table1[[#This Row],[customer_subscription]]=1,"Subscribed","Not Subscribed")</f>
        <v>Not Subscribed</v>
      </c>
    </row>
    <row r="2126" spans="1:26" x14ac:dyDescent="0.25">
      <c r="A2126">
        <v>2125</v>
      </c>
      <c r="B2126">
        <v>47</v>
      </c>
      <c r="C2126" t="s">
        <v>22</v>
      </c>
      <c r="D2126">
        <v>2125</v>
      </c>
      <c r="E2126" t="s">
        <v>90</v>
      </c>
      <c r="F2126" t="s">
        <v>24</v>
      </c>
      <c r="G2126">
        <v>2125</v>
      </c>
      <c r="H2126">
        <v>2749</v>
      </c>
      <c r="I2126">
        <v>60</v>
      </c>
      <c r="J2126" t="s">
        <v>46</v>
      </c>
      <c r="K2126" t="s">
        <v>47</v>
      </c>
      <c r="L2126" t="s">
        <v>88</v>
      </c>
      <c r="M2126" t="s">
        <v>60</v>
      </c>
      <c r="N2126">
        <v>4.2</v>
      </c>
      <c r="O2126">
        <v>0</v>
      </c>
      <c r="P2126" t="s">
        <v>48</v>
      </c>
      <c r="Q2126" t="s">
        <v>155</v>
      </c>
      <c r="R2126" t="s">
        <v>155</v>
      </c>
      <c r="S2126">
        <v>22</v>
      </c>
      <c r="T2126" t="s">
        <v>31</v>
      </c>
      <c r="U2126" t="s">
        <v>61</v>
      </c>
      <c r="V2126" s="1">
        <v>45571</v>
      </c>
      <c r="W2126">
        <f>Table1[[#This Row],[customer_purchase count]]+1</f>
        <v>23</v>
      </c>
      <c r="X2126">
        <f>Table1[[#This Row],[customer_purchase count]]*Rules!$B$3</f>
        <v>1314.8158974358976</v>
      </c>
      <c r="Y2126" t="str">
        <f>IF(Table1[[#This Row],[customer_subscription]]=1,"Subscribed","Not Subscribed")</f>
        <v>Not Subscribed</v>
      </c>
    </row>
    <row r="2127" spans="1:26" x14ac:dyDescent="0.25">
      <c r="A2127">
        <v>2126</v>
      </c>
      <c r="B2127">
        <v>57</v>
      </c>
      <c r="C2127" t="s">
        <v>22</v>
      </c>
      <c r="D2127">
        <v>2126</v>
      </c>
      <c r="E2127" t="s">
        <v>65</v>
      </c>
      <c r="F2127" t="s">
        <v>66</v>
      </c>
      <c r="G2127">
        <v>2126</v>
      </c>
      <c r="H2127">
        <v>2750</v>
      </c>
      <c r="I2127">
        <v>87</v>
      </c>
      <c r="J2127" t="s">
        <v>85</v>
      </c>
      <c r="K2127" t="s">
        <v>47</v>
      </c>
      <c r="L2127" t="s">
        <v>121</v>
      </c>
      <c r="M2127" t="s">
        <v>60</v>
      </c>
      <c r="N2127">
        <v>4.8</v>
      </c>
      <c r="O2127">
        <v>0</v>
      </c>
      <c r="P2127" t="s">
        <v>77</v>
      </c>
      <c r="Q2127" t="s">
        <v>155</v>
      </c>
      <c r="R2127" t="s">
        <v>155</v>
      </c>
      <c r="S2127">
        <v>31</v>
      </c>
      <c r="T2127" t="s">
        <v>49</v>
      </c>
      <c r="U2127" t="s">
        <v>61</v>
      </c>
      <c r="V2127" s="1">
        <v>45624</v>
      </c>
      <c r="W2127">
        <f>Table1[[#This Row],[customer_purchase count]]+1</f>
        <v>32</v>
      </c>
      <c r="X2127">
        <f>Table1[[#This Row],[customer_purchase count]]*Rules!$B$3</f>
        <v>1852.6951282051282</v>
      </c>
      <c r="Y2127" t="str">
        <f>IF(Table1[[#This Row],[customer_subscription]]=1,"Subscribed","Not Subscribed")</f>
        <v>Not Subscribed</v>
      </c>
    </row>
    <row r="2128" spans="1:26" x14ac:dyDescent="0.25">
      <c r="A2128">
        <v>2127</v>
      </c>
      <c r="B2128">
        <v>63</v>
      </c>
      <c r="C2128" t="s">
        <v>22</v>
      </c>
      <c r="D2128">
        <v>2127</v>
      </c>
      <c r="E2128" t="s">
        <v>74</v>
      </c>
      <c r="F2128" t="s">
        <v>45</v>
      </c>
      <c r="G2128">
        <v>2127</v>
      </c>
      <c r="H2128">
        <v>2751</v>
      </c>
      <c r="I2128">
        <v>38</v>
      </c>
      <c r="J2128" t="s">
        <v>93</v>
      </c>
      <c r="K2128" t="s">
        <v>95</v>
      </c>
      <c r="L2128" t="s">
        <v>139</v>
      </c>
      <c r="M2128" t="s">
        <v>28</v>
      </c>
      <c r="N2128">
        <v>4.0999999999999996</v>
      </c>
      <c r="O2128">
        <v>0</v>
      </c>
      <c r="P2128" t="s">
        <v>29</v>
      </c>
      <c r="Q2128" t="s">
        <v>155</v>
      </c>
      <c r="R2128" t="s">
        <v>155</v>
      </c>
      <c r="S2128">
        <v>28</v>
      </c>
      <c r="T2128" t="s">
        <v>42</v>
      </c>
      <c r="U2128" t="s">
        <v>91</v>
      </c>
      <c r="V2128" s="1">
        <v>45637</v>
      </c>
      <c r="W2128">
        <f>Table1[[#This Row],[customer_purchase count]]+1</f>
        <v>29</v>
      </c>
      <c r="X2128">
        <f>Table1[[#This Row],[customer_purchase count]]*Rules!$B$3</f>
        <v>1673.4020512820514</v>
      </c>
      <c r="Y2128" t="str">
        <f>IF(Table1[[#This Row],[customer_subscription]]=1,"Subscribed","Not Subscribed")</f>
        <v>Not Subscribed</v>
      </c>
    </row>
    <row r="2129" spans="1:26" x14ac:dyDescent="0.25">
      <c r="A2129">
        <v>2128</v>
      </c>
      <c r="B2129">
        <v>70</v>
      </c>
      <c r="C2129" t="s">
        <v>22</v>
      </c>
      <c r="D2129">
        <v>2128</v>
      </c>
      <c r="E2129" t="s">
        <v>140</v>
      </c>
      <c r="F2129" t="s">
        <v>45</v>
      </c>
      <c r="G2129">
        <v>2128</v>
      </c>
      <c r="H2129">
        <v>2752</v>
      </c>
      <c r="I2129">
        <v>45</v>
      </c>
      <c r="J2129" t="s">
        <v>101</v>
      </c>
      <c r="K2129" t="s">
        <v>47</v>
      </c>
      <c r="L2129" t="s">
        <v>129</v>
      </c>
      <c r="M2129" t="s">
        <v>40</v>
      </c>
      <c r="N2129">
        <v>4.5</v>
      </c>
      <c r="O2129">
        <v>0</v>
      </c>
      <c r="P2129" t="s">
        <v>73</v>
      </c>
      <c r="Q2129" t="s">
        <v>155</v>
      </c>
      <c r="R2129" t="s">
        <v>155</v>
      </c>
      <c r="S2129">
        <v>40</v>
      </c>
      <c r="T2129" t="s">
        <v>89</v>
      </c>
      <c r="U2129" t="s">
        <v>43</v>
      </c>
      <c r="V2129" s="1">
        <v>45400</v>
      </c>
      <c r="W2129">
        <f>Table1[[#This Row],[customer_purchase count]]+1</f>
        <v>41</v>
      </c>
      <c r="X2129">
        <f>Table1[[#This Row],[customer_purchase count]]*Rules!$B$3</f>
        <v>2390.5743589743593</v>
      </c>
      <c r="Y2129" t="str">
        <f>IF(Table1[[#This Row],[customer_subscription]]=1,"Subscribed","Not Subscribed")</f>
        <v>Not Subscribed</v>
      </c>
    </row>
    <row r="2130" spans="1:26" x14ac:dyDescent="0.25">
      <c r="A2130">
        <v>2129</v>
      </c>
      <c r="B2130">
        <v>62</v>
      </c>
      <c r="C2130" t="s">
        <v>22</v>
      </c>
      <c r="D2130">
        <v>2129</v>
      </c>
      <c r="E2130" t="s">
        <v>65</v>
      </c>
      <c r="F2130" t="s">
        <v>66</v>
      </c>
      <c r="G2130">
        <v>2129</v>
      </c>
      <c r="H2130">
        <v>2753</v>
      </c>
      <c r="I2130">
        <v>47</v>
      </c>
      <c r="J2130" t="s">
        <v>133</v>
      </c>
      <c r="K2130" t="s">
        <v>26</v>
      </c>
      <c r="L2130" t="s">
        <v>112</v>
      </c>
      <c r="M2130" t="s">
        <v>60</v>
      </c>
      <c r="N2130">
        <v>2.7</v>
      </c>
      <c r="O2130">
        <v>0</v>
      </c>
      <c r="P2130" t="s">
        <v>73</v>
      </c>
      <c r="Q2130" t="s">
        <v>155</v>
      </c>
      <c r="R2130" t="s">
        <v>155</v>
      </c>
      <c r="S2130">
        <v>21</v>
      </c>
      <c r="T2130" t="s">
        <v>49</v>
      </c>
      <c r="U2130" t="s">
        <v>43</v>
      </c>
      <c r="V2130" s="1">
        <v>45605</v>
      </c>
      <c r="W2130">
        <f>Table1[[#This Row],[customer_purchase count]]+1</f>
        <v>22</v>
      </c>
      <c r="X2130">
        <f>Table1[[#This Row],[customer_purchase count]]*Rules!$B$3</f>
        <v>1255.0515384615385</v>
      </c>
      <c r="Y2130" t="str">
        <f>IF(Table1[[#This Row],[customer_subscription]]=1,"Subscribed","Not Subscribed")</f>
        <v>Not Subscribed</v>
      </c>
    </row>
    <row r="2131" spans="1:26" x14ac:dyDescent="0.25">
      <c r="A2131">
        <v>2130</v>
      </c>
      <c r="B2131">
        <v>40</v>
      </c>
      <c r="C2131" t="s">
        <v>22</v>
      </c>
      <c r="D2131">
        <v>2130</v>
      </c>
      <c r="E2131" t="s">
        <v>90</v>
      </c>
      <c r="F2131" t="s">
        <v>24</v>
      </c>
      <c r="G2131">
        <v>2130</v>
      </c>
      <c r="H2131">
        <v>2755</v>
      </c>
      <c r="I2131">
        <v>57</v>
      </c>
      <c r="J2131" t="s">
        <v>151</v>
      </c>
      <c r="K2131" t="s">
        <v>26</v>
      </c>
      <c r="L2131" t="s">
        <v>124</v>
      </c>
      <c r="M2131" t="s">
        <v>60</v>
      </c>
      <c r="N2131">
        <v>2.8</v>
      </c>
      <c r="O2131">
        <v>0</v>
      </c>
      <c r="P2131" t="s">
        <v>77</v>
      </c>
      <c r="Q2131" t="s">
        <v>155</v>
      </c>
      <c r="R2131" t="s">
        <v>155</v>
      </c>
      <c r="S2131">
        <v>12</v>
      </c>
      <c r="T2131" t="s">
        <v>49</v>
      </c>
      <c r="U2131" t="s">
        <v>100</v>
      </c>
      <c r="V2131" s="1">
        <v>45552</v>
      </c>
      <c r="W2131">
        <f>Table1[[#This Row],[customer_purchase count]]+1</f>
        <v>13</v>
      </c>
      <c r="X2131">
        <f>Table1[[#This Row],[customer_purchase count]]*Rules!$B$3</f>
        <v>717.17230769230775</v>
      </c>
      <c r="Y2131" t="str">
        <f>IF(Table1[[#This Row],[customer_subscription]]=1,"Subscribed","Not Subscribed")</f>
        <v>Not Subscribed</v>
      </c>
      <c r="Z2131" t="s">
        <v>194</v>
      </c>
    </row>
    <row r="2132" spans="1:26" x14ac:dyDescent="0.25">
      <c r="A2132">
        <v>2131</v>
      </c>
      <c r="B2132">
        <v>25</v>
      </c>
      <c r="C2132" t="s">
        <v>22</v>
      </c>
      <c r="D2132">
        <v>2131</v>
      </c>
      <c r="E2132" t="s">
        <v>135</v>
      </c>
      <c r="F2132" t="s">
        <v>70</v>
      </c>
      <c r="G2132">
        <v>2131</v>
      </c>
      <c r="H2132">
        <v>2756</v>
      </c>
      <c r="I2132">
        <v>68</v>
      </c>
      <c r="J2132" t="s">
        <v>120</v>
      </c>
      <c r="K2132" t="s">
        <v>26</v>
      </c>
      <c r="L2132" t="s">
        <v>86</v>
      </c>
      <c r="M2132" t="s">
        <v>56</v>
      </c>
      <c r="N2132">
        <v>3.7</v>
      </c>
      <c r="O2132">
        <v>0</v>
      </c>
      <c r="P2132" t="s">
        <v>41</v>
      </c>
      <c r="Q2132" t="s">
        <v>155</v>
      </c>
      <c r="R2132" t="s">
        <v>155</v>
      </c>
      <c r="S2132">
        <v>33</v>
      </c>
      <c r="T2132" t="s">
        <v>42</v>
      </c>
      <c r="U2132" t="s">
        <v>52</v>
      </c>
      <c r="V2132" s="1">
        <v>45489</v>
      </c>
      <c r="W2132">
        <f>Table1[[#This Row],[customer_purchase count]]+1</f>
        <v>34</v>
      </c>
      <c r="X2132">
        <f>Table1[[#This Row],[customer_purchase count]]*Rules!$B$3</f>
        <v>1972.2238461538464</v>
      </c>
      <c r="Y2132" t="str">
        <f>IF(Table1[[#This Row],[customer_subscription]]=1,"Subscribed","Not Subscribed")</f>
        <v>Not Subscribed</v>
      </c>
    </row>
    <row r="2133" spans="1:26" x14ac:dyDescent="0.25">
      <c r="A2133">
        <v>2132</v>
      </c>
      <c r="B2133">
        <v>19</v>
      </c>
      <c r="C2133" t="s">
        <v>22</v>
      </c>
      <c r="D2133">
        <v>2132</v>
      </c>
      <c r="E2133" t="s">
        <v>62</v>
      </c>
      <c r="F2133" t="s">
        <v>24</v>
      </c>
      <c r="G2133">
        <v>2132</v>
      </c>
      <c r="H2133">
        <v>2757</v>
      </c>
      <c r="I2133">
        <v>52</v>
      </c>
      <c r="J2133" t="s">
        <v>59</v>
      </c>
      <c r="K2133" t="s">
        <v>47</v>
      </c>
      <c r="L2133" t="s">
        <v>111</v>
      </c>
      <c r="M2133" t="s">
        <v>60</v>
      </c>
      <c r="N2133">
        <v>3.6</v>
      </c>
      <c r="O2133">
        <v>0</v>
      </c>
      <c r="P2133" t="s">
        <v>29</v>
      </c>
      <c r="Q2133" t="s">
        <v>155</v>
      </c>
      <c r="R2133" t="s">
        <v>155</v>
      </c>
      <c r="S2133">
        <v>9</v>
      </c>
      <c r="T2133" t="s">
        <v>78</v>
      </c>
      <c r="U2133" t="s">
        <v>32</v>
      </c>
      <c r="V2133" s="1">
        <v>45555</v>
      </c>
      <c r="W2133">
        <f>Table1[[#This Row],[customer_purchase count]]+1</f>
        <v>10</v>
      </c>
      <c r="X2133">
        <f>Table1[[#This Row],[customer_purchase count]]*Rules!$B$3</f>
        <v>537.87923076923084</v>
      </c>
      <c r="Y2133" t="str">
        <f>IF(Table1[[#This Row],[customer_subscription]]=1,"Subscribed","Not Subscribed")</f>
        <v>Not Subscribed</v>
      </c>
      <c r="Z2133" t="s">
        <v>187</v>
      </c>
    </row>
    <row r="2134" spans="1:26" x14ac:dyDescent="0.25">
      <c r="A2134">
        <v>2133</v>
      </c>
      <c r="B2134">
        <v>25</v>
      </c>
      <c r="C2134" t="s">
        <v>22</v>
      </c>
      <c r="D2134">
        <v>2133</v>
      </c>
      <c r="E2134" t="s">
        <v>90</v>
      </c>
      <c r="F2134" t="s">
        <v>24</v>
      </c>
      <c r="G2134">
        <v>2133</v>
      </c>
      <c r="H2134">
        <v>2758</v>
      </c>
      <c r="I2134">
        <v>87</v>
      </c>
      <c r="J2134" t="s">
        <v>132</v>
      </c>
      <c r="K2134" t="s">
        <v>47</v>
      </c>
      <c r="L2134" t="s">
        <v>139</v>
      </c>
      <c r="M2134" t="s">
        <v>60</v>
      </c>
      <c r="N2134">
        <v>4.7</v>
      </c>
      <c r="O2134">
        <v>0</v>
      </c>
      <c r="P2134" t="s">
        <v>73</v>
      </c>
      <c r="Q2134" t="s">
        <v>155</v>
      </c>
      <c r="R2134" t="s">
        <v>155</v>
      </c>
      <c r="S2134">
        <v>15</v>
      </c>
      <c r="T2134" t="s">
        <v>89</v>
      </c>
      <c r="U2134" t="s">
        <v>43</v>
      </c>
      <c r="V2134" s="1">
        <v>45614</v>
      </c>
      <c r="W2134">
        <f>Table1[[#This Row],[customer_purchase count]]+1</f>
        <v>16</v>
      </c>
      <c r="X2134">
        <f>Table1[[#This Row],[customer_purchase count]]*Rules!$B$3</f>
        <v>896.46538461538466</v>
      </c>
      <c r="Y2134" t="str">
        <f>IF(Table1[[#This Row],[customer_subscription]]=1,"Subscribed","Not Subscribed")</f>
        <v>Not Subscribed</v>
      </c>
      <c r="Z2134" t="s">
        <v>187</v>
      </c>
    </row>
    <row r="2135" spans="1:26" x14ac:dyDescent="0.25">
      <c r="A2135">
        <v>2134</v>
      </c>
      <c r="B2135">
        <v>21</v>
      </c>
      <c r="C2135" t="s">
        <v>22</v>
      </c>
      <c r="D2135">
        <v>2134</v>
      </c>
      <c r="E2135" t="s">
        <v>127</v>
      </c>
      <c r="F2135" t="s">
        <v>70</v>
      </c>
      <c r="G2135">
        <v>2134</v>
      </c>
      <c r="H2135">
        <v>2759</v>
      </c>
      <c r="I2135">
        <v>34</v>
      </c>
      <c r="J2135" t="s">
        <v>34</v>
      </c>
      <c r="K2135" t="s">
        <v>47</v>
      </c>
      <c r="L2135" t="s">
        <v>81</v>
      </c>
      <c r="M2135" t="s">
        <v>56</v>
      </c>
      <c r="N2135">
        <v>3.8</v>
      </c>
      <c r="O2135">
        <v>0</v>
      </c>
      <c r="P2135" t="s">
        <v>57</v>
      </c>
      <c r="Q2135" t="s">
        <v>155</v>
      </c>
      <c r="R2135" t="s">
        <v>155</v>
      </c>
      <c r="S2135">
        <v>13</v>
      </c>
      <c r="T2135" t="s">
        <v>78</v>
      </c>
      <c r="U2135" t="s">
        <v>52</v>
      </c>
      <c r="V2135" s="1">
        <v>45444</v>
      </c>
      <c r="W2135">
        <f>Table1[[#This Row],[customer_purchase count]]+1</f>
        <v>14</v>
      </c>
      <c r="X2135">
        <f>Table1[[#This Row],[customer_purchase count]]*Rules!$B$3</f>
        <v>776.93666666666672</v>
      </c>
      <c r="Y2135" t="str">
        <f>IF(Table1[[#This Row],[customer_subscription]]=1,"Subscribed","Not Subscribed")</f>
        <v>Not Subscribed</v>
      </c>
      <c r="Z2135" t="s">
        <v>187</v>
      </c>
    </row>
    <row r="2136" spans="1:26" x14ac:dyDescent="0.25">
      <c r="A2136">
        <v>2135</v>
      </c>
      <c r="B2136">
        <v>55</v>
      </c>
      <c r="C2136" t="s">
        <v>22</v>
      </c>
      <c r="D2136">
        <v>2135</v>
      </c>
      <c r="E2136" t="s">
        <v>44</v>
      </c>
      <c r="F2136" t="s">
        <v>45</v>
      </c>
      <c r="G2136">
        <v>2135</v>
      </c>
      <c r="H2136">
        <v>2761</v>
      </c>
      <c r="I2136">
        <v>41</v>
      </c>
      <c r="J2136" t="s">
        <v>144</v>
      </c>
      <c r="K2136" t="s">
        <v>95</v>
      </c>
      <c r="L2136" t="s">
        <v>35</v>
      </c>
      <c r="M2136" t="s">
        <v>28</v>
      </c>
      <c r="N2136">
        <v>2.9</v>
      </c>
      <c r="O2136">
        <v>0</v>
      </c>
      <c r="P2136" t="s">
        <v>57</v>
      </c>
      <c r="Q2136" t="s">
        <v>155</v>
      </c>
      <c r="R2136" t="s">
        <v>155</v>
      </c>
      <c r="S2136">
        <v>35</v>
      </c>
      <c r="T2136" t="s">
        <v>42</v>
      </c>
      <c r="U2136" t="s">
        <v>32</v>
      </c>
      <c r="V2136" s="1">
        <v>45316</v>
      </c>
      <c r="W2136">
        <f>Table1[[#This Row],[customer_purchase count]]+1</f>
        <v>36</v>
      </c>
      <c r="X2136">
        <f>Table1[[#This Row],[customer_purchase count]]*Rules!$B$3</f>
        <v>2091.7525641025641</v>
      </c>
      <c r="Y2136" t="str">
        <f>IF(Table1[[#This Row],[customer_subscription]]=1,"Subscribed","Not Subscribed")</f>
        <v>Not Subscribed</v>
      </c>
    </row>
    <row r="2137" spans="1:26" x14ac:dyDescent="0.25">
      <c r="A2137">
        <v>2136</v>
      </c>
      <c r="B2137">
        <v>34</v>
      </c>
      <c r="C2137" t="s">
        <v>22</v>
      </c>
      <c r="D2137">
        <v>2136</v>
      </c>
      <c r="E2137" t="s">
        <v>92</v>
      </c>
      <c r="F2137" t="s">
        <v>70</v>
      </c>
      <c r="G2137">
        <v>2136</v>
      </c>
      <c r="H2137">
        <v>2762</v>
      </c>
      <c r="I2137">
        <v>94</v>
      </c>
      <c r="J2137" t="s">
        <v>102</v>
      </c>
      <c r="K2137" t="s">
        <v>39</v>
      </c>
      <c r="L2137" t="s">
        <v>137</v>
      </c>
      <c r="M2137" t="s">
        <v>28</v>
      </c>
      <c r="N2137">
        <v>4.5999999999999996</v>
      </c>
      <c r="O2137">
        <v>0</v>
      </c>
      <c r="P2137" t="s">
        <v>48</v>
      </c>
      <c r="Q2137" t="s">
        <v>155</v>
      </c>
      <c r="R2137" t="s">
        <v>155</v>
      </c>
      <c r="S2137">
        <v>1</v>
      </c>
      <c r="T2137" t="s">
        <v>89</v>
      </c>
      <c r="U2137" t="s">
        <v>100</v>
      </c>
      <c r="V2137" s="1">
        <v>45316</v>
      </c>
      <c r="W2137">
        <f>Table1[[#This Row],[customer_purchase count]]+1</f>
        <v>2</v>
      </c>
      <c r="X2137">
        <f>Table1[[#This Row],[customer_purchase count]]*Rules!$B$3</f>
        <v>59.764358974358977</v>
      </c>
      <c r="Y2137" t="str">
        <f>IF(Table1[[#This Row],[customer_subscription]]=1,"Subscribed","Not Subscribed")</f>
        <v>Not Subscribed</v>
      </c>
      <c r="Z2137" t="s">
        <v>194</v>
      </c>
    </row>
    <row r="2138" spans="1:26" x14ac:dyDescent="0.25">
      <c r="A2138">
        <v>2137</v>
      </c>
      <c r="B2138">
        <v>47</v>
      </c>
      <c r="C2138" t="s">
        <v>22</v>
      </c>
      <c r="D2138">
        <v>2137</v>
      </c>
      <c r="E2138" t="s">
        <v>92</v>
      </c>
      <c r="F2138" t="s">
        <v>70</v>
      </c>
      <c r="G2138">
        <v>2137</v>
      </c>
      <c r="H2138">
        <v>2763</v>
      </c>
      <c r="I2138">
        <v>93</v>
      </c>
      <c r="J2138" t="s">
        <v>87</v>
      </c>
      <c r="K2138" t="s">
        <v>47</v>
      </c>
      <c r="L2138" t="s">
        <v>111</v>
      </c>
      <c r="M2138" t="s">
        <v>56</v>
      </c>
      <c r="N2138">
        <v>2.8</v>
      </c>
      <c r="O2138">
        <v>0</v>
      </c>
      <c r="P2138" t="s">
        <v>57</v>
      </c>
      <c r="Q2138" t="s">
        <v>155</v>
      </c>
      <c r="R2138" t="s">
        <v>155</v>
      </c>
      <c r="S2138">
        <v>25</v>
      </c>
      <c r="T2138" t="s">
        <v>78</v>
      </c>
      <c r="U2138" t="s">
        <v>32</v>
      </c>
      <c r="V2138" s="1">
        <v>45509</v>
      </c>
      <c r="W2138">
        <f>Table1[[#This Row],[customer_purchase count]]+1</f>
        <v>26</v>
      </c>
      <c r="X2138">
        <f>Table1[[#This Row],[customer_purchase count]]*Rules!$B$3</f>
        <v>1494.1089743589744</v>
      </c>
      <c r="Y2138" t="str">
        <f>IF(Table1[[#This Row],[customer_subscription]]=1,"Subscribed","Not Subscribed")</f>
        <v>Not Subscribed</v>
      </c>
    </row>
    <row r="2139" spans="1:26" x14ac:dyDescent="0.25">
      <c r="A2139">
        <v>2138</v>
      </c>
      <c r="B2139">
        <v>27</v>
      </c>
      <c r="C2139" t="s">
        <v>22</v>
      </c>
      <c r="D2139">
        <v>2138</v>
      </c>
      <c r="E2139" t="s">
        <v>128</v>
      </c>
      <c r="F2139" t="s">
        <v>24</v>
      </c>
      <c r="G2139">
        <v>2138</v>
      </c>
      <c r="H2139">
        <v>2764</v>
      </c>
      <c r="I2139">
        <v>51</v>
      </c>
      <c r="J2139" t="s">
        <v>119</v>
      </c>
      <c r="K2139" t="s">
        <v>95</v>
      </c>
      <c r="L2139" t="s">
        <v>76</v>
      </c>
      <c r="M2139" t="s">
        <v>28</v>
      </c>
      <c r="N2139">
        <v>4.5999999999999996</v>
      </c>
      <c r="O2139">
        <v>0</v>
      </c>
      <c r="P2139" t="s">
        <v>73</v>
      </c>
      <c r="Q2139" t="s">
        <v>155</v>
      </c>
      <c r="R2139" t="s">
        <v>155</v>
      </c>
      <c r="S2139">
        <v>20</v>
      </c>
      <c r="T2139" t="s">
        <v>42</v>
      </c>
      <c r="U2139" t="s">
        <v>100</v>
      </c>
      <c r="V2139" s="1">
        <v>45332</v>
      </c>
      <c r="W2139">
        <f>Table1[[#This Row],[customer_purchase count]]+1</f>
        <v>21</v>
      </c>
      <c r="X2139">
        <f>Table1[[#This Row],[customer_purchase count]]*Rules!$B$3</f>
        <v>1195.2871794871796</v>
      </c>
      <c r="Y2139" t="str">
        <f>IF(Table1[[#This Row],[customer_subscription]]=1,"Subscribed","Not Subscribed")</f>
        <v>Not Subscribed</v>
      </c>
    </row>
    <row r="2140" spans="1:26" x14ac:dyDescent="0.25">
      <c r="A2140">
        <v>2139</v>
      </c>
      <c r="B2140">
        <v>67</v>
      </c>
      <c r="C2140" t="s">
        <v>22</v>
      </c>
      <c r="D2140">
        <v>2139</v>
      </c>
      <c r="E2140" t="s">
        <v>33</v>
      </c>
      <c r="F2140" t="s">
        <v>24</v>
      </c>
      <c r="G2140">
        <v>2139</v>
      </c>
      <c r="H2140">
        <v>2765</v>
      </c>
      <c r="I2140">
        <v>42</v>
      </c>
      <c r="J2140" t="s">
        <v>94</v>
      </c>
      <c r="K2140" t="s">
        <v>47</v>
      </c>
      <c r="L2140" t="s">
        <v>88</v>
      </c>
      <c r="M2140" t="s">
        <v>60</v>
      </c>
      <c r="N2140">
        <v>2.8</v>
      </c>
      <c r="O2140">
        <v>0</v>
      </c>
      <c r="P2140" t="s">
        <v>48</v>
      </c>
      <c r="Q2140" t="s">
        <v>155</v>
      </c>
      <c r="R2140" t="s">
        <v>155</v>
      </c>
      <c r="S2140">
        <v>36</v>
      </c>
      <c r="T2140" t="s">
        <v>31</v>
      </c>
      <c r="U2140" t="s">
        <v>61</v>
      </c>
      <c r="V2140" s="1">
        <v>45542</v>
      </c>
      <c r="W2140">
        <f>Table1[[#This Row],[customer_purchase count]]+1</f>
        <v>37</v>
      </c>
      <c r="X2140">
        <f>Table1[[#This Row],[customer_purchase count]]*Rules!$B$3</f>
        <v>2151.5169230769234</v>
      </c>
      <c r="Y2140" t="str">
        <f>IF(Table1[[#This Row],[customer_subscription]]=1,"Subscribed","Not Subscribed")</f>
        <v>Not Subscribed</v>
      </c>
    </row>
    <row r="2141" spans="1:26" x14ac:dyDescent="0.25">
      <c r="A2141">
        <v>2140</v>
      </c>
      <c r="B2141">
        <v>40</v>
      </c>
      <c r="C2141" t="s">
        <v>22</v>
      </c>
      <c r="D2141">
        <v>2140</v>
      </c>
      <c r="E2141" t="s">
        <v>140</v>
      </c>
      <c r="F2141" t="s">
        <v>45</v>
      </c>
      <c r="G2141">
        <v>2140</v>
      </c>
      <c r="H2141">
        <v>2767</v>
      </c>
      <c r="I2141">
        <v>95</v>
      </c>
      <c r="J2141" t="s">
        <v>87</v>
      </c>
      <c r="K2141" t="s">
        <v>47</v>
      </c>
      <c r="L2141" t="s">
        <v>111</v>
      </c>
      <c r="M2141" t="s">
        <v>28</v>
      </c>
      <c r="N2141">
        <v>3</v>
      </c>
      <c r="O2141">
        <v>0</v>
      </c>
      <c r="P2141" t="s">
        <v>41</v>
      </c>
      <c r="Q2141" t="s">
        <v>155</v>
      </c>
      <c r="R2141" t="s">
        <v>155</v>
      </c>
      <c r="S2141">
        <v>33</v>
      </c>
      <c r="T2141" t="s">
        <v>36</v>
      </c>
      <c r="U2141" t="s">
        <v>43</v>
      </c>
      <c r="V2141" s="1">
        <v>45652</v>
      </c>
      <c r="W2141">
        <f>Table1[[#This Row],[customer_purchase count]]+1</f>
        <v>34</v>
      </c>
      <c r="X2141">
        <f>Table1[[#This Row],[customer_purchase count]]*Rules!$B$3</f>
        <v>1972.2238461538464</v>
      </c>
      <c r="Y2141" t="str">
        <f>IF(Table1[[#This Row],[customer_subscription]]=1,"Subscribed","Not Subscribed")</f>
        <v>Not Subscribed</v>
      </c>
    </row>
    <row r="2142" spans="1:26" x14ac:dyDescent="0.25">
      <c r="A2142">
        <v>2141</v>
      </c>
      <c r="B2142">
        <v>53</v>
      </c>
      <c r="C2142" t="s">
        <v>22</v>
      </c>
      <c r="D2142">
        <v>2141</v>
      </c>
      <c r="E2142" t="s">
        <v>69</v>
      </c>
      <c r="F2142" t="s">
        <v>70</v>
      </c>
      <c r="G2142">
        <v>2141</v>
      </c>
      <c r="H2142">
        <v>2768</v>
      </c>
      <c r="I2142">
        <v>90</v>
      </c>
      <c r="J2142" t="s">
        <v>133</v>
      </c>
      <c r="K2142" t="s">
        <v>47</v>
      </c>
      <c r="L2142" t="s">
        <v>113</v>
      </c>
      <c r="M2142" t="s">
        <v>60</v>
      </c>
      <c r="N2142">
        <v>3.7</v>
      </c>
      <c r="O2142">
        <v>0</v>
      </c>
      <c r="P2142" t="s">
        <v>57</v>
      </c>
      <c r="Q2142" t="s">
        <v>155</v>
      </c>
      <c r="R2142" t="s">
        <v>155</v>
      </c>
      <c r="S2142">
        <v>36</v>
      </c>
      <c r="T2142" t="s">
        <v>36</v>
      </c>
      <c r="U2142" t="s">
        <v>32</v>
      </c>
      <c r="V2142" s="1">
        <v>45589</v>
      </c>
      <c r="W2142">
        <f>Table1[[#This Row],[customer_purchase count]]+1</f>
        <v>37</v>
      </c>
      <c r="X2142">
        <f>Table1[[#This Row],[customer_purchase count]]*Rules!$B$3</f>
        <v>2151.5169230769234</v>
      </c>
      <c r="Y2142" t="str">
        <f>IF(Table1[[#This Row],[customer_subscription]]=1,"Subscribed","Not Subscribed")</f>
        <v>Not Subscribed</v>
      </c>
    </row>
    <row r="2143" spans="1:26" x14ac:dyDescent="0.25">
      <c r="A2143">
        <v>2142</v>
      </c>
      <c r="B2143">
        <v>24</v>
      </c>
      <c r="C2143" t="s">
        <v>22</v>
      </c>
      <c r="D2143">
        <v>2142</v>
      </c>
      <c r="E2143" t="s">
        <v>84</v>
      </c>
      <c r="F2143" t="s">
        <v>24</v>
      </c>
      <c r="G2143">
        <v>2142</v>
      </c>
      <c r="H2143">
        <v>2769</v>
      </c>
      <c r="I2143">
        <v>98</v>
      </c>
      <c r="J2143" t="s">
        <v>25</v>
      </c>
      <c r="K2143" t="s">
        <v>47</v>
      </c>
      <c r="L2143" t="s">
        <v>103</v>
      </c>
      <c r="M2143" t="s">
        <v>28</v>
      </c>
      <c r="N2143">
        <v>4.0999999999999996</v>
      </c>
      <c r="O2143">
        <v>0</v>
      </c>
      <c r="P2143" t="s">
        <v>73</v>
      </c>
      <c r="Q2143" t="s">
        <v>155</v>
      </c>
      <c r="R2143" t="s">
        <v>155</v>
      </c>
      <c r="S2143">
        <v>32</v>
      </c>
      <c r="T2143" t="s">
        <v>49</v>
      </c>
      <c r="U2143" t="s">
        <v>52</v>
      </c>
      <c r="V2143" s="1">
        <v>45349</v>
      </c>
      <c r="W2143">
        <f>Table1[[#This Row],[customer_purchase count]]+1</f>
        <v>33</v>
      </c>
      <c r="X2143">
        <f>Table1[[#This Row],[customer_purchase count]]*Rules!$B$3</f>
        <v>1912.4594871794873</v>
      </c>
      <c r="Y2143" t="str">
        <f>IF(Table1[[#This Row],[customer_subscription]]=1,"Subscribed","Not Subscribed")</f>
        <v>Not Subscribed</v>
      </c>
    </row>
    <row r="2144" spans="1:26" x14ac:dyDescent="0.25">
      <c r="A2144">
        <v>2143</v>
      </c>
      <c r="B2144">
        <v>47</v>
      </c>
      <c r="C2144" t="s">
        <v>22</v>
      </c>
      <c r="D2144">
        <v>2143</v>
      </c>
      <c r="E2144" t="s">
        <v>127</v>
      </c>
      <c r="F2144" t="s">
        <v>70</v>
      </c>
      <c r="G2144">
        <v>2143</v>
      </c>
      <c r="H2144">
        <v>2770</v>
      </c>
      <c r="I2144">
        <v>39</v>
      </c>
      <c r="J2144" t="s">
        <v>117</v>
      </c>
      <c r="K2144" t="s">
        <v>47</v>
      </c>
      <c r="L2144" t="s">
        <v>35</v>
      </c>
      <c r="M2144" t="s">
        <v>28</v>
      </c>
      <c r="N2144">
        <v>4.3</v>
      </c>
      <c r="O2144">
        <v>0</v>
      </c>
      <c r="P2144" t="s">
        <v>48</v>
      </c>
      <c r="Q2144" t="s">
        <v>155</v>
      </c>
      <c r="R2144" t="s">
        <v>155</v>
      </c>
      <c r="S2144">
        <v>21</v>
      </c>
      <c r="T2144" t="s">
        <v>31</v>
      </c>
      <c r="U2144" t="s">
        <v>61</v>
      </c>
      <c r="V2144" s="1">
        <v>45646</v>
      </c>
      <c r="W2144">
        <f>Table1[[#This Row],[customer_purchase count]]+1</f>
        <v>22</v>
      </c>
      <c r="X2144">
        <f>Table1[[#This Row],[customer_purchase count]]*Rules!$B$3</f>
        <v>1255.0515384615385</v>
      </c>
      <c r="Y2144" t="str">
        <f>IF(Table1[[#This Row],[customer_subscription]]=1,"Subscribed","Not Subscribed")</f>
        <v>Not Subscribed</v>
      </c>
    </row>
    <row r="2145" spans="1:26" x14ac:dyDescent="0.25">
      <c r="A2145">
        <v>2144</v>
      </c>
      <c r="B2145">
        <v>53</v>
      </c>
      <c r="C2145" t="s">
        <v>22</v>
      </c>
      <c r="D2145">
        <v>2144</v>
      </c>
      <c r="E2145" t="s">
        <v>44</v>
      </c>
      <c r="F2145" t="s">
        <v>45</v>
      </c>
      <c r="G2145">
        <v>2144</v>
      </c>
      <c r="H2145">
        <v>2771</v>
      </c>
      <c r="I2145">
        <v>66</v>
      </c>
      <c r="J2145" t="s">
        <v>75</v>
      </c>
      <c r="K2145" t="s">
        <v>26</v>
      </c>
      <c r="L2145" t="s">
        <v>111</v>
      </c>
      <c r="M2145" t="s">
        <v>60</v>
      </c>
      <c r="N2145">
        <v>3.8</v>
      </c>
      <c r="O2145">
        <v>0</v>
      </c>
      <c r="P2145" t="s">
        <v>48</v>
      </c>
      <c r="Q2145" t="s">
        <v>155</v>
      </c>
      <c r="R2145" t="s">
        <v>155</v>
      </c>
      <c r="S2145">
        <v>48</v>
      </c>
      <c r="T2145" t="s">
        <v>31</v>
      </c>
      <c r="U2145" t="s">
        <v>79</v>
      </c>
      <c r="V2145" s="1">
        <v>45582</v>
      </c>
      <c r="W2145">
        <f>Table1[[#This Row],[customer_purchase count]]+1</f>
        <v>49</v>
      </c>
      <c r="X2145">
        <f>Table1[[#This Row],[customer_purchase count]]*Rules!$B$3</f>
        <v>2868.689230769231</v>
      </c>
      <c r="Y2145" t="str">
        <f>IF(Table1[[#This Row],[customer_subscription]]=1,"Subscribed","Not Subscribed")</f>
        <v>Not Subscribed</v>
      </c>
    </row>
    <row r="2146" spans="1:26" x14ac:dyDescent="0.25">
      <c r="A2146">
        <v>2145</v>
      </c>
      <c r="B2146">
        <v>47</v>
      </c>
      <c r="C2146" t="s">
        <v>22</v>
      </c>
      <c r="D2146">
        <v>2145</v>
      </c>
      <c r="E2146" t="s">
        <v>74</v>
      </c>
      <c r="F2146" t="s">
        <v>45</v>
      </c>
      <c r="G2146">
        <v>2145</v>
      </c>
      <c r="H2146">
        <v>2773</v>
      </c>
      <c r="I2146">
        <v>23</v>
      </c>
      <c r="J2146" t="s">
        <v>131</v>
      </c>
      <c r="K2146" t="s">
        <v>26</v>
      </c>
      <c r="L2146" t="s">
        <v>124</v>
      </c>
      <c r="M2146" t="s">
        <v>28</v>
      </c>
      <c r="N2146">
        <v>3.7</v>
      </c>
      <c r="O2146">
        <v>0</v>
      </c>
      <c r="P2146" t="s">
        <v>41</v>
      </c>
      <c r="Q2146" t="s">
        <v>155</v>
      </c>
      <c r="R2146" t="s">
        <v>155</v>
      </c>
      <c r="S2146">
        <v>25</v>
      </c>
      <c r="T2146" t="s">
        <v>49</v>
      </c>
      <c r="U2146" t="s">
        <v>61</v>
      </c>
      <c r="V2146" s="1">
        <v>45307</v>
      </c>
      <c r="W2146">
        <f>Table1[[#This Row],[customer_purchase count]]+1</f>
        <v>26</v>
      </c>
      <c r="X2146">
        <f>Table1[[#This Row],[customer_purchase count]]*Rules!$B$3</f>
        <v>1494.1089743589744</v>
      </c>
      <c r="Y2146" t="str">
        <f>IF(Table1[[#This Row],[customer_subscription]]=1,"Subscribed","Not Subscribed")</f>
        <v>Not Subscribed</v>
      </c>
    </row>
    <row r="2147" spans="1:26" x14ac:dyDescent="0.25">
      <c r="A2147">
        <v>2146</v>
      </c>
      <c r="B2147">
        <v>38</v>
      </c>
      <c r="C2147" t="s">
        <v>22</v>
      </c>
      <c r="D2147">
        <v>2146</v>
      </c>
      <c r="E2147" t="s">
        <v>90</v>
      </c>
      <c r="F2147" t="s">
        <v>24</v>
      </c>
      <c r="G2147">
        <v>2146</v>
      </c>
      <c r="H2147">
        <v>2774</v>
      </c>
      <c r="I2147">
        <v>73</v>
      </c>
      <c r="J2147" t="s">
        <v>142</v>
      </c>
      <c r="K2147" t="s">
        <v>39</v>
      </c>
      <c r="L2147" t="s">
        <v>55</v>
      </c>
      <c r="M2147" t="s">
        <v>28</v>
      </c>
      <c r="N2147">
        <v>4.8</v>
      </c>
      <c r="O2147">
        <v>0</v>
      </c>
      <c r="P2147" t="s">
        <v>57</v>
      </c>
      <c r="Q2147" t="s">
        <v>155</v>
      </c>
      <c r="R2147" t="s">
        <v>155</v>
      </c>
      <c r="S2147">
        <v>32</v>
      </c>
      <c r="T2147" t="s">
        <v>49</v>
      </c>
      <c r="U2147" t="s">
        <v>52</v>
      </c>
      <c r="V2147" s="1">
        <v>45337</v>
      </c>
      <c r="W2147">
        <f>Table1[[#This Row],[customer_purchase count]]+1</f>
        <v>33</v>
      </c>
      <c r="X2147">
        <f>Table1[[#This Row],[customer_purchase count]]*Rules!$B$3</f>
        <v>1912.4594871794873</v>
      </c>
      <c r="Y2147" t="str">
        <f>IF(Table1[[#This Row],[customer_subscription]]=1,"Subscribed","Not Subscribed")</f>
        <v>Not Subscribed</v>
      </c>
    </row>
    <row r="2148" spans="1:26" x14ac:dyDescent="0.25">
      <c r="A2148">
        <v>2147</v>
      </c>
      <c r="B2148">
        <v>48</v>
      </c>
      <c r="C2148" t="s">
        <v>22</v>
      </c>
      <c r="D2148">
        <v>2147</v>
      </c>
      <c r="E2148" t="s">
        <v>92</v>
      </c>
      <c r="F2148" t="s">
        <v>70</v>
      </c>
      <c r="G2148">
        <v>2147</v>
      </c>
      <c r="H2148">
        <v>2775</v>
      </c>
      <c r="I2148">
        <v>23</v>
      </c>
      <c r="J2148" t="s">
        <v>143</v>
      </c>
      <c r="K2148" t="s">
        <v>95</v>
      </c>
      <c r="L2148" t="s">
        <v>55</v>
      </c>
      <c r="M2148" t="s">
        <v>56</v>
      </c>
      <c r="N2148">
        <v>4.5999999999999996</v>
      </c>
      <c r="O2148">
        <v>0</v>
      </c>
      <c r="P2148" t="s">
        <v>57</v>
      </c>
      <c r="Q2148" t="s">
        <v>155</v>
      </c>
      <c r="R2148" t="s">
        <v>155</v>
      </c>
      <c r="S2148">
        <v>45</v>
      </c>
      <c r="T2148" t="s">
        <v>49</v>
      </c>
      <c r="U2148" t="s">
        <v>100</v>
      </c>
      <c r="V2148" s="1">
        <v>45461</v>
      </c>
      <c r="W2148">
        <f>Table1[[#This Row],[customer_purchase count]]+1</f>
        <v>46</v>
      </c>
      <c r="X2148">
        <f>Table1[[#This Row],[customer_purchase count]]*Rules!$B$3</f>
        <v>2689.396153846154</v>
      </c>
      <c r="Y2148" t="str">
        <f>IF(Table1[[#This Row],[customer_subscription]]=1,"Subscribed","Not Subscribed")</f>
        <v>Not Subscribed</v>
      </c>
    </row>
    <row r="2149" spans="1:26" x14ac:dyDescent="0.25">
      <c r="A2149">
        <v>2148</v>
      </c>
      <c r="B2149">
        <v>47</v>
      </c>
      <c r="C2149" t="s">
        <v>22</v>
      </c>
      <c r="D2149">
        <v>2148</v>
      </c>
      <c r="E2149" t="s">
        <v>90</v>
      </c>
      <c r="F2149" t="s">
        <v>24</v>
      </c>
      <c r="G2149">
        <v>2148</v>
      </c>
      <c r="H2149">
        <v>2776</v>
      </c>
      <c r="I2149">
        <v>43</v>
      </c>
      <c r="J2149" t="s">
        <v>71</v>
      </c>
      <c r="K2149" t="s">
        <v>39</v>
      </c>
      <c r="L2149" t="s">
        <v>64</v>
      </c>
      <c r="M2149" t="s">
        <v>60</v>
      </c>
      <c r="N2149">
        <v>4.8</v>
      </c>
      <c r="O2149">
        <v>0</v>
      </c>
      <c r="P2149" t="s">
        <v>57</v>
      </c>
      <c r="Q2149" t="s">
        <v>155</v>
      </c>
      <c r="R2149" t="s">
        <v>155</v>
      </c>
      <c r="S2149">
        <v>4</v>
      </c>
      <c r="T2149" t="s">
        <v>36</v>
      </c>
      <c r="U2149" t="s">
        <v>32</v>
      </c>
      <c r="V2149" s="1">
        <v>45575</v>
      </c>
      <c r="W2149">
        <f>Table1[[#This Row],[customer_purchase count]]+1</f>
        <v>5</v>
      </c>
      <c r="X2149">
        <f>Table1[[#This Row],[customer_purchase count]]*Rules!$B$3</f>
        <v>239.05743589743591</v>
      </c>
      <c r="Y2149" t="str">
        <f>IF(Table1[[#This Row],[customer_subscription]]=1,"Subscribed","Not Subscribed")</f>
        <v>Not Subscribed</v>
      </c>
      <c r="Z2149" t="s">
        <v>194</v>
      </c>
    </row>
    <row r="2150" spans="1:26" x14ac:dyDescent="0.25">
      <c r="A2150">
        <v>2149</v>
      </c>
      <c r="B2150">
        <v>19</v>
      </c>
      <c r="C2150" t="s">
        <v>22</v>
      </c>
      <c r="D2150">
        <v>2149</v>
      </c>
      <c r="E2150" t="s">
        <v>116</v>
      </c>
      <c r="F2150" t="s">
        <v>24</v>
      </c>
      <c r="G2150">
        <v>2149</v>
      </c>
      <c r="H2150">
        <v>2777</v>
      </c>
      <c r="I2150">
        <v>45</v>
      </c>
      <c r="J2150" t="s">
        <v>148</v>
      </c>
      <c r="K2150" t="s">
        <v>95</v>
      </c>
      <c r="L2150" t="s">
        <v>51</v>
      </c>
      <c r="M2150" t="s">
        <v>28</v>
      </c>
      <c r="N2150">
        <v>4.5999999999999996</v>
      </c>
      <c r="O2150">
        <v>0</v>
      </c>
      <c r="P2150" t="s">
        <v>73</v>
      </c>
      <c r="Q2150" t="s">
        <v>155</v>
      </c>
      <c r="R2150" t="s">
        <v>155</v>
      </c>
      <c r="S2150">
        <v>19</v>
      </c>
      <c r="T2150" t="s">
        <v>49</v>
      </c>
      <c r="U2150" t="s">
        <v>79</v>
      </c>
      <c r="V2150" s="1">
        <v>45634</v>
      </c>
      <c r="W2150">
        <f>Table1[[#This Row],[customer_purchase count]]+1</f>
        <v>20</v>
      </c>
      <c r="X2150">
        <f>Table1[[#This Row],[customer_purchase count]]*Rules!$B$3</f>
        <v>1135.5228205128205</v>
      </c>
      <c r="Y2150" t="str">
        <f>IF(Table1[[#This Row],[customer_subscription]]=1,"Subscribed","Not Subscribed")</f>
        <v>Not Subscribed</v>
      </c>
    </row>
    <row r="2151" spans="1:26" x14ac:dyDescent="0.25">
      <c r="A2151">
        <v>2150</v>
      </c>
      <c r="B2151">
        <v>38</v>
      </c>
      <c r="C2151" t="s">
        <v>22</v>
      </c>
      <c r="D2151">
        <v>2150</v>
      </c>
      <c r="E2151" t="s">
        <v>44</v>
      </c>
      <c r="F2151" t="s">
        <v>45</v>
      </c>
      <c r="G2151">
        <v>2150</v>
      </c>
      <c r="H2151">
        <v>2779</v>
      </c>
      <c r="I2151">
        <v>21</v>
      </c>
      <c r="J2151" t="s">
        <v>80</v>
      </c>
      <c r="K2151" t="s">
        <v>26</v>
      </c>
      <c r="L2151" t="s">
        <v>124</v>
      </c>
      <c r="M2151" t="s">
        <v>28</v>
      </c>
      <c r="N2151">
        <v>4</v>
      </c>
      <c r="O2151">
        <v>0</v>
      </c>
      <c r="P2151" t="s">
        <v>57</v>
      </c>
      <c r="Q2151" t="s">
        <v>155</v>
      </c>
      <c r="R2151" t="s">
        <v>155</v>
      </c>
      <c r="S2151">
        <v>1</v>
      </c>
      <c r="T2151" t="s">
        <v>78</v>
      </c>
      <c r="U2151" t="s">
        <v>43</v>
      </c>
      <c r="V2151" s="1">
        <v>45298</v>
      </c>
      <c r="W2151">
        <f>Table1[[#This Row],[customer_purchase count]]+1</f>
        <v>2</v>
      </c>
      <c r="X2151">
        <f>Table1[[#This Row],[customer_purchase count]]*Rules!$B$3</f>
        <v>59.764358974358977</v>
      </c>
      <c r="Y2151" t="str">
        <f>IF(Table1[[#This Row],[customer_subscription]]=1,"Subscribed","Not Subscribed")</f>
        <v>Not Subscribed</v>
      </c>
      <c r="Z2151" t="s">
        <v>194</v>
      </c>
    </row>
    <row r="2152" spans="1:26" x14ac:dyDescent="0.25">
      <c r="A2152">
        <v>2151</v>
      </c>
      <c r="B2152">
        <v>57</v>
      </c>
      <c r="C2152" t="s">
        <v>22</v>
      </c>
      <c r="D2152">
        <v>2151</v>
      </c>
      <c r="E2152" t="s">
        <v>58</v>
      </c>
      <c r="F2152" t="s">
        <v>24</v>
      </c>
      <c r="G2152">
        <v>2151</v>
      </c>
      <c r="H2152">
        <v>2780</v>
      </c>
      <c r="I2152">
        <v>40</v>
      </c>
      <c r="J2152" t="s">
        <v>118</v>
      </c>
      <c r="K2152" t="s">
        <v>47</v>
      </c>
      <c r="L2152" t="s">
        <v>124</v>
      </c>
      <c r="M2152" t="s">
        <v>40</v>
      </c>
      <c r="N2152">
        <v>2.6</v>
      </c>
      <c r="O2152">
        <v>0</v>
      </c>
      <c r="P2152" t="s">
        <v>73</v>
      </c>
      <c r="Q2152" t="s">
        <v>155</v>
      </c>
      <c r="R2152" t="s">
        <v>155</v>
      </c>
      <c r="S2152">
        <v>12</v>
      </c>
      <c r="T2152" t="s">
        <v>36</v>
      </c>
      <c r="U2152" t="s">
        <v>43</v>
      </c>
      <c r="V2152" s="1">
        <v>45403</v>
      </c>
      <c r="W2152">
        <f>Table1[[#This Row],[customer_purchase count]]+1</f>
        <v>13</v>
      </c>
      <c r="X2152">
        <f>Table1[[#This Row],[customer_purchase count]]*Rules!$B$3</f>
        <v>717.17230769230775</v>
      </c>
      <c r="Y2152" t="str">
        <f>IF(Table1[[#This Row],[customer_subscription]]=1,"Subscribed","Not Subscribed")</f>
        <v>Not Subscribed</v>
      </c>
      <c r="Z2152" t="s">
        <v>194</v>
      </c>
    </row>
    <row r="2153" spans="1:26" x14ac:dyDescent="0.25">
      <c r="A2153">
        <v>2152</v>
      </c>
      <c r="B2153">
        <v>70</v>
      </c>
      <c r="C2153" t="s">
        <v>22</v>
      </c>
      <c r="D2153">
        <v>2152</v>
      </c>
      <c r="E2153" t="s">
        <v>37</v>
      </c>
      <c r="F2153" t="s">
        <v>24</v>
      </c>
      <c r="G2153">
        <v>2152</v>
      </c>
      <c r="H2153">
        <v>2781</v>
      </c>
      <c r="I2153">
        <v>58</v>
      </c>
      <c r="J2153" t="s">
        <v>132</v>
      </c>
      <c r="K2153" t="s">
        <v>26</v>
      </c>
      <c r="L2153" t="s">
        <v>113</v>
      </c>
      <c r="M2153" t="s">
        <v>60</v>
      </c>
      <c r="N2153">
        <v>2.6</v>
      </c>
      <c r="O2153">
        <v>0</v>
      </c>
      <c r="P2153" t="s">
        <v>73</v>
      </c>
      <c r="Q2153" t="s">
        <v>155</v>
      </c>
      <c r="R2153" t="s">
        <v>155</v>
      </c>
      <c r="S2153">
        <v>18</v>
      </c>
      <c r="T2153" t="s">
        <v>31</v>
      </c>
      <c r="U2153" t="s">
        <v>91</v>
      </c>
      <c r="V2153" s="1">
        <v>45611</v>
      </c>
      <c r="W2153">
        <f>Table1[[#This Row],[customer_purchase count]]+1</f>
        <v>19</v>
      </c>
      <c r="X2153">
        <f>Table1[[#This Row],[customer_purchase count]]*Rules!$B$3</f>
        <v>1075.7584615384617</v>
      </c>
      <c r="Y2153" t="str">
        <f>IF(Table1[[#This Row],[customer_subscription]]=1,"Subscribed","Not Subscribed")</f>
        <v>Not Subscribed</v>
      </c>
    </row>
    <row r="2154" spans="1:26" x14ac:dyDescent="0.25">
      <c r="A2154">
        <v>2153</v>
      </c>
      <c r="B2154">
        <v>38</v>
      </c>
      <c r="C2154" t="s">
        <v>22</v>
      </c>
      <c r="D2154">
        <v>2153</v>
      </c>
      <c r="E2154" t="s">
        <v>62</v>
      </c>
      <c r="F2154" t="s">
        <v>24</v>
      </c>
      <c r="G2154">
        <v>2153</v>
      </c>
      <c r="H2154">
        <v>2782</v>
      </c>
      <c r="I2154">
        <v>48</v>
      </c>
      <c r="J2154" t="s">
        <v>130</v>
      </c>
      <c r="K2154" t="s">
        <v>26</v>
      </c>
      <c r="L2154" t="s">
        <v>139</v>
      </c>
      <c r="M2154" t="s">
        <v>56</v>
      </c>
      <c r="N2154">
        <v>4.5</v>
      </c>
      <c r="O2154">
        <v>0</v>
      </c>
      <c r="P2154" t="s">
        <v>48</v>
      </c>
      <c r="Q2154" t="s">
        <v>155</v>
      </c>
      <c r="R2154" t="s">
        <v>155</v>
      </c>
      <c r="S2154">
        <v>43</v>
      </c>
      <c r="T2154" t="s">
        <v>78</v>
      </c>
      <c r="U2154" t="s">
        <v>79</v>
      </c>
      <c r="V2154" s="1">
        <v>45509</v>
      </c>
      <c r="W2154">
        <f>Table1[[#This Row],[customer_purchase count]]+1</f>
        <v>44</v>
      </c>
      <c r="X2154">
        <f>Table1[[#This Row],[customer_purchase count]]*Rules!$B$3</f>
        <v>2569.8674358974358</v>
      </c>
      <c r="Y2154" t="str">
        <f>IF(Table1[[#This Row],[customer_subscription]]=1,"Subscribed","Not Subscribed")</f>
        <v>Not Subscribed</v>
      </c>
    </row>
    <row r="2155" spans="1:26" x14ac:dyDescent="0.25">
      <c r="A2155">
        <v>2154</v>
      </c>
      <c r="B2155">
        <v>35</v>
      </c>
      <c r="C2155" t="s">
        <v>22</v>
      </c>
      <c r="D2155">
        <v>2154</v>
      </c>
      <c r="E2155" t="s">
        <v>58</v>
      </c>
      <c r="F2155" t="s">
        <v>24</v>
      </c>
      <c r="G2155">
        <v>2154</v>
      </c>
      <c r="H2155">
        <v>2783</v>
      </c>
      <c r="I2155">
        <v>94</v>
      </c>
      <c r="J2155" t="s">
        <v>25</v>
      </c>
      <c r="K2155" t="s">
        <v>47</v>
      </c>
      <c r="L2155" t="s">
        <v>86</v>
      </c>
      <c r="M2155" t="s">
        <v>60</v>
      </c>
      <c r="N2155">
        <v>4.2</v>
      </c>
      <c r="O2155">
        <v>0</v>
      </c>
      <c r="P2155" t="s">
        <v>41</v>
      </c>
      <c r="Q2155" t="s">
        <v>155</v>
      </c>
      <c r="R2155" t="s">
        <v>155</v>
      </c>
      <c r="S2155">
        <v>31</v>
      </c>
      <c r="T2155" t="s">
        <v>49</v>
      </c>
      <c r="U2155" t="s">
        <v>52</v>
      </c>
      <c r="V2155" s="1">
        <v>45603</v>
      </c>
      <c r="W2155">
        <f>Table1[[#This Row],[customer_purchase count]]+1</f>
        <v>32</v>
      </c>
      <c r="X2155">
        <f>Table1[[#This Row],[customer_purchase count]]*Rules!$B$3</f>
        <v>1852.6951282051282</v>
      </c>
      <c r="Y2155" t="str">
        <f>IF(Table1[[#This Row],[customer_subscription]]=1,"Subscribed","Not Subscribed")</f>
        <v>Not Subscribed</v>
      </c>
    </row>
    <row r="2156" spans="1:26" x14ac:dyDescent="0.25">
      <c r="A2156">
        <v>2155</v>
      </c>
      <c r="B2156">
        <v>46</v>
      </c>
      <c r="C2156" t="s">
        <v>22</v>
      </c>
      <c r="D2156">
        <v>2155</v>
      </c>
      <c r="E2156" t="s">
        <v>122</v>
      </c>
      <c r="F2156" t="s">
        <v>70</v>
      </c>
      <c r="G2156">
        <v>2155</v>
      </c>
      <c r="H2156">
        <v>2785</v>
      </c>
      <c r="I2156">
        <v>74</v>
      </c>
      <c r="J2156" t="s">
        <v>54</v>
      </c>
      <c r="K2156" t="s">
        <v>47</v>
      </c>
      <c r="L2156" t="s">
        <v>86</v>
      </c>
      <c r="M2156" t="s">
        <v>40</v>
      </c>
      <c r="N2156">
        <v>3.4</v>
      </c>
      <c r="O2156">
        <v>0</v>
      </c>
      <c r="P2156" t="s">
        <v>77</v>
      </c>
      <c r="Q2156" t="s">
        <v>155</v>
      </c>
      <c r="R2156" t="s">
        <v>155</v>
      </c>
      <c r="S2156">
        <v>33</v>
      </c>
      <c r="T2156" t="s">
        <v>36</v>
      </c>
      <c r="U2156" t="s">
        <v>100</v>
      </c>
      <c r="V2156" s="1">
        <v>45387</v>
      </c>
      <c r="W2156">
        <f>Table1[[#This Row],[customer_purchase count]]+1</f>
        <v>34</v>
      </c>
      <c r="X2156">
        <f>Table1[[#This Row],[customer_purchase count]]*Rules!$B$3</f>
        <v>1972.2238461538464</v>
      </c>
      <c r="Y2156" t="str">
        <f>IF(Table1[[#This Row],[customer_subscription]]=1,"Subscribed","Not Subscribed")</f>
        <v>Not Subscribed</v>
      </c>
    </row>
    <row r="2157" spans="1:26" x14ac:dyDescent="0.25">
      <c r="A2157">
        <v>2156</v>
      </c>
      <c r="B2157">
        <v>32</v>
      </c>
      <c r="C2157" t="s">
        <v>22</v>
      </c>
      <c r="D2157">
        <v>2156</v>
      </c>
      <c r="E2157" t="s">
        <v>69</v>
      </c>
      <c r="F2157" t="s">
        <v>70</v>
      </c>
      <c r="G2157">
        <v>2156</v>
      </c>
      <c r="H2157">
        <v>2786</v>
      </c>
      <c r="I2157">
        <v>51</v>
      </c>
      <c r="J2157" t="s">
        <v>80</v>
      </c>
      <c r="K2157" t="s">
        <v>26</v>
      </c>
      <c r="L2157" t="s">
        <v>137</v>
      </c>
      <c r="M2157" t="s">
        <v>60</v>
      </c>
      <c r="N2157">
        <v>3.7</v>
      </c>
      <c r="O2157">
        <v>0</v>
      </c>
      <c r="P2157" t="s">
        <v>77</v>
      </c>
      <c r="Q2157" t="s">
        <v>155</v>
      </c>
      <c r="R2157" t="s">
        <v>155</v>
      </c>
      <c r="S2157">
        <v>46</v>
      </c>
      <c r="T2157" t="s">
        <v>49</v>
      </c>
      <c r="U2157" t="s">
        <v>91</v>
      </c>
      <c r="V2157" s="1">
        <v>45603</v>
      </c>
      <c r="W2157">
        <f>Table1[[#This Row],[customer_purchase count]]+1</f>
        <v>47</v>
      </c>
      <c r="X2157">
        <f>Table1[[#This Row],[customer_purchase count]]*Rules!$B$3</f>
        <v>2749.1605128205128</v>
      </c>
      <c r="Y2157" t="str">
        <f>IF(Table1[[#This Row],[customer_subscription]]=1,"Subscribed","Not Subscribed")</f>
        <v>Not Subscribed</v>
      </c>
    </row>
    <row r="2158" spans="1:26" x14ac:dyDescent="0.25">
      <c r="A2158">
        <v>2157</v>
      </c>
      <c r="B2158">
        <v>38</v>
      </c>
      <c r="C2158" t="s">
        <v>22</v>
      </c>
      <c r="D2158">
        <v>2157</v>
      </c>
      <c r="E2158" t="s">
        <v>90</v>
      </c>
      <c r="F2158" t="s">
        <v>24</v>
      </c>
      <c r="G2158">
        <v>2157</v>
      </c>
      <c r="H2158">
        <v>2787</v>
      </c>
      <c r="I2158">
        <v>83</v>
      </c>
      <c r="J2158" t="s">
        <v>71</v>
      </c>
      <c r="K2158" t="s">
        <v>47</v>
      </c>
      <c r="L2158" t="s">
        <v>35</v>
      </c>
      <c r="M2158" t="s">
        <v>28</v>
      </c>
      <c r="N2158">
        <v>3.6</v>
      </c>
      <c r="O2158">
        <v>0</v>
      </c>
      <c r="P2158" t="s">
        <v>48</v>
      </c>
      <c r="Q2158" t="s">
        <v>155</v>
      </c>
      <c r="R2158" t="s">
        <v>155</v>
      </c>
      <c r="S2158">
        <v>41</v>
      </c>
      <c r="T2158" t="s">
        <v>89</v>
      </c>
      <c r="U2158" t="s">
        <v>79</v>
      </c>
      <c r="V2158" s="1">
        <v>45311</v>
      </c>
      <c r="W2158">
        <f>Table1[[#This Row],[customer_purchase count]]+1</f>
        <v>42</v>
      </c>
      <c r="X2158">
        <f>Table1[[#This Row],[customer_purchase count]]*Rules!$B$3</f>
        <v>2450.3387179487181</v>
      </c>
      <c r="Y2158" t="str">
        <f>IF(Table1[[#This Row],[customer_subscription]]=1,"Subscribed","Not Subscribed")</f>
        <v>Not Subscribed</v>
      </c>
    </row>
    <row r="2159" spans="1:26" x14ac:dyDescent="0.25">
      <c r="A2159">
        <v>2158</v>
      </c>
      <c r="B2159">
        <v>41</v>
      </c>
      <c r="C2159" t="s">
        <v>22</v>
      </c>
      <c r="D2159">
        <v>2158</v>
      </c>
      <c r="E2159" t="s">
        <v>69</v>
      </c>
      <c r="F2159" t="s">
        <v>70</v>
      </c>
      <c r="G2159">
        <v>2158</v>
      </c>
      <c r="H2159">
        <v>2788</v>
      </c>
      <c r="I2159">
        <v>68</v>
      </c>
      <c r="J2159" t="s">
        <v>94</v>
      </c>
      <c r="K2159" t="s">
        <v>26</v>
      </c>
      <c r="L2159" t="s">
        <v>51</v>
      </c>
      <c r="M2159" t="s">
        <v>28</v>
      </c>
      <c r="N2159">
        <v>4</v>
      </c>
      <c r="O2159">
        <v>0</v>
      </c>
      <c r="P2159" t="s">
        <v>48</v>
      </c>
      <c r="Q2159" t="s">
        <v>155</v>
      </c>
      <c r="R2159" t="s">
        <v>155</v>
      </c>
      <c r="S2159">
        <v>41</v>
      </c>
      <c r="T2159" t="s">
        <v>31</v>
      </c>
      <c r="U2159" t="s">
        <v>32</v>
      </c>
      <c r="V2159" s="1">
        <v>45632</v>
      </c>
      <c r="W2159">
        <f>Table1[[#This Row],[customer_purchase count]]+1</f>
        <v>42</v>
      </c>
      <c r="X2159">
        <f>Table1[[#This Row],[customer_purchase count]]*Rules!$B$3</f>
        <v>2450.3387179487181</v>
      </c>
      <c r="Y2159" t="str">
        <f>IF(Table1[[#This Row],[customer_subscription]]=1,"Subscribed","Not Subscribed")</f>
        <v>Not Subscribed</v>
      </c>
    </row>
    <row r="2160" spans="1:26" x14ac:dyDescent="0.25">
      <c r="A2160">
        <v>2159</v>
      </c>
      <c r="B2160">
        <v>19</v>
      </c>
      <c r="C2160" t="s">
        <v>22</v>
      </c>
      <c r="D2160">
        <v>2159</v>
      </c>
      <c r="E2160" t="s">
        <v>146</v>
      </c>
      <c r="F2160" t="s">
        <v>70</v>
      </c>
      <c r="G2160">
        <v>2159</v>
      </c>
      <c r="H2160">
        <v>2789</v>
      </c>
      <c r="I2160">
        <v>84</v>
      </c>
      <c r="J2160" t="s">
        <v>38</v>
      </c>
      <c r="K2160" t="s">
        <v>95</v>
      </c>
      <c r="L2160" t="s">
        <v>81</v>
      </c>
      <c r="M2160" t="s">
        <v>40</v>
      </c>
      <c r="N2160">
        <v>4.5999999999999996</v>
      </c>
      <c r="O2160">
        <v>0</v>
      </c>
      <c r="P2160" t="s">
        <v>57</v>
      </c>
      <c r="Q2160" t="s">
        <v>155</v>
      </c>
      <c r="R2160" t="s">
        <v>155</v>
      </c>
      <c r="S2160">
        <v>9</v>
      </c>
      <c r="T2160" t="s">
        <v>78</v>
      </c>
      <c r="U2160" t="s">
        <v>32</v>
      </c>
      <c r="V2160" s="1">
        <v>45375</v>
      </c>
      <c r="W2160">
        <f>Table1[[#This Row],[customer_purchase count]]+1</f>
        <v>10</v>
      </c>
      <c r="X2160">
        <f>Table1[[#This Row],[customer_purchase count]]*Rules!$B$3</f>
        <v>537.87923076923084</v>
      </c>
      <c r="Y2160" t="str">
        <f>IF(Table1[[#This Row],[customer_subscription]]=1,"Subscribed","Not Subscribed")</f>
        <v>Not Subscribed</v>
      </c>
      <c r="Z2160" t="s">
        <v>187</v>
      </c>
    </row>
    <row r="2161" spans="1:26" x14ac:dyDescent="0.25">
      <c r="A2161">
        <v>2160</v>
      </c>
      <c r="B2161">
        <v>18</v>
      </c>
      <c r="C2161" t="s">
        <v>22</v>
      </c>
      <c r="D2161">
        <v>2160</v>
      </c>
      <c r="E2161" t="s">
        <v>58</v>
      </c>
      <c r="F2161" t="s">
        <v>24</v>
      </c>
      <c r="G2161">
        <v>2160</v>
      </c>
      <c r="H2161">
        <v>2791</v>
      </c>
      <c r="I2161">
        <v>58</v>
      </c>
      <c r="J2161" t="s">
        <v>63</v>
      </c>
      <c r="K2161" t="s">
        <v>47</v>
      </c>
      <c r="L2161" t="s">
        <v>103</v>
      </c>
      <c r="M2161" t="s">
        <v>60</v>
      </c>
      <c r="N2161">
        <v>3</v>
      </c>
      <c r="O2161">
        <v>0</v>
      </c>
      <c r="P2161" t="s">
        <v>41</v>
      </c>
      <c r="Q2161" t="s">
        <v>155</v>
      </c>
      <c r="R2161" t="s">
        <v>155</v>
      </c>
      <c r="S2161">
        <v>34</v>
      </c>
      <c r="T2161" t="s">
        <v>36</v>
      </c>
      <c r="U2161" t="s">
        <v>52</v>
      </c>
      <c r="V2161" s="1">
        <v>45620</v>
      </c>
      <c r="W2161">
        <f>Table1[[#This Row],[customer_purchase count]]+1</f>
        <v>35</v>
      </c>
      <c r="X2161">
        <f>Table1[[#This Row],[customer_purchase count]]*Rules!$B$3</f>
        <v>2031.9882051282052</v>
      </c>
      <c r="Y2161" t="str">
        <f>IF(Table1[[#This Row],[customer_subscription]]=1,"Subscribed","Not Subscribed")</f>
        <v>Not Subscribed</v>
      </c>
    </row>
    <row r="2162" spans="1:26" x14ac:dyDescent="0.25">
      <c r="A2162">
        <v>2161</v>
      </c>
      <c r="B2162">
        <v>45</v>
      </c>
      <c r="C2162" t="s">
        <v>22</v>
      </c>
      <c r="D2162">
        <v>2161</v>
      </c>
      <c r="E2162" t="s">
        <v>23</v>
      </c>
      <c r="F2162" t="s">
        <v>24</v>
      </c>
      <c r="G2162">
        <v>2161</v>
      </c>
      <c r="H2162">
        <v>2792</v>
      </c>
      <c r="I2162">
        <v>92</v>
      </c>
      <c r="J2162" t="s">
        <v>67</v>
      </c>
      <c r="K2162" t="s">
        <v>26</v>
      </c>
      <c r="L2162" t="s">
        <v>64</v>
      </c>
      <c r="M2162" t="s">
        <v>28</v>
      </c>
      <c r="N2162">
        <v>3.3</v>
      </c>
      <c r="O2162">
        <v>0</v>
      </c>
      <c r="P2162" t="s">
        <v>29</v>
      </c>
      <c r="Q2162" t="s">
        <v>155</v>
      </c>
      <c r="R2162" t="s">
        <v>155</v>
      </c>
      <c r="S2162">
        <v>21</v>
      </c>
      <c r="T2162" t="s">
        <v>49</v>
      </c>
      <c r="U2162" t="s">
        <v>52</v>
      </c>
      <c r="V2162" s="1">
        <v>45295</v>
      </c>
      <c r="W2162">
        <f>Table1[[#This Row],[customer_purchase count]]+1</f>
        <v>22</v>
      </c>
      <c r="X2162">
        <f>Table1[[#This Row],[customer_purchase count]]*Rules!$B$3</f>
        <v>1255.0515384615385</v>
      </c>
      <c r="Y2162" t="str">
        <f>IF(Table1[[#This Row],[customer_subscription]]=1,"Subscribed","Not Subscribed")</f>
        <v>Not Subscribed</v>
      </c>
    </row>
    <row r="2163" spans="1:26" x14ac:dyDescent="0.25">
      <c r="A2163">
        <v>2162</v>
      </c>
      <c r="B2163">
        <v>23</v>
      </c>
      <c r="C2163" t="s">
        <v>22</v>
      </c>
      <c r="D2163">
        <v>2162</v>
      </c>
      <c r="E2163" t="s">
        <v>84</v>
      </c>
      <c r="F2163" t="s">
        <v>24</v>
      </c>
      <c r="G2163">
        <v>2162</v>
      </c>
      <c r="H2163">
        <v>2793</v>
      </c>
      <c r="I2163">
        <v>69</v>
      </c>
      <c r="J2163" t="s">
        <v>152</v>
      </c>
      <c r="K2163" t="s">
        <v>39</v>
      </c>
      <c r="L2163" t="s">
        <v>103</v>
      </c>
      <c r="M2163" t="s">
        <v>56</v>
      </c>
      <c r="N2163">
        <v>3.8</v>
      </c>
      <c r="O2163">
        <v>0</v>
      </c>
      <c r="P2163" t="s">
        <v>29</v>
      </c>
      <c r="Q2163" t="s">
        <v>155</v>
      </c>
      <c r="R2163" t="s">
        <v>155</v>
      </c>
      <c r="S2163">
        <v>5</v>
      </c>
      <c r="T2163" t="s">
        <v>89</v>
      </c>
      <c r="U2163" t="s">
        <v>32</v>
      </c>
      <c r="V2163" s="1">
        <v>45493</v>
      </c>
      <c r="W2163">
        <f>Table1[[#This Row],[customer_purchase count]]+1</f>
        <v>6</v>
      </c>
      <c r="X2163">
        <f>Table1[[#This Row],[customer_purchase count]]*Rules!$B$3</f>
        <v>298.82179487179491</v>
      </c>
      <c r="Y2163" t="str">
        <f>IF(Table1[[#This Row],[customer_subscription]]=1,"Subscribed","Not Subscribed")</f>
        <v>Not Subscribed</v>
      </c>
      <c r="Z2163" t="s">
        <v>194</v>
      </c>
    </row>
    <row r="2164" spans="1:26" x14ac:dyDescent="0.25">
      <c r="A2164">
        <v>2163</v>
      </c>
      <c r="B2164">
        <v>60</v>
      </c>
      <c r="C2164" t="s">
        <v>22</v>
      </c>
      <c r="D2164">
        <v>2163</v>
      </c>
      <c r="E2164" t="s">
        <v>62</v>
      </c>
      <c r="F2164" t="s">
        <v>24</v>
      </c>
      <c r="G2164">
        <v>2163</v>
      </c>
      <c r="H2164">
        <v>2794</v>
      </c>
      <c r="I2164">
        <v>48</v>
      </c>
      <c r="J2164" t="s">
        <v>50</v>
      </c>
      <c r="K2164" t="s">
        <v>39</v>
      </c>
      <c r="L2164" t="s">
        <v>97</v>
      </c>
      <c r="M2164" t="s">
        <v>56</v>
      </c>
      <c r="N2164">
        <v>2.7</v>
      </c>
      <c r="O2164">
        <v>0</v>
      </c>
      <c r="P2164" t="s">
        <v>41</v>
      </c>
      <c r="Q2164" t="s">
        <v>155</v>
      </c>
      <c r="R2164" t="s">
        <v>155</v>
      </c>
      <c r="S2164">
        <v>32</v>
      </c>
      <c r="T2164" t="s">
        <v>49</v>
      </c>
      <c r="U2164" t="s">
        <v>43</v>
      </c>
      <c r="V2164" s="1">
        <v>45444</v>
      </c>
      <c r="W2164">
        <f>Table1[[#This Row],[customer_purchase count]]+1</f>
        <v>33</v>
      </c>
      <c r="X2164">
        <f>Table1[[#This Row],[customer_purchase count]]*Rules!$B$3</f>
        <v>1912.4594871794873</v>
      </c>
      <c r="Y2164" t="str">
        <f>IF(Table1[[#This Row],[customer_subscription]]=1,"Subscribed","Not Subscribed")</f>
        <v>Not Subscribed</v>
      </c>
    </row>
    <row r="2165" spans="1:26" x14ac:dyDescent="0.25">
      <c r="A2165">
        <v>2164</v>
      </c>
      <c r="B2165">
        <v>52</v>
      </c>
      <c r="C2165" t="s">
        <v>22</v>
      </c>
      <c r="D2165">
        <v>2164</v>
      </c>
      <c r="E2165" t="s">
        <v>74</v>
      </c>
      <c r="F2165" t="s">
        <v>45</v>
      </c>
      <c r="G2165">
        <v>2164</v>
      </c>
      <c r="H2165">
        <v>2795</v>
      </c>
      <c r="I2165">
        <v>60</v>
      </c>
      <c r="J2165" t="s">
        <v>87</v>
      </c>
      <c r="K2165" t="s">
        <v>26</v>
      </c>
      <c r="L2165" t="s">
        <v>27</v>
      </c>
      <c r="M2165" t="s">
        <v>40</v>
      </c>
      <c r="N2165">
        <v>4.5</v>
      </c>
      <c r="O2165">
        <v>0</v>
      </c>
      <c r="P2165" t="s">
        <v>29</v>
      </c>
      <c r="Q2165" t="s">
        <v>155</v>
      </c>
      <c r="R2165" t="s">
        <v>155</v>
      </c>
      <c r="S2165">
        <v>44</v>
      </c>
      <c r="T2165" t="s">
        <v>78</v>
      </c>
      <c r="U2165" t="s">
        <v>91</v>
      </c>
      <c r="V2165" s="1">
        <v>45424</v>
      </c>
      <c r="W2165">
        <f>Table1[[#This Row],[customer_purchase count]]+1</f>
        <v>45</v>
      </c>
      <c r="X2165">
        <f>Table1[[#This Row],[customer_purchase count]]*Rules!$B$3</f>
        <v>2629.6317948717951</v>
      </c>
      <c r="Y2165" t="str">
        <f>IF(Table1[[#This Row],[customer_subscription]]=1,"Subscribed","Not Subscribed")</f>
        <v>Not Subscribed</v>
      </c>
    </row>
    <row r="2166" spans="1:26" x14ac:dyDescent="0.25">
      <c r="A2166">
        <v>2165</v>
      </c>
      <c r="B2166">
        <v>42</v>
      </c>
      <c r="C2166" t="s">
        <v>22</v>
      </c>
      <c r="D2166">
        <v>2165</v>
      </c>
      <c r="E2166" t="s">
        <v>44</v>
      </c>
      <c r="F2166" t="s">
        <v>45</v>
      </c>
      <c r="G2166">
        <v>2165</v>
      </c>
      <c r="H2166">
        <v>2797</v>
      </c>
      <c r="I2166">
        <v>20</v>
      </c>
      <c r="J2166" t="s">
        <v>149</v>
      </c>
      <c r="K2166" t="s">
        <v>39</v>
      </c>
      <c r="L2166" t="s">
        <v>81</v>
      </c>
      <c r="M2166" t="s">
        <v>28</v>
      </c>
      <c r="N2166">
        <v>4.8</v>
      </c>
      <c r="O2166">
        <v>0</v>
      </c>
      <c r="P2166" t="s">
        <v>48</v>
      </c>
      <c r="Q2166" t="s">
        <v>155</v>
      </c>
      <c r="R2166" t="s">
        <v>155</v>
      </c>
      <c r="S2166">
        <v>46</v>
      </c>
      <c r="T2166" t="s">
        <v>49</v>
      </c>
      <c r="U2166" t="s">
        <v>79</v>
      </c>
      <c r="V2166" s="1">
        <v>45345</v>
      </c>
      <c r="W2166">
        <f>Table1[[#This Row],[customer_purchase count]]+1</f>
        <v>47</v>
      </c>
      <c r="X2166">
        <f>Table1[[#This Row],[customer_purchase count]]*Rules!$B$3</f>
        <v>2749.1605128205128</v>
      </c>
      <c r="Y2166" t="str">
        <f>IF(Table1[[#This Row],[customer_subscription]]=1,"Subscribed","Not Subscribed")</f>
        <v>Not Subscribed</v>
      </c>
    </row>
    <row r="2167" spans="1:26" x14ac:dyDescent="0.25">
      <c r="A2167">
        <v>2166</v>
      </c>
      <c r="B2167">
        <v>29</v>
      </c>
      <c r="C2167" t="s">
        <v>22</v>
      </c>
      <c r="D2167">
        <v>2166</v>
      </c>
      <c r="E2167" t="s">
        <v>98</v>
      </c>
      <c r="F2167" t="s">
        <v>24</v>
      </c>
      <c r="G2167">
        <v>2166</v>
      </c>
      <c r="H2167">
        <v>2798</v>
      </c>
      <c r="I2167">
        <v>55</v>
      </c>
      <c r="J2167" t="s">
        <v>138</v>
      </c>
      <c r="K2167" t="s">
        <v>47</v>
      </c>
      <c r="L2167" t="s">
        <v>51</v>
      </c>
      <c r="M2167" t="s">
        <v>56</v>
      </c>
      <c r="N2167">
        <v>4.2</v>
      </c>
      <c r="O2167">
        <v>0</v>
      </c>
      <c r="P2167" t="s">
        <v>29</v>
      </c>
      <c r="Q2167" t="s">
        <v>155</v>
      </c>
      <c r="R2167" t="s">
        <v>155</v>
      </c>
      <c r="S2167">
        <v>42</v>
      </c>
      <c r="T2167" t="s">
        <v>42</v>
      </c>
      <c r="U2167" t="s">
        <v>100</v>
      </c>
      <c r="V2167" s="1">
        <v>45491</v>
      </c>
      <c r="W2167">
        <f>Table1[[#This Row],[customer_purchase count]]+1</f>
        <v>43</v>
      </c>
      <c r="X2167">
        <f>Table1[[#This Row],[customer_purchase count]]*Rules!$B$3</f>
        <v>2510.103076923077</v>
      </c>
      <c r="Y2167" t="str">
        <f>IF(Table1[[#This Row],[customer_subscription]]=1,"Subscribed","Not Subscribed")</f>
        <v>Not Subscribed</v>
      </c>
    </row>
    <row r="2168" spans="1:26" x14ac:dyDescent="0.25">
      <c r="A2168">
        <v>2167</v>
      </c>
      <c r="B2168">
        <v>31</v>
      </c>
      <c r="C2168" t="s">
        <v>22</v>
      </c>
      <c r="D2168">
        <v>2167</v>
      </c>
      <c r="E2168" t="s">
        <v>105</v>
      </c>
      <c r="F2168" t="s">
        <v>66</v>
      </c>
      <c r="G2168">
        <v>2167</v>
      </c>
      <c r="H2168">
        <v>2799</v>
      </c>
      <c r="I2168">
        <v>88</v>
      </c>
      <c r="J2168" t="s">
        <v>130</v>
      </c>
      <c r="K2168" t="s">
        <v>39</v>
      </c>
      <c r="L2168" t="s">
        <v>76</v>
      </c>
      <c r="M2168" t="s">
        <v>40</v>
      </c>
      <c r="N2168">
        <v>3.5</v>
      </c>
      <c r="O2168">
        <v>0</v>
      </c>
      <c r="P2168" t="s">
        <v>29</v>
      </c>
      <c r="Q2168" t="s">
        <v>155</v>
      </c>
      <c r="R2168" t="s">
        <v>155</v>
      </c>
      <c r="S2168">
        <v>50</v>
      </c>
      <c r="T2168" t="s">
        <v>42</v>
      </c>
      <c r="U2168" t="s">
        <v>79</v>
      </c>
      <c r="V2168" s="1">
        <v>45426</v>
      </c>
      <c r="W2168">
        <f>Table1[[#This Row],[customer_purchase count]]+1</f>
        <v>51</v>
      </c>
      <c r="X2168">
        <f>Table1[[#This Row],[customer_purchase count]]*Rules!$B$3</f>
        <v>2988.2179487179487</v>
      </c>
      <c r="Y2168" t="str">
        <f>IF(Table1[[#This Row],[customer_subscription]]=1,"Subscribed","Not Subscribed")</f>
        <v>Not Subscribed</v>
      </c>
    </row>
    <row r="2169" spans="1:26" x14ac:dyDescent="0.25">
      <c r="A2169">
        <v>2168</v>
      </c>
      <c r="B2169">
        <v>30</v>
      </c>
      <c r="C2169" t="s">
        <v>22</v>
      </c>
      <c r="D2169">
        <v>2168</v>
      </c>
      <c r="E2169" t="s">
        <v>90</v>
      </c>
      <c r="F2169" t="s">
        <v>24</v>
      </c>
      <c r="G2169">
        <v>2168</v>
      </c>
      <c r="H2169">
        <v>2800</v>
      </c>
      <c r="I2169">
        <v>48</v>
      </c>
      <c r="J2169" t="s">
        <v>126</v>
      </c>
      <c r="K2169" t="s">
        <v>26</v>
      </c>
      <c r="L2169" t="s">
        <v>99</v>
      </c>
      <c r="M2169" t="s">
        <v>28</v>
      </c>
      <c r="N2169">
        <v>4.9000000000000004</v>
      </c>
      <c r="O2169">
        <v>0</v>
      </c>
      <c r="P2169" t="s">
        <v>57</v>
      </c>
      <c r="Q2169" t="s">
        <v>155</v>
      </c>
      <c r="R2169" t="s">
        <v>155</v>
      </c>
      <c r="S2169">
        <v>33</v>
      </c>
      <c r="T2169" t="s">
        <v>31</v>
      </c>
      <c r="U2169" t="s">
        <v>32</v>
      </c>
      <c r="V2169" s="1">
        <v>45337</v>
      </c>
      <c r="W2169">
        <f>Table1[[#This Row],[customer_purchase count]]+1</f>
        <v>34</v>
      </c>
      <c r="X2169">
        <f>Table1[[#This Row],[customer_purchase count]]*Rules!$B$3</f>
        <v>1972.2238461538464</v>
      </c>
      <c r="Y2169" t="str">
        <f>IF(Table1[[#This Row],[customer_subscription]]=1,"Subscribed","Not Subscribed")</f>
        <v>Not Subscribed</v>
      </c>
    </row>
    <row r="2170" spans="1:26" x14ac:dyDescent="0.25">
      <c r="A2170">
        <v>2169</v>
      </c>
      <c r="B2170">
        <v>23</v>
      </c>
      <c r="C2170" t="s">
        <v>22</v>
      </c>
      <c r="D2170">
        <v>2169</v>
      </c>
      <c r="E2170" t="s">
        <v>69</v>
      </c>
      <c r="F2170" t="s">
        <v>70</v>
      </c>
      <c r="G2170">
        <v>2169</v>
      </c>
      <c r="H2170">
        <v>2801</v>
      </c>
      <c r="I2170">
        <v>74</v>
      </c>
      <c r="J2170" t="s">
        <v>142</v>
      </c>
      <c r="K2170" t="s">
        <v>47</v>
      </c>
      <c r="L2170" t="s">
        <v>121</v>
      </c>
      <c r="M2170" t="s">
        <v>40</v>
      </c>
      <c r="N2170">
        <v>4.0999999999999996</v>
      </c>
      <c r="O2170">
        <v>0</v>
      </c>
      <c r="P2170" t="s">
        <v>48</v>
      </c>
      <c r="Q2170" t="s">
        <v>155</v>
      </c>
      <c r="R2170" t="s">
        <v>155</v>
      </c>
      <c r="S2170">
        <v>32</v>
      </c>
      <c r="T2170" t="s">
        <v>36</v>
      </c>
      <c r="U2170" t="s">
        <v>61</v>
      </c>
      <c r="V2170" s="1">
        <v>45367</v>
      </c>
      <c r="W2170">
        <f>Table1[[#This Row],[customer_purchase count]]+1</f>
        <v>33</v>
      </c>
      <c r="X2170">
        <f>Table1[[#This Row],[customer_purchase count]]*Rules!$B$3</f>
        <v>1912.4594871794873</v>
      </c>
      <c r="Y2170" t="str">
        <f>IF(Table1[[#This Row],[customer_subscription]]=1,"Subscribed","Not Subscribed")</f>
        <v>Not Subscribed</v>
      </c>
    </row>
    <row r="2171" spans="1:26" x14ac:dyDescent="0.25">
      <c r="A2171">
        <v>2170</v>
      </c>
      <c r="B2171">
        <v>31</v>
      </c>
      <c r="C2171" t="s">
        <v>22</v>
      </c>
      <c r="D2171">
        <v>2170</v>
      </c>
      <c r="E2171" t="s">
        <v>65</v>
      </c>
      <c r="F2171" t="s">
        <v>66</v>
      </c>
      <c r="G2171">
        <v>2170</v>
      </c>
      <c r="H2171">
        <v>2803</v>
      </c>
      <c r="I2171">
        <v>42</v>
      </c>
      <c r="J2171" t="s">
        <v>106</v>
      </c>
      <c r="K2171" t="s">
        <v>47</v>
      </c>
      <c r="L2171" t="s">
        <v>113</v>
      </c>
      <c r="M2171" t="s">
        <v>60</v>
      </c>
      <c r="N2171">
        <v>2.9</v>
      </c>
      <c r="O2171">
        <v>0</v>
      </c>
      <c r="P2171" t="s">
        <v>48</v>
      </c>
      <c r="Q2171" t="s">
        <v>155</v>
      </c>
      <c r="R2171" t="s">
        <v>155</v>
      </c>
      <c r="S2171">
        <v>32</v>
      </c>
      <c r="T2171" t="s">
        <v>78</v>
      </c>
      <c r="U2171" t="s">
        <v>79</v>
      </c>
      <c r="V2171" s="1">
        <v>45605</v>
      </c>
      <c r="W2171">
        <f>Table1[[#This Row],[customer_purchase count]]+1</f>
        <v>33</v>
      </c>
      <c r="X2171">
        <f>Table1[[#This Row],[customer_purchase count]]*Rules!$B$3</f>
        <v>1912.4594871794873</v>
      </c>
      <c r="Y2171" t="str">
        <f>IF(Table1[[#This Row],[customer_subscription]]=1,"Subscribed","Not Subscribed")</f>
        <v>Not Subscribed</v>
      </c>
    </row>
    <row r="2172" spans="1:26" x14ac:dyDescent="0.25">
      <c r="A2172">
        <v>2171</v>
      </c>
      <c r="B2172">
        <v>40</v>
      </c>
      <c r="C2172" t="s">
        <v>22</v>
      </c>
      <c r="D2172">
        <v>2171</v>
      </c>
      <c r="E2172" t="s">
        <v>33</v>
      </c>
      <c r="F2172" t="s">
        <v>24</v>
      </c>
      <c r="G2172">
        <v>2171</v>
      </c>
      <c r="H2172">
        <v>2804</v>
      </c>
      <c r="I2172">
        <v>32</v>
      </c>
      <c r="J2172" t="s">
        <v>134</v>
      </c>
      <c r="K2172" t="s">
        <v>47</v>
      </c>
      <c r="L2172" t="s">
        <v>51</v>
      </c>
      <c r="M2172" t="s">
        <v>60</v>
      </c>
      <c r="N2172">
        <v>4</v>
      </c>
      <c r="O2172">
        <v>0</v>
      </c>
      <c r="P2172" t="s">
        <v>48</v>
      </c>
      <c r="Q2172" t="s">
        <v>155</v>
      </c>
      <c r="R2172" t="s">
        <v>155</v>
      </c>
      <c r="S2172">
        <v>37</v>
      </c>
      <c r="T2172" t="s">
        <v>31</v>
      </c>
      <c r="U2172" t="s">
        <v>100</v>
      </c>
      <c r="V2172" s="1">
        <v>45603</v>
      </c>
      <c r="W2172">
        <f>Table1[[#This Row],[customer_purchase count]]+1</f>
        <v>38</v>
      </c>
      <c r="X2172">
        <f>Table1[[#This Row],[customer_purchase count]]*Rules!$B$3</f>
        <v>2211.2812820512822</v>
      </c>
      <c r="Y2172" t="str">
        <f>IF(Table1[[#This Row],[customer_subscription]]=1,"Subscribed","Not Subscribed")</f>
        <v>Not Subscribed</v>
      </c>
    </row>
    <row r="2173" spans="1:26" x14ac:dyDescent="0.25">
      <c r="A2173">
        <v>2172</v>
      </c>
      <c r="B2173">
        <v>39</v>
      </c>
      <c r="C2173" t="s">
        <v>22</v>
      </c>
      <c r="D2173">
        <v>2172</v>
      </c>
      <c r="E2173" t="s">
        <v>62</v>
      </c>
      <c r="F2173" t="s">
        <v>24</v>
      </c>
      <c r="G2173">
        <v>2172</v>
      </c>
      <c r="H2173">
        <v>2805</v>
      </c>
      <c r="I2173">
        <v>98</v>
      </c>
      <c r="J2173" t="s">
        <v>71</v>
      </c>
      <c r="K2173" t="s">
        <v>47</v>
      </c>
      <c r="L2173" t="s">
        <v>137</v>
      </c>
      <c r="M2173" t="s">
        <v>56</v>
      </c>
      <c r="N2173">
        <v>4.5999999999999996</v>
      </c>
      <c r="O2173">
        <v>0</v>
      </c>
      <c r="P2173" t="s">
        <v>77</v>
      </c>
      <c r="Q2173" t="s">
        <v>155</v>
      </c>
      <c r="R2173" t="s">
        <v>155</v>
      </c>
      <c r="S2173">
        <v>9</v>
      </c>
      <c r="T2173" t="s">
        <v>36</v>
      </c>
      <c r="U2173" t="s">
        <v>32</v>
      </c>
      <c r="V2173" s="1">
        <v>45509</v>
      </c>
      <c r="W2173">
        <f>Table1[[#This Row],[customer_purchase count]]+1</f>
        <v>10</v>
      </c>
      <c r="X2173">
        <f>Table1[[#This Row],[customer_purchase count]]*Rules!$B$3</f>
        <v>537.87923076923084</v>
      </c>
      <c r="Y2173" t="str">
        <f>IF(Table1[[#This Row],[customer_subscription]]=1,"Subscribed","Not Subscribed")</f>
        <v>Not Subscribed</v>
      </c>
      <c r="Z2173" t="s">
        <v>194</v>
      </c>
    </row>
    <row r="2174" spans="1:26" x14ac:dyDescent="0.25">
      <c r="A2174">
        <v>2173</v>
      </c>
      <c r="B2174">
        <v>28</v>
      </c>
      <c r="C2174" t="s">
        <v>22</v>
      </c>
      <c r="D2174">
        <v>2173</v>
      </c>
      <c r="E2174" t="s">
        <v>90</v>
      </c>
      <c r="F2174" t="s">
        <v>24</v>
      </c>
      <c r="G2174">
        <v>2173</v>
      </c>
      <c r="H2174">
        <v>2806</v>
      </c>
      <c r="I2174">
        <v>89</v>
      </c>
      <c r="J2174" t="s">
        <v>46</v>
      </c>
      <c r="K2174" t="s">
        <v>39</v>
      </c>
      <c r="L2174" t="s">
        <v>96</v>
      </c>
      <c r="M2174" t="s">
        <v>60</v>
      </c>
      <c r="N2174">
        <v>2.8</v>
      </c>
      <c r="O2174">
        <v>0</v>
      </c>
      <c r="P2174" t="s">
        <v>77</v>
      </c>
      <c r="Q2174" t="s">
        <v>155</v>
      </c>
      <c r="R2174" t="s">
        <v>155</v>
      </c>
      <c r="S2174">
        <v>6</v>
      </c>
      <c r="T2174" t="s">
        <v>49</v>
      </c>
      <c r="U2174" t="s">
        <v>32</v>
      </c>
      <c r="V2174" s="1">
        <v>45552</v>
      </c>
      <c r="W2174">
        <f>Table1[[#This Row],[customer_purchase count]]+1</f>
        <v>7</v>
      </c>
      <c r="X2174">
        <f>Table1[[#This Row],[customer_purchase count]]*Rules!$B$3</f>
        <v>358.58615384615388</v>
      </c>
      <c r="Y2174" t="str">
        <f>IF(Table1[[#This Row],[customer_subscription]]=1,"Subscribed","Not Subscribed")</f>
        <v>Not Subscribed</v>
      </c>
      <c r="Z2174" t="s">
        <v>194</v>
      </c>
    </row>
    <row r="2175" spans="1:26" x14ac:dyDescent="0.25">
      <c r="A2175">
        <v>2174</v>
      </c>
      <c r="B2175">
        <v>23</v>
      </c>
      <c r="C2175" t="s">
        <v>22</v>
      </c>
      <c r="D2175">
        <v>2174</v>
      </c>
      <c r="E2175" t="s">
        <v>146</v>
      </c>
      <c r="F2175" t="s">
        <v>70</v>
      </c>
      <c r="G2175">
        <v>2174</v>
      </c>
      <c r="H2175">
        <v>2807</v>
      </c>
      <c r="I2175">
        <v>97</v>
      </c>
      <c r="J2175" t="s">
        <v>82</v>
      </c>
      <c r="K2175" t="s">
        <v>39</v>
      </c>
      <c r="L2175" t="s">
        <v>112</v>
      </c>
      <c r="M2175" t="s">
        <v>56</v>
      </c>
      <c r="N2175">
        <v>5</v>
      </c>
      <c r="O2175">
        <v>0</v>
      </c>
      <c r="P2175" t="s">
        <v>73</v>
      </c>
      <c r="Q2175" t="s">
        <v>155</v>
      </c>
      <c r="R2175" t="s">
        <v>155</v>
      </c>
      <c r="S2175">
        <v>36</v>
      </c>
      <c r="T2175" t="s">
        <v>31</v>
      </c>
      <c r="U2175" t="s">
        <v>61</v>
      </c>
      <c r="V2175" s="1">
        <v>45516</v>
      </c>
      <c r="W2175">
        <f>Table1[[#This Row],[customer_purchase count]]+1</f>
        <v>37</v>
      </c>
      <c r="X2175">
        <f>Table1[[#This Row],[customer_purchase count]]*Rules!$B$3</f>
        <v>2151.5169230769234</v>
      </c>
      <c r="Y2175" t="str">
        <f>IF(Table1[[#This Row],[customer_subscription]]=1,"Subscribed","Not Subscribed")</f>
        <v>Not Subscribed</v>
      </c>
    </row>
    <row r="2176" spans="1:26" x14ac:dyDescent="0.25">
      <c r="A2176">
        <v>2175</v>
      </c>
      <c r="B2176">
        <v>42</v>
      </c>
      <c r="C2176" t="s">
        <v>22</v>
      </c>
      <c r="D2176">
        <v>2175</v>
      </c>
      <c r="E2176" t="s">
        <v>135</v>
      </c>
      <c r="F2176" t="s">
        <v>70</v>
      </c>
      <c r="G2176">
        <v>2175</v>
      </c>
      <c r="H2176">
        <v>2809</v>
      </c>
      <c r="I2176">
        <v>49</v>
      </c>
      <c r="J2176" t="s">
        <v>115</v>
      </c>
      <c r="K2176" t="s">
        <v>39</v>
      </c>
      <c r="L2176" t="s">
        <v>81</v>
      </c>
      <c r="M2176" t="s">
        <v>40</v>
      </c>
      <c r="N2176">
        <v>2.9</v>
      </c>
      <c r="O2176">
        <v>0</v>
      </c>
      <c r="P2176" t="s">
        <v>77</v>
      </c>
      <c r="Q2176" t="s">
        <v>155</v>
      </c>
      <c r="R2176" t="s">
        <v>155</v>
      </c>
      <c r="S2176">
        <v>1</v>
      </c>
      <c r="T2176" t="s">
        <v>36</v>
      </c>
      <c r="U2176" t="s">
        <v>52</v>
      </c>
      <c r="V2176" s="1">
        <v>45363</v>
      </c>
      <c r="W2176">
        <f>Table1[[#This Row],[customer_purchase count]]+1</f>
        <v>2</v>
      </c>
      <c r="X2176">
        <f>Table1[[#This Row],[customer_purchase count]]*Rules!$B$3</f>
        <v>59.764358974358977</v>
      </c>
      <c r="Y2176" t="str">
        <f>IF(Table1[[#This Row],[customer_subscription]]=1,"Subscribed","Not Subscribed")</f>
        <v>Not Subscribed</v>
      </c>
      <c r="Z2176" t="s">
        <v>194</v>
      </c>
    </row>
    <row r="2177" spans="1:26" x14ac:dyDescent="0.25">
      <c r="A2177">
        <v>2176</v>
      </c>
      <c r="B2177">
        <v>68</v>
      </c>
      <c r="C2177" t="s">
        <v>22</v>
      </c>
      <c r="D2177">
        <v>2176</v>
      </c>
      <c r="E2177" t="s">
        <v>84</v>
      </c>
      <c r="F2177" t="s">
        <v>24</v>
      </c>
      <c r="G2177">
        <v>2176</v>
      </c>
      <c r="H2177">
        <v>2810</v>
      </c>
      <c r="I2177">
        <v>50</v>
      </c>
      <c r="J2177" t="s">
        <v>148</v>
      </c>
      <c r="K2177" t="s">
        <v>47</v>
      </c>
      <c r="L2177" t="s">
        <v>68</v>
      </c>
      <c r="M2177" t="s">
        <v>40</v>
      </c>
      <c r="N2177">
        <v>3.3</v>
      </c>
      <c r="O2177">
        <v>0</v>
      </c>
      <c r="P2177" t="s">
        <v>41</v>
      </c>
      <c r="Q2177" t="s">
        <v>155</v>
      </c>
      <c r="R2177" t="s">
        <v>155</v>
      </c>
      <c r="S2177">
        <v>48</v>
      </c>
      <c r="T2177" t="s">
        <v>42</v>
      </c>
      <c r="U2177" t="s">
        <v>32</v>
      </c>
      <c r="V2177" s="1">
        <v>45376</v>
      </c>
      <c r="W2177">
        <f>Table1[[#This Row],[customer_purchase count]]+1</f>
        <v>49</v>
      </c>
      <c r="X2177">
        <f>Table1[[#This Row],[customer_purchase count]]*Rules!$B$3</f>
        <v>2868.689230769231</v>
      </c>
      <c r="Y2177" t="str">
        <f>IF(Table1[[#This Row],[customer_subscription]]=1,"Subscribed","Not Subscribed")</f>
        <v>Not Subscribed</v>
      </c>
    </row>
    <row r="2178" spans="1:26" x14ac:dyDescent="0.25">
      <c r="A2178">
        <v>2177</v>
      </c>
      <c r="B2178">
        <v>24</v>
      </c>
      <c r="C2178" t="s">
        <v>22</v>
      </c>
      <c r="D2178">
        <v>2177</v>
      </c>
      <c r="E2178" t="s">
        <v>136</v>
      </c>
      <c r="F2178" t="s">
        <v>70</v>
      </c>
      <c r="G2178">
        <v>2177</v>
      </c>
      <c r="H2178">
        <v>2811</v>
      </c>
      <c r="I2178">
        <v>91</v>
      </c>
      <c r="J2178" t="s">
        <v>132</v>
      </c>
      <c r="K2178" t="s">
        <v>39</v>
      </c>
      <c r="L2178" t="s">
        <v>111</v>
      </c>
      <c r="M2178" t="s">
        <v>28</v>
      </c>
      <c r="N2178">
        <v>3.4</v>
      </c>
      <c r="O2178">
        <v>0</v>
      </c>
      <c r="P2178" t="s">
        <v>73</v>
      </c>
      <c r="Q2178" t="s">
        <v>155</v>
      </c>
      <c r="R2178" t="s">
        <v>155</v>
      </c>
      <c r="S2178">
        <v>44</v>
      </c>
      <c r="T2178" t="s">
        <v>89</v>
      </c>
      <c r="U2178" t="s">
        <v>61</v>
      </c>
      <c r="V2178" s="1">
        <v>45334</v>
      </c>
      <c r="W2178">
        <f>Table1[[#This Row],[customer_purchase count]]+1</f>
        <v>45</v>
      </c>
      <c r="X2178">
        <f>Table1[[#This Row],[customer_purchase count]]*Rules!$B$3</f>
        <v>2629.6317948717951</v>
      </c>
      <c r="Y2178" t="str">
        <f>IF(Table1[[#This Row],[customer_subscription]]=1,"Subscribed","Not Subscribed")</f>
        <v>Not Subscribed</v>
      </c>
    </row>
    <row r="2179" spans="1:26" x14ac:dyDescent="0.25">
      <c r="A2179">
        <v>2178</v>
      </c>
      <c r="B2179">
        <v>24</v>
      </c>
      <c r="C2179" t="s">
        <v>22</v>
      </c>
      <c r="D2179">
        <v>2178</v>
      </c>
      <c r="E2179" t="s">
        <v>146</v>
      </c>
      <c r="F2179" t="s">
        <v>70</v>
      </c>
      <c r="G2179">
        <v>2178</v>
      </c>
      <c r="H2179">
        <v>2812</v>
      </c>
      <c r="I2179">
        <v>93</v>
      </c>
      <c r="J2179" t="s">
        <v>59</v>
      </c>
      <c r="K2179" t="s">
        <v>95</v>
      </c>
      <c r="L2179" t="s">
        <v>99</v>
      </c>
      <c r="M2179" t="s">
        <v>28</v>
      </c>
      <c r="N2179">
        <v>3</v>
      </c>
      <c r="O2179">
        <v>0</v>
      </c>
      <c r="P2179" t="s">
        <v>29</v>
      </c>
      <c r="Q2179" t="s">
        <v>155</v>
      </c>
      <c r="R2179" t="s">
        <v>155</v>
      </c>
      <c r="S2179">
        <v>9</v>
      </c>
      <c r="T2179" t="s">
        <v>49</v>
      </c>
      <c r="U2179" t="s">
        <v>79</v>
      </c>
      <c r="V2179" s="1">
        <v>45292</v>
      </c>
      <c r="W2179">
        <f>Table1[[#This Row],[customer_purchase count]]+1</f>
        <v>10</v>
      </c>
      <c r="X2179">
        <f>Table1[[#This Row],[customer_purchase count]]*Rules!$B$3</f>
        <v>537.87923076923084</v>
      </c>
      <c r="Y2179" t="str">
        <f>IF(Table1[[#This Row],[customer_subscription]]=1,"Subscribed","Not Subscribed")</f>
        <v>Not Subscribed</v>
      </c>
      <c r="Z2179" t="s">
        <v>187</v>
      </c>
    </row>
    <row r="2180" spans="1:26" x14ac:dyDescent="0.25">
      <c r="A2180">
        <v>2179</v>
      </c>
      <c r="B2180">
        <v>21</v>
      </c>
      <c r="C2180" t="s">
        <v>22</v>
      </c>
      <c r="D2180">
        <v>2179</v>
      </c>
      <c r="E2180" t="s">
        <v>109</v>
      </c>
      <c r="F2180" t="s">
        <v>70</v>
      </c>
      <c r="G2180">
        <v>2179</v>
      </c>
      <c r="H2180">
        <v>2813</v>
      </c>
      <c r="I2180">
        <v>98</v>
      </c>
      <c r="J2180" t="s">
        <v>106</v>
      </c>
      <c r="K2180" t="s">
        <v>47</v>
      </c>
      <c r="L2180" t="s">
        <v>83</v>
      </c>
      <c r="M2180" t="s">
        <v>56</v>
      </c>
      <c r="N2180">
        <v>4.7</v>
      </c>
      <c r="O2180">
        <v>0</v>
      </c>
      <c r="P2180" t="s">
        <v>57</v>
      </c>
      <c r="Q2180" t="s">
        <v>155</v>
      </c>
      <c r="R2180" t="s">
        <v>155</v>
      </c>
      <c r="S2180">
        <v>32</v>
      </c>
      <c r="T2180" t="s">
        <v>31</v>
      </c>
      <c r="U2180" t="s">
        <v>52</v>
      </c>
      <c r="V2180" s="1">
        <v>45474</v>
      </c>
      <c r="W2180">
        <f>Table1[[#This Row],[customer_purchase count]]+1</f>
        <v>33</v>
      </c>
      <c r="X2180">
        <f>Table1[[#This Row],[customer_purchase count]]*Rules!$B$3</f>
        <v>1912.4594871794873</v>
      </c>
      <c r="Y2180" t="str">
        <f>IF(Table1[[#This Row],[customer_subscription]]=1,"Subscribed","Not Subscribed")</f>
        <v>Not Subscribed</v>
      </c>
    </row>
    <row r="2181" spans="1:26" x14ac:dyDescent="0.25">
      <c r="A2181">
        <v>2180</v>
      </c>
      <c r="B2181">
        <v>49</v>
      </c>
      <c r="C2181" t="s">
        <v>22</v>
      </c>
      <c r="D2181">
        <v>2180</v>
      </c>
      <c r="E2181" t="s">
        <v>128</v>
      </c>
      <c r="F2181" t="s">
        <v>24</v>
      </c>
      <c r="G2181">
        <v>2180</v>
      </c>
      <c r="H2181">
        <v>2815</v>
      </c>
      <c r="I2181">
        <v>82</v>
      </c>
      <c r="J2181" t="s">
        <v>82</v>
      </c>
      <c r="K2181" t="s">
        <v>26</v>
      </c>
      <c r="L2181" t="s">
        <v>96</v>
      </c>
      <c r="M2181" t="s">
        <v>60</v>
      </c>
      <c r="N2181">
        <v>2.9</v>
      </c>
      <c r="O2181">
        <v>0</v>
      </c>
      <c r="P2181" t="s">
        <v>48</v>
      </c>
      <c r="Q2181" t="s">
        <v>155</v>
      </c>
      <c r="R2181" t="s">
        <v>155</v>
      </c>
      <c r="S2181">
        <v>14</v>
      </c>
      <c r="T2181" t="s">
        <v>49</v>
      </c>
      <c r="U2181" t="s">
        <v>91</v>
      </c>
      <c r="V2181" s="1">
        <v>45573</v>
      </c>
      <c r="W2181">
        <f>Table1[[#This Row],[customer_purchase count]]+1</f>
        <v>15</v>
      </c>
      <c r="X2181">
        <f>Table1[[#This Row],[customer_purchase count]]*Rules!$B$3</f>
        <v>836.70102564102569</v>
      </c>
      <c r="Y2181" t="str">
        <f>IF(Table1[[#This Row],[customer_subscription]]=1,"Subscribed","Not Subscribed")</f>
        <v>Not Subscribed</v>
      </c>
      <c r="Z2181" t="s">
        <v>194</v>
      </c>
    </row>
    <row r="2182" spans="1:26" x14ac:dyDescent="0.25">
      <c r="A2182">
        <v>2181</v>
      </c>
      <c r="B2182">
        <v>41</v>
      </c>
      <c r="C2182" t="s">
        <v>22</v>
      </c>
      <c r="D2182">
        <v>2181</v>
      </c>
      <c r="E2182" t="s">
        <v>65</v>
      </c>
      <c r="F2182" t="s">
        <v>66</v>
      </c>
      <c r="G2182">
        <v>2181</v>
      </c>
      <c r="H2182">
        <v>2816</v>
      </c>
      <c r="I2182">
        <v>37</v>
      </c>
      <c r="J2182" t="s">
        <v>142</v>
      </c>
      <c r="K2182" t="s">
        <v>47</v>
      </c>
      <c r="L2182" t="s">
        <v>137</v>
      </c>
      <c r="M2182" t="s">
        <v>56</v>
      </c>
      <c r="N2182">
        <v>4.0999999999999996</v>
      </c>
      <c r="O2182">
        <v>0</v>
      </c>
      <c r="P2182" t="s">
        <v>77</v>
      </c>
      <c r="Q2182" t="s">
        <v>155</v>
      </c>
      <c r="R2182" t="s">
        <v>155</v>
      </c>
      <c r="S2182">
        <v>43</v>
      </c>
      <c r="T2182" t="s">
        <v>36</v>
      </c>
      <c r="U2182" t="s">
        <v>61</v>
      </c>
      <c r="V2182" s="1">
        <v>45476</v>
      </c>
      <c r="W2182">
        <f>Table1[[#This Row],[customer_purchase count]]+1</f>
        <v>44</v>
      </c>
      <c r="X2182">
        <f>Table1[[#This Row],[customer_purchase count]]*Rules!$B$3</f>
        <v>2569.8674358974358</v>
      </c>
      <c r="Y2182" t="str">
        <f>IF(Table1[[#This Row],[customer_subscription]]=1,"Subscribed","Not Subscribed")</f>
        <v>Not Subscribed</v>
      </c>
    </row>
    <row r="2183" spans="1:26" x14ac:dyDescent="0.25">
      <c r="A2183">
        <v>2182</v>
      </c>
      <c r="B2183">
        <v>22</v>
      </c>
      <c r="C2183" t="s">
        <v>22</v>
      </c>
      <c r="D2183">
        <v>2182</v>
      </c>
      <c r="E2183" t="s">
        <v>69</v>
      </c>
      <c r="F2183" t="s">
        <v>70</v>
      </c>
      <c r="G2183">
        <v>2182</v>
      </c>
      <c r="H2183">
        <v>2817</v>
      </c>
      <c r="I2183">
        <v>63</v>
      </c>
      <c r="J2183" t="s">
        <v>80</v>
      </c>
      <c r="K2183" t="s">
        <v>47</v>
      </c>
      <c r="L2183" t="s">
        <v>97</v>
      </c>
      <c r="M2183" t="s">
        <v>60</v>
      </c>
      <c r="N2183">
        <v>3.2</v>
      </c>
      <c r="O2183">
        <v>0</v>
      </c>
      <c r="P2183" t="s">
        <v>41</v>
      </c>
      <c r="Q2183" t="s">
        <v>155</v>
      </c>
      <c r="R2183" t="s">
        <v>155</v>
      </c>
      <c r="S2183">
        <v>32</v>
      </c>
      <c r="T2183" t="s">
        <v>78</v>
      </c>
      <c r="U2183" t="s">
        <v>79</v>
      </c>
      <c r="V2183" s="1">
        <v>45538</v>
      </c>
      <c r="W2183">
        <f>Table1[[#This Row],[customer_purchase count]]+1</f>
        <v>33</v>
      </c>
      <c r="X2183">
        <f>Table1[[#This Row],[customer_purchase count]]*Rules!$B$3</f>
        <v>1912.4594871794873</v>
      </c>
      <c r="Y2183" t="str">
        <f>IF(Table1[[#This Row],[customer_subscription]]=1,"Subscribed","Not Subscribed")</f>
        <v>Not Subscribed</v>
      </c>
    </row>
    <row r="2184" spans="1:26" x14ac:dyDescent="0.25">
      <c r="A2184">
        <v>2183</v>
      </c>
      <c r="B2184">
        <v>42</v>
      </c>
      <c r="C2184" t="s">
        <v>22</v>
      </c>
      <c r="D2184">
        <v>2183</v>
      </c>
      <c r="E2184" t="s">
        <v>23</v>
      </c>
      <c r="F2184" t="s">
        <v>24</v>
      </c>
      <c r="G2184">
        <v>2183</v>
      </c>
      <c r="H2184">
        <v>2818</v>
      </c>
      <c r="I2184">
        <v>99</v>
      </c>
      <c r="J2184" t="s">
        <v>133</v>
      </c>
      <c r="K2184" t="s">
        <v>47</v>
      </c>
      <c r="L2184" t="s">
        <v>35</v>
      </c>
      <c r="M2184" t="s">
        <v>28</v>
      </c>
      <c r="N2184">
        <v>2.7</v>
      </c>
      <c r="O2184">
        <v>0</v>
      </c>
      <c r="P2184" t="s">
        <v>77</v>
      </c>
      <c r="Q2184" t="s">
        <v>155</v>
      </c>
      <c r="R2184" t="s">
        <v>155</v>
      </c>
      <c r="S2184">
        <v>26</v>
      </c>
      <c r="T2184" t="s">
        <v>31</v>
      </c>
      <c r="U2184" t="s">
        <v>79</v>
      </c>
      <c r="V2184" s="1">
        <v>45319</v>
      </c>
      <c r="W2184">
        <f>Table1[[#This Row],[customer_purchase count]]+1</f>
        <v>27</v>
      </c>
      <c r="X2184">
        <f>Table1[[#This Row],[customer_purchase count]]*Rules!$B$3</f>
        <v>1553.8733333333334</v>
      </c>
      <c r="Y2184" t="str">
        <f>IF(Table1[[#This Row],[customer_subscription]]=1,"Subscribed","Not Subscribed")</f>
        <v>Not Subscribed</v>
      </c>
    </row>
    <row r="2185" spans="1:26" x14ac:dyDescent="0.25">
      <c r="A2185">
        <v>2184</v>
      </c>
      <c r="B2185">
        <v>30</v>
      </c>
      <c r="C2185" t="s">
        <v>22</v>
      </c>
      <c r="D2185">
        <v>2184</v>
      </c>
      <c r="E2185" t="s">
        <v>62</v>
      </c>
      <c r="F2185" t="s">
        <v>24</v>
      </c>
      <c r="G2185">
        <v>2184</v>
      </c>
      <c r="H2185">
        <v>2819</v>
      </c>
      <c r="I2185">
        <v>37</v>
      </c>
      <c r="J2185" t="s">
        <v>114</v>
      </c>
      <c r="K2185" t="s">
        <v>47</v>
      </c>
      <c r="L2185" t="s">
        <v>35</v>
      </c>
      <c r="M2185" t="s">
        <v>40</v>
      </c>
      <c r="N2185">
        <v>4.7</v>
      </c>
      <c r="O2185">
        <v>0</v>
      </c>
      <c r="P2185" t="s">
        <v>77</v>
      </c>
      <c r="Q2185" t="s">
        <v>155</v>
      </c>
      <c r="R2185" t="s">
        <v>155</v>
      </c>
      <c r="S2185">
        <v>2</v>
      </c>
      <c r="T2185" t="s">
        <v>36</v>
      </c>
      <c r="U2185" t="s">
        <v>91</v>
      </c>
      <c r="V2185" s="1">
        <v>45386</v>
      </c>
      <c r="W2185">
        <f>Table1[[#This Row],[customer_purchase count]]+1</f>
        <v>3</v>
      </c>
      <c r="X2185">
        <f>Table1[[#This Row],[customer_purchase count]]*Rules!$B$3</f>
        <v>119.52871794871795</v>
      </c>
      <c r="Y2185" t="str">
        <f>IF(Table1[[#This Row],[customer_subscription]]=1,"Subscribed","Not Subscribed")</f>
        <v>Not Subscribed</v>
      </c>
      <c r="Z2185" t="s">
        <v>194</v>
      </c>
    </row>
    <row r="2186" spans="1:26" x14ac:dyDescent="0.25">
      <c r="A2186">
        <v>2185</v>
      </c>
      <c r="B2186">
        <v>38</v>
      </c>
      <c r="C2186" t="s">
        <v>22</v>
      </c>
      <c r="D2186">
        <v>2185</v>
      </c>
      <c r="E2186" t="s">
        <v>74</v>
      </c>
      <c r="F2186" t="s">
        <v>45</v>
      </c>
      <c r="G2186">
        <v>2185</v>
      </c>
      <c r="H2186">
        <v>2821</v>
      </c>
      <c r="I2186">
        <v>34</v>
      </c>
      <c r="J2186" t="s">
        <v>110</v>
      </c>
      <c r="K2186" t="s">
        <v>39</v>
      </c>
      <c r="L2186" t="s">
        <v>83</v>
      </c>
      <c r="M2186" t="s">
        <v>40</v>
      </c>
      <c r="N2186">
        <v>3.2</v>
      </c>
      <c r="O2186">
        <v>0</v>
      </c>
      <c r="P2186" t="s">
        <v>41</v>
      </c>
      <c r="Q2186" t="s">
        <v>155</v>
      </c>
      <c r="R2186" t="s">
        <v>155</v>
      </c>
      <c r="S2186">
        <v>16</v>
      </c>
      <c r="T2186" t="s">
        <v>49</v>
      </c>
      <c r="U2186" t="s">
        <v>100</v>
      </c>
      <c r="V2186" s="1">
        <v>45413</v>
      </c>
      <c r="W2186">
        <f>Table1[[#This Row],[customer_purchase count]]+1</f>
        <v>17</v>
      </c>
      <c r="X2186">
        <f>Table1[[#This Row],[customer_purchase count]]*Rules!$B$3</f>
        <v>956.22974358974363</v>
      </c>
      <c r="Y2186" t="str">
        <f>IF(Table1[[#This Row],[customer_subscription]]=1,"Subscribed","Not Subscribed")</f>
        <v>Not Subscribed</v>
      </c>
      <c r="Z2186" t="s">
        <v>194</v>
      </c>
    </row>
    <row r="2187" spans="1:26" x14ac:dyDescent="0.25">
      <c r="A2187">
        <v>2186</v>
      </c>
      <c r="B2187">
        <v>40</v>
      </c>
      <c r="C2187" t="s">
        <v>22</v>
      </c>
      <c r="D2187">
        <v>2186</v>
      </c>
      <c r="E2187" t="s">
        <v>62</v>
      </c>
      <c r="F2187" t="s">
        <v>24</v>
      </c>
      <c r="G2187">
        <v>2186</v>
      </c>
      <c r="H2187">
        <v>2822</v>
      </c>
      <c r="I2187">
        <v>32</v>
      </c>
      <c r="J2187" t="s">
        <v>101</v>
      </c>
      <c r="K2187" t="s">
        <v>47</v>
      </c>
      <c r="L2187" t="s">
        <v>86</v>
      </c>
      <c r="M2187" t="s">
        <v>28</v>
      </c>
      <c r="N2187">
        <v>2.5</v>
      </c>
      <c r="O2187">
        <v>0</v>
      </c>
      <c r="P2187" t="s">
        <v>29</v>
      </c>
      <c r="Q2187" t="s">
        <v>155</v>
      </c>
      <c r="R2187" t="s">
        <v>155</v>
      </c>
      <c r="S2187">
        <v>50</v>
      </c>
      <c r="T2187" t="s">
        <v>89</v>
      </c>
      <c r="U2187" t="s">
        <v>100</v>
      </c>
      <c r="V2187" s="1">
        <v>45303</v>
      </c>
      <c r="W2187">
        <f>Table1[[#This Row],[customer_purchase count]]+1</f>
        <v>51</v>
      </c>
      <c r="X2187">
        <f>Table1[[#This Row],[customer_purchase count]]*Rules!$B$3</f>
        <v>2988.2179487179487</v>
      </c>
      <c r="Y2187" t="str">
        <f>IF(Table1[[#This Row],[customer_subscription]]=1,"Subscribed","Not Subscribed")</f>
        <v>Not Subscribed</v>
      </c>
    </row>
    <row r="2188" spans="1:26" x14ac:dyDescent="0.25">
      <c r="A2188">
        <v>2187</v>
      </c>
      <c r="B2188">
        <v>55</v>
      </c>
      <c r="C2188" t="s">
        <v>22</v>
      </c>
      <c r="D2188">
        <v>2187</v>
      </c>
      <c r="E2188" t="s">
        <v>44</v>
      </c>
      <c r="F2188" t="s">
        <v>45</v>
      </c>
      <c r="G2188">
        <v>2187</v>
      </c>
      <c r="H2188">
        <v>2823</v>
      </c>
      <c r="I2188">
        <v>23</v>
      </c>
      <c r="J2188" t="s">
        <v>133</v>
      </c>
      <c r="K2188" t="s">
        <v>95</v>
      </c>
      <c r="L2188" t="s">
        <v>88</v>
      </c>
      <c r="M2188" t="s">
        <v>28</v>
      </c>
      <c r="N2188">
        <v>4.3</v>
      </c>
      <c r="O2188">
        <v>0</v>
      </c>
      <c r="P2188" t="s">
        <v>48</v>
      </c>
      <c r="Q2188" t="s">
        <v>155</v>
      </c>
      <c r="R2188" t="s">
        <v>155</v>
      </c>
      <c r="S2188">
        <v>6</v>
      </c>
      <c r="T2188" t="s">
        <v>49</v>
      </c>
      <c r="U2188" t="s">
        <v>100</v>
      </c>
      <c r="V2188" s="1">
        <v>45302</v>
      </c>
      <c r="W2188">
        <f>Table1[[#This Row],[customer_purchase count]]+1</f>
        <v>7</v>
      </c>
      <c r="X2188">
        <f>Table1[[#This Row],[customer_purchase count]]*Rules!$B$3</f>
        <v>358.58615384615388</v>
      </c>
      <c r="Y2188" t="str">
        <f>IF(Table1[[#This Row],[customer_subscription]]=1,"Subscribed","Not Subscribed")</f>
        <v>Not Subscribed</v>
      </c>
      <c r="Z2188" t="s">
        <v>194</v>
      </c>
    </row>
    <row r="2189" spans="1:26" x14ac:dyDescent="0.25">
      <c r="A2189">
        <v>2188</v>
      </c>
      <c r="B2189">
        <v>37</v>
      </c>
      <c r="C2189" t="s">
        <v>22</v>
      </c>
      <c r="D2189">
        <v>2188</v>
      </c>
      <c r="E2189" t="s">
        <v>23</v>
      </c>
      <c r="F2189" t="s">
        <v>24</v>
      </c>
      <c r="G2189">
        <v>2188</v>
      </c>
      <c r="H2189">
        <v>2824</v>
      </c>
      <c r="I2189">
        <v>78</v>
      </c>
      <c r="J2189" t="s">
        <v>138</v>
      </c>
      <c r="K2189" t="s">
        <v>47</v>
      </c>
      <c r="L2189" t="s">
        <v>86</v>
      </c>
      <c r="M2189" t="s">
        <v>40</v>
      </c>
      <c r="N2189">
        <v>4.4000000000000004</v>
      </c>
      <c r="O2189">
        <v>0</v>
      </c>
      <c r="P2189" t="s">
        <v>41</v>
      </c>
      <c r="Q2189" t="s">
        <v>155</v>
      </c>
      <c r="R2189" t="s">
        <v>155</v>
      </c>
      <c r="S2189">
        <v>20</v>
      </c>
      <c r="T2189" t="s">
        <v>49</v>
      </c>
      <c r="U2189" t="s">
        <v>52</v>
      </c>
      <c r="V2189" s="1">
        <v>45362</v>
      </c>
      <c r="W2189">
        <f>Table1[[#This Row],[customer_purchase count]]+1</f>
        <v>21</v>
      </c>
      <c r="X2189">
        <f>Table1[[#This Row],[customer_purchase count]]*Rules!$B$3</f>
        <v>1195.2871794871796</v>
      </c>
      <c r="Y2189" t="str">
        <f>IF(Table1[[#This Row],[customer_subscription]]=1,"Subscribed","Not Subscribed")</f>
        <v>Not Subscribed</v>
      </c>
    </row>
    <row r="2190" spans="1:26" x14ac:dyDescent="0.25">
      <c r="A2190">
        <v>2189</v>
      </c>
      <c r="B2190">
        <v>41</v>
      </c>
      <c r="C2190" t="s">
        <v>22</v>
      </c>
      <c r="D2190">
        <v>2189</v>
      </c>
      <c r="E2190" t="s">
        <v>65</v>
      </c>
      <c r="F2190" t="s">
        <v>66</v>
      </c>
      <c r="G2190">
        <v>2189</v>
      </c>
      <c r="H2190">
        <v>2825</v>
      </c>
      <c r="I2190">
        <v>54</v>
      </c>
      <c r="J2190" t="s">
        <v>102</v>
      </c>
      <c r="K2190" t="s">
        <v>47</v>
      </c>
      <c r="L2190" t="s">
        <v>113</v>
      </c>
      <c r="M2190" t="s">
        <v>28</v>
      </c>
      <c r="N2190">
        <v>4.7</v>
      </c>
      <c r="O2190">
        <v>0</v>
      </c>
      <c r="P2190" t="s">
        <v>48</v>
      </c>
      <c r="Q2190" t="s">
        <v>155</v>
      </c>
      <c r="R2190" t="s">
        <v>155</v>
      </c>
      <c r="S2190">
        <v>9</v>
      </c>
      <c r="T2190" t="s">
        <v>42</v>
      </c>
      <c r="U2190" t="s">
        <v>43</v>
      </c>
      <c r="V2190" s="1">
        <v>45628</v>
      </c>
      <c r="W2190">
        <f>Table1[[#This Row],[customer_purchase count]]+1</f>
        <v>10</v>
      </c>
      <c r="X2190">
        <f>Table1[[#This Row],[customer_purchase count]]*Rules!$B$3</f>
        <v>537.87923076923084</v>
      </c>
      <c r="Y2190" t="str">
        <f>IF(Table1[[#This Row],[customer_subscription]]=1,"Subscribed","Not Subscribed")</f>
        <v>Not Subscribed</v>
      </c>
      <c r="Z2190" t="s">
        <v>194</v>
      </c>
    </row>
    <row r="2191" spans="1:26" x14ac:dyDescent="0.25">
      <c r="A2191">
        <v>2190</v>
      </c>
      <c r="B2191">
        <v>38</v>
      </c>
      <c r="C2191" t="s">
        <v>22</v>
      </c>
      <c r="D2191">
        <v>2190</v>
      </c>
      <c r="E2191" t="s">
        <v>23</v>
      </c>
      <c r="F2191" t="s">
        <v>24</v>
      </c>
      <c r="G2191">
        <v>2190</v>
      </c>
      <c r="H2191">
        <v>2827</v>
      </c>
      <c r="I2191">
        <v>94</v>
      </c>
      <c r="J2191" t="s">
        <v>153</v>
      </c>
      <c r="K2191" t="s">
        <v>95</v>
      </c>
      <c r="L2191" t="s">
        <v>113</v>
      </c>
      <c r="M2191" t="s">
        <v>60</v>
      </c>
      <c r="N2191">
        <v>4</v>
      </c>
      <c r="O2191">
        <v>0</v>
      </c>
      <c r="P2191" t="s">
        <v>29</v>
      </c>
      <c r="Q2191" t="s">
        <v>155</v>
      </c>
      <c r="R2191" t="s">
        <v>155</v>
      </c>
      <c r="S2191">
        <v>47</v>
      </c>
      <c r="T2191" t="s">
        <v>42</v>
      </c>
      <c r="U2191" t="s">
        <v>79</v>
      </c>
      <c r="V2191" s="1">
        <v>45551</v>
      </c>
      <c r="W2191">
        <f>Table1[[#This Row],[customer_purchase count]]+1</f>
        <v>48</v>
      </c>
      <c r="X2191">
        <f>Table1[[#This Row],[customer_purchase count]]*Rules!$B$3</f>
        <v>2808.9248717948717</v>
      </c>
      <c r="Y2191" t="str">
        <f>IF(Table1[[#This Row],[customer_subscription]]=1,"Subscribed","Not Subscribed")</f>
        <v>Not Subscribed</v>
      </c>
    </row>
    <row r="2192" spans="1:26" x14ac:dyDescent="0.25">
      <c r="A2192">
        <v>2191</v>
      </c>
      <c r="B2192">
        <v>42</v>
      </c>
      <c r="C2192" t="s">
        <v>22</v>
      </c>
      <c r="D2192">
        <v>2191</v>
      </c>
      <c r="E2192" t="s">
        <v>136</v>
      </c>
      <c r="F2192" t="s">
        <v>70</v>
      </c>
      <c r="G2192">
        <v>2191</v>
      </c>
      <c r="H2192">
        <v>2828</v>
      </c>
      <c r="I2192">
        <v>75</v>
      </c>
      <c r="J2192" t="s">
        <v>123</v>
      </c>
      <c r="K2192" t="s">
        <v>39</v>
      </c>
      <c r="L2192" t="s">
        <v>35</v>
      </c>
      <c r="M2192" t="s">
        <v>40</v>
      </c>
      <c r="N2192">
        <v>4.5999999999999996</v>
      </c>
      <c r="O2192">
        <v>0</v>
      </c>
      <c r="P2192" t="s">
        <v>29</v>
      </c>
      <c r="Q2192" t="s">
        <v>155</v>
      </c>
      <c r="R2192" t="s">
        <v>155</v>
      </c>
      <c r="S2192">
        <v>33</v>
      </c>
      <c r="T2192" t="s">
        <v>42</v>
      </c>
      <c r="U2192" t="s">
        <v>52</v>
      </c>
      <c r="V2192" s="1">
        <v>45386</v>
      </c>
      <c r="W2192">
        <f>Table1[[#This Row],[customer_purchase count]]+1</f>
        <v>34</v>
      </c>
      <c r="X2192">
        <f>Table1[[#This Row],[customer_purchase count]]*Rules!$B$3</f>
        <v>1972.2238461538464</v>
      </c>
      <c r="Y2192" t="str">
        <f>IF(Table1[[#This Row],[customer_subscription]]=1,"Subscribed","Not Subscribed")</f>
        <v>Not Subscribed</v>
      </c>
    </row>
    <row r="2193" spans="1:26" x14ac:dyDescent="0.25">
      <c r="A2193">
        <v>2192</v>
      </c>
      <c r="B2193">
        <v>26</v>
      </c>
      <c r="C2193" t="s">
        <v>22</v>
      </c>
      <c r="D2193">
        <v>2192</v>
      </c>
      <c r="E2193" t="s">
        <v>23</v>
      </c>
      <c r="F2193" t="s">
        <v>24</v>
      </c>
      <c r="G2193">
        <v>2192</v>
      </c>
      <c r="H2193">
        <v>2829</v>
      </c>
      <c r="I2193">
        <v>69</v>
      </c>
      <c r="J2193" t="s">
        <v>141</v>
      </c>
      <c r="K2193" t="s">
        <v>39</v>
      </c>
      <c r="L2193" t="s">
        <v>35</v>
      </c>
      <c r="M2193" t="s">
        <v>56</v>
      </c>
      <c r="N2193">
        <v>3.8</v>
      </c>
      <c r="O2193">
        <v>0</v>
      </c>
      <c r="P2193" t="s">
        <v>48</v>
      </c>
      <c r="Q2193" t="s">
        <v>155</v>
      </c>
      <c r="R2193" t="s">
        <v>155</v>
      </c>
      <c r="S2193">
        <v>46</v>
      </c>
      <c r="T2193" t="s">
        <v>36</v>
      </c>
      <c r="U2193" t="s">
        <v>79</v>
      </c>
      <c r="V2193" s="1">
        <v>45497</v>
      </c>
      <c r="W2193">
        <f>Table1[[#This Row],[customer_purchase count]]+1</f>
        <v>47</v>
      </c>
      <c r="X2193">
        <f>Table1[[#This Row],[customer_purchase count]]*Rules!$B$3</f>
        <v>2749.1605128205128</v>
      </c>
      <c r="Y2193" t="str">
        <f>IF(Table1[[#This Row],[customer_subscription]]=1,"Subscribed","Not Subscribed")</f>
        <v>Not Subscribed</v>
      </c>
    </row>
    <row r="2194" spans="1:26" x14ac:dyDescent="0.25">
      <c r="A2194">
        <v>2193</v>
      </c>
      <c r="B2194">
        <v>41</v>
      </c>
      <c r="C2194" t="s">
        <v>22</v>
      </c>
      <c r="D2194">
        <v>2193</v>
      </c>
      <c r="E2194" t="s">
        <v>122</v>
      </c>
      <c r="F2194" t="s">
        <v>70</v>
      </c>
      <c r="G2194">
        <v>2193</v>
      </c>
      <c r="H2194">
        <v>2830</v>
      </c>
      <c r="I2194">
        <v>35</v>
      </c>
      <c r="J2194" t="s">
        <v>144</v>
      </c>
      <c r="K2194" t="s">
        <v>26</v>
      </c>
      <c r="L2194" t="s">
        <v>137</v>
      </c>
      <c r="M2194" t="s">
        <v>28</v>
      </c>
      <c r="N2194">
        <v>3.2</v>
      </c>
      <c r="O2194">
        <v>0</v>
      </c>
      <c r="P2194" t="s">
        <v>48</v>
      </c>
      <c r="Q2194" t="s">
        <v>155</v>
      </c>
      <c r="R2194" t="s">
        <v>155</v>
      </c>
      <c r="S2194">
        <v>9</v>
      </c>
      <c r="T2194" t="s">
        <v>42</v>
      </c>
      <c r="U2194" t="s">
        <v>91</v>
      </c>
      <c r="V2194" s="1">
        <v>45338</v>
      </c>
      <c r="W2194">
        <f>Table1[[#This Row],[customer_purchase count]]+1</f>
        <v>10</v>
      </c>
      <c r="X2194">
        <f>Table1[[#This Row],[customer_purchase count]]*Rules!$B$3</f>
        <v>537.87923076923084</v>
      </c>
      <c r="Y2194" t="str">
        <f>IF(Table1[[#This Row],[customer_subscription]]=1,"Subscribed","Not Subscribed")</f>
        <v>Not Subscribed</v>
      </c>
      <c r="Z2194" t="s">
        <v>194</v>
      </c>
    </row>
    <row r="2195" spans="1:26" x14ac:dyDescent="0.25">
      <c r="A2195">
        <v>2194</v>
      </c>
      <c r="B2195">
        <v>27</v>
      </c>
      <c r="C2195" t="s">
        <v>22</v>
      </c>
      <c r="D2195">
        <v>2194</v>
      </c>
      <c r="E2195" t="s">
        <v>58</v>
      </c>
      <c r="F2195" t="s">
        <v>24</v>
      </c>
      <c r="G2195">
        <v>2194</v>
      </c>
      <c r="H2195">
        <v>2831</v>
      </c>
      <c r="I2195">
        <v>78</v>
      </c>
      <c r="J2195" t="s">
        <v>102</v>
      </c>
      <c r="K2195" t="s">
        <v>26</v>
      </c>
      <c r="L2195" t="s">
        <v>51</v>
      </c>
      <c r="M2195" t="s">
        <v>40</v>
      </c>
      <c r="N2195">
        <v>5</v>
      </c>
      <c r="O2195">
        <v>0</v>
      </c>
      <c r="P2195" t="s">
        <v>29</v>
      </c>
      <c r="Q2195" t="s">
        <v>155</v>
      </c>
      <c r="R2195" t="s">
        <v>155</v>
      </c>
      <c r="S2195">
        <v>8</v>
      </c>
      <c r="T2195" t="s">
        <v>49</v>
      </c>
      <c r="U2195" t="s">
        <v>91</v>
      </c>
      <c r="V2195" s="1">
        <v>45425</v>
      </c>
      <c r="W2195">
        <f>Table1[[#This Row],[customer_purchase count]]+1</f>
        <v>9</v>
      </c>
      <c r="X2195">
        <f>Table1[[#This Row],[customer_purchase count]]*Rules!$B$3</f>
        <v>478.11487179487182</v>
      </c>
      <c r="Y2195" t="str">
        <f>IF(Table1[[#This Row],[customer_subscription]]=1,"Subscribed","Not Subscribed")</f>
        <v>Not Subscribed</v>
      </c>
      <c r="Z2195" t="s">
        <v>194</v>
      </c>
    </row>
    <row r="2196" spans="1:26" x14ac:dyDescent="0.25">
      <c r="A2196">
        <v>2195</v>
      </c>
      <c r="B2196">
        <v>61</v>
      </c>
      <c r="C2196" t="s">
        <v>22</v>
      </c>
      <c r="D2196">
        <v>2195</v>
      </c>
      <c r="E2196" t="s">
        <v>128</v>
      </c>
      <c r="F2196" t="s">
        <v>24</v>
      </c>
      <c r="G2196">
        <v>2195</v>
      </c>
      <c r="H2196">
        <v>2833</v>
      </c>
      <c r="I2196">
        <v>29</v>
      </c>
      <c r="J2196" t="s">
        <v>25</v>
      </c>
      <c r="K2196" t="s">
        <v>47</v>
      </c>
      <c r="L2196" t="s">
        <v>68</v>
      </c>
      <c r="M2196" t="s">
        <v>56</v>
      </c>
      <c r="N2196">
        <v>3.5</v>
      </c>
      <c r="O2196">
        <v>0</v>
      </c>
      <c r="P2196" t="s">
        <v>57</v>
      </c>
      <c r="Q2196" t="s">
        <v>155</v>
      </c>
      <c r="R2196" t="s">
        <v>155</v>
      </c>
      <c r="S2196">
        <v>48</v>
      </c>
      <c r="T2196" t="s">
        <v>78</v>
      </c>
      <c r="U2196" t="s">
        <v>61</v>
      </c>
      <c r="V2196" s="1">
        <v>45481</v>
      </c>
      <c r="W2196">
        <f>Table1[[#This Row],[customer_purchase count]]+1</f>
        <v>49</v>
      </c>
      <c r="X2196">
        <f>Table1[[#This Row],[customer_purchase count]]*Rules!$B$3</f>
        <v>2868.689230769231</v>
      </c>
      <c r="Y2196" t="str">
        <f>IF(Table1[[#This Row],[customer_subscription]]=1,"Subscribed","Not Subscribed")</f>
        <v>Not Subscribed</v>
      </c>
    </row>
    <row r="2197" spans="1:26" x14ac:dyDescent="0.25">
      <c r="A2197">
        <v>2196</v>
      </c>
      <c r="B2197">
        <v>58</v>
      </c>
      <c r="C2197" t="s">
        <v>22</v>
      </c>
      <c r="D2197">
        <v>2196</v>
      </c>
      <c r="E2197" t="s">
        <v>37</v>
      </c>
      <c r="F2197" t="s">
        <v>24</v>
      </c>
      <c r="G2197">
        <v>2196</v>
      </c>
      <c r="H2197">
        <v>2834</v>
      </c>
      <c r="I2197">
        <v>62</v>
      </c>
      <c r="J2197" t="s">
        <v>87</v>
      </c>
      <c r="K2197" t="s">
        <v>47</v>
      </c>
      <c r="L2197" t="s">
        <v>113</v>
      </c>
      <c r="M2197" t="s">
        <v>60</v>
      </c>
      <c r="N2197">
        <v>3.7</v>
      </c>
      <c r="O2197">
        <v>0</v>
      </c>
      <c r="P2197" t="s">
        <v>48</v>
      </c>
      <c r="Q2197" t="s">
        <v>155</v>
      </c>
      <c r="R2197" t="s">
        <v>155</v>
      </c>
      <c r="S2197">
        <v>2</v>
      </c>
      <c r="T2197" t="s">
        <v>36</v>
      </c>
      <c r="U2197" t="s">
        <v>91</v>
      </c>
      <c r="V2197" s="1">
        <v>45588</v>
      </c>
      <c r="W2197">
        <f>Table1[[#This Row],[customer_purchase count]]+1</f>
        <v>3</v>
      </c>
      <c r="X2197">
        <f>Table1[[#This Row],[customer_purchase count]]*Rules!$B$3</f>
        <v>119.52871794871795</v>
      </c>
      <c r="Y2197" t="str">
        <f>IF(Table1[[#This Row],[customer_subscription]]=1,"Subscribed","Not Subscribed")</f>
        <v>Not Subscribed</v>
      </c>
      <c r="Z2197" t="s">
        <v>194</v>
      </c>
    </row>
    <row r="2198" spans="1:26" x14ac:dyDescent="0.25">
      <c r="A2198">
        <v>2197</v>
      </c>
      <c r="B2198">
        <v>25</v>
      </c>
      <c r="C2198" t="s">
        <v>22</v>
      </c>
      <c r="D2198">
        <v>2197</v>
      </c>
      <c r="E2198" t="s">
        <v>84</v>
      </c>
      <c r="F2198" t="s">
        <v>24</v>
      </c>
      <c r="G2198">
        <v>2197</v>
      </c>
      <c r="H2198">
        <v>2835</v>
      </c>
      <c r="I2198">
        <v>58</v>
      </c>
      <c r="J2198" t="s">
        <v>132</v>
      </c>
      <c r="K2198" t="s">
        <v>47</v>
      </c>
      <c r="L2198" t="s">
        <v>27</v>
      </c>
      <c r="M2198" t="s">
        <v>40</v>
      </c>
      <c r="N2198">
        <v>4.8</v>
      </c>
      <c r="O2198">
        <v>0</v>
      </c>
      <c r="P2198" t="s">
        <v>48</v>
      </c>
      <c r="Q2198" t="s">
        <v>155</v>
      </c>
      <c r="R2198" t="s">
        <v>155</v>
      </c>
      <c r="S2198">
        <v>31</v>
      </c>
      <c r="T2198" t="s">
        <v>49</v>
      </c>
      <c r="U2198" t="s">
        <v>43</v>
      </c>
      <c r="V2198" s="1">
        <v>45390</v>
      </c>
      <c r="W2198">
        <f>Table1[[#This Row],[customer_purchase count]]+1</f>
        <v>32</v>
      </c>
      <c r="X2198">
        <f>Table1[[#This Row],[customer_purchase count]]*Rules!$B$3</f>
        <v>1852.6951282051282</v>
      </c>
      <c r="Y2198" t="str">
        <f>IF(Table1[[#This Row],[customer_subscription]]=1,"Subscribed","Not Subscribed")</f>
        <v>Not Subscribed</v>
      </c>
    </row>
    <row r="2199" spans="1:26" x14ac:dyDescent="0.25">
      <c r="A2199">
        <v>2198</v>
      </c>
      <c r="B2199">
        <v>33</v>
      </c>
      <c r="C2199" t="s">
        <v>22</v>
      </c>
      <c r="D2199">
        <v>2198</v>
      </c>
      <c r="E2199" t="s">
        <v>140</v>
      </c>
      <c r="F2199" t="s">
        <v>45</v>
      </c>
      <c r="G2199">
        <v>2198</v>
      </c>
      <c r="H2199">
        <v>2836</v>
      </c>
      <c r="I2199">
        <v>88</v>
      </c>
      <c r="J2199" t="s">
        <v>141</v>
      </c>
      <c r="K2199" t="s">
        <v>47</v>
      </c>
      <c r="L2199" t="s">
        <v>129</v>
      </c>
      <c r="M2199" t="s">
        <v>56</v>
      </c>
      <c r="N2199">
        <v>3.7</v>
      </c>
      <c r="O2199">
        <v>0</v>
      </c>
      <c r="P2199" t="s">
        <v>73</v>
      </c>
      <c r="Q2199" t="s">
        <v>155</v>
      </c>
      <c r="R2199" t="s">
        <v>155</v>
      </c>
      <c r="S2199">
        <v>40</v>
      </c>
      <c r="T2199" t="s">
        <v>31</v>
      </c>
      <c r="U2199" t="s">
        <v>91</v>
      </c>
      <c r="V2199" s="1">
        <v>45487</v>
      </c>
      <c r="W2199">
        <f>Table1[[#This Row],[customer_purchase count]]+1</f>
        <v>41</v>
      </c>
      <c r="X2199">
        <f>Table1[[#This Row],[customer_purchase count]]*Rules!$B$3</f>
        <v>2390.5743589743593</v>
      </c>
      <c r="Y2199" t="str">
        <f>IF(Table1[[#This Row],[customer_subscription]]=1,"Subscribed","Not Subscribed")</f>
        <v>Not Subscribed</v>
      </c>
    </row>
    <row r="2200" spans="1:26" x14ac:dyDescent="0.25">
      <c r="A2200">
        <v>2199</v>
      </c>
      <c r="B2200">
        <v>57</v>
      </c>
      <c r="C2200" t="s">
        <v>22</v>
      </c>
      <c r="D2200">
        <v>2199</v>
      </c>
      <c r="E2200" t="s">
        <v>122</v>
      </c>
      <c r="F2200" t="s">
        <v>70</v>
      </c>
      <c r="G2200">
        <v>2199</v>
      </c>
      <c r="H2200">
        <v>2837</v>
      </c>
      <c r="I2200">
        <v>80</v>
      </c>
      <c r="J2200" t="s">
        <v>87</v>
      </c>
      <c r="K2200" t="s">
        <v>26</v>
      </c>
      <c r="L2200" t="s">
        <v>51</v>
      </c>
      <c r="M2200" t="s">
        <v>56</v>
      </c>
      <c r="N2200">
        <v>3.5</v>
      </c>
      <c r="O2200">
        <v>0</v>
      </c>
      <c r="P2200" t="s">
        <v>41</v>
      </c>
      <c r="Q2200" t="s">
        <v>155</v>
      </c>
      <c r="R2200" t="s">
        <v>155</v>
      </c>
      <c r="S2200">
        <v>35</v>
      </c>
      <c r="T2200" t="s">
        <v>31</v>
      </c>
      <c r="U2200" t="s">
        <v>91</v>
      </c>
      <c r="V2200" s="1">
        <v>45455</v>
      </c>
      <c r="W2200">
        <f>Table1[[#This Row],[customer_purchase count]]+1</f>
        <v>36</v>
      </c>
      <c r="X2200">
        <f>Table1[[#This Row],[customer_purchase count]]*Rules!$B$3</f>
        <v>2091.7525641025641</v>
      </c>
      <c r="Y2200" t="str">
        <f>IF(Table1[[#This Row],[customer_subscription]]=1,"Subscribed","Not Subscribed")</f>
        <v>Not Subscribed</v>
      </c>
    </row>
    <row r="2201" spans="1:26" x14ac:dyDescent="0.25">
      <c r="A2201">
        <v>2200</v>
      </c>
      <c r="B2201">
        <v>39</v>
      </c>
      <c r="C2201" t="s">
        <v>22</v>
      </c>
      <c r="D2201">
        <v>2200</v>
      </c>
      <c r="E2201" t="s">
        <v>122</v>
      </c>
      <c r="F2201" t="s">
        <v>70</v>
      </c>
      <c r="G2201">
        <v>2200</v>
      </c>
      <c r="H2201">
        <v>2839</v>
      </c>
      <c r="I2201">
        <v>47</v>
      </c>
      <c r="J2201" t="s">
        <v>101</v>
      </c>
      <c r="K2201" t="s">
        <v>47</v>
      </c>
      <c r="L2201" t="s">
        <v>35</v>
      </c>
      <c r="M2201" t="s">
        <v>56</v>
      </c>
      <c r="N2201">
        <v>4.9000000000000004</v>
      </c>
      <c r="O2201">
        <v>0</v>
      </c>
      <c r="P2201" t="s">
        <v>77</v>
      </c>
      <c r="Q2201" t="s">
        <v>155</v>
      </c>
      <c r="R2201" t="s">
        <v>155</v>
      </c>
      <c r="S2201">
        <v>40</v>
      </c>
      <c r="T2201" t="s">
        <v>89</v>
      </c>
      <c r="U2201" t="s">
        <v>91</v>
      </c>
      <c r="V2201" s="1">
        <v>45448</v>
      </c>
      <c r="W2201">
        <f>Table1[[#This Row],[customer_purchase count]]+1</f>
        <v>41</v>
      </c>
      <c r="X2201">
        <f>Table1[[#This Row],[customer_purchase count]]*Rules!$B$3</f>
        <v>2390.5743589743593</v>
      </c>
      <c r="Y2201" t="str">
        <f>IF(Table1[[#This Row],[customer_subscription]]=1,"Subscribed","Not Subscribed")</f>
        <v>Not Subscribed</v>
      </c>
    </row>
    <row r="2202" spans="1:26" x14ac:dyDescent="0.25">
      <c r="A2202">
        <v>2201</v>
      </c>
      <c r="B2202">
        <v>60</v>
      </c>
      <c r="C2202" t="s">
        <v>22</v>
      </c>
      <c r="D2202">
        <v>2201</v>
      </c>
      <c r="E2202" t="s">
        <v>146</v>
      </c>
      <c r="F2202" t="s">
        <v>70</v>
      </c>
      <c r="G2202">
        <v>2201</v>
      </c>
      <c r="H2202">
        <v>2840</v>
      </c>
      <c r="I2202">
        <v>51</v>
      </c>
      <c r="J2202" t="s">
        <v>54</v>
      </c>
      <c r="K2202" t="s">
        <v>26</v>
      </c>
      <c r="L2202" t="s">
        <v>64</v>
      </c>
      <c r="M2202" t="s">
        <v>56</v>
      </c>
      <c r="N2202">
        <v>4.7</v>
      </c>
      <c r="O2202">
        <v>0</v>
      </c>
      <c r="P2202" t="s">
        <v>48</v>
      </c>
      <c r="Q2202" t="s">
        <v>155</v>
      </c>
      <c r="R2202" t="s">
        <v>155</v>
      </c>
      <c r="S2202">
        <v>27</v>
      </c>
      <c r="T2202" t="s">
        <v>89</v>
      </c>
      <c r="U2202" t="s">
        <v>100</v>
      </c>
      <c r="V2202" s="1">
        <v>45495</v>
      </c>
      <c r="W2202">
        <f>Table1[[#This Row],[customer_purchase count]]+1</f>
        <v>28</v>
      </c>
      <c r="X2202">
        <f>Table1[[#This Row],[customer_purchase count]]*Rules!$B$3</f>
        <v>1613.6376923076923</v>
      </c>
      <c r="Y2202" t="str">
        <f>IF(Table1[[#This Row],[customer_subscription]]=1,"Subscribed","Not Subscribed")</f>
        <v>Not Subscribed</v>
      </c>
    </row>
    <row r="2203" spans="1:26" x14ac:dyDescent="0.25">
      <c r="A2203">
        <v>2202</v>
      </c>
      <c r="B2203">
        <v>39</v>
      </c>
      <c r="C2203" t="s">
        <v>22</v>
      </c>
      <c r="D2203">
        <v>2202</v>
      </c>
      <c r="E2203" t="s">
        <v>98</v>
      </c>
      <c r="F2203" t="s">
        <v>24</v>
      </c>
      <c r="G2203">
        <v>2202</v>
      </c>
      <c r="H2203">
        <v>2841</v>
      </c>
      <c r="I2203">
        <v>25</v>
      </c>
      <c r="J2203" t="s">
        <v>126</v>
      </c>
      <c r="K2203" t="s">
        <v>26</v>
      </c>
      <c r="L2203" t="s">
        <v>103</v>
      </c>
      <c r="M2203" t="s">
        <v>40</v>
      </c>
      <c r="N2203">
        <v>4.9000000000000004</v>
      </c>
      <c r="O2203">
        <v>0</v>
      </c>
      <c r="P2203" t="s">
        <v>73</v>
      </c>
      <c r="Q2203" t="s">
        <v>155</v>
      </c>
      <c r="R2203" t="s">
        <v>155</v>
      </c>
      <c r="S2203">
        <v>10</v>
      </c>
      <c r="T2203" t="s">
        <v>31</v>
      </c>
      <c r="U2203" t="s">
        <v>52</v>
      </c>
      <c r="V2203" s="1">
        <v>45389</v>
      </c>
      <c r="W2203">
        <f>Table1[[#This Row],[customer_purchase count]]+1</f>
        <v>11</v>
      </c>
      <c r="X2203">
        <f>Table1[[#This Row],[customer_purchase count]]*Rules!$B$3</f>
        <v>597.64358974358981</v>
      </c>
      <c r="Y2203" t="str">
        <f>IF(Table1[[#This Row],[customer_subscription]]=1,"Subscribed","Not Subscribed")</f>
        <v>Not Subscribed</v>
      </c>
      <c r="Z2203" t="s">
        <v>194</v>
      </c>
    </row>
    <row r="2204" spans="1:26" x14ac:dyDescent="0.25">
      <c r="A2204">
        <v>2203</v>
      </c>
      <c r="B2204">
        <v>42</v>
      </c>
      <c r="C2204" t="s">
        <v>22</v>
      </c>
      <c r="D2204">
        <v>2203</v>
      </c>
      <c r="E2204" t="s">
        <v>84</v>
      </c>
      <c r="F2204" t="s">
        <v>24</v>
      </c>
      <c r="G2204">
        <v>2203</v>
      </c>
      <c r="H2204">
        <v>2842</v>
      </c>
      <c r="I2204">
        <v>36</v>
      </c>
      <c r="J2204" t="s">
        <v>93</v>
      </c>
      <c r="K2204" t="s">
        <v>47</v>
      </c>
      <c r="L2204" t="s">
        <v>111</v>
      </c>
      <c r="M2204" t="s">
        <v>56</v>
      </c>
      <c r="N2204">
        <v>4.3</v>
      </c>
      <c r="O2204">
        <v>0</v>
      </c>
      <c r="P2204" t="s">
        <v>48</v>
      </c>
      <c r="Q2204" t="s">
        <v>155</v>
      </c>
      <c r="R2204" t="s">
        <v>155</v>
      </c>
      <c r="S2204">
        <v>23</v>
      </c>
      <c r="T2204" t="s">
        <v>42</v>
      </c>
      <c r="U2204" t="s">
        <v>43</v>
      </c>
      <c r="V2204" s="1">
        <v>45481</v>
      </c>
      <c r="W2204">
        <f>Table1[[#This Row],[customer_purchase count]]+1</f>
        <v>24</v>
      </c>
      <c r="X2204">
        <f>Table1[[#This Row],[customer_purchase count]]*Rules!$B$3</f>
        <v>1374.5802564102564</v>
      </c>
      <c r="Y2204" t="str">
        <f>IF(Table1[[#This Row],[customer_subscription]]=1,"Subscribed","Not Subscribed")</f>
        <v>Not Subscribed</v>
      </c>
    </row>
    <row r="2205" spans="1:26" x14ac:dyDescent="0.25">
      <c r="A2205">
        <v>2204</v>
      </c>
      <c r="B2205">
        <v>53</v>
      </c>
      <c r="C2205" t="s">
        <v>22</v>
      </c>
      <c r="D2205">
        <v>2204</v>
      </c>
      <c r="E2205" t="s">
        <v>84</v>
      </c>
      <c r="F2205" t="s">
        <v>24</v>
      </c>
      <c r="G2205">
        <v>2204</v>
      </c>
      <c r="H2205">
        <v>2843</v>
      </c>
      <c r="I2205">
        <v>79</v>
      </c>
      <c r="J2205" t="s">
        <v>46</v>
      </c>
      <c r="K2205" t="s">
        <v>47</v>
      </c>
      <c r="L2205" t="s">
        <v>129</v>
      </c>
      <c r="M2205" t="s">
        <v>28</v>
      </c>
      <c r="N2205">
        <v>3.1</v>
      </c>
      <c r="O2205">
        <v>0</v>
      </c>
      <c r="P2205" t="s">
        <v>41</v>
      </c>
      <c r="Q2205" t="s">
        <v>155</v>
      </c>
      <c r="R2205" t="s">
        <v>155</v>
      </c>
      <c r="S2205">
        <v>32</v>
      </c>
      <c r="T2205" t="s">
        <v>36</v>
      </c>
      <c r="U2205" t="s">
        <v>61</v>
      </c>
      <c r="V2205" s="1">
        <v>45644</v>
      </c>
      <c r="W2205">
        <f>Table1[[#This Row],[customer_purchase count]]+1</f>
        <v>33</v>
      </c>
      <c r="X2205">
        <f>Table1[[#This Row],[customer_purchase count]]*Rules!$B$3</f>
        <v>1912.4594871794873</v>
      </c>
      <c r="Y2205" t="str">
        <f>IF(Table1[[#This Row],[customer_subscription]]=1,"Subscribed","Not Subscribed")</f>
        <v>Not Subscribed</v>
      </c>
    </row>
    <row r="2206" spans="1:26" x14ac:dyDescent="0.25">
      <c r="A2206">
        <v>2205</v>
      </c>
      <c r="B2206">
        <v>20</v>
      </c>
      <c r="C2206" t="s">
        <v>22</v>
      </c>
      <c r="D2206">
        <v>2205</v>
      </c>
      <c r="E2206" t="s">
        <v>37</v>
      </c>
      <c r="F2206" t="s">
        <v>24</v>
      </c>
      <c r="G2206">
        <v>2205</v>
      </c>
      <c r="H2206">
        <v>2845</v>
      </c>
      <c r="I2206">
        <v>41</v>
      </c>
      <c r="J2206" t="s">
        <v>50</v>
      </c>
      <c r="K2206" t="s">
        <v>39</v>
      </c>
      <c r="L2206" t="s">
        <v>96</v>
      </c>
      <c r="M2206" t="s">
        <v>28</v>
      </c>
      <c r="N2206">
        <v>3.4</v>
      </c>
      <c r="O2206">
        <v>0</v>
      </c>
      <c r="P2206" t="s">
        <v>73</v>
      </c>
      <c r="Q2206" t="s">
        <v>155</v>
      </c>
      <c r="R2206" t="s">
        <v>155</v>
      </c>
      <c r="S2206">
        <v>6</v>
      </c>
      <c r="T2206" t="s">
        <v>89</v>
      </c>
      <c r="U2206" t="s">
        <v>91</v>
      </c>
      <c r="V2206" s="1">
        <v>45642</v>
      </c>
      <c r="W2206">
        <f>Table1[[#This Row],[customer_purchase count]]+1</f>
        <v>7</v>
      </c>
      <c r="X2206">
        <f>Table1[[#This Row],[customer_purchase count]]*Rules!$B$3</f>
        <v>358.58615384615388</v>
      </c>
      <c r="Y2206" t="str">
        <f>IF(Table1[[#This Row],[customer_subscription]]=1,"Subscribed","Not Subscribed")</f>
        <v>Not Subscribed</v>
      </c>
      <c r="Z2206" t="s">
        <v>194</v>
      </c>
    </row>
    <row r="2207" spans="1:26" x14ac:dyDescent="0.25">
      <c r="A2207">
        <v>2206</v>
      </c>
      <c r="B2207">
        <v>46</v>
      </c>
      <c r="C2207" t="s">
        <v>22</v>
      </c>
      <c r="D2207">
        <v>2206</v>
      </c>
      <c r="E2207" t="s">
        <v>33</v>
      </c>
      <c r="F2207" t="s">
        <v>24</v>
      </c>
      <c r="G2207">
        <v>2206</v>
      </c>
      <c r="H2207">
        <v>2846</v>
      </c>
      <c r="I2207">
        <v>68</v>
      </c>
      <c r="J2207" t="s">
        <v>117</v>
      </c>
      <c r="K2207" t="s">
        <v>95</v>
      </c>
      <c r="L2207" t="s">
        <v>111</v>
      </c>
      <c r="M2207" t="s">
        <v>60</v>
      </c>
      <c r="N2207">
        <v>2.7</v>
      </c>
      <c r="O2207">
        <v>0</v>
      </c>
      <c r="P2207" t="s">
        <v>29</v>
      </c>
      <c r="Q2207" t="s">
        <v>155</v>
      </c>
      <c r="R2207" t="s">
        <v>155</v>
      </c>
      <c r="S2207">
        <v>27</v>
      </c>
      <c r="T2207" t="s">
        <v>49</v>
      </c>
      <c r="U2207" t="s">
        <v>43</v>
      </c>
      <c r="V2207" s="1">
        <v>45559</v>
      </c>
      <c r="W2207">
        <f>Table1[[#This Row],[customer_purchase count]]+1</f>
        <v>28</v>
      </c>
      <c r="X2207">
        <f>Table1[[#This Row],[customer_purchase count]]*Rules!$B$3</f>
        <v>1613.6376923076923</v>
      </c>
      <c r="Y2207" t="str">
        <f>IF(Table1[[#This Row],[customer_subscription]]=1,"Subscribed","Not Subscribed")</f>
        <v>Not Subscribed</v>
      </c>
    </row>
    <row r="2208" spans="1:26" x14ac:dyDescent="0.25">
      <c r="A2208">
        <v>2207</v>
      </c>
      <c r="B2208">
        <v>46</v>
      </c>
      <c r="C2208" t="s">
        <v>22</v>
      </c>
      <c r="D2208">
        <v>2207</v>
      </c>
      <c r="E2208" t="s">
        <v>44</v>
      </c>
      <c r="F2208" t="s">
        <v>45</v>
      </c>
      <c r="G2208">
        <v>2207</v>
      </c>
      <c r="H2208">
        <v>2847</v>
      </c>
      <c r="I2208">
        <v>51</v>
      </c>
      <c r="J2208" t="s">
        <v>118</v>
      </c>
      <c r="K2208" t="s">
        <v>26</v>
      </c>
      <c r="L2208" t="s">
        <v>99</v>
      </c>
      <c r="M2208" t="s">
        <v>40</v>
      </c>
      <c r="N2208">
        <v>2.6</v>
      </c>
      <c r="O2208">
        <v>0</v>
      </c>
      <c r="P2208" t="s">
        <v>77</v>
      </c>
      <c r="Q2208" t="s">
        <v>155</v>
      </c>
      <c r="R2208" t="s">
        <v>155</v>
      </c>
      <c r="S2208">
        <v>25</v>
      </c>
      <c r="T2208" t="s">
        <v>78</v>
      </c>
      <c r="U2208" t="s">
        <v>32</v>
      </c>
      <c r="V2208" s="1">
        <v>45422</v>
      </c>
      <c r="W2208">
        <f>Table1[[#This Row],[customer_purchase count]]+1</f>
        <v>26</v>
      </c>
      <c r="X2208">
        <f>Table1[[#This Row],[customer_purchase count]]*Rules!$B$3</f>
        <v>1494.1089743589744</v>
      </c>
      <c r="Y2208" t="str">
        <f>IF(Table1[[#This Row],[customer_subscription]]=1,"Subscribed","Not Subscribed")</f>
        <v>Not Subscribed</v>
      </c>
    </row>
    <row r="2209" spans="1:26" x14ac:dyDescent="0.25">
      <c r="A2209">
        <v>2208</v>
      </c>
      <c r="B2209">
        <v>69</v>
      </c>
      <c r="C2209" t="s">
        <v>22</v>
      </c>
      <c r="D2209">
        <v>2208</v>
      </c>
      <c r="E2209" t="s">
        <v>69</v>
      </c>
      <c r="F2209" t="s">
        <v>70</v>
      </c>
      <c r="G2209">
        <v>2208</v>
      </c>
      <c r="H2209">
        <v>2848</v>
      </c>
      <c r="I2209">
        <v>38</v>
      </c>
      <c r="J2209" t="s">
        <v>133</v>
      </c>
      <c r="K2209" t="s">
        <v>47</v>
      </c>
      <c r="L2209" t="s">
        <v>27</v>
      </c>
      <c r="M2209" t="s">
        <v>60</v>
      </c>
      <c r="N2209">
        <v>2.9</v>
      </c>
      <c r="O2209">
        <v>0</v>
      </c>
      <c r="P2209" t="s">
        <v>48</v>
      </c>
      <c r="Q2209" t="s">
        <v>155</v>
      </c>
      <c r="R2209" t="s">
        <v>155</v>
      </c>
      <c r="S2209">
        <v>11</v>
      </c>
      <c r="T2209" t="s">
        <v>42</v>
      </c>
      <c r="U2209" t="s">
        <v>52</v>
      </c>
      <c r="V2209" s="1">
        <v>45551</v>
      </c>
      <c r="W2209">
        <f>Table1[[#This Row],[customer_purchase count]]+1</f>
        <v>12</v>
      </c>
      <c r="X2209">
        <f>Table1[[#This Row],[customer_purchase count]]*Rules!$B$3</f>
        <v>657.40794871794878</v>
      </c>
      <c r="Y2209" t="str">
        <f>IF(Table1[[#This Row],[customer_subscription]]=1,"Subscribed","Not Subscribed")</f>
        <v>Not Subscribed</v>
      </c>
      <c r="Z2209" t="s">
        <v>194</v>
      </c>
    </row>
    <row r="2210" spans="1:26" x14ac:dyDescent="0.25">
      <c r="A2210">
        <v>2209</v>
      </c>
      <c r="B2210">
        <v>28</v>
      </c>
      <c r="C2210" t="s">
        <v>22</v>
      </c>
      <c r="D2210">
        <v>2209</v>
      </c>
      <c r="E2210" t="s">
        <v>122</v>
      </c>
      <c r="F2210" t="s">
        <v>70</v>
      </c>
      <c r="G2210">
        <v>2209</v>
      </c>
      <c r="H2210">
        <v>2849</v>
      </c>
      <c r="I2210">
        <v>46</v>
      </c>
      <c r="J2210" t="s">
        <v>115</v>
      </c>
      <c r="K2210" t="s">
        <v>95</v>
      </c>
      <c r="L2210" t="s">
        <v>86</v>
      </c>
      <c r="M2210" t="s">
        <v>56</v>
      </c>
      <c r="N2210">
        <v>2.7</v>
      </c>
      <c r="O2210">
        <v>0</v>
      </c>
      <c r="P2210" t="s">
        <v>73</v>
      </c>
      <c r="Q2210" t="s">
        <v>155</v>
      </c>
      <c r="R2210" t="s">
        <v>155</v>
      </c>
      <c r="S2210">
        <v>23</v>
      </c>
      <c r="T2210" t="s">
        <v>49</v>
      </c>
      <c r="U2210" t="s">
        <v>91</v>
      </c>
      <c r="V2210" s="1">
        <v>45447</v>
      </c>
      <c r="W2210">
        <f>Table1[[#This Row],[customer_purchase count]]+1</f>
        <v>24</v>
      </c>
      <c r="X2210">
        <f>Table1[[#This Row],[customer_purchase count]]*Rules!$B$3</f>
        <v>1374.5802564102564</v>
      </c>
      <c r="Y2210" t="str">
        <f>IF(Table1[[#This Row],[customer_subscription]]=1,"Subscribed","Not Subscribed")</f>
        <v>Not Subscribed</v>
      </c>
    </row>
    <row r="2211" spans="1:26" x14ac:dyDescent="0.25">
      <c r="A2211">
        <v>2210</v>
      </c>
      <c r="B2211">
        <v>42</v>
      </c>
      <c r="C2211" t="s">
        <v>22</v>
      </c>
      <c r="D2211">
        <v>2210</v>
      </c>
      <c r="E2211" t="s">
        <v>44</v>
      </c>
      <c r="F2211" t="s">
        <v>45</v>
      </c>
      <c r="G2211">
        <v>2210</v>
      </c>
      <c r="H2211">
        <v>2851</v>
      </c>
      <c r="I2211">
        <v>20</v>
      </c>
      <c r="J2211" t="s">
        <v>143</v>
      </c>
      <c r="K2211" t="s">
        <v>95</v>
      </c>
      <c r="L2211" t="s">
        <v>121</v>
      </c>
      <c r="M2211" t="s">
        <v>56</v>
      </c>
      <c r="N2211">
        <v>4.5</v>
      </c>
      <c r="O2211">
        <v>0</v>
      </c>
      <c r="P2211" t="s">
        <v>73</v>
      </c>
      <c r="Q2211" t="s">
        <v>155</v>
      </c>
      <c r="R2211" t="s">
        <v>155</v>
      </c>
      <c r="S2211">
        <v>44</v>
      </c>
      <c r="T2211" t="s">
        <v>78</v>
      </c>
      <c r="U2211" t="s">
        <v>61</v>
      </c>
      <c r="V2211" s="1">
        <v>45467</v>
      </c>
      <c r="W2211">
        <f>Table1[[#This Row],[customer_purchase count]]+1</f>
        <v>45</v>
      </c>
      <c r="X2211">
        <f>Table1[[#This Row],[customer_purchase count]]*Rules!$B$3</f>
        <v>2629.6317948717951</v>
      </c>
      <c r="Y2211" t="str">
        <f>IF(Table1[[#This Row],[customer_subscription]]=1,"Subscribed","Not Subscribed")</f>
        <v>Not Subscribed</v>
      </c>
    </row>
    <row r="2212" spans="1:26" x14ac:dyDescent="0.25">
      <c r="A2212">
        <v>2211</v>
      </c>
      <c r="B2212">
        <v>30</v>
      </c>
      <c r="C2212" t="s">
        <v>22</v>
      </c>
      <c r="D2212">
        <v>2211</v>
      </c>
      <c r="E2212" t="s">
        <v>92</v>
      </c>
      <c r="F2212" t="s">
        <v>70</v>
      </c>
      <c r="G2212">
        <v>2211</v>
      </c>
      <c r="H2212">
        <v>2852</v>
      </c>
      <c r="I2212">
        <v>25</v>
      </c>
      <c r="J2212" t="s">
        <v>144</v>
      </c>
      <c r="K2212" t="s">
        <v>47</v>
      </c>
      <c r="L2212" t="s">
        <v>124</v>
      </c>
      <c r="M2212" t="s">
        <v>56</v>
      </c>
      <c r="N2212">
        <v>3.1</v>
      </c>
      <c r="O2212">
        <v>0</v>
      </c>
      <c r="P2212" t="s">
        <v>77</v>
      </c>
      <c r="Q2212" t="s">
        <v>155</v>
      </c>
      <c r="R2212" t="s">
        <v>155</v>
      </c>
      <c r="S2212">
        <v>35</v>
      </c>
      <c r="T2212" t="s">
        <v>49</v>
      </c>
      <c r="U2212" t="s">
        <v>32</v>
      </c>
      <c r="V2212" s="1">
        <v>45506</v>
      </c>
      <c r="W2212">
        <f>Table1[[#This Row],[customer_purchase count]]+1</f>
        <v>36</v>
      </c>
      <c r="X2212">
        <f>Table1[[#This Row],[customer_purchase count]]*Rules!$B$3</f>
        <v>2091.7525641025641</v>
      </c>
      <c r="Y2212" t="str">
        <f>IF(Table1[[#This Row],[customer_subscription]]=1,"Subscribed","Not Subscribed")</f>
        <v>Not Subscribed</v>
      </c>
    </row>
    <row r="2213" spans="1:26" x14ac:dyDescent="0.25">
      <c r="A2213">
        <v>2212</v>
      </c>
      <c r="B2213">
        <v>50</v>
      </c>
      <c r="C2213" t="s">
        <v>22</v>
      </c>
      <c r="D2213">
        <v>2212</v>
      </c>
      <c r="E2213" t="s">
        <v>33</v>
      </c>
      <c r="F2213" t="s">
        <v>24</v>
      </c>
      <c r="G2213">
        <v>2212</v>
      </c>
      <c r="H2213">
        <v>2853</v>
      </c>
      <c r="I2213">
        <v>89</v>
      </c>
      <c r="J2213" t="s">
        <v>34</v>
      </c>
      <c r="K2213" t="s">
        <v>26</v>
      </c>
      <c r="L2213" t="s">
        <v>76</v>
      </c>
      <c r="M2213" t="s">
        <v>28</v>
      </c>
      <c r="N2213">
        <v>3.2</v>
      </c>
      <c r="O2213">
        <v>0</v>
      </c>
      <c r="P2213" t="s">
        <v>41</v>
      </c>
      <c r="Q2213" t="s">
        <v>155</v>
      </c>
      <c r="R2213" t="s">
        <v>155</v>
      </c>
      <c r="S2213">
        <v>45</v>
      </c>
      <c r="T2213" t="s">
        <v>89</v>
      </c>
      <c r="U2213" t="s">
        <v>100</v>
      </c>
      <c r="V2213" s="1">
        <v>45636</v>
      </c>
      <c r="W2213">
        <f>Table1[[#This Row],[customer_purchase count]]+1</f>
        <v>46</v>
      </c>
      <c r="X2213">
        <f>Table1[[#This Row],[customer_purchase count]]*Rules!$B$3</f>
        <v>2689.396153846154</v>
      </c>
      <c r="Y2213" t="str">
        <f>IF(Table1[[#This Row],[customer_subscription]]=1,"Subscribed","Not Subscribed")</f>
        <v>Not Subscribed</v>
      </c>
    </row>
    <row r="2214" spans="1:26" x14ac:dyDescent="0.25">
      <c r="A2214">
        <v>2213</v>
      </c>
      <c r="B2214">
        <v>59</v>
      </c>
      <c r="C2214" t="s">
        <v>22</v>
      </c>
      <c r="D2214">
        <v>2213</v>
      </c>
      <c r="E2214" t="s">
        <v>98</v>
      </c>
      <c r="F2214" t="s">
        <v>24</v>
      </c>
      <c r="G2214">
        <v>2213</v>
      </c>
      <c r="H2214">
        <v>2854</v>
      </c>
      <c r="I2214">
        <v>77</v>
      </c>
      <c r="J2214" t="s">
        <v>148</v>
      </c>
      <c r="K2214" t="s">
        <v>47</v>
      </c>
      <c r="L2214" t="s">
        <v>113</v>
      </c>
      <c r="M2214" t="s">
        <v>28</v>
      </c>
      <c r="N2214">
        <v>3.3</v>
      </c>
      <c r="O2214">
        <v>0</v>
      </c>
      <c r="P2214" t="s">
        <v>48</v>
      </c>
      <c r="Q2214" t="s">
        <v>155</v>
      </c>
      <c r="R2214" t="s">
        <v>155</v>
      </c>
      <c r="S2214">
        <v>22</v>
      </c>
      <c r="T2214" t="s">
        <v>78</v>
      </c>
      <c r="U2214" t="s">
        <v>61</v>
      </c>
      <c r="V2214" s="1">
        <v>45330</v>
      </c>
      <c r="W2214">
        <f>Table1[[#This Row],[customer_purchase count]]+1</f>
        <v>23</v>
      </c>
      <c r="X2214">
        <f>Table1[[#This Row],[customer_purchase count]]*Rules!$B$3</f>
        <v>1314.8158974358976</v>
      </c>
      <c r="Y2214" t="str">
        <f>IF(Table1[[#This Row],[customer_subscription]]=1,"Subscribed","Not Subscribed")</f>
        <v>Not Subscribed</v>
      </c>
    </row>
    <row r="2215" spans="1:26" x14ac:dyDescent="0.25">
      <c r="A2215">
        <v>2214</v>
      </c>
      <c r="B2215">
        <v>54</v>
      </c>
      <c r="C2215" t="s">
        <v>22</v>
      </c>
      <c r="D2215">
        <v>2214</v>
      </c>
      <c r="E2215" t="s">
        <v>127</v>
      </c>
      <c r="F2215" t="s">
        <v>70</v>
      </c>
      <c r="G2215">
        <v>2214</v>
      </c>
      <c r="H2215">
        <v>2855</v>
      </c>
      <c r="I2215">
        <v>94</v>
      </c>
      <c r="J2215" t="s">
        <v>80</v>
      </c>
      <c r="K2215" t="s">
        <v>47</v>
      </c>
      <c r="L2215" t="s">
        <v>35</v>
      </c>
      <c r="M2215" t="s">
        <v>60</v>
      </c>
      <c r="N2215">
        <v>2.9</v>
      </c>
      <c r="O2215">
        <v>0</v>
      </c>
      <c r="P2215" t="s">
        <v>29</v>
      </c>
      <c r="Q2215" t="s">
        <v>155</v>
      </c>
      <c r="R2215" t="s">
        <v>155</v>
      </c>
      <c r="S2215">
        <v>18</v>
      </c>
      <c r="T2215" t="s">
        <v>89</v>
      </c>
      <c r="U2215" t="s">
        <v>61</v>
      </c>
      <c r="V2215" s="1">
        <v>45608</v>
      </c>
      <c r="W2215">
        <f>Table1[[#This Row],[customer_purchase count]]+1</f>
        <v>19</v>
      </c>
      <c r="X2215">
        <f>Table1[[#This Row],[customer_purchase count]]*Rules!$B$3</f>
        <v>1075.7584615384617</v>
      </c>
      <c r="Y2215" t="str">
        <f>IF(Table1[[#This Row],[customer_subscription]]=1,"Subscribed","Not Subscribed")</f>
        <v>Not Subscribed</v>
      </c>
    </row>
    <row r="2216" spans="1:26" x14ac:dyDescent="0.25">
      <c r="A2216">
        <v>2215</v>
      </c>
      <c r="B2216">
        <v>50</v>
      </c>
      <c r="C2216" t="s">
        <v>22</v>
      </c>
      <c r="D2216">
        <v>2215</v>
      </c>
      <c r="E2216" t="s">
        <v>136</v>
      </c>
      <c r="F2216" t="s">
        <v>70</v>
      </c>
      <c r="G2216">
        <v>2215</v>
      </c>
      <c r="H2216">
        <v>2857</v>
      </c>
      <c r="I2216">
        <v>100</v>
      </c>
      <c r="J2216" t="s">
        <v>138</v>
      </c>
      <c r="K2216" t="s">
        <v>26</v>
      </c>
      <c r="L2216" t="s">
        <v>83</v>
      </c>
      <c r="M2216" t="s">
        <v>60</v>
      </c>
      <c r="N2216">
        <v>4.0999999999999996</v>
      </c>
      <c r="O2216">
        <v>0</v>
      </c>
      <c r="P2216" t="s">
        <v>57</v>
      </c>
      <c r="Q2216" t="s">
        <v>155</v>
      </c>
      <c r="R2216" t="s">
        <v>155</v>
      </c>
      <c r="S2216">
        <v>20</v>
      </c>
      <c r="T2216" t="s">
        <v>89</v>
      </c>
      <c r="U2216" t="s">
        <v>43</v>
      </c>
      <c r="V2216" s="1">
        <v>45623</v>
      </c>
      <c r="W2216">
        <f>Table1[[#This Row],[customer_purchase count]]+1</f>
        <v>21</v>
      </c>
      <c r="X2216">
        <f>Table1[[#This Row],[customer_purchase count]]*Rules!$B$3</f>
        <v>1195.2871794871796</v>
      </c>
      <c r="Y2216" t="str">
        <f>IF(Table1[[#This Row],[customer_subscription]]=1,"Subscribed","Not Subscribed")</f>
        <v>Not Subscribed</v>
      </c>
    </row>
    <row r="2217" spans="1:26" x14ac:dyDescent="0.25">
      <c r="A2217">
        <v>2216</v>
      </c>
      <c r="B2217">
        <v>25</v>
      </c>
      <c r="C2217" t="s">
        <v>22</v>
      </c>
      <c r="D2217">
        <v>2216</v>
      </c>
      <c r="E2217" t="s">
        <v>44</v>
      </c>
      <c r="F2217" t="s">
        <v>45</v>
      </c>
      <c r="G2217">
        <v>2216</v>
      </c>
      <c r="H2217">
        <v>2858</v>
      </c>
      <c r="I2217">
        <v>96</v>
      </c>
      <c r="J2217" t="s">
        <v>67</v>
      </c>
      <c r="K2217" t="s">
        <v>47</v>
      </c>
      <c r="L2217" t="s">
        <v>129</v>
      </c>
      <c r="M2217" t="s">
        <v>28</v>
      </c>
      <c r="N2217">
        <v>2.7</v>
      </c>
      <c r="O2217">
        <v>0</v>
      </c>
      <c r="P2217" t="s">
        <v>29</v>
      </c>
      <c r="Q2217" t="s">
        <v>155</v>
      </c>
      <c r="R2217" t="s">
        <v>155</v>
      </c>
      <c r="S2217">
        <v>28</v>
      </c>
      <c r="T2217" t="s">
        <v>42</v>
      </c>
      <c r="U2217" t="s">
        <v>32</v>
      </c>
      <c r="V2217" s="1">
        <v>45295</v>
      </c>
      <c r="W2217">
        <f>Table1[[#This Row],[customer_purchase count]]+1</f>
        <v>29</v>
      </c>
      <c r="X2217">
        <f>Table1[[#This Row],[customer_purchase count]]*Rules!$B$3</f>
        <v>1673.4020512820514</v>
      </c>
      <c r="Y2217" t="str">
        <f>IF(Table1[[#This Row],[customer_subscription]]=1,"Subscribed","Not Subscribed")</f>
        <v>Not Subscribed</v>
      </c>
    </row>
    <row r="2218" spans="1:26" x14ac:dyDescent="0.25">
      <c r="A2218">
        <v>2217</v>
      </c>
      <c r="B2218">
        <v>41</v>
      </c>
      <c r="C2218" t="s">
        <v>22</v>
      </c>
      <c r="D2218">
        <v>2217</v>
      </c>
      <c r="E2218" t="s">
        <v>98</v>
      </c>
      <c r="F2218" t="s">
        <v>24</v>
      </c>
      <c r="G2218">
        <v>2217</v>
      </c>
      <c r="H2218">
        <v>2859</v>
      </c>
      <c r="I2218">
        <v>36</v>
      </c>
      <c r="J2218" t="s">
        <v>132</v>
      </c>
      <c r="K2218" t="s">
        <v>95</v>
      </c>
      <c r="L2218" t="s">
        <v>68</v>
      </c>
      <c r="M2218" t="s">
        <v>28</v>
      </c>
      <c r="N2218">
        <v>4</v>
      </c>
      <c r="O2218">
        <v>0</v>
      </c>
      <c r="P2218" t="s">
        <v>77</v>
      </c>
      <c r="Q2218" t="s">
        <v>155</v>
      </c>
      <c r="R2218" t="s">
        <v>155</v>
      </c>
      <c r="S2218">
        <v>15</v>
      </c>
      <c r="T2218" t="s">
        <v>31</v>
      </c>
      <c r="U2218" t="s">
        <v>79</v>
      </c>
      <c r="V2218" s="1">
        <v>45309</v>
      </c>
      <c r="W2218">
        <f>Table1[[#This Row],[customer_purchase count]]+1</f>
        <v>16</v>
      </c>
      <c r="X2218">
        <f>Table1[[#This Row],[customer_purchase count]]*Rules!$B$3</f>
        <v>896.46538461538466</v>
      </c>
      <c r="Y2218" t="str">
        <f>IF(Table1[[#This Row],[customer_subscription]]=1,"Subscribed","Not Subscribed")</f>
        <v>Not Subscribed</v>
      </c>
      <c r="Z2218" t="s">
        <v>194</v>
      </c>
    </row>
    <row r="2219" spans="1:26" x14ac:dyDescent="0.25">
      <c r="A2219">
        <v>2218</v>
      </c>
      <c r="B2219">
        <v>35</v>
      </c>
      <c r="C2219" t="s">
        <v>22</v>
      </c>
      <c r="D2219">
        <v>2218</v>
      </c>
      <c r="E2219" t="s">
        <v>109</v>
      </c>
      <c r="F2219" t="s">
        <v>70</v>
      </c>
      <c r="G2219">
        <v>2218</v>
      </c>
      <c r="H2219">
        <v>2860</v>
      </c>
      <c r="I2219">
        <v>27</v>
      </c>
      <c r="J2219" t="s">
        <v>119</v>
      </c>
      <c r="K2219" t="s">
        <v>95</v>
      </c>
      <c r="L2219" t="s">
        <v>111</v>
      </c>
      <c r="M2219" t="s">
        <v>60</v>
      </c>
      <c r="N2219">
        <v>2.6</v>
      </c>
      <c r="O2219">
        <v>0</v>
      </c>
      <c r="P2219" t="s">
        <v>77</v>
      </c>
      <c r="Q2219" t="s">
        <v>155</v>
      </c>
      <c r="R2219" t="s">
        <v>155</v>
      </c>
      <c r="S2219">
        <v>42</v>
      </c>
      <c r="T2219" t="s">
        <v>78</v>
      </c>
      <c r="U2219" t="s">
        <v>32</v>
      </c>
      <c r="V2219" s="1">
        <v>45622</v>
      </c>
      <c r="W2219">
        <f>Table1[[#This Row],[customer_purchase count]]+1</f>
        <v>43</v>
      </c>
      <c r="X2219">
        <f>Table1[[#This Row],[customer_purchase count]]*Rules!$B$3</f>
        <v>2510.103076923077</v>
      </c>
      <c r="Y2219" t="str">
        <f>IF(Table1[[#This Row],[customer_subscription]]=1,"Subscribed","Not Subscribed")</f>
        <v>Not Subscribed</v>
      </c>
    </row>
    <row r="2220" spans="1:26" x14ac:dyDescent="0.25">
      <c r="A2220">
        <v>2219</v>
      </c>
      <c r="B2220">
        <v>67</v>
      </c>
      <c r="C2220" t="s">
        <v>22</v>
      </c>
      <c r="D2220">
        <v>2219</v>
      </c>
      <c r="E2220" t="s">
        <v>92</v>
      </c>
      <c r="F2220" t="s">
        <v>70</v>
      </c>
      <c r="G2220">
        <v>2219</v>
      </c>
      <c r="H2220">
        <v>2861</v>
      </c>
      <c r="I2220">
        <v>67</v>
      </c>
      <c r="J2220" t="s">
        <v>138</v>
      </c>
      <c r="K2220" t="s">
        <v>47</v>
      </c>
      <c r="L2220" t="s">
        <v>139</v>
      </c>
      <c r="M2220" t="s">
        <v>28</v>
      </c>
      <c r="N2220">
        <v>3.5</v>
      </c>
      <c r="O2220">
        <v>0</v>
      </c>
      <c r="P2220" t="s">
        <v>77</v>
      </c>
      <c r="Q2220" t="s">
        <v>155</v>
      </c>
      <c r="R2220" t="s">
        <v>155</v>
      </c>
      <c r="S2220">
        <v>20</v>
      </c>
      <c r="T2220" t="s">
        <v>89</v>
      </c>
      <c r="U2220" t="s">
        <v>61</v>
      </c>
      <c r="V2220" s="1">
        <v>45310</v>
      </c>
      <c r="W2220">
        <f>Table1[[#This Row],[customer_purchase count]]+1</f>
        <v>21</v>
      </c>
      <c r="X2220">
        <f>Table1[[#This Row],[customer_purchase count]]*Rules!$B$3</f>
        <v>1195.2871794871796</v>
      </c>
      <c r="Y2220" t="str">
        <f>IF(Table1[[#This Row],[customer_subscription]]=1,"Subscribed","Not Subscribed")</f>
        <v>Not Subscribed</v>
      </c>
    </row>
    <row r="2221" spans="1:26" x14ac:dyDescent="0.25">
      <c r="A2221">
        <v>2220</v>
      </c>
      <c r="B2221">
        <v>33</v>
      </c>
      <c r="C2221" t="s">
        <v>22</v>
      </c>
      <c r="D2221">
        <v>2220</v>
      </c>
      <c r="E2221" t="s">
        <v>23</v>
      </c>
      <c r="F2221" t="s">
        <v>24</v>
      </c>
      <c r="G2221">
        <v>2220</v>
      </c>
      <c r="H2221">
        <v>2863</v>
      </c>
      <c r="I2221">
        <v>91</v>
      </c>
      <c r="J2221" t="s">
        <v>151</v>
      </c>
      <c r="K2221" t="s">
        <v>39</v>
      </c>
      <c r="L2221" t="s">
        <v>76</v>
      </c>
      <c r="M2221" t="s">
        <v>60</v>
      </c>
      <c r="N2221">
        <v>2.8</v>
      </c>
      <c r="O2221">
        <v>0</v>
      </c>
      <c r="P2221" t="s">
        <v>77</v>
      </c>
      <c r="Q2221" t="s">
        <v>155</v>
      </c>
      <c r="R2221" t="s">
        <v>155</v>
      </c>
      <c r="S2221">
        <v>16</v>
      </c>
      <c r="T2221" t="s">
        <v>78</v>
      </c>
      <c r="U2221" t="s">
        <v>32</v>
      </c>
      <c r="V2221" s="1">
        <v>45569</v>
      </c>
      <c r="W2221">
        <f>Table1[[#This Row],[customer_purchase count]]+1</f>
        <v>17</v>
      </c>
      <c r="X2221">
        <f>Table1[[#This Row],[customer_purchase count]]*Rules!$B$3</f>
        <v>956.22974358974363</v>
      </c>
      <c r="Y2221" t="str">
        <f>IF(Table1[[#This Row],[customer_subscription]]=1,"Subscribed","Not Subscribed")</f>
        <v>Not Subscribed</v>
      </c>
      <c r="Z2221" t="s">
        <v>194</v>
      </c>
    </row>
    <row r="2222" spans="1:26" x14ac:dyDescent="0.25">
      <c r="A2222">
        <v>2221</v>
      </c>
      <c r="B2222">
        <v>19</v>
      </c>
      <c r="C2222" t="s">
        <v>22</v>
      </c>
      <c r="D2222">
        <v>2221</v>
      </c>
      <c r="E2222" t="s">
        <v>136</v>
      </c>
      <c r="F2222" t="s">
        <v>70</v>
      </c>
      <c r="G2222">
        <v>2221</v>
      </c>
      <c r="H2222">
        <v>2864</v>
      </c>
      <c r="I2222">
        <v>62</v>
      </c>
      <c r="J2222" t="s">
        <v>54</v>
      </c>
      <c r="K2222" t="s">
        <v>95</v>
      </c>
      <c r="L2222" t="s">
        <v>121</v>
      </c>
      <c r="M2222" t="s">
        <v>60</v>
      </c>
      <c r="N2222">
        <v>4.5</v>
      </c>
      <c r="O2222">
        <v>0</v>
      </c>
      <c r="P2222" t="s">
        <v>77</v>
      </c>
      <c r="Q2222" t="s">
        <v>155</v>
      </c>
      <c r="R2222" t="s">
        <v>155</v>
      </c>
      <c r="S2222">
        <v>47</v>
      </c>
      <c r="T2222" t="s">
        <v>36</v>
      </c>
      <c r="U2222" t="s">
        <v>52</v>
      </c>
      <c r="V2222" s="1">
        <v>45573</v>
      </c>
      <c r="W2222">
        <f>Table1[[#This Row],[customer_purchase count]]+1</f>
        <v>48</v>
      </c>
      <c r="X2222">
        <f>Table1[[#This Row],[customer_purchase count]]*Rules!$B$3</f>
        <v>2808.9248717948717</v>
      </c>
      <c r="Y2222" t="str">
        <f>IF(Table1[[#This Row],[customer_subscription]]=1,"Subscribed","Not Subscribed")</f>
        <v>Not Subscribed</v>
      </c>
    </row>
    <row r="2223" spans="1:26" x14ac:dyDescent="0.25">
      <c r="A2223">
        <v>2222</v>
      </c>
      <c r="B2223">
        <v>25</v>
      </c>
      <c r="C2223" t="s">
        <v>22</v>
      </c>
      <c r="D2223">
        <v>2222</v>
      </c>
      <c r="E2223" t="s">
        <v>62</v>
      </c>
      <c r="F2223" t="s">
        <v>24</v>
      </c>
      <c r="G2223">
        <v>2222</v>
      </c>
      <c r="H2223">
        <v>2865</v>
      </c>
      <c r="I2223">
        <v>88</v>
      </c>
      <c r="J2223" t="s">
        <v>114</v>
      </c>
      <c r="K2223" t="s">
        <v>95</v>
      </c>
      <c r="L2223" t="s">
        <v>55</v>
      </c>
      <c r="M2223" t="s">
        <v>60</v>
      </c>
      <c r="N2223">
        <v>3</v>
      </c>
      <c r="O2223">
        <v>0</v>
      </c>
      <c r="P2223" t="s">
        <v>41</v>
      </c>
      <c r="Q2223" t="s">
        <v>155</v>
      </c>
      <c r="R2223" t="s">
        <v>155</v>
      </c>
      <c r="S2223">
        <v>34</v>
      </c>
      <c r="T2223" t="s">
        <v>42</v>
      </c>
      <c r="U2223" t="s">
        <v>52</v>
      </c>
      <c r="V2223" s="1">
        <v>45552</v>
      </c>
      <c r="W2223">
        <f>Table1[[#This Row],[customer_purchase count]]+1</f>
        <v>35</v>
      </c>
      <c r="X2223">
        <f>Table1[[#This Row],[customer_purchase count]]*Rules!$B$3</f>
        <v>2031.9882051282052</v>
      </c>
      <c r="Y2223" t="str">
        <f>IF(Table1[[#This Row],[customer_subscription]]=1,"Subscribed","Not Subscribed")</f>
        <v>Not Subscribed</v>
      </c>
    </row>
    <row r="2224" spans="1:26" x14ac:dyDescent="0.25">
      <c r="A2224">
        <v>2223</v>
      </c>
      <c r="B2224">
        <v>32</v>
      </c>
      <c r="C2224" t="s">
        <v>22</v>
      </c>
      <c r="D2224">
        <v>2223</v>
      </c>
      <c r="E2224" t="s">
        <v>98</v>
      </c>
      <c r="F2224" t="s">
        <v>24</v>
      </c>
      <c r="G2224">
        <v>2223</v>
      </c>
      <c r="H2224">
        <v>2866</v>
      </c>
      <c r="I2224">
        <v>66</v>
      </c>
      <c r="J2224" t="s">
        <v>145</v>
      </c>
      <c r="K2224" t="s">
        <v>47</v>
      </c>
      <c r="L2224" t="s">
        <v>88</v>
      </c>
      <c r="M2224" t="s">
        <v>56</v>
      </c>
      <c r="N2224">
        <v>4.4000000000000004</v>
      </c>
      <c r="O2224">
        <v>0</v>
      </c>
      <c r="P2224" t="s">
        <v>77</v>
      </c>
      <c r="Q2224" t="s">
        <v>155</v>
      </c>
      <c r="R2224" t="s">
        <v>155</v>
      </c>
      <c r="S2224">
        <v>30</v>
      </c>
      <c r="T2224" t="s">
        <v>42</v>
      </c>
      <c r="U2224" t="s">
        <v>43</v>
      </c>
      <c r="V2224" s="1">
        <v>45507</v>
      </c>
      <c r="W2224">
        <f>Table1[[#This Row],[customer_purchase count]]+1</f>
        <v>31</v>
      </c>
      <c r="X2224">
        <f>Table1[[#This Row],[customer_purchase count]]*Rules!$B$3</f>
        <v>1792.9307692307693</v>
      </c>
      <c r="Y2224" t="str">
        <f>IF(Table1[[#This Row],[customer_subscription]]=1,"Subscribed","Not Subscribed")</f>
        <v>Not Subscribed</v>
      </c>
    </row>
    <row r="2225" spans="1:26" x14ac:dyDescent="0.25">
      <c r="A2225">
        <v>2224</v>
      </c>
      <c r="B2225">
        <v>30</v>
      </c>
      <c r="C2225" t="s">
        <v>22</v>
      </c>
      <c r="D2225">
        <v>2224</v>
      </c>
      <c r="E2225" t="s">
        <v>44</v>
      </c>
      <c r="F2225" t="s">
        <v>45</v>
      </c>
      <c r="G2225">
        <v>2224</v>
      </c>
      <c r="H2225">
        <v>2867</v>
      </c>
      <c r="I2225">
        <v>65</v>
      </c>
      <c r="J2225" t="s">
        <v>114</v>
      </c>
      <c r="K2225" t="s">
        <v>47</v>
      </c>
      <c r="L2225" t="s">
        <v>27</v>
      </c>
      <c r="M2225" t="s">
        <v>60</v>
      </c>
      <c r="N2225">
        <v>4.7</v>
      </c>
      <c r="O2225">
        <v>0</v>
      </c>
      <c r="P2225" t="s">
        <v>48</v>
      </c>
      <c r="Q2225" t="s">
        <v>155</v>
      </c>
      <c r="R2225" t="s">
        <v>155</v>
      </c>
      <c r="S2225">
        <v>5</v>
      </c>
      <c r="T2225" t="s">
        <v>49</v>
      </c>
      <c r="U2225" t="s">
        <v>61</v>
      </c>
      <c r="V2225" s="1">
        <v>45541</v>
      </c>
      <c r="W2225">
        <f>Table1[[#This Row],[customer_purchase count]]+1</f>
        <v>6</v>
      </c>
      <c r="X2225">
        <f>Table1[[#This Row],[customer_purchase count]]*Rules!$B$3</f>
        <v>298.82179487179491</v>
      </c>
      <c r="Y2225" t="str">
        <f>IF(Table1[[#This Row],[customer_subscription]]=1,"Subscribed","Not Subscribed")</f>
        <v>Not Subscribed</v>
      </c>
      <c r="Z2225" t="s">
        <v>194</v>
      </c>
    </row>
    <row r="2226" spans="1:26" x14ac:dyDescent="0.25">
      <c r="A2226">
        <v>2225</v>
      </c>
      <c r="B2226">
        <v>18</v>
      </c>
      <c r="C2226" t="s">
        <v>22</v>
      </c>
      <c r="D2226">
        <v>2225</v>
      </c>
      <c r="E2226" t="s">
        <v>146</v>
      </c>
      <c r="F2226" t="s">
        <v>70</v>
      </c>
      <c r="G2226">
        <v>2225</v>
      </c>
      <c r="H2226">
        <v>2869</v>
      </c>
      <c r="I2226">
        <v>25</v>
      </c>
      <c r="J2226" t="s">
        <v>148</v>
      </c>
      <c r="K2226" t="s">
        <v>26</v>
      </c>
      <c r="L2226" t="s">
        <v>64</v>
      </c>
      <c r="M2226" t="s">
        <v>28</v>
      </c>
      <c r="N2226">
        <v>4.3</v>
      </c>
      <c r="O2226">
        <v>0</v>
      </c>
      <c r="P2226" t="s">
        <v>57</v>
      </c>
      <c r="Q2226" t="s">
        <v>155</v>
      </c>
      <c r="R2226" t="s">
        <v>155</v>
      </c>
      <c r="S2226">
        <v>38</v>
      </c>
      <c r="T2226" t="s">
        <v>36</v>
      </c>
      <c r="U2226" t="s">
        <v>61</v>
      </c>
      <c r="V2226" s="1">
        <v>45301</v>
      </c>
      <c r="W2226">
        <f>Table1[[#This Row],[customer_purchase count]]+1</f>
        <v>39</v>
      </c>
      <c r="X2226">
        <f>Table1[[#This Row],[customer_purchase count]]*Rules!$B$3</f>
        <v>2271.0456410256411</v>
      </c>
      <c r="Y2226" t="str">
        <f>IF(Table1[[#This Row],[customer_subscription]]=1,"Subscribed","Not Subscribed")</f>
        <v>Not Subscribed</v>
      </c>
    </row>
    <row r="2227" spans="1:26" x14ac:dyDescent="0.25">
      <c r="A2227">
        <v>2226</v>
      </c>
      <c r="B2227">
        <v>38</v>
      </c>
      <c r="C2227" t="s">
        <v>22</v>
      </c>
      <c r="D2227">
        <v>2226</v>
      </c>
      <c r="E2227" t="s">
        <v>136</v>
      </c>
      <c r="F2227" t="s">
        <v>70</v>
      </c>
      <c r="G2227">
        <v>2226</v>
      </c>
      <c r="H2227">
        <v>2870</v>
      </c>
      <c r="I2227">
        <v>64</v>
      </c>
      <c r="J2227" t="s">
        <v>152</v>
      </c>
      <c r="K2227" t="s">
        <v>39</v>
      </c>
      <c r="L2227" t="s">
        <v>81</v>
      </c>
      <c r="M2227" t="s">
        <v>40</v>
      </c>
      <c r="N2227">
        <v>4.8</v>
      </c>
      <c r="O2227">
        <v>0</v>
      </c>
      <c r="P2227" t="s">
        <v>41</v>
      </c>
      <c r="Q2227" t="s">
        <v>155</v>
      </c>
      <c r="R2227" t="s">
        <v>155</v>
      </c>
      <c r="S2227">
        <v>18</v>
      </c>
      <c r="T2227" t="s">
        <v>42</v>
      </c>
      <c r="U2227" t="s">
        <v>52</v>
      </c>
      <c r="V2227" s="1">
        <v>45402</v>
      </c>
      <c r="W2227">
        <f>Table1[[#This Row],[customer_purchase count]]+1</f>
        <v>19</v>
      </c>
      <c r="X2227">
        <f>Table1[[#This Row],[customer_purchase count]]*Rules!$B$3</f>
        <v>1075.7584615384617</v>
      </c>
      <c r="Y2227" t="str">
        <f>IF(Table1[[#This Row],[customer_subscription]]=1,"Subscribed","Not Subscribed")</f>
        <v>Not Subscribed</v>
      </c>
    </row>
    <row r="2228" spans="1:26" x14ac:dyDescent="0.25">
      <c r="A2228">
        <v>2227</v>
      </c>
      <c r="B2228">
        <v>22</v>
      </c>
      <c r="C2228" t="s">
        <v>22</v>
      </c>
      <c r="D2228">
        <v>2227</v>
      </c>
      <c r="E2228" t="s">
        <v>58</v>
      </c>
      <c r="F2228" t="s">
        <v>24</v>
      </c>
      <c r="G2228">
        <v>2227</v>
      </c>
      <c r="H2228">
        <v>2871</v>
      </c>
      <c r="I2228">
        <v>72</v>
      </c>
      <c r="J2228" t="s">
        <v>71</v>
      </c>
      <c r="K2228" t="s">
        <v>26</v>
      </c>
      <c r="L2228" t="s">
        <v>147</v>
      </c>
      <c r="M2228" t="s">
        <v>40</v>
      </c>
      <c r="N2228">
        <v>4.8</v>
      </c>
      <c r="O2228">
        <v>0</v>
      </c>
      <c r="P2228" t="s">
        <v>77</v>
      </c>
      <c r="Q2228" t="s">
        <v>155</v>
      </c>
      <c r="R2228" t="s">
        <v>155</v>
      </c>
      <c r="S2228">
        <v>28</v>
      </c>
      <c r="T2228" t="s">
        <v>36</v>
      </c>
      <c r="U2228" t="s">
        <v>52</v>
      </c>
      <c r="V2228" s="1">
        <v>45435</v>
      </c>
      <c r="W2228">
        <f>Table1[[#This Row],[customer_purchase count]]+1</f>
        <v>29</v>
      </c>
      <c r="X2228">
        <f>Table1[[#This Row],[customer_purchase count]]*Rules!$B$3</f>
        <v>1673.4020512820514</v>
      </c>
      <c r="Y2228" t="str">
        <f>IF(Table1[[#This Row],[customer_subscription]]=1,"Subscribed","Not Subscribed")</f>
        <v>Not Subscribed</v>
      </c>
    </row>
    <row r="2229" spans="1:26" x14ac:dyDescent="0.25">
      <c r="A2229">
        <v>2228</v>
      </c>
      <c r="B2229">
        <v>40</v>
      </c>
      <c r="C2229" t="s">
        <v>22</v>
      </c>
      <c r="D2229">
        <v>2228</v>
      </c>
      <c r="E2229" t="s">
        <v>122</v>
      </c>
      <c r="F2229" t="s">
        <v>70</v>
      </c>
      <c r="G2229">
        <v>2228</v>
      </c>
      <c r="H2229">
        <v>2872</v>
      </c>
      <c r="I2229">
        <v>74</v>
      </c>
      <c r="J2229" t="s">
        <v>152</v>
      </c>
      <c r="K2229" t="s">
        <v>39</v>
      </c>
      <c r="L2229" t="s">
        <v>27</v>
      </c>
      <c r="M2229" t="s">
        <v>56</v>
      </c>
      <c r="N2229">
        <v>4.4000000000000004</v>
      </c>
      <c r="O2229">
        <v>0</v>
      </c>
      <c r="P2229" t="s">
        <v>48</v>
      </c>
      <c r="Q2229" t="s">
        <v>155</v>
      </c>
      <c r="R2229" t="s">
        <v>155</v>
      </c>
      <c r="S2229">
        <v>42</v>
      </c>
      <c r="T2229" t="s">
        <v>42</v>
      </c>
      <c r="U2229" t="s">
        <v>32</v>
      </c>
      <c r="V2229" s="1">
        <v>45487</v>
      </c>
      <c r="W2229">
        <f>Table1[[#This Row],[customer_purchase count]]+1</f>
        <v>43</v>
      </c>
      <c r="X2229">
        <f>Table1[[#This Row],[customer_purchase count]]*Rules!$B$3</f>
        <v>2510.103076923077</v>
      </c>
      <c r="Y2229" t="str">
        <f>IF(Table1[[#This Row],[customer_subscription]]=1,"Subscribed","Not Subscribed")</f>
        <v>Not Subscribed</v>
      </c>
    </row>
    <row r="2230" spans="1:26" x14ac:dyDescent="0.25">
      <c r="A2230">
        <v>2229</v>
      </c>
      <c r="B2230">
        <v>54</v>
      </c>
      <c r="C2230" t="s">
        <v>22</v>
      </c>
      <c r="D2230">
        <v>2229</v>
      </c>
      <c r="E2230" t="s">
        <v>146</v>
      </c>
      <c r="F2230" t="s">
        <v>70</v>
      </c>
      <c r="G2230">
        <v>2229</v>
      </c>
      <c r="H2230">
        <v>2873</v>
      </c>
      <c r="I2230">
        <v>50</v>
      </c>
      <c r="J2230" t="s">
        <v>114</v>
      </c>
      <c r="K2230" t="s">
        <v>47</v>
      </c>
      <c r="L2230" t="s">
        <v>99</v>
      </c>
      <c r="M2230" t="s">
        <v>60</v>
      </c>
      <c r="N2230">
        <v>3.7</v>
      </c>
      <c r="O2230">
        <v>0</v>
      </c>
      <c r="P2230" t="s">
        <v>41</v>
      </c>
      <c r="Q2230" t="s">
        <v>155</v>
      </c>
      <c r="R2230" t="s">
        <v>155</v>
      </c>
      <c r="S2230">
        <v>5</v>
      </c>
      <c r="T2230" t="s">
        <v>42</v>
      </c>
      <c r="U2230" t="s">
        <v>43</v>
      </c>
      <c r="V2230" s="1">
        <v>45578</v>
      </c>
      <c r="W2230">
        <f>Table1[[#This Row],[customer_purchase count]]+1</f>
        <v>6</v>
      </c>
      <c r="X2230">
        <f>Table1[[#This Row],[customer_purchase count]]*Rules!$B$3</f>
        <v>298.82179487179491</v>
      </c>
      <c r="Y2230" t="str">
        <f>IF(Table1[[#This Row],[customer_subscription]]=1,"Subscribed","Not Subscribed")</f>
        <v>Not Subscribed</v>
      </c>
      <c r="Z2230" t="s">
        <v>194</v>
      </c>
    </row>
    <row r="2231" spans="1:26" x14ac:dyDescent="0.25">
      <c r="A2231">
        <v>2230</v>
      </c>
      <c r="B2231">
        <v>70</v>
      </c>
      <c r="C2231" t="s">
        <v>22</v>
      </c>
      <c r="D2231">
        <v>2230</v>
      </c>
      <c r="E2231" t="s">
        <v>98</v>
      </c>
      <c r="F2231" t="s">
        <v>24</v>
      </c>
      <c r="G2231">
        <v>2230</v>
      </c>
      <c r="H2231">
        <v>2875</v>
      </c>
      <c r="I2231">
        <v>97</v>
      </c>
      <c r="J2231" t="s">
        <v>151</v>
      </c>
      <c r="K2231" t="s">
        <v>47</v>
      </c>
      <c r="L2231" t="s">
        <v>68</v>
      </c>
      <c r="M2231" t="s">
        <v>60</v>
      </c>
      <c r="N2231">
        <v>3.9</v>
      </c>
      <c r="O2231">
        <v>0</v>
      </c>
      <c r="P2231" t="s">
        <v>29</v>
      </c>
      <c r="Q2231" t="s">
        <v>155</v>
      </c>
      <c r="R2231" t="s">
        <v>155</v>
      </c>
      <c r="S2231">
        <v>50</v>
      </c>
      <c r="T2231" t="s">
        <v>31</v>
      </c>
      <c r="U2231" t="s">
        <v>91</v>
      </c>
      <c r="V2231" s="1">
        <v>45569</v>
      </c>
      <c r="W2231">
        <f>Table1[[#This Row],[customer_purchase count]]+1</f>
        <v>51</v>
      </c>
      <c r="X2231">
        <f>Table1[[#This Row],[customer_purchase count]]*Rules!$B$3</f>
        <v>2988.2179487179487</v>
      </c>
      <c r="Y2231" t="str">
        <f>IF(Table1[[#This Row],[customer_subscription]]=1,"Subscribed","Not Subscribed")</f>
        <v>Not Subscribed</v>
      </c>
    </row>
    <row r="2232" spans="1:26" x14ac:dyDescent="0.25">
      <c r="A2232">
        <v>2231</v>
      </c>
      <c r="B2232">
        <v>52</v>
      </c>
      <c r="C2232" t="s">
        <v>22</v>
      </c>
      <c r="D2232">
        <v>2231</v>
      </c>
      <c r="E2232" t="s">
        <v>53</v>
      </c>
      <c r="F2232" t="s">
        <v>45</v>
      </c>
      <c r="G2232">
        <v>2231</v>
      </c>
      <c r="H2232">
        <v>2876</v>
      </c>
      <c r="I2232">
        <v>36</v>
      </c>
      <c r="J2232" t="s">
        <v>115</v>
      </c>
      <c r="K2232" t="s">
        <v>39</v>
      </c>
      <c r="L2232" t="s">
        <v>88</v>
      </c>
      <c r="M2232" t="s">
        <v>40</v>
      </c>
      <c r="N2232">
        <v>3.8</v>
      </c>
      <c r="O2232">
        <v>0</v>
      </c>
      <c r="P2232" t="s">
        <v>29</v>
      </c>
      <c r="Q2232" t="s">
        <v>155</v>
      </c>
      <c r="R2232" t="s">
        <v>155</v>
      </c>
      <c r="S2232">
        <v>33</v>
      </c>
      <c r="T2232" t="s">
        <v>31</v>
      </c>
      <c r="U2232" t="s">
        <v>32</v>
      </c>
      <c r="V2232" s="1">
        <v>45427</v>
      </c>
      <c r="W2232">
        <f>Table1[[#This Row],[customer_purchase count]]+1</f>
        <v>34</v>
      </c>
      <c r="X2232">
        <f>Table1[[#This Row],[customer_purchase count]]*Rules!$B$3</f>
        <v>1972.2238461538464</v>
      </c>
      <c r="Y2232" t="str">
        <f>IF(Table1[[#This Row],[customer_subscription]]=1,"Subscribed","Not Subscribed")</f>
        <v>Not Subscribed</v>
      </c>
    </row>
    <row r="2233" spans="1:26" x14ac:dyDescent="0.25">
      <c r="A2233">
        <v>2232</v>
      </c>
      <c r="B2233">
        <v>34</v>
      </c>
      <c r="C2233" t="s">
        <v>22</v>
      </c>
      <c r="D2233">
        <v>2232</v>
      </c>
      <c r="E2233" t="s">
        <v>105</v>
      </c>
      <c r="F2233" t="s">
        <v>66</v>
      </c>
      <c r="G2233">
        <v>2232</v>
      </c>
      <c r="H2233">
        <v>2877</v>
      </c>
      <c r="I2233">
        <v>49</v>
      </c>
      <c r="J2233" t="s">
        <v>143</v>
      </c>
      <c r="K2233" t="s">
        <v>47</v>
      </c>
      <c r="L2233" t="s">
        <v>121</v>
      </c>
      <c r="M2233" t="s">
        <v>60</v>
      </c>
      <c r="N2233">
        <v>4.0999999999999996</v>
      </c>
      <c r="O2233">
        <v>0</v>
      </c>
      <c r="P2233" t="s">
        <v>77</v>
      </c>
      <c r="Q2233" t="s">
        <v>155</v>
      </c>
      <c r="R2233" t="s">
        <v>155</v>
      </c>
      <c r="S2233">
        <v>1</v>
      </c>
      <c r="T2233" t="s">
        <v>42</v>
      </c>
      <c r="U2233" t="s">
        <v>43</v>
      </c>
      <c r="V2233" s="1">
        <v>45618</v>
      </c>
      <c r="W2233">
        <f>Table1[[#This Row],[customer_purchase count]]+1</f>
        <v>2</v>
      </c>
      <c r="X2233">
        <f>Table1[[#This Row],[customer_purchase count]]*Rules!$B$3</f>
        <v>59.764358974358977</v>
      </c>
      <c r="Y2233" t="str">
        <f>IF(Table1[[#This Row],[customer_subscription]]=1,"Subscribed","Not Subscribed")</f>
        <v>Not Subscribed</v>
      </c>
      <c r="Z2233" t="s">
        <v>194</v>
      </c>
    </row>
    <row r="2234" spans="1:26" x14ac:dyDescent="0.25">
      <c r="A2234">
        <v>2233</v>
      </c>
      <c r="B2234">
        <v>65</v>
      </c>
      <c r="C2234" t="s">
        <v>22</v>
      </c>
      <c r="D2234">
        <v>2233</v>
      </c>
      <c r="E2234" t="s">
        <v>74</v>
      </c>
      <c r="F2234" t="s">
        <v>45</v>
      </c>
      <c r="G2234">
        <v>2233</v>
      </c>
      <c r="H2234">
        <v>2878</v>
      </c>
      <c r="I2234">
        <v>64</v>
      </c>
      <c r="J2234" t="s">
        <v>101</v>
      </c>
      <c r="K2234" t="s">
        <v>26</v>
      </c>
      <c r="L2234" t="s">
        <v>96</v>
      </c>
      <c r="M2234" t="s">
        <v>40</v>
      </c>
      <c r="N2234">
        <v>4</v>
      </c>
      <c r="O2234">
        <v>0</v>
      </c>
      <c r="P2234" t="s">
        <v>77</v>
      </c>
      <c r="Q2234" t="s">
        <v>155</v>
      </c>
      <c r="R2234" t="s">
        <v>155</v>
      </c>
      <c r="S2234">
        <v>14</v>
      </c>
      <c r="T2234" t="s">
        <v>36</v>
      </c>
      <c r="U2234" t="s">
        <v>32</v>
      </c>
      <c r="V2234" s="1">
        <v>45387</v>
      </c>
      <c r="W2234">
        <f>Table1[[#This Row],[customer_purchase count]]+1</f>
        <v>15</v>
      </c>
      <c r="X2234">
        <f>Table1[[#This Row],[customer_purchase count]]*Rules!$B$3</f>
        <v>836.70102564102569</v>
      </c>
      <c r="Y2234" t="str">
        <f>IF(Table1[[#This Row],[customer_subscription]]=1,"Subscribed","Not Subscribed")</f>
        <v>Not Subscribed</v>
      </c>
      <c r="Z2234" t="s">
        <v>194</v>
      </c>
    </row>
    <row r="2235" spans="1:26" x14ac:dyDescent="0.25">
      <c r="A2235">
        <v>2234</v>
      </c>
      <c r="B2235">
        <v>38</v>
      </c>
      <c r="C2235" t="s">
        <v>22</v>
      </c>
      <c r="D2235">
        <v>2234</v>
      </c>
      <c r="E2235" t="s">
        <v>23</v>
      </c>
      <c r="F2235" t="s">
        <v>24</v>
      </c>
      <c r="G2235">
        <v>2234</v>
      </c>
      <c r="H2235">
        <v>2879</v>
      </c>
      <c r="I2235">
        <v>31</v>
      </c>
      <c r="J2235" t="s">
        <v>106</v>
      </c>
      <c r="K2235" t="s">
        <v>95</v>
      </c>
      <c r="L2235" t="s">
        <v>27</v>
      </c>
      <c r="M2235" t="s">
        <v>56</v>
      </c>
      <c r="N2235">
        <v>4.5</v>
      </c>
      <c r="O2235">
        <v>0</v>
      </c>
      <c r="P2235" t="s">
        <v>29</v>
      </c>
      <c r="Q2235" t="s">
        <v>155</v>
      </c>
      <c r="R2235" t="s">
        <v>155</v>
      </c>
      <c r="S2235">
        <v>48</v>
      </c>
      <c r="T2235" t="s">
        <v>42</v>
      </c>
      <c r="U2235" t="s">
        <v>91</v>
      </c>
      <c r="V2235" s="1">
        <v>45451</v>
      </c>
      <c r="W2235">
        <f>Table1[[#This Row],[customer_purchase count]]+1</f>
        <v>49</v>
      </c>
      <c r="X2235">
        <f>Table1[[#This Row],[customer_purchase count]]*Rules!$B$3</f>
        <v>2868.689230769231</v>
      </c>
      <c r="Y2235" t="str">
        <f>IF(Table1[[#This Row],[customer_subscription]]=1,"Subscribed","Not Subscribed")</f>
        <v>Not Subscribed</v>
      </c>
    </row>
    <row r="2236" spans="1:26" x14ac:dyDescent="0.25">
      <c r="A2236">
        <v>2235</v>
      </c>
      <c r="B2236">
        <v>35</v>
      </c>
      <c r="C2236" t="s">
        <v>22</v>
      </c>
      <c r="D2236">
        <v>2235</v>
      </c>
      <c r="E2236" t="s">
        <v>140</v>
      </c>
      <c r="F2236" t="s">
        <v>45</v>
      </c>
      <c r="G2236">
        <v>2235</v>
      </c>
      <c r="H2236">
        <v>2881</v>
      </c>
      <c r="I2236">
        <v>66</v>
      </c>
      <c r="J2236" t="s">
        <v>85</v>
      </c>
      <c r="K2236" t="s">
        <v>39</v>
      </c>
      <c r="L2236" t="s">
        <v>137</v>
      </c>
      <c r="M2236" t="s">
        <v>28</v>
      </c>
      <c r="N2236">
        <v>4</v>
      </c>
      <c r="O2236">
        <v>0</v>
      </c>
      <c r="P2236" t="s">
        <v>29</v>
      </c>
      <c r="Q2236" t="s">
        <v>155</v>
      </c>
      <c r="R2236" t="s">
        <v>155</v>
      </c>
      <c r="S2236">
        <v>26</v>
      </c>
      <c r="T2236" t="s">
        <v>36</v>
      </c>
      <c r="U2236" t="s">
        <v>43</v>
      </c>
      <c r="V2236" s="1">
        <v>45309</v>
      </c>
      <c r="W2236">
        <f>Table1[[#This Row],[customer_purchase count]]+1</f>
        <v>27</v>
      </c>
      <c r="X2236">
        <f>Table1[[#This Row],[customer_purchase count]]*Rules!$B$3</f>
        <v>1553.8733333333334</v>
      </c>
      <c r="Y2236" t="str">
        <f>IF(Table1[[#This Row],[customer_subscription]]=1,"Subscribed","Not Subscribed")</f>
        <v>Not Subscribed</v>
      </c>
    </row>
    <row r="2237" spans="1:26" x14ac:dyDescent="0.25">
      <c r="A2237">
        <v>2236</v>
      </c>
      <c r="B2237">
        <v>40</v>
      </c>
      <c r="C2237" t="s">
        <v>22</v>
      </c>
      <c r="D2237">
        <v>2236</v>
      </c>
      <c r="E2237" t="s">
        <v>128</v>
      </c>
      <c r="F2237" t="s">
        <v>24</v>
      </c>
      <c r="G2237">
        <v>2236</v>
      </c>
      <c r="H2237">
        <v>2882</v>
      </c>
      <c r="I2237">
        <v>82</v>
      </c>
      <c r="J2237" t="s">
        <v>118</v>
      </c>
      <c r="K2237" t="s">
        <v>47</v>
      </c>
      <c r="L2237" t="s">
        <v>27</v>
      </c>
      <c r="M2237" t="s">
        <v>40</v>
      </c>
      <c r="N2237">
        <v>4.5</v>
      </c>
      <c r="O2237">
        <v>0</v>
      </c>
      <c r="P2237" t="s">
        <v>73</v>
      </c>
      <c r="Q2237" t="s">
        <v>155</v>
      </c>
      <c r="R2237" t="s">
        <v>155</v>
      </c>
      <c r="S2237">
        <v>44</v>
      </c>
      <c r="T2237" t="s">
        <v>42</v>
      </c>
      <c r="U2237" t="s">
        <v>52</v>
      </c>
      <c r="V2237" s="1">
        <v>45436</v>
      </c>
      <c r="W2237">
        <f>Table1[[#This Row],[customer_purchase count]]+1</f>
        <v>45</v>
      </c>
      <c r="X2237">
        <f>Table1[[#This Row],[customer_purchase count]]*Rules!$B$3</f>
        <v>2629.6317948717951</v>
      </c>
      <c r="Y2237" t="str">
        <f>IF(Table1[[#This Row],[customer_subscription]]=1,"Subscribed","Not Subscribed")</f>
        <v>Not Subscribed</v>
      </c>
    </row>
    <row r="2238" spans="1:26" x14ac:dyDescent="0.25">
      <c r="A2238">
        <v>2237</v>
      </c>
      <c r="B2238">
        <v>23</v>
      </c>
      <c r="C2238" t="s">
        <v>22</v>
      </c>
      <c r="D2238">
        <v>2237</v>
      </c>
      <c r="E2238" t="s">
        <v>116</v>
      </c>
      <c r="F2238" t="s">
        <v>24</v>
      </c>
      <c r="G2238">
        <v>2237</v>
      </c>
      <c r="H2238">
        <v>2883</v>
      </c>
      <c r="I2238">
        <v>88</v>
      </c>
      <c r="J2238" t="s">
        <v>63</v>
      </c>
      <c r="K2238" t="s">
        <v>47</v>
      </c>
      <c r="L2238" t="s">
        <v>137</v>
      </c>
      <c r="M2238" t="s">
        <v>28</v>
      </c>
      <c r="N2238">
        <v>2.7</v>
      </c>
      <c r="O2238">
        <v>0</v>
      </c>
      <c r="P2238" t="s">
        <v>57</v>
      </c>
      <c r="Q2238" t="s">
        <v>155</v>
      </c>
      <c r="R2238" t="s">
        <v>155</v>
      </c>
      <c r="S2238">
        <v>18</v>
      </c>
      <c r="T2238" t="s">
        <v>89</v>
      </c>
      <c r="U2238" t="s">
        <v>32</v>
      </c>
      <c r="V2238" s="1">
        <v>45335</v>
      </c>
      <c r="W2238">
        <f>Table1[[#This Row],[customer_purchase count]]+1</f>
        <v>19</v>
      </c>
      <c r="X2238">
        <f>Table1[[#This Row],[customer_purchase count]]*Rules!$B$3</f>
        <v>1075.7584615384617</v>
      </c>
      <c r="Y2238" t="str">
        <f>IF(Table1[[#This Row],[customer_subscription]]=1,"Subscribed","Not Subscribed")</f>
        <v>Not Subscribed</v>
      </c>
    </row>
    <row r="2239" spans="1:26" x14ac:dyDescent="0.25">
      <c r="A2239">
        <v>2238</v>
      </c>
      <c r="B2239">
        <v>45</v>
      </c>
      <c r="C2239" t="s">
        <v>22</v>
      </c>
      <c r="D2239">
        <v>2238</v>
      </c>
      <c r="E2239" t="s">
        <v>44</v>
      </c>
      <c r="F2239" t="s">
        <v>45</v>
      </c>
      <c r="G2239">
        <v>2238</v>
      </c>
      <c r="H2239">
        <v>2884</v>
      </c>
      <c r="I2239">
        <v>34</v>
      </c>
      <c r="J2239" t="s">
        <v>93</v>
      </c>
      <c r="K2239" t="s">
        <v>39</v>
      </c>
      <c r="L2239" t="s">
        <v>97</v>
      </c>
      <c r="M2239" t="s">
        <v>56</v>
      </c>
      <c r="N2239">
        <v>3.8</v>
      </c>
      <c r="O2239">
        <v>0</v>
      </c>
      <c r="P2239" t="s">
        <v>48</v>
      </c>
      <c r="Q2239" t="s">
        <v>155</v>
      </c>
      <c r="R2239" t="s">
        <v>155</v>
      </c>
      <c r="S2239">
        <v>31</v>
      </c>
      <c r="T2239" t="s">
        <v>31</v>
      </c>
      <c r="U2239" t="s">
        <v>100</v>
      </c>
      <c r="V2239" s="1">
        <v>45455</v>
      </c>
      <c r="W2239">
        <f>Table1[[#This Row],[customer_purchase count]]+1</f>
        <v>32</v>
      </c>
      <c r="X2239">
        <f>Table1[[#This Row],[customer_purchase count]]*Rules!$B$3</f>
        <v>1852.6951282051282</v>
      </c>
      <c r="Y2239" t="str">
        <f>IF(Table1[[#This Row],[customer_subscription]]=1,"Subscribed","Not Subscribed")</f>
        <v>Not Subscribed</v>
      </c>
    </row>
    <row r="2240" spans="1:26" x14ac:dyDescent="0.25">
      <c r="A2240">
        <v>2239</v>
      </c>
      <c r="B2240">
        <v>40</v>
      </c>
      <c r="C2240" t="s">
        <v>22</v>
      </c>
      <c r="D2240">
        <v>2239</v>
      </c>
      <c r="E2240" t="s">
        <v>53</v>
      </c>
      <c r="F2240" t="s">
        <v>45</v>
      </c>
      <c r="G2240">
        <v>2239</v>
      </c>
      <c r="H2240">
        <v>2885</v>
      </c>
      <c r="I2240">
        <v>84</v>
      </c>
      <c r="J2240" t="s">
        <v>106</v>
      </c>
      <c r="K2240" t="s">
        <v>26</v>
      </c>
      <c r="L2240" t="s">
        <v>121</v>
      </c>
      <c r="M2240" t="s">
        <v>28</v>
      </c>
      <c r="N2240">
        <v>3.8</v>
      </c>
      <c r="O2240">
        <v>0</v>
      </c>
      <c r="P2240" t="s">
        <v>57</v>
      </c>
      <c r="Q2240" t="s">
        <v>155</v>
      </c>
      <c r="R2240" t="s">
        <v>155</v>
      </c>
      <c r="S2240">
        <v>18</v>
      </c>
      <c r="T2240" t="s">
        <v>89</v>
      </c>
      <c r="U2240" t="s">
        <v>43</v>
      </c>
      <c r="V2240" s="1">
        <v>45295</v>
      </c>
      <c r="W2240">
        <f>Table1[[#This Row],[customer_purchase count]]+1</f>
        <v>19</v>
      </c>
      <c r="X2240">
        <f>Table1[[#This Row],[customer_purchase count]]*Rules!$B$3</f>
        <v>1075.7584615384617</v>
      </c>
      <c r="Y2240" t="str">
        <f>IF(Table1[[#This Row],[customer_subscription]]=1,"Subscribed","Not Subscribed")</f>
        <v>Not Subscribed</v>
      </c>
    </row>
    <row r="2241" spans="1:26" x14ac:dyDescent="0.25">
      <c r="A2241">
        <v>2240</v>
      </c>
      <c r="B2241">
        <v>42</v>
      </c>
      <c r="C2241" t="s">
        <v>22</v>
      </c>
      <c r="D2241">
        <v>2240</v>
      </c>
      <c r="E2241" t="s">
        <v>109</v>
      </c>
      <c r="F2241" t="s">
        <v>70</v>
      </c>
      <c r="G2241">
        <v>2240</v>
      </c>
      <c r="H2241">
        <v>2887</v>
      </c>
      <c r="I2241">
        <v>96</v>
      </c>
      <c r="J2241" t="s">
        <v>93</v>
      </c>
      <c r="K2241" t="s">
        <v>26</v>
      </c>
      <c r="L2241" t="s">
        <v>129</v>
      </c>
      <c r="M2241" t="s">
        <v>56</v>
      </c>
      <c r="N2241">
        <v>3.8</v>
      </c>
      <c r="O2241">
        <v>0</v>
      </c>
      <c r="P2241" t="s">
        <v>73</v>
      </c>
      <c r="Q2241" t="s">
        <v>155</v>
      </c>
      <c r="R2241" t="s">
        <v>155</v>
      </c>
      <c r="S2241">
        <v>41</v>
      </c>
      <c r="T2241" t="s">
        <v>42</v>
      </c>
      <c r="U2241" t="s">
        <v>100</v>
      </c>
      <c r="V2241" s="1">
        <v>45500</v>
      </c>
      <c r="W2241">
        <f>Table1[[#This Row],[customer_purchase count]]+1</f>
        <v>42</v>
      </c>
      <c r="X2241">
        <f>Table1[[#This Row],[customer_purchase count]]*Rules!$B$3</f>
        <v>2450.3387179487181</v>
      </c>
      <c r="Y2241" t="str">
        <f>IF(Table1[[#This Row],[customer_subscription]]=1,"Subscribed","Not Subscribed")</f>
        <v>Not Subscribed</v>
      </c>
    </row>
    <row r="2242" spans="1:26" x14ac:dyDescent="0.25">
      <c r="A2242">
        <v>2241</v>
      </c>
      <c r="B2242">
        <v>57</v>
      </c>
      <c r="C2242" t="s">
        <v>22</v>
      </c>
      <c r="D2242">
        <v>2241</v>
      </c>
      <c r="E2242" t="s">
        <v>44</v>
      </c>
      <c r="F2242" t="s">
        <v>45</v>
      </c>
      <c r="G2242">
        <v>2241</v>
      </c>
      <c r="H2242">
        <v>2888</v>
      </c>
      <c r="I2242">
        <v>71</v>
      </c>
      <c r="J2242" t="s">
        <v>102</v>
      </c>
      <c r="K2242" t="s">
        <v>26</v>
      </c>
      <c r="L2242" t="s">
        <v>99</v>
      </c>
      <c r="M2242" t="s">
        <v>28</v>
      </c>
      <c r="N2242">
        <v>4.3</v>
      </c>
      <c r="O2242">
        <v>0</v>
      </c>
      <c r="P2242" t="s">
        <v>48</v>
      </c>
      <c r="Q2242" t="s">
        <v>155</v>
      </c>
      <c r="R2242" t="s">
        <v>155</v>
      </c>
      <c r="S2242">
        <v>18</v>
      </c>
      <c r="T2242" t="s">
        <v>89</v>
      </c>
      <c r="U2242" t="s">
        <v>100</v>
      </c>
      <c r="V2242" s="1">
        <v>45306</v>
      </c>
      <c r="W2242">
        <f>Table1[[#This Row],[customer_purchase count]]+1</f>
        <v>19</v>
      </c>
      <c r="X2242">
        <f>Table1[[#This Row],[customer_purchase count]]*Rules!$B$3</f>
        <v>1075.7584615384617</v>
      </c>
      <c r="Y2242" t="str">
        <f>IF(Table1[[#This Row],[customer_subscription]]=1,"Subscribed","Not Subscribed")</f>
        <v>Not Subscribed</v>
      </c>
    </row>
    <row r="2243" spans="1:26" x14ac:dyDescent="0.25">
      <c r="A2243">
        <v>2242</v>
      </c>
      <c r="B2243">
        <v>18</v>
      </c>
      <c r="C2243" t="s">
        <v>22</v>
      </c>
      <c r="D2243">
        <v>2242</v>
      </c>
      <c r="E2243" t="s">
        <v>105</v>
      </c>
      <c r="F2243" t="s">
        <v>66</v>
      </c>
      <c r="G2243">
        <v>2242</v>
      </c>
      <c r="H2243">
        <v>2889</v>
      </c>
      <c r="I2243">
        <v>77</v>
      </c>
      <c r="J2243" t="s">
        <v>131</v>
      </c>
      <c r="K2243" t="s">
        <v>47</v>
      </c>
      <c r="L2243" t="s">
        <v>76</v>
      </c>
      <c r="M2243" t="s">
        <v>56</v>
      </c>
      <c r="N2243">
        <v>3.5</v>
      </c>
      <c r="O2243">
        <v>0</v>
      </c>
      <c r="P2243" t="s">
        <v>41</v>
      </c>
      <c r="Q2243" t="s">
        <v>155</v>
      </c>
      <c r="R2243" t="s">
        <v>155</v>
      </c>
      <c r="S2243">
        <v>3</v>
      </c>
      <c r="T2243" t="s">
        <v>78</v>
      </c>
      <c r="U2243" t="s">
        <v>79</v>
      </c>
      <c r="V2243" s="1">
        <v>45509</v>
      </c>
      <c r="W2243">
        <f>Table1[[#This Row],[customer_purchase count]]+1</f>
        <v>4</v>
      </c>
      <c r="X2243">
        <f>Table1[[#This Row],[customer_purchase count]]*Rules!$B$3</f>
        <v>179.29307692307694</v>
      </c>
      <c r="Y2243" t="str">
        <f>IF(Table1[[#This Row],[customer_subscription]]=1,"Subscribed","Not Subscribed")</f>
        <v>Not Subscribed</v>
      </c>
      <c r="Z2243" t="s">
        <v>194</v>
      </c>
    </row>
    <row r="2244" spans="1:26" x14ac:dyDescent="0.25">
      <c r="A2244">
        <v>2243</v>
      </c>
      <c r="B2244">
        <v>18</v>
      </c>
      <c r="C2244" t="s">
        <v>22</v>
      </c>
      <c r="D2244">
        <v>2243</v>
      </c>
      <c r="E2244" t="s">
        <v>90</v>
      </c>
      <c r="F2244" t="s">
        <v>24</v>
      </c>
      <c r="G2244">
        <v>2243</v>
      </c>
      <c r="H2244">
        <v>2890</v>
      </c>
      <c r="I2244">
        <v>66</v>
      </c>
      <c r="J2244" t="s">
        <v>110</v>
      </c>
      <c r="K2244" t="s">
        <v>47</v>
      </c>
      <c r="L2244" t="s">
        <v>124</v>
      </c>
      <c r="M2244" t="s">
        <v>40</v>
      </c>
      <c r="N2244">
        <v>3.8</v>
      </c>
      <c r="O2244">
        <v>0</v>
      </c>
      <c r="P2244" t="s">
        <v>48</v>
      </c>
      <c r="Q2244" t="s">
        <v>155</v>
      </c>
      <c r="R2244" t="s">
        <v>155</v>
      </c>
      <c r="S2244">
        <v>5</v>
      </c>
      <c r="T2244" t="s">
        <v>42</v>
      </c>
      <c r="U2244" t="s">
        <v>79</v>
      </c>
      <c r="V2244" s="1">
        <v>45403</v>
      </c>
      <c r="W2244">
        <f>Table1[[#This Row],[customer_purchase count]]+1</f>
        <v>6</v>
      </c>
      <c r="X2244">
        <f>Table1[[#This Row],[customer_purchase count]]*Rules!$B$3</f>
        <v>298.82179487179491</v>
      </c>
      <c r="Y2244" t="str">
        <f>IF(Table1[[#This Row],[customer_subscription]]=1,"Subscribed","Not Subscribed")</f>
        <v>Not Subscribed</v>
      </c>
      <c r="Z2244" t="s">
        <v>194</v>
      </c>
    </row>
    <row r="2245" spans="1:26" x14ac:dyDescent="0.25">
      <c r="A2245">
        <v>2244</v>
      </c>
      <c r="B2245">
        <v>56</v>
      </c>
      <c r="C2245" t="s">
        <v>22</v>
      </c>
      <c r="D2245">
        <v>2244</v>
      </c>
      <c r="E2245" t="s">
        <v>58</v>
      </c>
      <c r="F2245" t="s">
        <v>24</v>
      </c>
      <c r="G2245">
        <v>2244</v>
      </c>
      <c r="H2245">
        <v>2891</v>
      </c>
      <c r="I2245">
        <v>21</v>
      </c>
      <c r="J2245" t="s">
        <v>38</v>
      </c>
      <c r="K2245" t="s">
        <v>47</v>
      </c>
      <c r="L2245" t="s">
        <v>88</v>
      </c>
      <c r="M2245" t="s">
        <v>28</v>
      </c>
      <c r="N2245">
        <v>3.7</v>
      </c>
      <c r="O2245">
        <v>0</v>
      </c>
      <c r="P2245" t="s">
        <v>73</v>
      </c>
      <c r="Q2245" t="s">
        <v>155</v>
      </c>
      <c r="R2245" t="s">
        <v>155</v>
      </c>
      <c r="S2245">
        <v>13</v>
      </c>
      <c r="T2245" t="s">
        <v>89</v>
      </c>
      <c r="U2245" t="s">
        <v>52</v>
      </c>
      <c r="V2245" s="1">
        <v>45648</v>
      </c>
      <c r="W2245">
        <f>Table1[[#This Row],[customer_purchase count]]+1</f>
        <v>14</v>
      </c>
      <c r="X2245">
        <f>Table1[[#This Row],[customer_purchase count]]*Rules!$B$3</f>
        <v>776.93666666666672</v>
      </c>
      <c r="Y2245" t="str">
        <f>IF(Table1[[#This Row],[customer_subscription]]=1,"Subscribed","Not Subscribed")</f>
        <v>Not Subscribed</v>
      </c>
      <c r="Z2245" t="s">
        <v>194</v>
      </c>
    </row>
    <row r="2246" spans="1:26" x14ac:dyDescent="0.25">
      <c r="A2246">
        <v>2245</v>
      </c>
      <c r="B2246">
        <v>35</v>
      </c>
      <c r="C2246" t="s">
        <v>22</v>
      </c>
      <c r="D2246">
        <v>2245</v>
      </c>
      <c r="E2246" t="s">
        <v>62</v>
      </c>
      <c r="F2246" t="s">
        <v>24</v>
      </c>
      <c r="G2246">
        <v>2245</v>
      </c>
      <c r="H2246">
        <v>2893</v>
      </c>
      <c r="I2246">
        <v>37</v>
      </c>
      <c r="J2246" t="s">
        <v>134</v>
      </c>
      <c r="K2246" t="s">
        <v>47</v>
      </c>
      <c r="L2246" t="s">
        <v>83</v>
      </c>
      <c r="M2246" t="s">
        <v>56</v>
      </c>
      <c r="N2246">
        <v>4.8</v>
      </c>
      <c r="O2246">
        <v>0</v>
      </c>
      <c r="P2246" t="s">
        <v>73</v>
      </c>
      <c r="Q2246" t="s">
        <v>155</v>
      </c>
      <c r="R2246" t="s">
        <v>155</v>
      </c>
      <c r="S2246">
        <v>22</v>
      </c>
      <c r="T2246" t="s">
        <v>49</v>
      </c>
      <c r="U2246" t="s">
        <v>52</v>
      </c>
      <c r="V2246" s="1">
        <v>45476</v>
      </c>
      <c r="W2246">
        <f>Table1[[#This Row],[customer_purchase count]]+1</f>
        <v>23</v>
      </c>
      <c r="X2246">
        <f>Table1[[#This Row],[customer_purchase count]]*Rules!$B$3</f>
        <v>1314.8158974358976</v>
      </c>
      <c r="Y2246" t="str">
        <f>IF(Table1[[#This Row],[customer_subscription]]=1,"Subscribed","Not Subscribed")</f>
        <v>Not Subscribed</v>
      </c>
    </row>
    <row r="2247" spans="1:26" x14ac:dyDescent="0.25">
      <c r="A2247">
        <v>2246</v>
      </c>
      <c r="B2247">
        <v>49</v>
      </c>
      <c r="C2247" t="s">
        <v>22</v>
      </c>
      <c r="D2247">
        <v>2246</v>
      </c>
      <c r="E2247" t="s">
        <v>128</v>
      </c>
      <c r="F2247" t="s">
        <v>24</v>
      </c>
      <c r="G2247">
        <v>2246</v>
      </c>
      <c r="H2247">
        <v>2894</v>
      </c>
      <c r="I2247">
        <v>90</v>
      </c>
      <c r="J2247" t="s">
        <v>82</v>
      </c>
      <c r="K2247" t="s">
        <v>26</v>
      </c>
      <c r="L2247" t="s">
        <v>27</v>
      </c>
      <c r="M2247" t="s">
        <v>60</v>
      </c>
      <c r="N2247">
        <v>4.9000000000000004</v>
      </c>
      <c r="O2247">
        <v>0</v>
      </c>
      <c r="P2247" t="s">
        <v>41</v>
      </c>
      <c r="Q2247" t="s">
        <v>155</v>
      </c>
      <c r="R2247" t="s">
        <v>155</v>
      </c>
      <c r="S2247">
        <v>45</v>
      </c>
      <c r="T2247" t="s">
        <v>49</v>
      </c>
      <c r="U2247" t="s">
        <v>32</v>
      </c>
      <c r="V2247" s="1">
        <v>45571</v>
      </c>
      <c r="W2247">
        <f>Table1[[#This Row],[customer_purchase count]]+1</f>
        <v>46</v>
      </c>
      <c r="X2247">
        <f>Table1[[#This Row],[customer_purchase count]]*Rules!$B$3</f>
        <v>2689.396153846154</v>
      </c>
      <c r="Y2247" t="str">
        <f>IF(Table1[[#This Row],[customer_subscription]]=1,"Subscribed","Not Subscribed")</f>
        <v>Not Subscribed</v>
      </c>
    </row>
    <row r="2248" spans="1:26" x14ac:dyDescent="0.25">
      <c r="A2248">
        <v>2247</v>
      </c>
      <c r="B2248">
        <v>49</v>
      </c>
      <c r="C2248" t="s">
        <v>22</v>
      </c>
      <c r="D2248">
        <v>2247</v>
      </c>
      <c r="E2248" t="s">
        <v>105</v>
      </c>
      <c r="F2248" t="s">
        <v>66</v>
      </c>
      <c r="G2248">
        <v>2247</v>
      </c>
      <c r="H2248">
        <v>2895</v>
      </c>
      <c r="I2248">
        <v>96</v>
      </c>
      <c r="J2248" t="s">
        <v>80</v>
      </c>
      <c r="K2248" t="s">
        <v>47</v>
      </c>
      <c r="L2248" t="s">
        <v>112</v>
      </c>
      <c r="M2248" t="s">
        <v>60</v>
      </c>
      <c r="N2248">
        <v>4.3</v>
      </c>
      <c r="O2248">
        <v>0</v>
      </c>
      <c r="P2248" t="s">
        <v>77</v>
      </c>
      <c r="Q2248" t="s">
        <v>155</v>
      </c>
      <c r="R2248" t="s">
        <v>155</v>
      </c>
      <c r="S2248">
        <v>39</v>
      </c>
      <c r="T2248" t="s">
        <v>49</v>
      </c>
      <c r="U2248" t="s">
        <v>100</v>
      </c>
      <c r="V2248" s="1">
        <v>45540</v>
      </c>
      <c r="W2248">
        <f>Table1[[#This Row],[customer_purchase count]]+1</f>
        <v>40</v>
      </c>
      <c r="X2248">
        <f>Table1[[#This Row],[customer_purchase count]]*Rules!$B$3</f>
        <v>2330.81</v>
      </c>
      <c r="Y2248" t="str">
        <f>IF(Table1[[#This Row],[customer_subscription]]=1,"Subscribed","Not Subscribed")</f>
        <v>Not Subscribed</v>
      </c>
    </row>
    <row r="2249" spans="1:26" x14ac:dyDescent="0.25">
      <c r="A2249">
        <v>2248</v>
      </c>
      <c r="B2249">
        <v>34</v>
      </c>
      <c r="C2249" t="s">
        <v>22</v>
      </c>
      <c r="D2249">
        <v>2248</v>
      </c>
      <c r="E2249" t="s">
        <v>109</v>
      </c>
      <c r="F2249" t="s">
        <v>70</v>
      </c>
      <c r="G2249">
        <v>2248</v>
      </c>
      <c r="H2249">
        <v>2896</v>
      </c>
      <c r="I2249">
        <v>37</v>
      </c>
      <c r="J2249" t="s">
        <v>106</v>
      </c>
      <c r="K2249" t="s">
        <v>26</v>
      </c>
      <c r="L2249" t="s">
        <v>88</v>
      </c>
      <c r="M2249" t="s">
        <v>56</v>
      </c>
      <c r="N2249">
        <v>4.4000000000000004</v>
      </c>
      <c r="O2249">
        <v>0</v>
      </c>
      <c r="P2249" t="s">
        <v>48</v>
      </c>
      <c r="Q2249" t="s">
        <v>155</v>
      </c>
      <c r="R2249" t="s">
        <v>155</v>
      </c>
      <c r="S2249">
        <v>18</v>
      </c>
      <c r="T2249" t="s">
        <v>31</v>
      </c>
      <c r="U2249" t="s">
        <v>52</v>
      </c>
      <c r="V2249" s="1">
        <v>45515</v>
      </c>
      <c r="W2249">
        <f>Table1[[#This Row],[customer_purchase count]]+1</f>
        <v>19</v>
      </c>
      <c r="X2249">
        <f>Table1[[#This Row],[customer_purchase count]]*Rules!$B$3</f>
        <v>1075.7584615384617</v>
      </c>
      <c r="Y2249" t="str">
        <f>IF(Table1[[#This Row],[customer_subscription]]=1,"Subscribed","Not Subscribed")</f>
        <v>Not Subscribed</v>
      </c>
    </row>
    <row r="2250" spans="1:26" x14ac:dyDescent="0.25">
      <c r="A2250">
        <v>2249</v>
      </c>
      <c r="B2250">
        <v>63</v>
      </c>
      <c r="C2250" t="s">
        <v>22</v>
      </c>
      <c r="D2250">
        <v>2249</v>
      </c>
      <c r="E2250" t="s">
        <v>116</v>
      </c>
      <c r="F2250" t="s">
        <v>24</v>
      </c>
      <c r="G2250">
        <v>2249</v>
      </c>
      <c r="H2250">
        <v>2897</v>
      </c>
      <c r="I2250">
        <v>66</v>
      </c>
      <c r="J2250" t="s">
        <v>46</v>
      </c>
      <c r="K2250" t="s">
        <v>47</v>
      </c>
      <c r="L2250" t="s">
        <v>86</v>
      </c>
      <c r="M2250" t="s">
        <v>28</v>
      </c>
      <c r="N2250">
        <v>3.4</v>
      </c>
      <c r="O2250">
        <v>0</v>
      </c>
      <c r="P2250" t="s">
        <v>41</v>
      </c>
      <c r="Q2250" t="s">
        <v>155</v>
      </c>
      <c r="R2250" t="s">
        <v>155</v>
      </c>
      <c r="S2250">
        <v>19</v>
      </c>
      <c r="T2250" t="s">
        <v>49</v>
      </c>
      <c r="U2250" t="s">
        <v>32</v>
      </c>
      <c r="V2250" s="1">
        <v>45292</v>
      </c>
      <c r="W2250">
        <f>Table1[[#This Row],[customer_purchase count]]+1</f>
        <v>20</v>
      </c>
      <c r="X2250">
        <f>Table1[[#This Row],[customer_purchase count]]*Rules!$B$3</f>
        <v>1135.5228205128205</v>
      </c>
      <c r="Y2250" t="str">
        <f>IF(Table1[[#This Row],[customer_subscription]]=1,"Subscribed","Not Subscribed")</f>
        <v>Not Subscribed</v>
      </c>
    </row>
    <row r="2251" spans="1:26" x14ac:dyDescent="0.25">
      <c r="A2251">
        <v>2250</v>
      </c>
      <c r="B2251">
        <v>42</v>
      </c>
      <c r="C2251" t="s">
        <v>22</v>
      </c>
      <c r="D2251">
        <v>2250</v>
      </c>
      <c r="E2251" t="s">
        <v>146</v>
      </c>
      <c r="F2251" t="s">
        <v>70</v>
      </c>
      <c r="G2251">
        <v>2250</v>
      </c>
      <c r="H2251">
        <v>2899</v>
      </c>
      <c r="I2251">
        <v>45</v>
      </c>
      <c r="J2251" t="s">
        <v>54</v>
      </c>
      <c r="K2251" t="s">
        <v>95</v>
      </c>
      <c r="L2251" t="s">
        <v>129</v>
      </c>
      <c r="M2251" t="s">
        <v>40</v>
      </c>
      <c r="N2251">
        <v>4.3</v>
      </c>
      <c r="O2251">
        <v>0</v>
      </c>
      <c r="P2251" t="s">
        <v>48</v>
      </c>
      <c r="Q2251" t="s">
        <v>155</v>
      </c>
      <c r="R2251" t="s">
        <v>155</v>
      </c>
      <c r="S2251">
        <v>29</v>
      </c>
      <c r="T2251" t="s">
        <v>89</v>
      </c>
      <c r="U2251" t="s">
        <v>43</v>
      </c>
      <c r="V2251" s="1">
        <v>45431</v>
      </c>
      <c r="W2251">
        <f>Table1[[#This Row],[customer_purchase count]]+1</f>
        <v>30</v>
      </c>
      <c r="X2251">
        <f>Table1[[#This Row],[customer_purchase count]]*Rules!$B$3</f>
        <v>1733.1664102564102</v>
      </c>
      <c r="Y2251" t="str">
        <f>IF(Table1[[#This Row],[customer_subscription]]=1,"Subscribed","Not Subscribed")</f>
        <v>Not Subscribed</v>
      </c>
    </row>
    <row r="2252" spans="1:26" x14ac:dyDescent="0.25">
      <c r="A2252">
        <v>2251</v>
      </c>
      <c r="B2252">
        <v>41</v>
      </c>
      <c r="C2252" t="s">
        <v>22</v>
      </c>
      <c r="D2252">
        <v>2251</v>
      </c>
      <c r="E2252" t="s">
        <v>74</v>
      </c>
      <c r="F2252" t="s">
        <v>45</v>
      </c>
      <c r="G2252">
        <v>2251</v>
      </c>
      <c r="H2252">
        <v>2900</v>
      </c>
      <c r="I2252">
        <v>89</v>
      </c>
      <c r="J2252" t="s">
        <v>115</v>
      </c>
      <c r="K2252" t="s">
        <v>26</v>
      </c>
      <c r="L2252" t="s">
        <v>72</v>
      </c>
      <c r="M2252" t="s">
        <v>56</v>
      </c>
      <c r="N2252">
        <v>4.5999999999999996</v>
      </c>
      <c r="O2252">
        <v>0</v>
      </c>
      <c r="P2252" t="s">
        <v>77</v>
      </c>
      <c r="Q2252" t="s">
        <v>155</v>
      </c>
      <c r="R2252" t="s">
        <v>155</v>
      </c>
      <c r="S2252">
        <v>19</v>
      </c>
      <c r="T2252" t="s">
        <v>42</v>
      </c>
      <c r="U2252" t="s">
        <v>43</v>
      </c>
      <c r="V2252" s="1">
        <v>45452</v>
      </c>
      <c r="W2252">
        <f>Table1[[#This Row],[customer_purchase count]]+1</f>
        <v>20</v>
      </c>
      <c r="X2252">
        <f>Table1[[#This Row],[customer_purchase count]]*Rules!$B$3</f>
        <v>1135.5228205128205</v>
      </c>
      <c r="Y2252" t="str">
        <f>IF(Table1[[#This Row],[customer_subscription]]=1,"Subscribed","Not Subscribed")</f>
        <v>Not Subscribed</v>
      </c>
    </row>
    <row r="2253" spans="1:26" x14ac:dyDescent="0.25">
      <c r="A2253">
        <v>2252</v>
      </c>
      <c r="B2253">
        <v>26</v>
      </c>
      <c r="C2253" t="s">
        <v>22</v>
      </c>
      <c r="D2253">
        <v>2252</v>
      </c>
      <c r="E2253" t="s">
        <v>74</v>
      </c>
      <c r="F2253" t="s">
        <v>45</v>
      </c>
      <c r="G2253">
        <v>2252</v>
      </c>
      <c r="H2253">
        <v>2901</v>
      </c>
      <c r="I2253">
        <v>94</v>
      </c>
      <c r="J2253" t="s">
        <v>144</v>
      </c>
      <c r="K2253" t="s">
        <v>26</v>
      </c>
      <c r="L2253" t="s">
        <v>83</v>
      </c>
      <c r="M2253" t="s">
        <v>60</v>
      </c>
      <c r="N2253">
        <v>3.8</v>
      </c>
      <c r="O2253">
        <v>0</v>
      </c>
      <c r="P2253" t="s">
        <v>41</v>
      </c>
      <c r="Q2253" t="s">
        <v>155</v>
      </c>
      <c r="R2253" t="s">
        <v>155</v>
      </c>
      <c r="S2253">
        <v>22</v>
      </c>
      <c r="T2253" t="s">
        <v>89</v>
      </c>
      <c r="U2253" t="s">
        <v>91</v>
      </c>
      <c r="V2253" s="1">
        <v>45618</v>
      </c>
      <c r="W2253">
        <f>Table1[[#This Row],[customer_purchase count]]+1</f>
        <v>23</v>
      </c>
      <c r="X2253">
        <f>Table1[[#This Row],[customer_purchase count]]*Rules!$B$3</f>
        <v>1314.8158974358976</v>
      </c>
      <c r="Y2253" t="str">
        <f>IF(Table1[[#This Row],[customer_subscription]]=1,"Subscribed","Not Subscribed")</f>
        <v>Not Subscribed</v>
      </c>
    </row>
    <row r="2254" spans="1:26" x14ac:dyDescent="0.25">
      <c r="A2254">
        <v>2253</v>
      </c>
      <c r="B2254">
        <v>48</v>
      </c>
      <c r="C2254" t="s">
        <v>22</v>
      </c>
      <c r="D2254">
        <v>2253</v>
      </c>
      <c r="E2254" t="s">
        <v>74</v>
      </c>
      <c r="F2254" t="s">
        <v>45</v>
      </c>
      <c r="G2254">
        <v>2253</v>
      </c>
      <c r="H2254">
        <v>2902</v>
      </c>
      <c r="I2254">
        <v>96</v>
      </c>
      <c r="J2254" t="s">
        <v>148</v>
      </c>
      <c r="K2254" t="s">
        <v>39</v>
      </c>
      <c r="L2254" t="s">
        <v>35</v>
      </c>
      <c r="M2254" t="s">
        <v>56</v>
      </c>
      <c r="N2254">
        <v>3.9</v>
      </c>
      <c r="O2254">
        <v>0</v>
      </c>
      <c r="P2254" t="s">
        <v>29</v>
      </c>
      <c r="Q2254" t="s">
        <v>155</v>
      </c>
      <c r="R2254" t="s">
        <v>155</v>
      </c>
      <c r="S2254">
        <v>21</v>
      </c>
      <c r="T2254" t="s">
        <v>78</v>
      </c>
      <c r="U2254" t="s">
        <v>52</v>
      </c>
      <c r="V2254" s="1">
        <v>45520</v>
      </c>
      <c r="W2254">
        <f>Table1[[#This Row],[customer_purchase count]]+1</f>
        <v>22</v>
      </c>
      <c r="X2254">
        <f>Table1[[#This Row],[customer_purchase count]]*Rules!$B$3</f>
        <v>1255.0515384615385</v>
      </c>
      <c r="Y2254" t="str">
        <f>IF(Table1[[#This Row],[customer_subscription]]=1,"Subscribed","Not Subscribed")</f>
        <v>Not Subscribed</v>
      </c>
    </row>
    <row r="2255" spans="1:26" x14ac:dyDescent="0.25">
      <c r="A2255">
        <v>2254</v>
      </c>
      <c r="B2255">
        <v>62</v>
      </c>
      <c r="C2255" t="s">
        <v>22</v>
      </c>
      <c r="D2255">
        <v>2254</v>
      </c>
      <c r="E2255" t="s">
        <v>107</v>
      </c>
      <c r="F2255" t="s">
        <v>24</v>
      </c>
      <c r="G2255">
        <v>2254</v>
      </c>
      <c r="H2255">
        <v>2903</v>
      </c>
      <c r="I2255">
        <v>31</v>
      </c>
      <c r="J2255" t="s">
        <v>104</v>
      </c>
      <c r="K2255" t="s">
        <v>47</v>
      </c>
      <c r="L2255" t="s">
        <v>113</v>
      </c>
      <c r="M2255" t="s">
        <v>40</v>
      </c>
      <c r="N2255">
        <v>2.6</v>
      </c>
      <c r="O2255">
        <v>0</v>
      </c>
      <c r="P2255" t="s">
        <v>77</v>
      </c>
      <c r="Q2255" t="s">
        <v>155</v>
      </c>
      <c r="R2255" t="s">
        <v>155</v>
      </c>
      <c r="S2255">
        <v>22</v>
      </c>
      <c r="T2255" t="s">
        <v>49</v>
      </c>
      <c r="U2255" t="s">
        <v>91</v>
      </c>
      <c r="V2255" s="1">
        <v>45418</v>
      </c>
      <c r="W2255">
        <f>Table1[[#This Row],[customer_purchase count]]+1</f>
        <v>23</v>
      </c>
      <c r="X2255">
        <f>Table1[[#This Row],[customer_purchase count]]*Rules!$B$3</f>
        <v>1314.8158974358976</v>
      </c>
      <c r="Y2255" t="str">
        <f>IF(Table1[[#This Row],[customer_subscription]]=1,"Subscribed","Not Subscribed")</f>
        <v>Not Subscribed</v>
      </c>
    </row>
    <row r="2256" spans="1:26" x14ac:dyDescent="0.25">
      <c r="A2256">
        <v>2255</v>
      </c>
      <c r="B2256">
        <v>24</v>
      </c>
      <c r="C2256" t="s">
        <v>22</v>
      </c>
      <c r="D2256">
        <v>2255</v>
      </c>
      <c r="E2256" t="s">
        <v>136</v>
      </c>
      <c r="F2256" t="s">
        <v>70</v>
      </c>
      <c r="G2256">
        <v>2255</v>
      </c>
      <c r="H2256">
        <v>2905</v>
      </c>
      <c r="I2256">
        <v>79</v>
      </c>
      <c r="J2256" t="s">
        <v>117</v>
      </c>
      <c r="K2256" t="s">
        <v>47</v>
      </c>
      <c r="L2256" t="s">
        <v>83</v>
      </c>
      <c r="M2256" t="s">
        <v>28</v>
      </c>
      <c r="N2256">
        <v>4.2</v>
      </c>
      <c r="O2256">
        <v>0</v>
      </c>
      <c r="P2256" t="s">
        <v>77</v>
      </c>
      <c r="Q2256" t="s">
        <v>155</v>
      </c>
      <c r="R2256" t="s">
        <v>155</v>
      </c>
      <c r="S2256">
        <v>44</v>
      </c>
      <c r="T2256" t="s">
        <v>49</v>
      </c>
      <c r="U2256" t="s">
        <v>100</v>
      </c>
      <c r="V2256" s="1">
        <v>45330</v>
      </c>
      <c r="W2256">
        <f>Table1[[#This Row],[customer_purchase count]]+1</f>
        <v>45</v>
      </c>
      <c r="X2256">
        <f>Table1[[#This Row],[customer_purchase count]]*Rules!$B$3</f>
        <v>2629.6317948717951</v>
      </c>
      <c r="Y2256" t="str">
        <f>IF(Table1[[#This Row],[customer_subscription]]=1,"Subscribed","Not Subscribed")</f>
        <v>Not Subscribed</v>
      </c>
    </row>
    <row r="2257" spans="1:26" x14ac:dyDescent="0.25">
      <c r="A2257">
        <v>2256</v>
      </c>
      <c r="B2257">
        <v>48</v>
      </c>
      <c r="C2257" t="s">
        <v>22</v>
      </c>
      <c r="D2257">
        <v>2256</v>
      </c>
      <c r="E2257" t="s">
        <v>65</v>
      </c>
      <c r="F2257" t="s">
        <v>66</v>
      </c>
      <c r="G2257">
        <v>2256</v>
      </c>
      <c r="H2257">
        <v>2906</v>
      </c>
      <c r="I2257">
        <v>39</v>
      </c>
      <c r="J2257" t="s">
        <v>154</v>
      </c>
      <c r="K2257" t="s">
        <v>26</v>
      </c>
      <c r="L2257" t="s">
        <v>88</v>
      </c>
      <c r="M2257" t="s">
        <v>40</v>
      </c>
      <c r="N2257">
        <v>4.5999999999999996</v>
      </c>
      <c r="O2257">
        <v>0</v>
      </c>
      <c r="P2257" t="s">
        <v>77</v>
      </c>
      <c r="Q2257" t="s">
        <v>155</v>
      </c>
      <c r="R2257" t="s">
        <v>155</v>
      </c>
      <c r="S2257">
        <v>42</v>
      </c>
      <c r="T2257" t="s">
        <v>78</v>
      </c>
      <c r="U2257" t="s">
        <v>61</v>
      </c>
      <c r="V2257" s="1">
        <v>45395</v>
      </c>
      <c r="W2257">
        <f>Table1[[#This Row],[customer_purchase count]]+1</f>
        <v>43</v>
      </c>
      <c r="X2257">
        <f>Table1[[#This Row],[customer_purchase count]]*Rules!$B$3</f>
        <v>2510.103076923077</v>
      </c>
      <c r="Y2257" t="str">
        <f>IF(Table1[[#This Row],[customer_subscription]]=1,"Subscribed","Not Subscribed")</f>
        <v>Not Subscribed</v>
      </c>
    </row>
    <row r="2258" spans="1:26" x14ac:dyDescent="0.25">
      <c r="A2258">
        <v>2257</v>
      </c>
      <c r="B2258">
        <v>31</v>
      </c>
      <c r="C2258" t="s">
        <v>22</v>
      </c>
      <c r="D2258">
        <v>2257</v>
      </c>
      <c r="E2258" t="s">
        <v>23</v>
      </c>
      <c r="F2258" t="s">
        <v>24</v>
      </c>
      <c r="G2258">
        <v>2257</v>
      </c>
      <c r="H2258">
        <v>2907</v>
      </c>
      <c r="I2258">
        <v>22</v>
      </c>
      <c r="J2258" t="s">
        <v>102</v>
      </c>
      <c r="K2258" t="s">
        <v>47</v>
      </c>
      <c r="L2258" t="s">
        <v>51</v>
      </c>
      <c r="M2258" t="s">
        <v>60</v>
      </c>
      <c r="N2258">
        <v>5</v>
      </c>
      <c r="O2258">
        <v>0</v>
      </c>
      <c r="P2258" t="s">
        <v>57</v>
      </c>
      <c r="Q2258" t="s">
        <v>155</v>
      </c>
      <c r="R2258" t="s">
        <v>155</v>
      </c>
      <c r="S2258">
        <v>33</v>
      </c>
      <c r="T2258" t="s">
        <v>42</v>
      </c>
      <c r="U2258" t="s">
        <v>61</v>
      </c>
      <c r="V2258" s="1">
        <v>45583</v>
      </c>
      <c r="W2258">
        <f>Table1[[#This Row],[customer_purchase count]]+1</f>
        <v>34</v>
      </c>
      <c r="X2258">
        <f>Table1[[#This Row],[customer_purchase count]]*Rules!$B$3</f>
        <v>1972.2238461538464</v>
      </c>
      <c r="Y2258" t="str">
        <f>IF(Table1[[#This Row],[customer_subscription]]=1,"Subscribed","Not Subscribed")</f>
        <v>Not Subscribed</v>
      </c>
    </row>
    <row r="2259" spans="1:26" x14ac:dyDescent="0.25">
      <c r="A2259">
        <v>2258</v>
      </c>
      <c r="B2259">
        <v>41</v>
      </c>
      <c r="C2259" t="s">
        <v>22</v>
      </c>
      <c r="D2259">
        <v>2258</v>
      </c>
      <c r="E2259" t="s">
        <v>90</v>
      </c>
      <c r="F2259" t="s">
        <v>24</v>
      </c>
      <c r="G2259">
        <v>2258</v>
      </c>
      <c r="H2259">
        <v>2908</v>
      </c>
      <c r="I2259">
        <v>32</v>
      </c>
      <c r="J2259" t="s">
        <v>125</v>
      </c>
      <c r="K2259" t="s">
        <v>26</v>
      </c>
      <c r="L2259" t="s">
        <v>81</v>
      </c>
      <c r="M2259" t="s">
        <v>60</v>
      </c>
      <c r="N2259">
        <v>4.2</v>
      </c>
      <c r="O2259">
        <v>0</v>
      </c>
      <c r="P2259" t="s">
        <v>57</v>
      </c>
      <c r="Q2259" t="s">
        <v>155</v>
      </c>
      <c r="R2259" t="s">
        <v>155</v>
      </c>
      <c r="S2259">
        <v>6</v>
      </c>
      <c r="T2259" t="s">
        <v>78</v>
      </c>
      <c r="U2259" t="s">
        <v>52</v>
      </c>
      <c r="V2259" s="1">
        <v>45538</v>
      </c>
      <c r="W2259">
        <f>Table1[[#This Row],[customer_purchase count]]+1</f>
        <v>7</v>
      </c>
      <c r="X2259">
        <f>Table1[[#This Row],[customer_purchase count]]*Rules!$B$3</f>
        <v>358.58615384615388</v>
      </c>
      <c r="Y2259" t="str">
        <f>IF(Table1[[#This Row],[customer_subscription]]=1,"Subscribed","Not Subscribed")</f>
        <v>Not Subscribed</v>
      </c>
      <c r="Z2259" t="s">
        <v>194</v>
      </c>
    </row>
    <row r="2260" spans="1:26" x14ac:dyDescent="0.25">
      <c r="A2260">
        <v>2259</v>
      </c>
      <c r="B2260">
        <v>24</v>
      </c>
      <c r="C2260" t="s">
        <v>22</v>
      </c>
      <c r="D2260">
        <v>2259</v>
      </c>
      <c r="E2260" t="s">
        <v>116</v>
      </c>
      <c r="F2260" t="s">
        <v>24</v>
      </c>
      <c r="G2260">
        <v>2259</v>
      </c>
      <c r="H2260">
        <v>2909</v>
      </c>
      <c r="I2260">
        <v>71</v>
      </c>
      <c r="J2260" t="s">
        <v>126</v>
      </c>
      <c r="K2260" t="s">
        <v>26</v>
      </c>
      <c r="L2260" t="s">
        <v>112</v>
      </c>
      <c r="M2260" t="s">
        <v>28</v>
      </c>
      <c r="N2260">
        <v>4.3</v>
      </c>
      <c r="O2260">
        <v>0</v>
      </c>
      <c r="P2260" t="s">
        <v>77</v>
      </c>
      <c r="Q2260" t="s">
        <v>155</v>
      </c>
      <c r="R2260" t="s">
        <v>155</v>
      </c>
      <c r="S2260">
        <v>44</v>
      </c>
      <c r="T2260" t="s">
        <v>42</v>
      </c>
      <c r="U2260" t="s">
        <v>100</v>
      </c>
      <c r="V2260" s="1">
        <v>45315</v>
      </c>
      <c r="W2260">
        <f>Table1[[#This Row],[customer_purchase count]]+1</f>
        <v>45</v>
      </c>
      <c r="X2260">
        <f>Table1[[#This Row],[customer_purchase count]]*Rules!$B$3</f>
        <v>2629.6317948717951</v>
      </c>
      <c r="Y2260" t="str">
        <f>IF(Table1[[#This Row],[customer_subscription]]=1,"Subscribed","Not Subscribed")</f>
        <v>Not Subscribed</v>
      </c>
    </row>
    <row r="2261" spans="1:26" x14ac:dyDescent="0.25">
      <c r="A2261">
        <v>2260</v>
      </c>
      <c r="B2261">
        <v>60</v>
      </c>
      <c r="C2261" t="s">
        <v>22</v>
      </c>
      <c r="D2261">
        <v>2260</v>
      </c>
      <c r="E2261" t="s">
        <v>37</v>
      </c>
      <c r="F2261" t="s">
        <v>24</v>
      </c>
      <c r="G2261">
        <v>2260</v>
      </c>
      <c r="H2261">
        <v>2911</v>
      </c>
      <c r="I2261">
        <v>96</v>
      </c>
      <c r="J2261" t="s">
        <v>106</v>
      </c>
      <c r="K2261" t="s">
        <v>95</v>
      </c>
      <c r="L2261" t="s">
        <v>121</v>
      </c>
      <c r="M2261" t="s">
        <v>40</v>
      </c>
      <c r="N2261">
        <v>3.3</v>
      </c>
      <c r="O2261">
        <v>0</v>
      </c>
      <c r="P2261" t="s">
        <v>41</v>
      </c>
      <c r="Q2261" t="s">
        <v>155</v>
      </c>
      <c r="R2261" t="s">
        <v>155</v>
      </c>
      <c r="S2261">
        <v>24</v>
      </c>
      <c r="T2261" t="s">
        <v>36</v>
      </c>
      <c r="U2261" t="s">
        <v>52</v>
      </c>
      <c r="V2261" s="1">
        <v>45417</v>
      </c>
      <c r="W2261">
        <f>Table1[[#This Row],[customer_purchase count]]+1</f>
        <v>25</v>
      </c>
      <c r="X2261">
        <f>Table1[[#This Row],[customer_purchase count]]*Rules!$B$3</f>
        <v>1434.3446153846155</v>
      </c>
      <c r="Y2261" t="str">
        <f>IF(Table1[[#This Row],[customer_subscription]]=1,"Subscribed","Not Subscribed")</f>
        <v>Not Subscribed</v>
      </c>
    </row>
    <row r="2262" spans="1:26" x14ac:dyDescent="0.25">
      <c r="A2262">
        <v>2261</v>
      </c>
      <c r="B2262">
        <v>38</v>
      </c>
      <c r="C2262" t="s">
        <v>22</v>
      </c>
      <c r="D2262">
        <v>2261</v>
      </c>
      <c r="E2262" t="s">
        <v>122</v>
      </c>
      <c r="F2262" t="s">
        <v>70</v>
      </c>
      <c r="G2262">
        <v>2261</v>
      </c>
      <c r="H2262">
        <v>2912</v>
      </c>
      <c r="I2262">
        <v>82</v>
      </c>
      <c r="J2262" t="s">
        <v>71</v>
      </c>
      <c r="K2262" t="s">
        <v>47</v>
      </c>
      <c r="L2262" t="s">
        <v>147</v>
      </c>
      <c r="M2262" t="s">
        <v>60</v>
      </c>
      <c r="N2262">
        <v>4.9000000000000004</v>
      </c>
      <c r="O2262">
        <v>0</v>
      </c>
      <c r="P2262" t="s">
        <v>29</v>
      </c>
      <c r="Q2262" t="s">
        <v>155</v>
      </c>
      <c r="R2262" t="s">
        <v>155</v>
      </c>
      <c r="S2262">
        <v>16</v>
      </c>
      <c r="T2262" t="s">
        <v>49</v>
      </c>
      <c r="U2262" t="s">
        <v>61</v>
      </c>
      <c r="V2262" s="1">
        <v>45587</v>
      </c>
      <c r="W2262">
        <f>Table1[[#This Row],[customer_purchase count]]+1</f>
        <v>17</v>
      </c>
      <c r="X2262">
        <f>Table1[[#This Row],[customer_purchase count]]*Rules!$B$3</f>
        <v>956.22974358974363</v>
      </c>
      <c r="Y2262" t="str">
        <f>IF(Table1[[#This Row],[customer_subscription]]=1,"Subscribed","Not Subscribed")</f>
        <v>Not Subscribed</v>
      </c>
      <c r="Z2262" t="s">
        <v>194</v>
      </c>
    </row>
    <row r="2263" spans="1:26" x14ac:dyDescent="0.25">
      <c r="A2263">
        <v>2262</v>
      </c>
      <c r="B2263">
        <v>58</v>
      </c>
      <c r="C2263" t="s">
        <v>22</v>
      </c>
      <c r="D2263">
        <v>2262</v>
      </c>
      <c r="E2263" t="s">
        <v>135</v>
      </c>
      <c r="F2263" t="s">
        <v>70</v>
      </c>
      <c r="G2263">
        <v>2262</v>
      </c>
      <c r="H2263">
        <v>2913</v>
      </c>
      <c r="I2263">
        <v>76</v>
      </c>
      <c r="J2263" t="s">
        <v>134</v>
      </c>
      <c r="K2263" t="s">
        <v>26</v>
      </c>
      <c r="L2263" t="s">
        <v>83</v>
      </c>
      <c r="M2263" t="s">
        <v>40</v>
      </c>
      <c r="N2263">
        <v>4.4000000000000004</v>
      </c>
      <c r="O2263">
        <v>0</v>
      </c>
      <c r="P2263" t="s">
        <v>57</v>
      </c>
      <c r="Q2263" t="s">
        <v>155</v>
      </c>
      <c r="R2263" t="s">
        <v>155</v>
      </c>
      <c r="S2263">
        <v>12</v>
      </c>
      <c r="T2263" t="s">
        <v>78</v>
      </c>
      <c r="U2263" t="s">
        <v>32</v>
      </c>
      <c r="V2263" s="1">
        <v>45390</v>
      </c>
      <c r="W2263">
        <f>Table1[[#This Row],[customer_purchase count]]+1</f>
        <v>13</v>
      </c>
      <c r="X2263">
        <f>Table1[[#This Row],[customer_purchase count]]*Rules!$B$3</f>
        <v>717.17230769230775</v>
      </c>
      <c r="Y2263" t="str">
        <f>IF(Table1[[#This Row],[customer_subscription]]=1,"Subscribed","Not Subscribed")</f>
        <v>Not Subscribed</v>
      </c>
      <c r="Z2263" t="s">
        <v>194</v>
      </c>
    </row>
    <row r="2264" spans="1:26" x14ac:dyDescent="0.25">
      <c r="A2264">
        <v>2263</v>
      </c>
      <c r="B2264">
        <v>53</v>
      </c>
      <c r="C2264" t="s">
        <v>22</v>
      </c>
      <c r="D2264">
        <v>2263</v>
      </c>
      <c r="E2264" t="s">
        <v>135</v>
      </c>
      <c r="F2264" t="s">
        <v>70</v>
      </c>
      <c r="G2264">
        <v>2263</v>
      </c>
      <c r="H2264">
        <v>2914</v>
      </c>
      <c r="I2264">
        <v>22</v>
      </c>
      <c r="J2264" t="s">
        <v>120</v>
      </c>
      <c r="K2264" t="s">
        <v>47</v>
      </c>
      <c r="L2264" t="s">
        <v>99</v>
      </c>
      <c r="M2264" t="s">
        <v>28</v>
      </c>
      <c r="N2264">
        <v>3.1</v>
      </c>
      <c r="O2264">
        <v>0</v>
      </c>
      <c r="P2264" t="s">
        <v>73</v>
      </c>
      <c r="Q2264" t="s">
        <v>155</v>
      </c>
      <c r="R2264" t="s">
        <v>155</v>
      </c>
      <c r="S2264">
        <v>50</v>
      </c>
      <c r="T2264" t="s">
        <v>49</v>
      </c>
      <c r="U2264" t="s">
        <v>91</v>
      </c>
      <c r="V2264" s="1">
        <v>45331</v>
      </c>
      <c r="W2264">
        <f>Table1[[#This Row],[customer_purchase count]]+1</f>
        <v>51</v>
      </c>
      <c r="X2264">
        <f>Table1[[#This Row],[customer_purchase count]]*Rules!$B$3</f>
        <v>2988.2179487179487</v>
      </c>
      <c r="Y2264" t="str">
        <f>IF(Table1[[#This Row],[customer_subscription]]=1,"Subscribed","Not Subscribed")</f>
        <v>Not Subscribed</v>
      </c>
    </row>
    <row r="2265" spans="1:26" x14ac:dyDescent="0.25">
      <c r="A2265">
        <v>2264</v>
      </c>
      <c r="B2265">
        <v>44</v>
      </c>
      <c r="C2265" t="s">
        <v>22</v>
      </c>
      <c r="D2265">
        <v>2264</v>
      </c>
      <c r="E2265" t="s">
        <v>122</v>
      </c>
      <c r="F2265" t="s">
        <v>70</v>
      </c>
      <c r="G2265">
        <v>2264</v>
      </c>
      <c r="H2265">
        <v>2915</v>
      </c>
      <c r="I2265">
        <v>40</v>
      </c>
      <c r="J2265" t="s">
        <v>119</v>
      </c>
      <c r="K2265" t="s">
        <v>95</v>
      </c>
      <c r="L2265" t="s">
        <v>99</v>
      </c>
      <c r="M2265" t="s">
        <v>28</v>
      </c>
      <c r="N2265">
        <v>3.5</v>
      </c>
      <c r="O2265">
        <v>0</v>
      </c>
      <c r="P2265" t="s">
        <v>77</v>
      </c>
      <c r="Q2265" t="s">
        <v>155</v>
      </c>
      <c r="R2265" t="s">
        <v>155</v>
      </c>
      <c r="S2265">
        <v>42</v>
      </c>
      <c r="T2265" t="s">
        <v>36</v>
      </c>
      <c r="U2265" t="s">
        <v>61</v>
      </c>
      <c r="V2265" s="1">
        <v>45642</v>
      </c>
      <c r="W2265">
        <f>Table1[[#This Row],[customer_purchase count]]+1</f>
        <v>43</v>
      </c>
      <c r="X2265">
        <f>Table1[[#This Row],[customer_purchase count]]*Rules!$B$3</f>
        <v>2510.103076923077</v>
      </c>
      <c r="Y2265" t="str">
        <f>IF(Table1[[#This Row],[customer_subscription]]=1,"Subscribed","Not Subscribed")</f>
        <v>Not Subscribed</v>
      </c>
    </row>
    <row r="2266" spans="1:26" x14ac:dyDescent="0.25">
      <c r="A2266">
        <v>2265</v>
      </c>
      <c r="B2266">
        <v>51</v>
      </c>
      <c r="C2266" t="s">
        <v>22</v>
      </c>
      <c r="D2266">
        <v>2265</v>
      </c>
      <c r="E2266" t="s">
        <v>127</v>
      </c>
      <c r="F2266" t="s">
        <v>70</v>
      </c>
      <c r="G2266">
        <v>2265</v>
      </c>
      <c r="H2266">
        <v>2917</v>
      </c>
      <c r="I2266">
        <v>92</v>
      </c>
      <c r="J2266" t="s">
        <v>117</v>
      </c>
      <c r="K2266" t="s">
        <v>47</v>
      </c>
      <c r="L2266" t="s">
        <v>51</v>
      </c>
      <c r="M2266" t="s">
        <v>56</v>
      </c>
      <c r="N2266">
        <v>3.9</v>
      </c>
      <c r="O2266">
        <v>0</v>
      </c>
      <c r="P2266" t="s">
        <v>73</v>
      </c>
      <c r="Q2266" t="s">
        <v>155</v>
      </c>
      <c r="R2266" t="s">
        <v>155</v>
      </c>
      <c r="S2266">
        <v>50</v>
      </c>
      <c r="T2266" t="s">
        <v>49</v>
      </c>
      <c r="U2266" t="s">
        <v>91</v>
      </c>
      <c r="V2266" s="1">
        <v>45516</v>
      </c>
      <c r="W2266">
        <f>Table1[[#This Row],[customer_purchase count]]+1</f>
        <v>51</v>
      </c>
      <c r="X2266">
        <f>Table1[[#This Row],[customer_purchase count]]*Rules!$B$3</f>
        <v>2988.2179487179487</v>
      </c>
      <c r="Y2266" t="str">
        <f>IF(Table1[[#This Row],[customer_subscription]]=1,"Subscribed","Not Subscribed")</f>
        <v>Not Subscribed</v>
      </c>
    </row>
    <row r="2267" spans="1:26" x14ac:dyDescent="0.25">
      <c r="A2267">
        <v>2266</v>
      </c>
      <c r="B2267">
        <v>36</v>
      </c>
      <c r="C2267" t="s">
        <v>22</v>
      </c>
      <c r="D2267">
        <v>2266</v>
      </c>
      <c r="E2267" t="s">
        <v>65</v>
      </c>
      <c r="F2267" t="s">
        <v>66</v>
      </c>
      <c r="G2267">
        <v>2266</v>
      </c>
      <c r="H2267">
        <v>2918</v>
      </c>
      <c r="I2267">
        <v>94</v>
      </c>
      <c r="J2267" t="s">
        <v>59</v>
      </c>
      <c r="K2267" t="s">
        <v>95</v>
      </c>
      <c r="L2267" t="s">
        <v>137</v>
      </c>
      <c r="M2267" t="s">
        <v>60</v>
      </c>
      <c r="N2267">
        <v>3.9</v>
      </c>
      <c r="O2267">
        <v>0</v>
      </c>
      <c r="P2267" t="s">
        <v>77</v>
      </c>
      <c r="Q2267" t="s">
        <v>155</v>
      </c>
      <c r="R2267" t="s">
        <v>155</v>
      </c>
      <c r="S2267">
        <v>10</v>
      </c>
      <c r="T2267" t="s">
        <v>49</v>
      </c>
      <c r="U2267" t="s">
        <v>61</v>
      </c>
      <c r="V2267" s="1">
        <v>45568</v>
      </c>
      <c r="W2267">
        <f>Table1[[#This Row],[customer_purchase count]]+1</f>
        <v>11</v>
      </c>
      <c r="X2267">
        <f>Table1[[#This Row],[customer_purchase count]]*Rules!$B$3</f>
        <v>597.64358974358981</v>
      </c>
      <c r="Y2267" t="str">
        <f>IF(Table1[[#This Row],[customer_subscription]]=1,"Subscribed","Not Subscribed")</f>
        <v>Not Subscribed</v>
      </c>
      <c r="Z2267" t="s">
        <v>194</v>
      </c>
    </row>
    <row r="2268" spans="1:26" x14ac:dyDescent="0.25">
      <c r="A2268">
        <v>2267</v>
      </c>
      <c r="B2268">
        <v>20</v>
      </c>
      <c r="C2268" t="s">
        <v>22</v>
      </c>
      <c r="D2268">
        <v>2267</v>
      </c>
      <c r="E2268" t="s">
        <v>84</v>
      </c>
      <c r="F2268" t="s">
        <v>24</v>
      </c>
      <c r="G2268">
        <v>2267</v>
      </c>
      <c r="H2268">
        <v>2919</v>
      </c>
      <c r="I2268">
        <v>44</v>
      </c>
      <c r="J2268" t="s">
        <v>71</v>
      </c>
      <c r="K2268" t="s">
        <v>47</v>
      </c>
      <c r="L2268" t="s">
        <v>137</v>
      </c>
      <c r="M2268" t="s">
        <v>60</v>
      </c>
      <c r="N2268">
        <v>4.3</v>
      </c>
      <c r="O2268">
        <v>0</v>
      </c>
      <c r="P2268" t="s">
        <v>77</v>
      </c>
      <c r="Q2268" t="s">
        <v>155</v>
      </c>
      <c r="R2268" t="s">
        <v>155</v>
      </c>
      <c r="S2268">
        <v>32</v>
      </c>
      <c r="T2268" t="s">
        <v>89</v>
      </c>
      <c r="U2268" t="s">
        <v>43</v>
      </c>
      <c r="V2268" s="1">
        <v>45587</v>
      </c>
      <c r="W2268">
        <f>Table1[[#This Row],[customer_purchase count]]+1</f>
        <v>33</v>
      </c>
      <c r="X2268">
        <f>Table1[[#This Row],[customer_purchase count]]*Rules!$B$3</f>
        <v>1912.4594871794873</v>
      </c>
      <c r="Y2268" t="str">
        <f>IF(Table1[[#This Row],[customer_subscription]]=1,"Subscribed","Not Subscribed")</f>
        <v>Not Subscribed</v>
      </c>
    </row>
    <row r="2269" spans="1:26" x14ac:dyDescent="0.25">
      <c r="A2269">
        <v>2268</v>
      </c>
      <c r="B2269">
        <v>32</v>
      </c>
      <c r="C2269" t="s">
        <v>22</v>
      </c>
      <c r="D2269">
        <v>2268</v>
      </c>
      <c r="E2269" t="s">
        <v>146</v>
      </c>
      <c r="F2269" t="s">
        <v>70</v>
      </c>
      <c r="G2269">
        <v>2268</v>
      </c>
      <c r="H2269">
        <v>2920</v>
      </c>
      <c r="I2269">
        <v>49</v>
      </c>
      <c r="J2269" t="s">
        <v>25</v>
      </c>
      <c r="K2269" t="s">
        <v>39</v>
      </c>
      <c r="L2269" t="s">
        <v>147</v>
      </c>
      <c r="M2269" t="s">
        <v>40</v>
      </c>
      <c r="N2269">
        <v>3.8</v>
      </c>
      <c r="O2269">
        <v>0</v>
      </c>
      <c r="P2269" t="s">
        <v>29</v>
      </c>
      <c r="Q2269" t="s">
        <v>155</v>
      </c>
      <c r="R2269" t="s">
        <v>155</v>
      </c>
      <c r="S2269">
        <v>37</v>
      </c>
      <c r="T2269" t="s">
        <v>31</v>
      </c>
      <c r="U2269" t="s">
        <v>43</v>
      </c>
      <c r="V2269" s="1">
        <v>45390</v>
      </c>
      <c r="W2269">
        <f>Table1[[#This Row],[customer_purchase count]]+1</f>
        <v>38</v>
      </c>
      <c r="X2269">
        <f>Table1[[#This Row],[customer_purchase count]]*Rules!$B$3</f>
        <v>2211.2812820512822</v>
      </c>
      <c r="Y2269" t="str">
        <f>IF(Table1[[#This Row],[customer_subscription]]=1,"Subscribed","Not Subscribed")</f>
        <v>Not Subscribed</v>
      </c>
    </row>
    <row r="2270" spans="1:26" x14ac:dyDescent="0.25">
      <c r="A2270">
        <v>2269</v>
      </c>
      <c r="B2270">
        <v>66</v>
      </c>
      <c r="C2270" t="s">
        <v>22</v>
      </c>
      <c r="D2270">
        <v>2269</v>
      </c>
      <c r="E2270" t="s">
        <v>33</v>
      </c>
      <c r="F2270" t="s">
        <v>24</v>
      </c>
      <c r="G2270">
        <v>2269</v>
      </c>
      <c r="H2270">
        <v>2921</v>
      </c>
      <c r="I2270">
        <v>26</v>
      </c>
      <c r="J2270" t="s">
        <v>145</v>
      </c>
      <c r="K2270" t="s">
        <v>26</v>
      </c>
      <c r="L2270" t="s">
        <v>64</v>
      </c>
      <c r="M2270" t="s">
        <v>40</v>
      </c>
      <c r="N2270">
        <v>2.7</v>
      </c>
      <c r="O2270">
        <v>0</v>
      </c>
      <c r="P2270" t="s">
        <v>73</v>
      </c>
      <c r="Q2270" t="s">
        <v>155</v>
      </c>
      <c r="R2270" t="s">
        <v>155</v>
      </c>
      <c r="S2270">
        <v>15</v>
      </c>
      <c r="T2270" t="s">
        <v>78</v>
      </c>
      <c r="U2270" t="s">
        <v>91</v>
      </c>
      <c r="V2270" s="1">
        <v>45388</v>
      </c>
      <c r="W2270">
        <f>Table1[[#This Row],[customer_purchase count]]+1</f>
        <v>16</v>
      </c>
      <c r="X2270">
        <f>Table1[[#This Row],[customer_purchase count]]*Rules!$B$3</f>
        <v>896.46538461538466</v>
      </c>
      <c r="Y2270" t="str">
        <f>IF(Table1[[#This Row],[customer_subscription]]=1,"Subscribed","Not Subscribed")</f>
        <v>Not Subscribed</v>
      </c>
      <c r="Z2270" t="s">
        <v>194</v>
      </c>
    </row>
    <row r="2271" spans="1:26" x14ac:dyDescent="0.25">
      <c r="A2271">
        <v>2270</v>
      </c>
      <c r="B2271">
        <v>49</v>
      </c>
      <c r="C2271" t="s">
        <v>22</v>
      </c>
      <c r="D2271">
        <v>2270</v>
      </c>
      <c r="E2271" t="s">
        <v>90</v>
      </c>
      <c r="F2271" t="s">
        <v>24</v>
      </c>
      <c r="G2271">
        <v>2270</v>
      </c>
      <c r="H2271">
        <v>2923</v>
      </c>
      <c r="I2271">
        <v>38</v>
      </c>
      <c r="J2271" t="s">
        <v>25</v>
      </c>
      <c r="K2271" t="s">
        <v>47</v>
      </c>
      <c r="L2271" t="s">
        <v>137</v>
      </c>
      <c r="M2271" t="s">
        <v>60</v>
      </c>
      <c r="N2271">
        <v>4.4000000000000004</v>
      </c>
      <c r="O2271">
        <v>0</v>
      </c>
      <c r="P2271" t="s">
        <v>77</v>
      </c>
      <c r="Q2271" t="s">
        <v>155</v>
      </c>
      <c r="R2271" t="s">
        <v>155</v>
      </c>
      <c r="S2271">
        <v>27</v>
      </c>
      <c r="T2271" t="s">
        <v>42</v>
      </c>
      <c r="U2271" t="s">
        <v>52</v>
      </c>
      <c r="V2271" s="1">
        <v>45553</v>
      </c>
      <c r="W2271">
        <f>Table1[[#This Row],[customer_purchase count]]+1</f>
        <v>28</v>
      </c>
      <c r="X2271">
        <f>Table1[[#This Row],[customer_purchase count]]*Rules!$B$3</f>
        <v>1613.6376923076923</v>
      </c>
      <c r="Y2271" t="str">
        <f>IF(Table1[[#This Row],[customer_subscription]]=1,"Subscribed","Not Subscribed")</f>
        <v>Not Subscribed</v>
      </c>
    </row>
    <row r="2272" spans="1:26" x14ac:dyDescent="0.25">
      <c r="A2272">
        <v>2271</v>
      </c>
      <c r="B2272">
        <v>27</v>
      </c>
      <c r="C2272" t="s">
        <v>22</v>
      </c>
      <c r="D2272">
        <v>2271</v>
      </c>
      <c r="E2272" t="s">
        <v>23</v>
      </c>
      <c r="F2272" t="s">
        <v>24</v>
      </c>
      <c r="G2272">
        <v>2271</v>
      </c>
      <c r="H2272">
        <v>2924</v>
      </c>
      <c r="I2272">
        <v>72</v>
      </c>
      <c r="J2272" t="s">
        <v>145</v>
      </c>
      <c r="K2272" t="s">
        <v>26</v>
      </c>
      <c r="L2272" t="s">
        <v>76</v>
      </c>
      <c r="M2272" t="s">
        <v>40</v>
      </c>
      <c r="N2272">
        <v>3.5</v>
      </c>
      <c r="O2272">
        <v>0</v>
      </c>
      <c r="P2272" t="s">
        <v>29</v>
      </c>
      <c r="Q2272" t="s">
        <v>155</v>
      </c>
      <c r="R2272" t="s">
        <v>155</v>
      </c>
      <c r="S2272">
        <v>7</v>
      </c>
      <c r="T2272" t="s">
        <v>31</v>
      </c>
      <c r="U2272" t="s">
        <v>43</v>
      </c>
      <c r="V2272" s="1">
        <v>45396</v>
      </c>
      <c r="W2272">
        <f>Table1[[#This Row],[customer_purchase count]]+1</f>
        <v>8</v>
      </c>
      <c r="X2272">
        <f>Table1[[#This Row],[customer_purchase count]]*Rules!$B$3</f>
        <v>418.35051282051285</v>
      </c>
      <c r="Y2272" t="str">
        <f>IF(Table1[[#This Row],[customer_subscription]]=1,"Subscribed","Not Subscribed")</f>
        <v>Not Subscribed</v>
      </c>
      <c r="Z2272" t="s">
        <v>194</v>
      </c>
    </row>
    <row r="2273" spans="1:26" x14ac:dyDescent="0.25">
      <c r="A2273">
        <v>2272</v>
      </c>
      <c r="B2273">
        <v>29</v>
      </c>
      <c r="C2273" t="s">
        <v>22</v>
      </c>
      <c r="D2273">
        <v>2272</v>
      </c>
      <c r="E2273" t="s">
        <v>84</v>
      </c>
      <c r="F2273" t="s">
        <v>24</v>
      </c>
      <c r="G2273">
        <v>2272</v>
      </c>
      <c r="H2273">
        <v>2925</v>
      </c>
      <c r="I2273">
        <v>99</v>
      </c>
      <c r="J2273" t="s">
        <v>123</v>
      </c>
      <c r="K2273" t="s">
        <v>47</v>
      </c>
      <c r="L2273" t="s">
        <v>99</v>
      </c>
      <c r="M2273" t="s">
        <v>56</v>
      </c>
      <c r="N2273">
        <v>3.4</v>
      </c>
      <c r="O2273">
        <v>0</v>
      </c>
      <c r="P2273" t="s">
        <v>41</v>
      </c>
      <c r="Q2273" t="s">
        <v>155</v>
      </c>
      <c r="R2273" t="s">
        <v>155</v>
      </c>
      <c r="S2273">
        <v>49</v>
      </c>
      <c r="T2273" t="s">
        <v>49</v>
      </c>
      <c r="U2273" t="s">
        <v>61</v>
      </c>
      <c r="V2273" s="1">
        <v>45480</v>
      </c>
      <c r="W2273">
        <f>Table1[[#This Row],[customer_purchase count]]+1</f>
        <v>50</v>
      </c>
      <c r="X2273">
        <f>Table1[[#This Row],[customer_purchase count]]*Rules!$B$3</f>
        <v>2928.4535897435899</v>
      </c>
      <c r="Y2273" t="str">
        <f>IF(Table1[[#This Row],[customer_subscription]]=1,"Subscribed","Not Subscribed")</f>
        <v>Not Subscribed</v>
      </c>
    </row>
    <row r="2274" spans="1:26" x14ac:dyDescent="0.25">
      <c r="A2274">
        <v>2273</v>
      </c>
      <c r="B2274">
        <v>29</v>
      </c>
      <c r="C2274" t="s">
        <v>22</v>
      </c>
      <c r="D2274">
        <v>2273</v>
      </c>
      <c r="E2274" t="s">
        <v>105</v>
      </c>
      <c r="F2274" t="s">
        <v>66</v>
      </c>
      <c r="G2274">
        <v>2273</v>
      </c>
      <c r="H2274">
        <v>2926</v>
      </c>
      <c r="I2274">
        <v>38</v>
      </c>
      <c r="J2274" t="s">
        <v>34</v>
      </c>
      <c r="K2274" t="s">
        <v>26</v>
      </c>
      <c r="L2274" t="s">
        <v>64</v>
      </c>
      <c r="M2274" t="s">
        <v>40</v>
      </c>
      <c r="N2274">
        <v>4</v>
      </c>
      <c r="O2274">
        <v>0</v>
      </c>
      <c r="P2274" t="s">
        <v>57</v>
      </c>
      <c r="Q2274" t="s">
        <v>155</v>
      </c>
      <c r="R2274" t="s">
        <v>155</v>
      </c>
      <c r="S2274">
        <v>44</v>
      </c>
      <c r="T2274" t="s">
        <v>49</v>
      </c>
      <c r="U2274" t="s">
        <v>91</v>
      </c>
      <c r="V2274" s="1">
        <v>45415</v>
      </c>
      <c r="W2274">
        <f>Table1[[#This Row],[customer_purchase count]]+1</f>
        <v>45</v>
      </c>
      <c r="X2274">
        <f>Table1[[#This Row],[customer_purchase count]]*Rules!$B$3</f>
        <v>2629.6317948717951</v>
      </c>
      <c r="Y2274" t="str">
        <f>IF(Table1[[#This Row],[customer_subscription]]=1,"Subscribed","Not Subscribed")</f>
        <v>Not Subscribed</v>
      </c>
    </row>
    <row r="2275" spans="1:26" x14ac:dyDescent="0.25">
      <c r="A2275">
        <v>2274</v>
      </c>
      <c r="B2275">
        <v>55</v>
      </c>
      <c r="C2275" t="s">
        <v>22</v>
      </c>
      <c r="D2275">
        <v>2274</v>
      </c>
      <c r="E2275" t="s">
        <v>65</v>
      </c>
      <c r="F2275" t="s">
        <v>66</v>
      </c>
      <c r="G2275">
        <v>2274</v>
      </c>
      <c r="H2275">
        <v>2927</v>
      </c>
      <c r="I2275">
        <v>96</v>
      </c>
      <c r="J2275" t="s">
        <v>133</v>
      </c>
      <c r="K2275" t="s">
        <v>26</v>
      </c>
      <c r="L2275" t="s">
        <v>68</v>
      </c>
      <c r="M2275" t="s">
        <v>28</v>
      </c>
      <c r="N2275">
        <v>4.8</v>
      </c>
      <c r="O2275">
        <v>0</v>
      </c>
      <c r="P2275" t="s">
        <v>29</v>
      </c>
      <c r="Q2275" t="s">
        <v>155</v>
      </c>
      <c r="R2275" t="s">
        <v>155</v>
      </c>
      <c r="S2275">
        <v>13</v>
      </c>
      <c r="T2275" t="s">
        <v>49</v>
      </c>
      <c r="U2275" t="s">
        <v>79</v>
      </c>
      <c r="V2275" s="1">
        <v>45314</v>
      </c>
      <c r="W2275">
        <f>Table1[[#This Row],[customer_purchase count]]+1</f>
        <v>14</v>
      </c>
      <c r="X2275">
        <f>Table1[[#This Row],[customer_purchase count]]*Rules!$B$3</f>
        <v>776.93666666666672</v>
      </c>
      <c r="Y2275" t="str">
        <f>IF(Table1[[#This Row],[customer_subscription]]=1,"Subscribed","Not Subscribed")</f>
        <v>Not Subscribed</v>
      </c>
      <c r="Z2275" t="s">
        <v>194</v>
      </c>
    </row>
    <row r="2276" spans="1:26" x14ac:dyDescent="0.25">
      <c r="A2276">
        <v>2275</v>
      </c>
      <c r="B2276">
        <v>57</v>
      </c>
      <c r="C2276" t="s">
        <v>22</v>
      </c>
      <c r="D2276">
        <v>2275</v>
      </c>
      <c r="E2276" t="s">
        <v>84</v>
      </c>
      <c r="F2276" t="s">
        <v>24</v>
      </c>
      <c r="G2276">
        <v>2275</v>
      </c>
      <c r="H2276">
        <v>2929</v>
      </c>
      <c r="I2276">
        <v>27</v>
      </c>
      <c r="J2276" t="s">
        <v>87</v>
      </c>
      <c r="K2276" t="s">
        <v>26</v>
      </c>
      <c r="L2276" t="s">
        <v>51</v>
      </c>
      <c r="M2276" t="s">
        <v>40</v>
      </c>
      <c r="N2276">
        <v>4.5</v>
      </c>
      <c r="O2276">
        <v>0</v>
      </c>
      <c r="P2276" t="s">
        <v>48</v>
      </c>
      <c r="Q2276" t="s">
        <v>155</v>
      </c>
      <c r="R2276" t="s">
        <v>155</v>
      </c>
      <c r="S2276">
        <v>38</v>
      </c>
      <c r="T2276" t="s">
        <v>49</v>
      </c>
      <c r="U2276" t="s">
        <v>32</v>
      </c>
      <c r="V2276" s="1">
        <v>45410</v>
      </c>
      <c r="W2276">
        <f>Table1[[#This Row],[customer_purchase count]]+1</f>
        <v>39</v>
      </c>
      <c r="X2276">
        <f>Table1[[#This Row],[customer_purchase count]]*Rules!$B$3</f>
        <v>2271.0456410256411</v>
      </c>
      <c r="Y2276" t="str">
        <f>IF(Table1[[#This Row],[customer_subscription]]=1,"Subscribed","Not Subscribed")</f>
        <v>Not Subscribed</v>
      </c>
    </row>
    <row r="2277" spans="1:26" x14ac:dyDescent="0.25">
      <c r="A2277">
        <v>2276</v>
      </c>
      <c r="B2277">
        <v>29</v>
      </c>
      <c r="C2277" t="s">
        <v>22</v>
      </c>
      <c r="D2277">
        <v>2276</v>
      </c>
      <c r="E2277" t="s">
        <v>62</v>
      </c>
      <c r="F2277" t="s">
        <v>24</v>
      </c>
      <c r="G2277">
        <v>2276</v>
      </c>
      <c r="H2277">
        <v>2930</v>
      </c>
      <c r="I2277">
        <v>24</v>
      </c>
      <c r="J2277" t="s">
        <v>104</v>
      </c>
      <c r="K2277" t="s">
        <v>47</v>
      </c>
      <c r="L2277" t="s">
        <v>27</v>
      </c>
      <c r="M2277" t="s">
        <v>28</v>
      </c>
      <c r="N2277">
        <v>4.4000000000000004</v>
      </c>
      <c r="O2277">
        <v>0</v>
      </c>
      <c r="P2277" t="s">
        <v>57</v>
      </c>
      <c r="Q2277" t="s">
        <v>155</v>
      </c>
      <c r="R2277" t="s">
        <v>155</v>
      </c>
      <c r="S2277">
        <v>10</v>
      </c>
      <c r="T2277" t="s">
        <v>89</v>
      </c>
      <c r="U2277" t="s">
        <v>43</v>
      </c>
      <c r="V2277" s="1">
        <v>45627</v>
      </c>
      <c r="W2277">
        <f>Table1[[#This Row],[customer_purchase count]]+1</f>
        <v>11</v>
      </c>
      <c r="X2277">
        <f>Table1[[#This Row],[customer_purchase count]]*Rules!$B$3</f>
        <v>597.64358974358981</v>
      </c>
      <c r="Y2277" t="str">
        <f>IF(Table1[[#This Row],[customer_subscription]]=1,"Subscribed","Not Subscribed")</f>
        <v>Not Subscribed</v>
      </c>
      <c r="Z2277" t="s">
        <v>187</v>
      </c>
    </row>
    <row r="2278" spans="1:26" x14ac:dyDescent="0.25">
      <c r="A2278">
        <v>2277</v>
      </c>
      <c r="B2278">
        <v>31</v>
      </c>
      <c r="C2278" t="s">
        <v>22</v>
      </c>
      <c r="D2278">
        <v>2277</v>
      </c>
      <c r="E2278" t="s">
        <v>37</v>
      </c>
      <c r="F2278" t="s">
        <v>24</v>
      </c>
      <c r="G2278">
        <v>2277</v>
      </c>
      <c r="H2278">
        <v>2931</v>
      </c>
      <c r="I2278">
        <v>82</v>
      </c>
      <c r="J2278" t="s">
        <v>54</v>
      </c>
      <c r="K2278" t="s">
        <v>26</v>
      </c>
      <c r="L2278" t="s">
        <v>111</v>
      </c>
      <c r="M2278" t="s">
        <v>56</v>
      </c>
      <c r="N2278">
        <v>4.0999999999999996</v>
      </c>
      <c r="O2278">
        <v>0</v>
      </c>
      <c r="P2278" t="s">
        <v>73</v>
      </c>
      <c r="Q2278" t="s">
        <v>155</v>
      </c>
      <c r="R2278" t="s">
        <v>155</v>
      </c>
      <c r="S2278">
        <v>25</v>
      </c>
      <c r="T2278" t="s">
        <v>89</v>
      </c>
      <c r="U2278" t="s">
        <v>43</v>
      </c>
      <c r="V2278" s="1">
        <v>45506</v>
      </c>
      <c r="W2278">
        <f>Table1[[#This Row],[customer_purchase count]]+1</f>
        <v>26</v>
      </c>
      <c r="X2278">
        <f>Table1[[#This Row],[customer_purchase count]]*Rules!$B$3</f>
        <v>1494.1089743589744</v>
      </c>
      <c r="Y2278" t="str">
        <f>IF(Table1[[#This Row],[customer_subscription]]=1,"Subscribed","Not Subscribed")</f>
        <v>Not Subscribed</v>
      </c>
    </row>
    <row r="2279" spans="1:26" x14ac:dyDescent="0.25">
      <c r="A2279">
        <v>2278</v>
      </c>
      <c r="B2279">
        <v>25</v>
      </c>
      <c r="C2279" t="s">
        <v>22</v>
      </c>
      <c r="D2279">
        <v>2278</v>
      </c>
      <c r="E2279" t="s">
        <v>127</v>
      </c>
      <c r="F2279" t="s">
        <v>70</v>
      </c>
      <c r="G2279">
        <v>2278</v>
      </c>
      <c r="H2279">
        <v>2932</v>
      </c>
      <c r="I2279">
        <v>56</v>
      </c>
      <c r="J2279" t="s">
        <v>93</v>
      </c>
      <c r="K2279" t="s">
        <v>47</v>
      </c>
      <c r="L2279" t="s">
        <v>121</v>
      </c>
      <c r="M2279" t="s">
        <v>56</v>
      </c>
      <c r="N2279">
        <v>4.5999999999999996</v>
      </c>
      <c r="O2279">
        <v>0</v>
      </c>
      <c r="P2279" t="s">
        <v>48</v>
      </c>
      <c r="Q2279" t="s">
        <v>155</v>
      </c>
      <c r="R2279" t="s">
        <v>155</v>
      </c>
      <c r="S2279">
        <v>18</v>
      </c>
      <c r="T2279" t="s">
        <v>42</v>
      </c>
      <c r="U2279" t="s">
        <v>61</v>
      </c>
      <c r="V2279" s="1">
        <v>45481</v>
      </c>
      <c r="W2279">
        <f>Table1[[#This Row],[customer_purchase count]]+1</f>
        <v>19</v>
      </c>
      <c r="X2279">
        <f>Table1[[#This Row],[customer_purchase count]]*Rules!$B$3</f>
        <v>1075.7584615384617</v>
      </c>
      <c r="Y2279" t="str">
        <f>IF(Table1[[#This Row],[customer_subscription]]=1,"Subscribed","Not Subscribed")</f>
        <v>Not Subscribed</v>
      </c>
    </row>
    <row r="2280" spans="1:26" x14ac:dyDescent="0.25">
      <c r="A2280">
        <v>2279</v>
      </c>
      <c r="B2280">
        <v>61</v>
      </c>
      <c r="C2280" t="s">
        <v>22</v>
      </c>
      <c r="D2280">
        <v>2279</v>
      </c>
      <c r="E2280" t="s">
        <v>146</v>
      </c>
      <c r="F2280" t="s">
        <v>70</v>
      </c>
      <c r="G2280">
        <v>2279</v>
      </c>
      <c r="H2280">
        <v>2933</v>
      </c>
      <c r="I2280">
        <v>25</v>
      </c>
      <c r="J2280" t="s">
        <v>131</v>
      </c>
      <c r="K2280" t="s">
        <v>47</v>
      </c>
      <c r="L2280" t="s">
        <v>35</v>
      </c>
      <c r="M2280" t="s">
        <v>60</v>
      </c>
      <c r="N2280">
        <v>3.8</v>
      </c>
      <c r="O2280">
        <v>0</v>
      </c>
      <c r="P2280" t="s">
        <v>77</v>
      </c>
      <c r="Q2280" t="s">
        <v>155</v>
      </c>
      <c r="R2280" t="s">
        <v>155</v>
      </c>
      <c r="S2280">
        <v>6</v>
      </c>
      <c r="T2280" t="s">
        <v>36</v>
      </c>
      <c r="U2280" t="s">
        <v>100</v>
      </c>
      <c r="V2280" s="1">
        <v>45567</v>
      </c>
      <c r="W2280">
        <f>Table1[[#This Row],[customer_purchase count]]+1</f>
        <v>7</v>
      </c>
      <c r="X2280">
        <f>Table1[[#This Row],[customer_purchase count]]*Rules!$B$3</f>
        <v>358.58615384615388</v>
      </c>
      <c r="Y2280" t="str">
        <f>IF(Table1[[#This Row],[customer_subscription]]=1,"Subscribed","Not Subscribed")</f>
        <v>Not Subscribed</v>
      </c>
      <c r="Z2280" t="s">
        <v>194</v>
      </c>
    </row>
    <row r="2281" spans="1:26" x14ac:dyDescent="0.25">
      <c r="A2281">
        <v>2280</v>
      </c>
      <c r="B2281">
        <v>53</v>
      </c>
      <c r="C2281" t="s">
        <v>22</v>
      </c>
      <c r="D2281">
        <v>2280</v>
      </c>
      <c r="E2281" t="s">
        <v>53</v>
      </c>
      <c r="F2281" t="s">
        <v>45</v>
      </c>
      <c r="G2281">
        <v>2280</v>
      </c>
      <c r="H2281">
        <v>2935</v>
      </c>
      <c r="I2281">
        <v>67</v>
      </c>
      <c r="J2281" t="s">
        <v>67</v>
      </c>
      <c r="K2281" t="s">
        <v>26</v>
      </c>
      <c r="L2281" t="s">
        <v>129</v>
      </c>
      <c r="M2281" t="s">
        <v>40</v>
      </c>
      <c r="N2281">
        <v>2.9</v>
      </c>
      <c r="O2281">
        <v>0</v>
      </c>
      <c r="P2281" t="s">
        <v>41</v>
      </c>
      <c r="Q2281" t="s">
        <v>155</v>
      </c>
      <c r="R2281" t="s">
        <v>155</v>
      </c>
      <c r="S2281">
        <v>35</v>
      </c>
      <c r="T2281" t="s">
        <v>78</v>
      </c>
      <c r="U2281" t="s">
        <v>61</v>
      </c>
      <c r="V2281" s="1">
        <v>45416</v>
      </c>
      <c r="W2281">
        <f>Table1[[#This Row],[customer_purchase count]]+1</f>
        <v>36</v>
      </c>
      <c r="X2281">
        <f>Table1[[#This Row],[customer_purchase count]]*Rules!$B$3</f>
        <v>2091.7525641025641</v>
      </c>
      <c r="Y2281" t="str">
        <f>IF(Table1[[#This Row],[customer_subscription]]=1,"Subscribed","Not Subscribed")</f>
        <v>Not Subscribed</v>
      </c>
    </row>
    <row r="2282" spans="1:26" x14ac:dyDescent="0.25">
      <c r="A2282">
        <v>2281</v>
      </c>
      <c r="B2282">
        <v>22</v>
      </c>
      <c r="C2282" t="s">
        <v>22</v>
      </c>
      <c r="D2282">
        <v>2281</v>
      </c>
      <c r="E2282" t="s">
        <v>74</v>
      </c>
      <c r="F2282" t="s">
        <v>45</v>
      </c>
      <c r="G2282">
        <v>2281</v>
      </c>
      <c r="H2282">
        <v>2936</v>
      </c>
      <c r="I2282">
        <v>21</v>
      </c>
      <c r="J2282" t="s">
        <v>25</v>
      </c>
      <c r="K2282" t="s">
        <v>47</v>
      </c>
      <c r="L2282" t="s">
        <v>111</v>
      </c>
      <c r="M2282" t="s">
        <v>56</v>
      </c>
      <c r="N2282">
        <v>2.8</v>
      </c>
      <c r="O2282">
        <v>0</v>
      </c>
      <c r="P2282" t="s">
        <v>57</v>
      </c>
      <c r="Q2282" t="s">
        <v>155</v>
      </c>
      <c r="R2282" t="s">
        <v>155</v>
      </c>
      <c r="S2282">
        <v>31</v>
      </c>
      <c r="T2282" t="s">
        <v>42</v>
      </c>
      <c r="U2282" t="s">
        <v>32</v>
      </c>
      <c r="V2282" s="1">
        <v>45481</v>
      </c>
      <c r="W2282">
        <f>Table1[[#This Row],[customer_purchase count]]+1</f>
        <v>32</v>
      </c>
      <c r="X2282">
        <f>Table1[[#This Row],[customer_purchase count]]*Rules!$B$3</f>
        <v>1852.6951282051282</v>
      </c>
      <c r="Y2282" t="str">
        <f>IF(Table1[[#This Row],[customer_subscription]]=1,"Subscribed","Not Subscribed")</f>
        <v>Not Subscribed</v>
      </c>
    </row>
    <row r="2283" spans="1:26" x14ac:dyDescent="0.25">
      <c r="A2283">
        <v>2282</v>
      </c>
      <c r="B2283">
        <v>28</v>
      </c>
      <c r="C2283" t="s">
        <v>22</v>
      </c>
      <c r="D2283">
        <v>2282</v>
      </c>
      <c r="E2283" t="s">
        <v>107</v>
      </c>
      <c r="F2283" t="s">
        <v>24</v>
      </c>
      <c r="G2283">
        <v>2282</v>
      </c>
      <c r="H2283">
        <v>2937</v>
      </c>
      <c r="I2283">
        <v>27</v>
      </c>
      <c r="J2283" t="s">
        <v>114</v>
      </c>
      <c r="K2283" t="s">
        <v>95</v>
      </c>
      <c r="L2283" t="s">
        <v>35</v>
      </c>
      <c r="M2283" t="s">
        <v>56</v>
      </c>
      <c r="N2283">
        <v>3</v>
      </c>
      <c r="O2283">
        <v>0</v>
      </c>
      <c r="P2283" t="s">
        <v>77</v>
      </c>
      <c r="Q2283" t="s">
        <v>155</v>
      </c>
      <c r="R2283" t="s">
        <v>155</v>
      </c>
      <c r="S2283">
        <v>41</v>
      </c>
      <c r="T2283" t="s">
        <v>78</v>
      </c>
      <c r="U2283" t="s">
        <v>52</v>
      </c>
      <c r="V2283" s="1">
        <v>45474</v>
      </c>
      <c r="W2283">
        <f>Table1[[#This Row],[customer_purchase count]]+1</f>
        <v>42</v>
      </c>
      <c r="X2283">
        <f>Table1[[#This Row],[customer_purchase count]]*Rules!$B$3</f>
        <v>2450.3387179487181</v>
      </c>
      <c r="Y2283" t="str">
        <f>IF(Table1[[#This Row],[customer_subscription]]=1,"Subscribed","Not Subscribed")</f>
        <v>Not Subscribed</v>
      </c>
    </row>
    <row r="2284" spans="1:26" x14ac:dyDescent="0.25">
      <c r="A2284">
        <v>2283</v>
      </c>
      <c r="B2284">
        <v>18</v>
      </c>
      <c r="C2284" t="s">
        <v>22</v>
      </c>
      <c r="D2284">
        <v>2283</v>
      </c>
      <c r="E2284" t="s">
        <v>53</v>
      </c>
      <c r="F2284" t="s">
        <v>45</v>
      </c>
      <c r="G2284">
        <v>2283</v>
      </c>
      <c r="H2284">
        <v>2938</v>
      </c>
      <c r="I2284">
        <v>97</v>
      </c>
      <c r="J2284" t="s">
        <v>138</v>
      </c>
      <c r="K2284" t="s">
        <v>39</v>
      </c>
      <c r="L2284" t="s">
        <v>111</v>
      </c>
      <c r="M2284" t="s">
        <v>60</v>
      </c>
      <c r="N2284">
        <v>4.2</v>
      </c>
      <c r="O2284">
        <v>0</v>
      </c>
      <c r="P2284" t="s">
        <v>73</v>
      </c>
      <c r="Q2284" t="s">
        <v>155</v>
      </c>
      <c r="R2284" t="s">
        <v>155</v>
      </c>
      <c r="S2284">
        <v>8</v>
      </c>
      <c r="T2284" t="s">
        <v>42</v>
      </c>
      <c r="U2284" t="s">
        <v>52</v>
      </c>
      <c r="V2284" s="1">
        <v>45589</v>
      </c>
      <c r="W2284">
        <f>Table1[[#This Row],[customer_purchase count]]+1</f>
        <v>9</v>
      </c>
      <c r="X2284">
        <f>Table1[[#This Row],[customer_purchase count]]*Rules!$B$3</f>
        <v>478.11487179487182</v>
      </c>
      <c r="Y2284" t="str">
        <f>IF(Table1[[#This Row],[customer_subscription]]=1,"Subscribed","Not Subscribed")</f>
        <v>Not Subscribed</v>
      </c>
      <c r="Z2284" t="s">
        <v>194</v>
      </c>
    </row>
    <row r="2285" spans="1:26" x14ac:dyDescent="0.25">
      <c r="A2285">
        <v>2284</v>
      </c>
      <c r="B2285">
        <v>44</v>
      </c>
      <c r="C2285" t="s">
        <v>22</v>
      </c>
      <c r="D2285">
        <v>2284</v>
      </c>
      <c r="E2285" t="s">
        <v>69</v>
      </c>
      <c r="F2285" t="s">
        <v>70</v>
      </c>
      <c r="G2285">
        <v>2284</v>
      </c>
      <c r="H2285">
        <v>2939</v>
      </c>
      <c r="I2285">
        <v>45</v>
      </c>
      <c r="J2285" t="s">
        <v>126</v>
      </c>
      <c r="K2285" t="s">
        <v>39</v>
      </c>
      <c r="L2285" t="s">
        <v>97</v>
      </c>
      <c r="M2285" t="s">
        <v>28</v>
      </c>
      <c r="N2285">
        <v>4.0999999999999996</v>
      </c>
      <c r="O2285">
        <v>0</v>
      </c>
      <c r="P2285" t="s">
        <v>41</v>
      </c>
      <c r="Q2285" t="s">
        <v>155</v>
      </c>
      <c r="R2285" t="s">
        <v>155</v>
      </c>
      <c r="S2285">
        <v>34</v>
      </c>
      <c r="T2285" t="s">
        <v>42</v>
      </c>
      <c r="U2285" t="s">
        <v>32</v>
      </c>
      <c r="V2285" s="1">
        <v>45643</v>
      </c>
      <c r="W2285">
        <f>Table1[[#This Row],[customer_purchase count]]+1</f>
        <v>35</v>
      </c>
      <c r="X2285">
        <f>Table1[[#This Row],[customer_purchase count]]*Rules!$B$3</f>
        <v>2031.9882051282052</v>
      </c>
      <c r="Y2285" t="str">
        <f>IF(Table1[[#This Row],[customer_subscription]]=1,"Subscribed","Not Subscribed")</f>
        <v>Not Subscribed</v>
      </c>
    </row>
    <row r="2286" spans="1:26" x14ac:dyDescent="0.25">
      <c r="A2286">
        <v>2285</v>
      </c>
      <c r="B2286">
        <v>32</v>
      </c>
      <c r="C2286" t="s">
        <v>22</v>
      </c>
      <c r="D2286">
        <v>2285</v>
      </c>
      <c r="E2286" t="s">
        <v>23</v>
      </c>
      <c r="F2286" t="s">
        <v>24</v>
      </c>
      <c r="G2286">
        <v>2285</v>
      </c>
      <c r="H2286">
        <v>2941</v>
      </c>
      <c r="I2286">
        <v>63</v>
      </c>
      <c r="J2286" t="s">
        <v>149</v>
      </c>
      <c r="K2286" t="s">
        <v>95</v>
      </c>
      <c r="L2286" t="s">
        <v>97</v>
      </c>
      <c r="M2286" t="s">
        <v>60</v>
      </c>
      <c r="N2286">
        <v>4.0999999999999996</v>
      </c>
      <c r="O2286">
        <v>0</v>
      </c>
      <c r="P2286" t="s">
        <v>29</v>
      </c>
      <c r="Q2286" t="s">
        <v>155</v>
      </c>
      <c r="R2286" t="s">
        <v>155</v>
      </c>
      <c r="S2286">
        <v>20</v>
      </c>
      <c r="T2286" t="s">
        <v>31</v>
      </c>
      <c r="U2286" t="s">
        <v>52</v>
      </c>
      <c r="V2286" s="1">
        <v>45572</v>
      </c>
      <c r="W2286">
        <f>Table1[[#This Row],[customer_purchase count]]+1</f>
        <v>21</v>
      </c>
      <c r="X2286">
        <f>Table1[[#This Row],[customer_purchase count]]*Rules!$B$3</f>
        <v>1195.2871794871796</v>
      </c>
      <c r="Y2286" t="str">
        <f>IF(Table1[[#This Row],[customer_subscription]]=1,"Subscribed","Not Subscribed")</f>
        <v>Not Subscribed</v>
      </c>
    </row>
    <row r="2287" spans="1:26" x14ac:dyDescent="0.25">
      <c r="A2287">
        <v>2286</v>
      </c>
      <c r="B2287">
        <v>34</v>
      </c>
      <c r="C2287" t="s">
        <v>22</v>
      </c>
      <c r="D2287">
        <v>2286</v>
      </c>
      <c r="E2287" t="s">
        <v>136</v>
      </c>
      <c r="F2287" t="s">
        <v>70</v>
      </c>
      <c r="G2287">
        <v>2286</v>
      </c>
      <c r="H2287">
        <v>2942</v>
      </c>
      <c r="I2287">
        <v>100</v>
      </c>
      <c r="J2287" t="s">
        <v>154</v>
      </c>
      <c r="K2287" t="s">
        <v>26</v>
      </c>
      <c r="L2287" t="s">
        <v>72</v>
      </c>
      <c r="M2287" t="s">
        <v>56</v>
      </c>
      <c r="N2287">
        <v>4.5999999999999996</v>
      </c>
      <c r="O2287">
        <v>0</v>
      </c>
      <c r="P2287" t="s">
        <v>73</v>
      </c>
      <c r="Q2287" t="s">
        <v>155</v>
      </c>
      <c r="R2287" t="s">
        <v>155</v>
      </c>
      <c r="S2287">
        <v>38</v>
      </c>
      <c r="T2287" t="s">
        <v>49</v>
      </c>
      <c r="U2287" t="s">
        <v>100</v>
      </c>
      <c r="V2287" s="1">
        <v>45460</v>
      </c>
      <c r="W2287">
        <f>Table1[[#This Row],[customer_purchase count]]+1</f>
        <v>39</v>
      </c>
      <c r="X2287">
        <f>Table1[[#This Row],[customer_purchase count]]*Rules!$B$3</f>
        <v>2271.0456410256411</v>
      </c>
      <c r="Y2287" t="str">
        <f>IF(Table1[[#This Row],[customer_subscription]]=1,"Subscribed","Not Subscribed")</f>
        <v>Not Subscribed</v>
      </c>
    </row>
    <row r="2288" spans="1:26" x14ac:dyDescent="0.25">
      <c r="A2288">
        <v>2287</v>
      </c>
      <c r="B2288">
        <v>67</v>
      </c>
      <c r="C2288" t="s">
        <v>22</v>
      </c>
      <c r="D2288">
        <v>2287</v>
      </c>
      <c r="E2288" t="s">
        <v>128</v>
      </c>
      <c r="F2288" t="s">
        <v>24</v>
      </c>
      <c r="G2288">
        <v>2287</v>
      </c>
      <c r="H2288">
        <v>2943</v>
      </c>
      <c r="I2288">
        <v>38</v>
      </c>
      <c r="J2288" t="s">
        <v>150</v>
      </c>
      <c r="K2288" t="s">
        <v>26</v>
      </c>
      <c r="L2288" t="s">
        <v>147</v>
      </c>
      <c r="M2288" t="s">
        <v>40</v>
      </c>
      <c r="N2288">
        <v>2.5</v>
      </c>
      <c r="O2288">
        <v>0</v>
      </c>
      <c r="P2288" t="s">
        <v>77</v>
      </c>
      <c r="Q2288" t="s">
        <v>155</v>
      </c>
      <c r="R2288" t="s">
        <v>155</v>
      </c>
      <c r="S2288">
        <v>35</v>
      </c>
      <c r="T2288" t="s">
        <v>31</v>
      </c>
      <c r="U2288" t="s">
        <v>61</v>
      </c>
      <c r="V2288" s="1">
        <v>45387</v>
      </c>
      <c r="W2288">
        <f>Table1[[#This Row],[customer_purchase count]]+1</f>
        <v>36</v>
      </c>
      <c r="X2288">
        <f>Table1[[#This Row],[customer_purchase count]]*Rules!$B$3</f>
        <v>2091.7525641025641</v>
      </c>
      <c r="Y2288" t="str">
        <f>IF(Table1[[#This Row],[customer_subscription]]=1,"Subscribed","Not Subscribed")</f>
        <v>Not Subscribed</v>
      </c>
    </row>
    <row r="2289" spans="1:26" x14ac:dyDescent="0.25">
      <c r="A2289">
        <v>2288</v>
      </c>
      <c r="B2289">
        <v>66</v>
      </c>
      <c r="C2289" t="s">
        <v>22</v>
      </c>
      <c r="D2289">
        <v>2288</v>
      </c>
      <c r="E2289" t="s">
        <v>23</v>
      </c>
      <c r="F2289" t="s">
        <v>24</v>
      </c>
      <c r="G2289">
        <v>2288</v>
      </c>
      <c r="H2289">
        <v>2944</v>
      </c>
      <c r="I2289">
        <v>45</v>
      </c>
      <c r="J2289" t="s">
        <v>148</v>
      </c>
      <c r="K2289" t="s">
        <v>26</v>
      </c>
      <c r="L2289" t="s">
        <v>99</v>
      </c>
      <c r="M2289" t="s">
        <v>56</v>
      </c>
      <c r="N2289">
        <v>3</v>
      </c>
      <c r="O2289">
        <v>0</v>
      </c>
      <c r="P2289" t="s">
        <v>77</v>
      </c>
      <c r="Q2289" t="s">
        <v>155</v>
      </c>
      <c r="R2289" t="s">
        <v>155</v>
      </c>
      <c r="S2289">
        <v>6</v>
      </c>
      <c r="T2289" t="s">
        <v>89</v>
      </c>
      <c r="U2289" t="s">
        <v>52</v>
      </c>
      <c r="V2289" s="1">
        <v>45460</v>
      </c>
      <c r="W2289">
        <f>Table1[[#This Row],[customer_purchase count]]+1</f>
        <v>7</v>
      </c>
      <c r="X2289">
        <f>Table1[[#This Row],[customer_purchase count]]*Rules!$B$3</f>
        <v>358.58615384615388</v>
      </c>
      <c r="Y2289" t="str">
        <f>IF(Table1[[#This Row],[customer_subscription]]=1,"Subscribed","Not Subscribed")</f>
        <v>Not Subscribed</v>
      </c>
      <c r="Z2289" t="s">
        <v>194</v>
      </c>
    </row>
    <row r="2290" spans="1:26" x14ac:dyDescent="0.25">
      <c r="A2290">
        <v>2289</v>
      </c>
      <c r="B2290">
        <v>28</v>
      </c>
      <c r="C2290" t="s">
        <v>22</v>
      </c>
      <c r="D2290">
        <v>2289</v>
      </c>
      <c r="E2290" t="s">
        <v>109</v>
      </c>
      <c r="F2290" t="s">
        <v>70</v>
      </c>
      <c r="G2290">
        <v>2289</v>
      </c>
      <c r="H2290">
        <v>2945</v>
      </c>
      <c r="I2290">
        <v>91</v>
      </c>
      <c r="J2290" t="s">
        <v>102</v>
      </c>
      <c r="K2290" t="s">
        <v>47</v>
      </c>
      <c r="L2290" t="s">
        <v>124</v>
      </c>
      <c r="M2290" t="s">
        <v>60</v>
      </c>
      <c r="N2290">
        <v>3.8</v>
      </c>
      <c r="O2290">
        <v>0</v>
      </c>
      <c r="P2290" t="s">
        <v>48</v>
      </c>
      <c r="Q2290" t="s">
        <v>155</v>
      </c>
      <c r="R2290" t="s">
        <v>155</v>
      </c>
      <c r="S2290">
        <v>50</v>
      </c>
      <c r="T2290" t="s">
        <v>49</v>
      </c>
      <c r="U2290" t="s">
        <v>43</v>
      </c>
      <c r="V2290" s="1">
        <v>45590</v>
      </c>
      <c r="W2290">
        <f>Table1[[#This Row],[customer_purchase count]]+1</f>
        <v>51</v>
      </c>
      <c r="X2290">
        <f>Table1[[#This Row],[customer_purchase count]]*Rules!$B$3</f>
        <v>2988.2179487179487</v>
      </c>
      <c r="Y2290" t="str">
        <f>IF(Table1[[#This Row],[customer_subscription]]=1,"Subscribed","Not Subscribed")</f>
        <v>Not Subscribed</v>
      </c>
    </row>
    <row r="2291" spans="1:26" x14ac:dyDescent="0.25">
      <c r="A2291">
        <v>2290</v>
      </c>
      <c r="B2291">
        <v>70</v>
      </c>
      <c r="C2291" t="s">
        <v>22</v>
      </c>
      <c r="D2291">
        <v>2290</v>
      </c>
      <c r="E2291" t="s">
        <v>62</v>
      </c>
      <c r="F2291" t="s">
        <v>24</v>
      </c>
      <c r="G2291">
        <v>2290</v>
      </c>
      <c r="H2291">
        <v>2947</v>
      </c>
      <c r="I2291">
        <v>82</v>
      </c>
      <c r="J2291" t="s">
        <v>110</v>
      </c>
      <c r="K2291" t="s">
        <v>47</v>
      </c>
      <c r="L2291" t="s">
        <v>124</v>
      </c>
      <c r="M2291" t="s">
        <v>60</v>
      </c>
      <c r="N2291">
        <v>4.0999999999999996</v>
      </c>
      <c r="O2291">
        <v>0</v>
      </c>
      <c r="P2291" t="s">
        <v>41</v>
      </c>
      <c r="Q2291" t="s">
        <v>155</v>
      </c>
      <c r="R2291" t="s">
        <v>155</v>
      </c>
      <c r="S2291">
        <v>47</v>
      </c>
      <c r="T2291" t="s">
        <v>31</v>
      </c>
      <c r="U2291" t="s">
        <v>43</v>
      </c>
      <c r="V2291" s="1">
        <v>45585</v>
      </c>
      <c r="W2291">
        <f>Table1[[#This Row],[customer_purchase count]]+1</f>
        <v>48</v>
      </c>
      <c r="X2291">
        <f>Table1[[#This Row],[customer_purchase count]]*Rules!$B$3</f>
        <v>2808.9248717948717</v>
      </c>
      <c r="Y2291" t="str">
        <f>IF(Table1[[#This Row],[customer_subscription]]=1,"Subscribed","Not Subscribed")</f>
        <v>Not Subscribed</v>
      </c>
    </row>
    <row r="2292" spans="1:26" x14ac:dyDescent="0.25">
      <c r="A2292">
        <v>2291</v>
      </c>
      <c r="B2292">
        <v>37</v>
      </c>
      <c r="C2292" t="s">
        <v>22</v>
      </c>
      <c r="D2292">
        <v>2291</v>
      </c>
      <c r="E2292" t="s">
        <v>140</v>
      </c>
      <c r="F2292" t="s">
        <v>45</v>
      </c>
      <c r="G2292">
        <v>2291</v>
      </c>
      <c r="H2292">
        <v>2948</v>
      </c>
      <c r="I2292">
        <v>48</v>
      </c>
      <c r="J2292" t="s">
        <v>114</v>
      </c>
      <c r="K2292" t="s">
        <v>26</v>
      </c>
      <c r="L2292" t="s">
        <v>139</v>
      </c>
      <c r="M2292" t="s">
        <v>28</v>
      </c>
      <c r="N2292">
        <v>3.3</v>
      </c>
      <c r="O2292">
        <v>0</v>
      </c>
      <c r="P2292" t="s">
        <v>57</v>
      </c>
      <c r="Q2292" t="s">
        <v>155</v>
      </c>
      <c r="R2292" t="s">
        <v>155</v>
      </c>
      <c r="S2292">
        <v>23</v>
      </c>
      <c r="T2292" t="s">
        <v>49</v>
      </c>
      <c r="U2292" t="s">
        <v>61</v>
      </c>
      <c r="V2292" s="1">
        <v>45350</v>
      </c>
      <c r="W2292">
        <f>Table1[[#This Row],[customer_purchase count]]+1</f>
        <v>24</v>
      </c>
      <c r="X2292">
        <f>Table1[[#This Row],[customer_purchase count]]*Rules!$B$3</f>
        <v>1374.5802564102564</v>
      </c>
      <c r="Y2292" t="str">
        <f>IF(Table1[[#This Row],[customer_subscription]]=1,"Subscribed","Not Subscribed")</f>
        <v>Not Subscribed</v>
      </c>
    </row>
    <row r="2293" spans="1:26" x14ac:dyDescent="0.25">
      <c r="A2293">
        <v>2292</v>
      </c>
      <c r="B2293">
        <v>28</v>
      </c>
      <c r="C2293" t="s">
        <v>22</v>
      </c>
      <c r="D2293">
        <v>2292</v>
      </c>
      <c r="E2293" t="s">
        <v>65</v>
      </c>
      <c r="F2293" t="s">
        <v>66</v>
      </c>
      <c r="G2293">
        <v>2292</v>
      </c>
      <c r="H2293">
        <v>2949</v>
      </c>
      <c r="I2293">
        <v>30</v>
      </c>
      <c r="J2293" t="s">
        <v>126</v>
      </c>
      <c r="K2293" t="s">
        <v>47</v>
      </c>
      <c r="L2293" t="s">
        <v>129</v>
      </c>
      <c r="M2293" t="s">
        <v>40</v>
      </c>
      <c r="N2293">
        <v>5</v>
      </c>
      <c r="O2293">
        <v>0</v>
      </c>
      <c r="P2293" t="s">
        <v>73</v>
      </c>
      <c r="Q2293" t="s">
        <v>155</v>
      </c>
      <c r="R2293" t="s">
        <v>155</v>
      </c>
      <c r="S2293">
        <v>13</v>
      </c>
      <c r="T2293" t="s">
        <v>42</v>
      </c>
      <c r="U2293" t="s">
        <v>61</v>
      </c>
      <c r="V2293" s="1">
        <v>45416</v>
      </c>
      <c r="W2293">
        <f>Table1[[#This Row],[customer_purchase count]]+1</f>
        <v>14</v>
      </c>
      <c r="X2293">
        <f>Table1[[#This Row],[customer_purchase count]]*Rules!$B$3</f>
        <v>776.93666666666672</v>
      </c>
      <c r="Y2293" t="str">
        <f>IF(Table1[[#This Row],[customer_subscription]]=1,"Subscribed","Not Subscribed")</f>
        <v>Not Subscribed</v>
      </c>
      <c r="Z2293" t="s">
        <v>187</v>
      </c>
    </row>
    <row r="2294" spans="1:26" x14ac:dyDescent="0.25">
      <c r="A2294">
        <v>2293</v>
      </c>
      <c r="B2294">
        <v>43</v>
      </c>
      <c r="C2294" t="s">
        <v>22</v>
      </c>
      <c r="D2294">
        <v>2293</v>
      </c>
      <c r="E2294" t="s">
        <v>116</v>
      </c>
      <c r="F2294" t="s">
        <v>24</v>
      </c>
      <c r="G2294">
        <v>2293</v>
      </c>
      <c r="H2294">
        <v>2950</v>
      </c>
      <c r="I2294">
        <v>34</v>
      </c>
      <c r="J2294" t="s">
        <v>132</v>
      </c>
      <c r="K2294" t="s">
        <v>39</v>
      </c>
      <c r="L2294" t="s">
        <v>121</v>
      </c>
      <c r="M2294" t="s">
        <v>40</v>
      </c>
      <c r="N2294">
        <v>3.8</v>
      </c>
      <c r="O2294">
        <v>0</v>
      </c>
      <c r="P2294" t="s">
        <v>48</v>
      </c>
      <c r="Q2294" t="s">
        <v>155</v>
      </c>
      <c r="R2294" t="s">
        <v>155</v>
      </c>
      <c r="S2294">
        <v>31</v>
      </c>
      <c r="T2294" t="s">
        <v>89</v>
      </c>
      <c r="U2294" t="s">
        <v>91</v>
      </c>
      <c r="V2294" s="1">
        <v>45427</v>
      </c>
      <c r="W2294">
        <f>Table1[[#This Row],[customer_purchase count]]+1</f>
        <v>32</v>
      </c>
      <c r="X2294">
        <f>Table1[[#This Row],[customer_purchase count]]*Rules!$B$3</f>
        <v>1852.6951282051282</v>
      </c>
      <c r="Y2294" t="str">
        <f>IF(Table1[[#This Row],[customer_subscription]]=1,"Subscribed","Not Subscribed")</f>
        <v>Not Subscribed</v>
      </c>
    </row>
    <row r="2295" spans="1:26" x14ac:dyDescent="0.25">
      <c r="A2295">
        <v>2294</v>
      </c>
      <c r="B2295">
        <v>37</v>
      </c>
      <c r="C2295" t="s">
        <v>22</v>
      </c>
      <c r="D2295">
        <v>2294</v>
      </c>
      <c r="E2295" t="s">
        <v>33</v>
      </c>
      <c r="F2295" t="s">
        <v>24</v>
      </c>
      <c r="G2295">
        <v>2294</v>
      </c>
      <c r="H2295">
        <v>2951</v>
      </c>
      <c r="I2295">
        <v>68</v>
      </c>
      <c r="J2295" t="s">
        <v>145</v>
      </c>
      <c r="K2295" t="s">
        <v>26</v>
      </c>
      <c r="L2295" t="s">
        <v>99</v>
      </c>
      <c r="M2295" t="s">
        <v>60</v>
      </c>
      <c r="N2295">
        <v>3.3</v>
      </c>
      <c r="O2295">
        <v>0</v>
      </c>
      <c r="P2295" t="s">
        <v>29</v>
      </c>
      <c r="Q2295" t="s">
        <v>155</v>
      </c>
      <c r="R2295" t="s">
        <v>155</v>
      </c>
      <c r="S2295">
        <v>16</v>
      </c>
      <c r="T2295" t="s">
        <v>89</v>
      </c>
      <c r="U2295" t="s">
        <v>100</v>
      </c>
      <c r="V2295" s="1">
        <v>45603</v>
      </c>
      <c r="W2295">
        <f>Table1[[#This Row],[customer_purchase count]]+1</f>
        <v>17</v>
      </c>
      <c r="X2295">
        <f>Table1[[#This Row],[customer_purchase count]]*Rules!$B$3</f>
        <v>956.22974358974363</v>
      </c>
      <c r="Y2295" t="str">
        <f>IF(Table1[[#This Row],[customer_subscription]]=1,"Subscribed","Not Subscribed")</f>
        <v>Not Subscribed</v>
      </c>
      <c r="Z2295" t="s">
        <v>194</v>
      </c>
    </row>
    <row r="2296" spans="1:26" x14ac:dyDescent="0.25">
      <c r="A2296">
        <v>2295</v>
      </c>
      <c r="B2296">
        <v>54</v>
      </c>
      <c r="C2296" t="s">
        <v>22</v>
      </c>
      <c r="D2296">
        <v>2295</v>
      </c>
      <c r="E2296" t="s">
        <v>92</v>
      </c>
      <c r="F2296" t="s">
        <v>70</v>
      </c>
      <c r="G2296">
        <v>2295</v>
      </c>
      <c r="H2296">
        <v>2953</v>
      </c>
      <c r="I2296">
        <v>95</v>
      </c>
      <c r="J2296" t="s">
        <v>131</v>
      </c>
      <c r="K2296" t="s">
        <v>47</v>
      </c>
      <c r="L2296" t="s">
        <v>111</v>
      </c>
      <c r="M2296" t="s">
        <v>28</v>
      </c>
      <c r="N2296">
        <v>5</v>
      </c>
      <c r="O2296">
        <v>0</v>
      </c>
      <c r="P2296" t="s">
        <v>29</v>
      </c>
      <c r="Q2296" t="s">
        <v>155</v>
      </c>
      <c r="R2296" t="s">
        <v>155</v>
      </c>
      <c r="S2296">
        <v>40</v>
      </c>
      <c r="T2296" t="s">
        <v>89</v>
      </c>
      <c r="U2296" t="s">
        <v>52</v>
      </c>
      <c r="V2296" s="1">
        <v>45653</v>
      </c>
      <c r="W2296">
        <f>Table1[[#This Row],[customer_purchase count]]+1</f>
        <v>41</v>
      </c>
      <c r="X2296">
        <f>Table1[[#This Row],[customer_purchase count]]*Rules!$B$3</f>
        <v>2390.5743589743593</v>
      </c>
      <c r="Y2296" t="str">
        <f>IF(Table1[[#This Row],[customer_subscription]]=1,"Subscribed","Not Subscribed")</f>
        <v>Not Subscribed</v>
      </c>
    </row>
    <row r="2297" spans="1:26" x14ac:dyDescent="0.25">
      <c r="A2297">
        <v>2296</v>
      </c>
      <c r="B2297">
        <v>50</v>
      </c>
      <c r="C2297" t="s">
        <v>22</v>
      </c>
      <c r="D2297">
        <v>2296</v>
      </c>
      <c r="E2297" t="s">
        <v>127</v>
      </c>
      <c r="F2297" t="s">
        <v>70</v>
      </c>
      <c r="G2297">
        <v>2296</v>
      </c>
      <c r="H2297">
        <v>2954</v>
      </c>
      <c r="I2297">
        <v>22</v>
      </c>
      <c r="J2297" t="s">
        <v>142</v>
      </c>
      <c r="K2297" t="s">
        <v>26</v>
      </c>
      <c r="L2297" t="s">
        <v>121</v>
      </c>
      <c r="M2297" t="s">
        <v>40</v>
      </c>
      <c r="N2297">
        <v>2.9</v>
      </c>
      <c r="O2297">
        <v>0</v>
      </c>
      <c r="P2297" t="s">
        <v>73</v>
      </c>
      <c r="Q2297" t="s">
        <v>155</v>
      </c>
      <c r="R2297" t="s">
        <v>155</v>
      </c>
      <c r="S2297">
        <v>45</v>
      </c>
      <c r="T2297" t="s">
        <v>49</v>
      </c>
      <c r="U2297" t="s">
        <v>61</v>
      </c>
      <c r="V2297" s="1">
        <v>45378</v>
      </c>
      <c r="W2297">
        <f>Table1[[#This Row],[customer_purchase count]]+1</f>
        <v>46</v>
      </c>
      <c r="X2297">
        <f>Table1[[#This Row],[customer_purchase count]]*Rules!$B$3</f>
        <v>2689.396153846154</v>
      </c>
      <c r="Y2297" t="str">
        <f>IF(Table1[[#This Row],[customer_subscription]]=1,"Subscribed","Not Subscribed")</f>
        <v>Not Subscribed</v>
      </c>
    </row>
    <row r="2298" spans="1:26" x14ac:dyDescent="0.25">
      <c r="A2298">
        <v>2297</v>
      </c>
      <c r="B2298">
        <v>46</v>
      </c>
      <c r="C2298" t="s">
        <v>22</v>
      </c>
      <c r="D2298">
        <v>2297</v>
      </c>
      <c r="E2298" t="s">
        <v>146</v>
      </c>
      <c r="F2298" t="s">
        <v>70</v>
      </c>
      <c r="G2298">
        <v>2297</v>
      </c>
      <c r="H2298">
        <v>2955</v>
      </c>
      <c r="I2298">
        <v>88</v>
      </c>
      <c r="J2298" t="s">
        <v>152</v>
      </c>
      <c r="K2298" t="s">
        <v>47</v>
      </c>
      <c r="L2298" t="s">
        <v>99</v>
      </c>
      <c r="M2298" t="s">
        <v>60</v>
      </c>
      <c r="N2298">
        <v>2.5</v>
      </c>
      <c r="O2298">
        <v>0</v>
      </c>
      <c r="P2298" t="s">
        <v>48</v>
      </c>
      <c r="Q2298" t="s">
        <v>155</v>
      </c>
      <c r="R2298" t="s">
        <v>155</v>
      </c>
      <c r="S2298">
        <v>50</v>
      </c>
      <c r="T2298" t="s">
        <v>31</v>
      </c>
      <c r="U2298" t="s">
        <v>100</v>
      </c>
      <c r="V2298" s="1">
        <v>45548</v>
      </c>
      <c r="W2298">
        <f>Table1[[#This Row],[customer_purchase count]]+1</f>
        <v>51</v>
      </c>
      <c r="X2298">
        <f>Table1[[#This Row],[customer_purchase count]]*Rules!$B$3</f>
        <v>2988.2179487179487</v>
      </c>
      <c r="Y2298" t="str">
        <f>IF(Table1[[#This Row],[customer_subscription]]=1,"Subscribed","Not Subscribed")</f>
        <v>Not Subscribed</v>
      </c>
    </row>
    <row r="2299" spans="1:26" x14ac:dyDescent="0.25">
      <c r="A2299">
        <v>2298</v>
      </c>
      <c r="B2299">
        <v>60</v>
      </c>
      <c r="C2299" t="s">
        <v>22</v>
      </c>
      <c r="D2299">
        <v>2298</v>
      </c>
      <c r="E2299" t="s">
        <v>128</v>
      </c>
      <c r="F2299" t="s">
        <v>24</v>
      </c>
      <c r="G2299">
        <v>2298</v>
      </c>
      <c r="H2299">
        <v>2956</v>
      </c>
      <c r="I2299">
        <v>83</v>
      </c>
      <c r="J2299" t="s">
        <v>102</v>
      </c>
      <c r="K2299" t="s">
        <v>47</v>
      </c>
      <c r="L2299" t="s">
        <v>124</v>
      </c>
      <c r="M2299" t="s">
        <v>56</v>
      </c>
      <c r="N2299">
        <v>4.7</v>
      </c>
      <c r="O2299">
        <v>0</v>
      </c>
      <c r="P2299" t="s">
        <v>57</v>
      </c>
      <c r="Q2299" t="s">
        <v>155</v>
      </c>
      <c r="R2299" t="s">
        <v>155</v>
      </c>
      <c r="S2299">
        <v>1</v>
      </c>
      <c r="T2299" t="s">
        <v>78</v>
      </c>
      <c r="U2299" t="s">
        <v>61</v>
      </c>
      <c r="V2299" s="1">
        <v>45486</v>
      </c>
      <c r="W2299">
        <f>Table1[[#This Row],[customer_purchase count]]+1</f>
        <v>2</v>
      </c>
      <c r="X2299">
        <f>Table1[[#This Row],[customer_purchase count]]*Rules!$B$3</f>
        <v>59.764358974358977</v>
      </c>
      <c r="Y2299" t="str">
        <f>IF(Table1[[#This Row],[customer_subscription]]=1,"Subscribed","Not Subscribed")</f>
        <v>Not Subscribed</v>
      </c>
      <c r="Z2299" t="s">
        <v>194</v>
      </c>
    </row>
    <row r="2300" spans="1:26" x14ac:dyDescent="0.25">
      <c r="A2300">
        <v>2299</v>
      </c>
      <c r="B2300">
        <v>40</v>
      </c>
      <c r="C2300" t="s">
        <v>22</v>
      </c>
      <c r="D2300">
        <v>2299</v>
      </c>
      <c r="E2300" t="s">
        <v>69</v>
      </c>
      <c r="F2300" t="s">
        <v>70</v>
      </c>
      <c r="G2300">
        <v>2299</v>
      </c>
      <c r="H2300">
        <v>2957</v>
      </c>
      <c r="I2300">
        <v>87</v>
      </c>
      <c r="J2300" t="s">
        <v>59</v>
      </c>
      <c r="K2300" t="s">
        <v>26</v>
      </c>
      <c r="L2300" t="s">
        <v>112</v>
      </c>
      <c r="M2300" t="s">
        <v>40</v>
      </c>
      <c r="N2300">
        <v>2.9</v>
      </c>
      <c r="O2300">
        <v>0</v>
      </c>
      <c r="P2300" t="s">
        <v>73</v>
      </c>
      <c r="Q2300" t="s">
        <v>155</v>
      </c>
      <c r="R2300" t="s">
        <v>155</v>
      </c>
      <c r="S2300">
        <v>10</v>
      </c>
      <c r="T2300" t="s">
        <v>36</v>
      </c>
      <c r="U2300" t="s">
        <v>100</v>
      </c>
      <c r="V2300" s="1">
        <v>45401</v>
      </c>
      <c r="W2300">
        <f>Table1[[#This Row],[customer_purchase count]]+1</f>
        <v>11</v>
      </c>
      <c r="X2300">
        <f>Table1[[#This Row],[customer_purchase count]]*Rules!$B$3</f>
        <v>597.64358974358981</v>
      </c>
      <c r="Y2300" t="str">
        <f>IF(Table1[[#This Row],[customer_subscription]]=1,"Subscribed","Not Subscribed")</f>
        <v>Not Subscribed</v>
      </c>
      <c r="Z2300" t="s">
        <v>194</v>
      </c>
    </row>
    <row r="2301" spans="1:26" x14ac:dyDescent="0.25">
      <c r="A2301">
        <v>2300</v>
      </c>
      <c r="B2301">
        <v>64</v>
      </c>
      <c r="C2301" t="s">
        <v>22</v>
      </c>
      <c r="D2301">
        <v>2300</v>
      </c>
      <c r="E2301" t="s">
        <v>65</v>
      </c>
      <c r="F2301" t="s">
        <v>66</v>
      </c>
      <c r="G2301">
        <v>2300</v>
      </c>
      <c r="H2301">
        <v>2959</v>
      </c>
      <c r="I2301">
        <v>57</v>
      </c>
      <c r="J2301" t="s">
        <v>138</v>
      </c>
      <c r="K2301" t="s">
        <v>47</v>
      </c>
      <c r="L2301" t="s">
        <v>86</v>
      </c>
      <c r="M2301" t="s">
        <v>56</v>
      </c>
      <c r="N2301">
        <v>3.7</v>
      </c>
      <c r="O2301">
        <v>0</v>
      </c>
      <c r="P2301" t="s">
        <v>77</v>
      </c>
      <c r="Q2301" t="s">
        <v>155</v>
      </c>
      <c r="R2301" t="s">
        <v>155</v>
      </c>
      <c r="S2301">
        <v>48</v>
      </c>
      <c r="T2301" t="s">
        <v>42</v>
      </c>
      <c r="U2301" t="s">
        <v>100</v>
      </c>
      <c r="V2301" s="1">
        <v>45452</v>
      </c>
      <c r="W2301">
        <f>Table1[[#This Row],[customer_purchase count]]+1</f>
        <v>49</v>
      </c>
      <c r="X2301">
        <f>Table1[[#This Row],[customer_purchase count]]*Rules!$B$3</f>
        <v>2868.689230769231</v>
      </c>
      <c r="Y2301" t="str">
        <f>IF(Table1[[#This Row],[customer_subscription]]=1,"Subscribed","Not Subscribed")</f>
        <v>Not Subscribed</v>
      </c>
    </row>
    <row r="2302" spans="1:26" x14ac:dyDescent="0.25">
      <c r="A2302">
        <v>2301</v>
      </c>
      <c r="B2302">
        <v>18</v>
      </c>
      <c r="C2302" t="s">
        <v>22</v>
      </c>
      <c r="D2302">
        <v>2301</v>
      </c>
      <c r="E2302" t="s">
        <v>65</v>
      </c>
      <c r="F2302" t="s">
        <v>66</v>
      </c>
      <c r="G2302">
        <v>2301</v>
      </c>
      <c r="H2302">
        <v>2960</v>
      </c>
      <c r="I2302">
        <v>88</v>
      </c>
      <c r="J2302" t="s">
        <v>141</v>
      </c>
      <c r="K2302" t="s">
        <v>95</v>
      </c>
      <c r="L2302" t="s">
        <v>96</v>
      </c>
      <c r="M2302" t="s">
        <v>56</v>
      </c>
      <c r="N2302">
        <v>4.4000000000000004</v>
      </c>
      <c r="O2302">
        <v>0</v>
      </c>
      <c r="P2302" t="s">
        <v>73</v>
      </c>
      <c r="Q2302" t="s">
        <v>155</v>
      </c>
      <c r="R2302" t="s">
        <v>155</v>
      </c>
      <c r="S2302">
        <v>38</v>
      </c>
      <c r="T2302" t="s">
        <v>42</v>
      </c>
      <c r="U2302" t="s">
        <v>91</v>
      </c>
      <c r="V2302" s="1">
        <v>45479</v>
      </c>
      <c r="W2302">
        <f>Table1[[#This Row],[customer_purchase count]]+1</f>
        <v>39</v>
      </c>
      <c r="X2302">
        <f>Table1[[#This Row],[customer_purchase count]]*Rules!$B$3</f>
        <v>2271.0456410256411</v>
      </c>
      <c r="Y2302" t="str">
        <f>IF(Table1[[#This Row],[customer_subscription]]=1,"Subscribed","Not Subscribed")</f>
        <v>Not Subscribed</v>
      </c>
    </row>
    <row r="2303" spans="1:26" x14ac:dyDescent="0.25">
      <c r="A2303">
        <v>2302</v>
      </c>
      <c r="B2303">
        <v>37</v>
      </c>
      <c r="C2303" t="s">
        <v>22</v>
      </c>
      <c r="D2303">
        <v>2302</v>
      </c>
      <c r="E2303" t="s">
        <v>98</v>
      </c>
      <c r="F2303" t="s">
        <v>24</v>
      </c>
      <c r="G2303">
        <v>2302</v>
      </c>
      <c r="H2303">
        <v>2961</v>
      </c>
      <c r="I2303">
        <v>20</v>
      </c>
      <c r="J2303" t="s">
        <v>34</v>
      </c>
      <c r="K2303" t="s">
        <v>26</v>
      </c>
      <c r="L2303" t="s">
        <v>51</v>
      </c>
      <c r="M2303" t="s">
        <v>28</v>
      </c>
      <c r="N2303">
        <v>2.9</v>
      </c>
      <c r="O2303">
        <v>0</v>
      </c>
      <c r="P2303" t="s">
        <v>48</v>
      </c>
      <c r="Q2303" t="s">
        <v>155</v>
      </c>
      <c r="R2303" t="s">
        <v>155</v>
      </c>
      <c r="S2303">
        <v>21</v>
      </c>
      <c r="T2303" t="s">
        <v>89</v>
      </c>
      <c r="U2303" t="s">
        <v>52</v>
      </c>
      <c r="V2303" s="1">
        <v>45315</v>
      </c>
      <c r="W2303">
        <f>Table1[[#This Row],[customer_purchase count]]+1</f>
        <v>22</v>
      </c>
      <c r="X2303">
        <f>Table1[[#This Row],[customer_purchase count]]*Rules!$B$3</f>
        <v>1255.0515384615385</v>
      </c>
      <c r="Y2303" t="str">
        <f>IF(Table1[[#This Row],[customer_subscription]]=1,"Subscribed","Not Subscribed")</f>
        <v>Not Subscribed</v>
      </c>
    </row>
    <row r="2304" spans="1:26" x14ac:dyDescent="0.25">
      <c r="A2304">
        <v>2303</v>
      </c>
      <c r="B2304">
        <v>36</v>
      </c>
      <c r="C2304" t="s">
        <v>22</v>
      </c>
      <c r="D2304">
        <v>2303</v>
      </c>
      <c r="E2304" t="s">
        <v>136</v>
      </c>
      <c r="F2304" t="s">
        <v>70</v>
      </c>
      <c r="G2304">
        <v>2303</v>
      </c>
      <c r="H2304">
        <v>2962</v>
      </c>
      <c r="I2304">
        <v>39</v>
      </c>
      <c r="J2304" t="s">
        <v>59</v>
      </c>
      <c r="K2304" t="s">
        <v>26</v>
      </c>
      <c r="L2304" t="s">
        <v>72</v>
      </c>
      <c r="M2304" t="s">
        <v>56</v>
      </c>
      <c r="N2304">
        <v>3.6</v>
      </c>
      <c r="O2304">
        <v>0</v>
      </c>
      <c r="P2304" t="s">
        <v>77</v>
      </c>
      <c r="Q2304" t="s">
        <v>155</v>
      </c>
      <c r="R2304" t="s">
        <v>155</v>
      </c>
      <c r="S2304">
        <v>38</v>
      </c>
      <c r="T2304" t="s">
        <v>31</v>
      </c>
      <c r="U2304" t="s">
        <v>91</v>
      </c>
      <c r="V2304" s="1">
        <v>45449</v>
      </c>
      <c r="W2304">
        <f>Table1[[#This Row],[customer_purchase count]]+1</f>
        <v>39</v>
      </c>
      <c r="X2304">
        <f>Table1[[#This Row],[customer_purchase count]]*Rules!$B$3</f>
        <v>2271.0456410256411</v>
      </c>
      <c r="Y2304" t="str">
        <f>IF(Table1[[#This Row],[customer_subscription]]=1,"Subscribed","Not Subscribed")</f>
        <v>Not Subscribed</v>
      </c>
    </row>
    <row r="2305" spans="1:26" x14ac:dyDescent="0.25">
      <c r="A2305">
        <v>2304</v>
      </c>
      <c r="B2305">
        <v>51</v>
      </c>
      <c r="C2305" t="s">
        <v>22</v>
      </c>
      <c r="D2305">
        <v>2304</v>
      </c>
      <c r="E2305" t="s">
        <v>92</v>
      </c>
      <c r="F2305" t="s">
        <v>70</v>
      </c>
      <c r="G2305">
        <v>2304</v>
      </c>
      <c r="H2305">
        <v>2963</v>
      </c>
      <c r="I2305">
        <v>71</v>
      </c>
      <c r="J2305" t="s">
        <v>130</v>
      </c>
      <c r="K2305" t="s">
        <v>39</v>
      </c>
      <c r="L2305" t="s">
        <v>121</v>
      </c>
      <c r="M2305" t="s">
        <v>40</v>
      </c>
      <c r="N2305">
        <v>4.8</v>
      </c>
      <c r="O2305">
        <v>0</v>
      </c>
      <c r="P2305" t="s">
        <v>73</v>
      </c>
      <c r="Q2305" t="s">
        <v>155</v>
      </c>
      <c r="R2305" t="s">
        <v>155</v>
      </c>
      <c r="S2305">
        <v>31</v>
      </c>
      <c r="T2305" t="s">
        <v>42</v>
      </c>
      <c r="U2305" t="s">
        <v>32</v>
      </c>
      <c r="V2305" s="1">
        <v>45361</v>
      </c>
      <c r="W2305">
        <f>Table1[[#This Row],[customer_purchase count]]+1</f>
        <v>32</v>
      </c>
      <c r="X2305">
        <f>Table1[[#This Row],[customer_purchase count]]*Rules!$B$3</f>
        <v>1852.6951282051282</v>
      </c>
      <c r="Y2305" t="str">
        <f>IF(Table1[[#This Row],[customer_subscription]]=1,"Subscribed","Not Subscribed")</f>
        <v>Not Subscribed</v>
      </c>
    </row>
    <row r="2306" spans="1:26" x14ac:dyDescent="0.25">
      <c r="A2306">
        <v>2305</v>
      </c>
      <c r="B2306">
        <v>26</v>
      </c>
      <c r="C2306" t="s">
        <v>22</v>
      </c>
      <c r="D2306">
        <v>2305</v>
      </c>
      <c r="E2306" t="s">
        <v>107</v>
      </c>
      <c r="F2306" t="s">
        <v>24</v>
      </c>
      <c r="G2306">
        <v>2305</v>
      </c>
      <c r="H2306">
        <v>2965</v>
      </c>
      <c r="I2306">
        <v>73</v>
      </c>
      <c r="J2306" t="s">
        <v>63</v>
      </c>
      <c r="K2306" t="s">
        <v>26</v>
      </c>
      <c r="L2306" t="s">
        <v>68</v>
      </c>
      <c r="M2306" t="s">
        <v>28</v>
      </c>
      <c r="N2306">
        <v>4.7</v>
      </c>
      <c r="O2306">
        <v>0</v>
      </c>
      <c r="P2306" t="s">
        <v>41</v>
      </c>
      <c r="Q2306" t="s">
        <v>155</v>
      </c>
      <c r="R2306" t="s">
        <v>155</v>
      </c>
      <c r="S2306">
        <v>9</v>
      </c>
      <c r="T2306" t="s">
        <v>89</v>
      </c>
      <c r="U2306" t="s">
        <v>32</v>
      </c>
      <c r="V2306" s="1">
        <v>45301</v>
      </c>
      <c r="W2306">
        <f>Table1[[#This Row],[customer_purchase count]]+1</f>
        <v>10</v>
      </c>
      <c r="X2306">
        <f>Table1[[#This Row],[customer_purchase count]]*Rules!$B$3</f>
        <v>537.87923076923084</v>
      </c>
      <c r="Y2306" t="str">
        <f>IF(Table1[[#This Row],[customer_subscription]]=1,"Subscribed","Not Subscribed")</f>
        <v>Not Subscribed</v>
      </c>
      <c r="Z2306" t="s">
        <v>187</v>
      </c>
    </row>
    <row r="2307" spans="1:26" x14ac:dyDescent="0.25">
      <c r="A2307">
        <v>2306</v>
      </c>
      <c r="B2307">
        <v>68</v>
      </c>
      <c r="C2307" t="s">
        <v>22</v>
      </c>
      <c r="D2307">
        <v>2306</v>
      </c>
      <c r="E2307" t="s">
        <v>69</v>
      </c>
      <c r="F2307" t="s">
        <v>70</v>
      </c>
      <c r="G2307">
        <v>2306</v>
      </c>
      <c r="H2307">
        <v>2966</v>
      </c>
      <c r="I2307">
        <v>63</v>
      </c>
      <c r="J2307" t="s">
        <v>34</v>
      </c>
      <c r="K2307" t="s">
        <v>47</v>
      </c>
      <c r="L2307" t="s">
        <v>83</v>
      </c>
      <c r="M2307" t="s">
        <v>56</v>
      </c>
      <c r="N2307">
        <v>2.6</v>
      </c>
      <c r="O2307">
        <v>0</v>
      </c>
      <c r="P2307" t="s">
        <v>41</v>
      </c>
      <c r="Q2307" t="s">
        <v>155</v>
      </c>
      <c r="R2307" t="s">
        <v>155</v>
      </c>
      <c r="S2307">
        <v>47</v>
      </c>
      <c r="T2307" t="s">
        <v>36</v>
      </c>
      <c r="U2307" t="s">
        <v>43</v>
      </c>
      <c r="V2307" s="1">
        <v>45514</v>
      </c>
      <c r="W2307">
        <f>Table1[[#This Row],[customer_purchase count]]+1</f>
        <v>48</v>
      </c>
      <c r="X2307">
        <f>Table1[[#This Row],[customer_purchase count]]*Rules!$B$3</f>
        <v>2808.9248717948717</v>
      </c>
      <c r="Y2307" t="str">
        <f>IF(Table1[[#This Row],[customer_subscription]]=1,"Subscribed","Not Subscribed")</f>
        <v>Not Subscribed</v>
      </c>
    </row>
    <row r="2308" spans="1:26" x14ac:dyDescent="0.25">
      <c r="A2308">
        <v>2307</v>
      </c>
      <c r="B2308">
        <v>27</v>
      </c>
      <c r="C2308" t="s">
        <v>22</v>
      </c>
      <c r="D2308">
        <v>2307</v>
      </c>
      <c r="E2308" t="s">
        <v>146</v>
      </c>
      <c r="F2308" t="s">
        <v>70</v>
      </c>
      <c r="G2308">
        <v>2307</v>
      </c>
      <c r="H2308">
        <v>2967</v>
      </c>
      <c r="I2308">
        <v>78</v>
      </c>
      <c r="J2308" t="s">
        <v>106</v>
      </c>
      <c r="K2308" t="s">
        <v>26</v>
      </c>
      <c r="L2308" t="s">
        <v>68</v>
      </c>
      <c r="M2308" t="s">
        <v>28</v>
      </c>
      <c r="N2308">
        <v>3.4</v>
      </c>
      <c r="O2308">
        <v>0</v>
      </c>
      <c r="P2308" t="s">
        <v>57</v>
      </c>
      <c r="Q2308" t="s">
        <v>155</v>
      </c>
      <c r="R2308" t="s">
        <v>155</v>
      </c>
      <c r="S2308">
        <v>8</v>
      </c>
      <c r="T2308" t="s">
        <v>36</v>
      </c>
      <c r="U2308" t="s">
        <v>79</v>
      </c>
      <c r="V2308" s="1">
        <v>45317</v>
      </c>
      <c r="W2308">
        <f>Table1[[#This Row],[customer_purchase count]]+1</f>
        <v>9</v>
      </c>
      <c r="X2308">
        <f>Table1[[#This Row],[customer_purchase count]]*Rules!$B$3</f>
        <v>478.11487179487182</v>
      </c>
      <c r="Y2308" t="str">
        <f>IF(Table1[[#This Row],[customer_subscription]]=1,"Subscribed","Not Subscribed")</f>
        <v>Not Subscribed</v>
      </c>
      <c r="Z2308" t="s">
        <v>194</v>
      </c>
    </row>
    <row r="2309" spans="1:26" x14ac:dyDescent="0.25">
      <c r="A2309">
        <v>2308</v>
      </c>
      <c r="B2309">
        <v>28</v>
      </c>
      <c r="C2309" t="s">
        <v>22</v>
      </c>
      <c r="D2309">
        <v>2308</v>
      </c>
      <c r="E2309" t="s">
        <v>90</v>
      </c>
      <c r="F2309" t="s">
        <v>24</v>
      </c>
      <c r="G2309">
        <v>2308</v>
      </c>
      <c r="H2309">
        <v>2968</v>
      </c>
      <c r="I2309">
        <v>96</v>
      </c>
      <c r="J2309" t="s">
        <v>71</v>
      </c>
      <c r="K2309" t="s">
        <v>26</v>
      </c>
      <c r="L2309" t="s">
        <v>99</v>
      </c>
      <c r="M2309" t="s">
        <v>60</v>
      </c>
      <c r="N2309">
        <v>3.5</v>
      </c>
      <c r="O2309">
        <v>0</v>
      </c>
      <c r="P2309" t="s">
        <v>48</v>
      </c>
      <c r="Q2309" t="s">
        <v>155</v>
      </c>
      <c r="R2309" t="s">
        <v>155</v>
      </c>
      <c r="S2309">
        <v>30</v>
      </c>
      <c r="T2309" t="s">
        <v>89</v>
      </c>
      <c r="U2309" t="s">
        <v>52</v>
      </c>
      <c r="V2309" s="1">
        <v>45609</v>
      </c>
      <c r="W2309">
        <f>Table1[[#This Row],[customer_purchase count]]+1</f>
        <v>31</v>
      </c>
      <c r="X2309">
        <f>Table1[[#This Row],[customer_purchase count]]*Rules!$B$3</f>
        <v>1792.9307692307693</v>
      </c>
      <c r="Y2309" t="str">
        <f>IF(Table1[[#This Row],[customer_subscription]]=1,"Subscribed","Not Subscribed")</f>
        <v>Not Subscribed</v>
      </c>
    </row>
    <row r="2310" spans="1:26" x14ac:dyDescent="0.25">
      <c r="A2310">
        <v>2309</v>
      </c>
      <c r="B2310">
        <v>49</v>
      </c>
      <c r="C2310" t="s">
        <v>22</v>
      </c>
      <c r="D2310">
        <v>2309</v>
      </c>
      <c r="E2310" t="s">
        <v>92</v>
      </c>
      <c r="F2310" t="s">
        <v>70</v>
      </c>
      <c r="G2310">
        <v>2309</v>
      </c>
      <c r="H2310">
        <v>2969</v>
      </c>
      <c r="I2310">
        <v>81</v>
      </c>
      <c r="J2310" t="s">
        <v>117</v>
      </c>
      <c r="K2310" t="s">
        <v>47</v>
      </c>
      <c r="L2310" t="s">
        <v>88</v>
      </c>
      <c r="M2310" t="s">
        <v>28</v>
      </c>
      <c r="N2310">
        <v>3.4</v>
      </c>
      <c r="O2310">
        <v>0</v>
      </c>
      <c r="P2310" t="s">
        <v>73</v>
      </c>
      <c r="Q2310" t="s">
        <v>155</v>
      </c>
      <c r="R2310" t="s">
        <v>155</v>
      </c>
      <c r="S2310">
        <v>22</v>
      </c>
      <c r="T2310" t="s">
        <v>78</v>
      </c>
      <c r="U2310" t="s">
        <v>61</v>
      </c>
      <c r="V2310" s="1">
        <v>45315</v>
      </c>
      <c r="W2310">
        <f>Table1[[#This Row],[customer_purchase count]]+1</f>
        <v>23</v>
      </c>
      <c r="X2310">
        <f>Table1[[#This Row],[customer_purchase count]]*Rules!$B$3</f>
        <v>1314.8158974358976</v>
      </c>
      <c r="Y2310" t="str">
        <f>IF(Table1[[#This Row],[customer_subscription]]=1,"Subscribed","Not Subscribed")</f>
        <v>Not Subscribed</v>
      </c>
    </row>
    <row r="2311" spans="1:26" x14ac:dyDescent="0.25">
      <c r="A2311">
        <v>2310</v>
      </c>
      <c r="B2311">
        <v>70</v>
      </c>
      <c r="C2311" t="s">
        <v>22</v>
      </c>
      <c r="D2311">
        <v>2310</v>
      </c>
      <c r="E2311" t="s">
        <v>84</v>
      </c>
      <c r="F2311" t="s">
        <v>24</v>
      </c>
      <c r="G2311">
        <v>2310</v>
      </c>
      <c r="H2311">
        <v>2971</v>
      </c>
      <c r="I2311">
        <v>95</v>
      </c>
      <c r="J2311" t="s">
        <v>142</v>
      </c>
      <c r="K2311" t="s">
        <v>39</v>
      </c>
      <c r="L2311" t="s">
        <v>83</v>
      </c>
      <c r="M2311" t="s">
        <v>60</v>
      </c>
      <c r="N2311">
        <v>5</v>
      </c>
      <c r="O2311">
        <v>0</v>
      </c>
      <c r="P2311" t="s">
        <v>73</v>
      </c>
      <c r="Q2311" t="s">
        <v>155</v>
      </c>
      <c r="R2311" t="s">
        <v>155</v>
      </c>
      <c r="S2311">
        <v>3</v>
      </c>
      <c r="T2311" t="s">
        <v>78</v>
      </c>
      <c r="U2311" t="s">
        <v>61</v>
      </c>
      <c r="V2311" s="1">
        <v>45590</v>
      </c>
      <c r="W2311">
        <f>Table1[[#This Row],[customer_purchase count]]+1</f>
        <v>4</v>
      </c>
      <c r="X2311">
        <f>Table1[[#This Row],[customer_purchase count]]*Rules!$B$3</f>
        <v>179.29307692307694</v>
      </c>
      <c r="Y2311" t="str">
        <f>IF(Table1[[#This Row],[customer_subscription]]=1,"Subscribed","Not Subscribed")</f>
        <v>Not Subscribed</v>
      </c>
      <c r="Z2311" t="s">
        <v>194</v>
      </c>
    </row>
    <row r="2312" spans="1:26" x14ac:dyDescent="0.25">
      <c r="A2312">
        <v>2311</v>
      </c>
      <c r="B2312">
        <v>30</v>
      </c>
      <c r="C2312" t="s">
        <v>22</v>
      </c>
      <c r="D2312">
        <v>2311</v>
      </c>
      <c r="E2312" t="s">
        <v>146</v>
      </c>
      <c r="F2312" t="s">
        <v>70</v>
      </c>
      <c r="G2312">
        <v>2311</v>
      </c>
      <c r="H2312">
        <v>2972</v>
      </c>
      <c r="I2312">
        <v>68</v>
      </c>
      <c r="J2312" t="s">
        <v>144</v>
      </c>
      <c r="K2312" t="s">
        <v>47</v>
      </c>
      <c r="L2312" t="s">
        <v>112</v>
      </c>
      <c r="M2312" t="s">
        <v>40</v>
      </c>
      <c r="N2312">
        <v>4.5999999999999996</v>
      </c>
      <c r="O2312">
        <v>0</v>
      </c>
      <c r="P2312" t="s">
        <v>57</v>
      </c>
      <c r="Q2312" t="s">
        <v>155</v>
      </c>
      <c r="R2312" t="s">
        <v>155</v>
      </c>
      <c r="S2312">
        <v>15</v>
      </c>
      <c r="T2312" t="s">
        <v>49</v>
      </c>
      <c r="U2312" t="s">
        <v>91</v>
      </c>
      <c r="V2312" s="1">
        <v>45434</v>
      </c>
      <c r="W2312">
        <f>Table1[[#This Row],[customer_purchase count]]+1</f>
        <v>16</v>
      </c>
      <c r="X2312">
        <f>Table1[[#This Row],[customer_purchase count]]*Rules!$B$3</f>
        <v>896.46538461538466</v>
      </c>
      <c r="Y2312" t="str">
        <f>IF(Table1[[#This Row],[customer_subscription]]=1,"Subscribed","Not Subscribed")</f>
        <v>Not Subscribed</v>
      </c>
      <c r="Z2312" t="s">
        <v>194</v>
      </c>
    </row>
    <row r="2313" spans="1:26" x14ac:dyDescent="0.25">
      <c r="A2313">
        <v>2312</v>
      </c>
      <c r="B2313">
        <v>27</v>
      </c>
      <c r="C2313" t="s">
        <v>22</v>
      </c>
      <c r="D2313">
        <v>2312</v>
      </c>
      <c r="E2313" t="s">
        <v>53</v>
      </c>
      <c r="F2313" t="s">
        <v>45</v>
      </c>
      <c r="G2313">
        <v>2312</v>
      </c>
      <c r="H2313">
        <v>2973</v>
      </c>
      <c r="I2313">
        <v>28</v>
      </c>
      <c r="J2313" t="s">
        <v>59</v>
      </c>
      <c r="K2313" t="s">
        <v>26</v>
      </c>
      <c r="L2313" t="s">
        <v>83</v>
      </c>
      <c r="M2313" t="s">
        <v>40</v>
      </c>
      <c r="N2313">
        <v>4.8</v>
      </c>
      <c r="O2313">
        <v>0</v>
      </c>
      <c r="P2313" t="s">
        <v>73</v>
      </c>
      <c r="Q2313" t="s">
        <v>155</v>
      </c>
      <c r="R2313" t="s">
        <v>155</v>
      </c>
      <c r="S2313">
        <v>10</v>
      </c>
      <c r="T2313" t="s">
        <v>78</v>
      </c>
      <c r="U2313" t="s">
        <v>100</v>
      </c>
      <c r="V2313" s="1">
        <v>45359</v>
      </c>
      <c r="W2313">
        <f>Table1[[#This Row],[customer_purchase count]]+1</f>
        <v>11</v>
      </c>
      <c r="X2313">
        <f>Table1[[#This Row],[customer_purchase count]]*Rules!$B$3</f>
        <v>597.64358974358981</v>
      </c>
      <c r="Y2313" t="str">
        <f>IF(Table1[[#This Row],[customer_subscription]]=1,"Subscribed","Not Subscribed")</f>
        <v>Not Subscribed</v>
      </c>
      <c r="Z2313" t="s">
        <v>187</v>
      </c>
    </row>
    <row r="2314" spans="1:26" x14ac:dyDescent="0.25">
      <c r="A2314">
        <v>2313</v>
      </c>
      <c r="B2314">
        <v>19</v>
      </c>
      <c r="C2314" t="s">
        <v>22</v>
      </c>
      <c r="D2314">
        <v>2313</v>
      </c>
      <c r="E2314" t="s">
        <v>116</v>
      </c>
      <c r="F2314" t="s">
        <v>24</v>
      </c>
      <c r="G2314">
        <v>2313</v>
      </c>
      <c r="H2314">
        <v>2974</v>
      </c>
      <c r="I2314">
        <v>30</v>
      </c>
      <c r="J2314" t="s">
        <v>132</v>
      </c>
      <c r="K2314" t="s">
        <v>26</v>
      </c>
      <c r="L2314" t="s">
        <v>86</v>
      </c>
      <c r="M2314" t="s">
        <v>56</v>
      </c>
      <c r="N2314">
        <v>3.7</v>
      </c>
      <c r="O2314">
        <v>0</v>
      </c>
      <c r="P2314" t="s">
        <v>41</v>
      </c>
      <c r="Q2314" t="s">
        <v>155</v>
      </c>
      <c r="R2314" t="s">
        <v>155</v>
      </c>
      <c r="S2314">
        <v>19</v>
      </c>
      <c r="T2314" t="s">
        <v>36</v>
      </c>
      <c r="U2314" t="s">
        <v>100</v>
      </c>
      <c r="V2314" s="1">
        <v>45448</v>
      </c>
      <c r="W2314">
        <f>Table1[[#This Row],[customer_purchase count]]+1</f>
        <v>20</v>
      </c>
      <c r="X2314">
        <f>Table1[[#This Row],[customer_purchase count]]*Rules!$B$3</f>
        <v>1135.5228205128205</v>
      </c>
      <c r="Y2314" t="str">
        <f>IF(Table1[[#This Row],[customer_subscription]]=1,"Subscribed","Not Subscribed")</f>
        <v>Not Subscribed</v>
      </c>
    </row>
    <row r="2315" spans="1:26" x14ac:dyDescent="0.25">
      <c r="A2315">
        <v>2314</v>
      </c>
      <c r="B2315">
        <v>64</v>
      </c>
      <c r="C2315" t="s">
        <v>22</v>
      </c>
      <c r="D2315">
        <v>2314</v>
      </c>
      <c r="E2315" t="s">
        <v>84</v>
      </c>
      <c r="F2315" t="s">
        <v>24</v>
      </c>
      <c r="G2315">
        <v>2314</v>
      </c>
      <c r="H2315">
        <v>2975</v>
      </c>
      <c r="I2315">
        <v>31</v>
      </c>
      <c r="J2315" t="s">
        <v>145</v>
      </c>
      <c r="K2315" t="s">
        <v>47</v>
      </c>
      <c r="L2315" t="s">
        <v>97</v>
      </c>
      <c r="M2315" t="s">
        <v>56</v>
      </c>
      <c r="N2315">
        <v>4.7</v>
      </c>
      <c r="O2315">
        <v>0</v>
      </c>
      <c r="P2315" t="s">
        <v>48</v>
      </c>
      <c r="Q2315" t="s">
        <v>155</v>
      </c>
      <c r="R2315" t="s">
        <v>155</v>
      </c>
      <c r="S2315">
        <v>36</v>
      </c>
      <c r="T2315" t="s">
        <v>78</v>
      </c>
      <c r="U2315" t="s">
        <v>32</v>
      </c>
      <c r="V2315" s="1">
        <v>45462</v>
      </c>
      <c r="W2315">
        <f>Table1[[#This Row],[customer_purchase count]]+1</f>
        <v>37</v>
      </c>
      <c r="X2315">
        <f>Table1[[#This Row],[customer_purchase count]]*Rules!$B$3</f>
        <v>2151.5169230769234</v>
      </c>
      <c r="Y2315" t="str">
        <f>IF(Table1[[#This Row],[customer_subscription]]=1,"Subscribed","Not Subscribed")</f>
        <v>Not Subscribed</v>
      </c>
    </row>
    <row r="2316" spans="1:26" x14ac:dyDescent="0.25">
      <c r="A2316">
        <v>2315</v>
      </c>
      <c r="B2316">
        <v>42</v>
      </c>
      <c r="C2316" t="s">
        <v>22</v>
      </c>
      <c r="D2316">
        <v>2315</v>
      </c>
      <c r="E2316" t="s">
        <v>69</v>
      </c>
      <c r="F2316" t="s">
        <v>70</v>
      </c>
      <c r="G2316">
        <v>2315</v>
      </c>
      <c r="H2316">
        <v>2977</v>
      </c>
      <c r="I2316">
        <v>95</v>
      </c>
      <c r="J2316" t="s">
        <v>144</v>
      </c>
      <c r="K2316" t="s">
        <v>95</v>
      </c>
      <c r="L2316" t="s">
        <v>113</v>
      </c>
      <c r="M2316" t="s">
        <v>28</v>
      </c>
      <c r="N2316">
        <v>4.4000000000000004</v>
      </c>
      <c r="O2316">
        <v>0</v>
      </c>
      <c r="P2316" t="s">
        <v>29</v>
      </c>
      <c r="Q2316" t="s">
        <v>155</v>
      </c>
      <c r="R2316" t="s">
        <v>155</v>
      </c>
      <c r="S2316">
        <v>12</v>
      </c>
      <c r="T2316" t="s">
        <v>78</v>
      </c>
      <c r="U2316" t="s">
        <v>100</v>
      </c>
      <c r="V2316" s="1">
        <v>45350</v>
      </c>
      <c r="W2316">
        <f>Table1[[#This Row],[customer_purchase count]]+1</f>
        <v>13</v>
      </c>
      <c r="X2316">
        <f>Table1[[#This Row],[customer_purchase count]]*Rules!$B$3</f>
        <v>717.17230769230775</v>
      </c>
      <c r="Y2316" t="str">
        <f>IF(Table1[[#This Row],[customer_subscription]]=1,"Subscribed","Not Subscribed")</f>
        <v>Not Subscribed</v>
      </c>
      <c r="Z2316" t="s">
        <v>194</v>
      </c>
    </row>
    <row r="2317" spans="1:26" x14ac:dyDescent="0.25">
      <c r="A2317">
        <v>2316</v>
      </c>
      <c r="B2317">
        <v>69</v>
      </c>
      <c r="C2317" t="s">
        <v>22</v>
      </c>
      <c r="D2317">
        <v>2316</v>
      </c>
      <c r="E2317" t="s">
        <v>128</v>
      </c>
      <c r="F2317" t="s">
        <v>24</v>
      </c>
      <c r="G2317">
        <v>2316</v>
      </c>
      <c r="H2317">
        <v>2978</v>
      </c>
      <c r="I2317">
        <v>79</v>
      </c>
      <c r="J2317" t="s">
        <v>132</v>
      </c>
      <c r="K2317" t="s">
        <v>47</v>
      </c>
      <c r="L2317" t="s">
        <v>129</v>
      </c>
      <c r="M2317" t="s">
        <v>28</v>
      </c>
      <c r="N2317">
        <v>3.5</v>
      </c>
      <c r="O2317">
        <v>0</v>
      </c>
      <c r="P2317" t="s">
        <v>73</v>
      </c>
      <c r="Q2317" t="s">
        <v>155</v>
      </c>
      <c r="R2317" t="s">
        <v>155</v>
      </c>
      <c r="S2317">
        <v>49</v>
      </c>
      <c r="T2317" t="s">
        <v>89</v>
      </c>
      <c r="U2317" t="s">
        <v>61</v>
      </c>
      <c r="V2317" s="1">
        <v>45310</v>
      </c>
      <c r="W2317">
        <f>Table1[[#This Row],[customer_purchase count]]+1</f>
        <v>50</v>
      </c>
      <c r="X2317">
        <f>Table1[[#This Row],[customer_purchase count]]*Rules!$B$3</f>
        <v>2928.4535897435899</v>
      </c>
      <c r="Y2317" t="str">
        <f>IF(Table1[[#This Row],[customer_subscription]]=1,"Subscribed","Not Subscribed")</f>
        <v>Not Subscribed</v>
      </c>
    </row>
    <row r="2318" spans="1:26" x14ac:dyDescent="0.25">
      <c r="A2318">
        <v>2317</v>
      </c>
      <c r="B2318">
        <v>28</v>
      </c>
      <c r="C2318" t="s">
        <v>22</v>
      </c>
      <c r="D2318">
        <v>2317</v>
      </c>
      <c r="E2318" t="s">
        <v>53</v>
      </c>
      <c r="F2318" t="s">
        <v>45</v>
      </c>
      <c r="G2318">
        <v>2317</v>
      </c>
      <c r="H2318">
        <v>2979</v>
      </c>
      <c r="I2318">
        <v>39</v>
      </c>
      <c r="J2318" t="s">
        <v>59</v>
      </c>
      <c r="K2318" t="s">
        <v>26</v>
      </c>
      <c r="L2318" t="s">
        <v>137</v>
      </c>
      <c r="M2318" t="s">
        <v>28</v>
      </c>
      <c r="N2318">
        <v>3.8</v>
      </c>
      <c r="O2318">
        <v>0</v>
      </c>
      <c r="P2318" t="s">
        <v>57</v>
      </c>
      <c r="Q2318" t="s">
        <v>155</v>
      </c>
      <c r="R2318" t="s">
        <v>155</v>
      </c>
      <c r="S2318">
        <v>7</v>
      </c>
      <c r="T2318" t="s">
        <v>89</v>
      </c>
      <c r="U2318" t="s">
        <v>52</v>
      </c>
      <c r="V2318" s="1">
        <v>45635</v>
      </c>
      <c r="W2318">
        <f>Table1[[#This Row],[customer_purchase count]]+1</f>
        <v>8</v>
      </c>
      <c r="X2318">
        <f>Table1[[#This Row],[customer_purchase count]]*Rules!$B$3</f>
        <v>418.35051282051285</v>
      </c>
      <c r="Y2318" t="str">
        <f>IF(Table1[[#This Row],[customer_subscription]]=1,"Subscribed","Not Subscribed")</f>
        <v>Not Subscribed</v>
      </c>
      <c r="Z2318" t="s">
        <v>194</v>
      </c>
    </row>
    <row r="2319" spans="1:26" x14ac:dyDescent="0.25">
      <c r="A2319">
        <v>2318</v>
      </c>
      <c r="B2319">
        <v>47</v>
      </c>
      <c r="C2319" t="s">
        <v>22</v>
      </c>
      <c r="D2319">
        <v>2318</v>
      </c>
      <c r="E2319" t="s">
        <v>105</v>
      </c>
      <c r="F2319" t="s">
        <v>66</v>
      </c>
      <c r="G2319">
        <v>2318</v>
      </c>
      <c r="H2319">
        <v>2980</v>
      </c>
      <c r="I2319">
        <v>34</v>
      </c>
      <c r="J2319" t="s">
        <v>130</v>
      </c>
      <c r="K2319" t="s">
        <v>47</v>
      </c>
      <c r="L2319" t="s">
        <v>76</v>
      </c>
      <c r="M2319" t="s">
        <v>56</v>
      </c>
      <c r="N2319">
        <v>4.7</v>
      </c>
      <c r="O2319">
        <v>0</v>
      </c>
      <c r="P2319" t="s">
        <v>48</v>
      </c>
      <c r="Q2319" t="s">
        <v>155</v>
      </c>
      <c r="R2319" t="s">
        <v>155</v>
      </c>
      <c r="S2319">
        <v>28</v>
      </c>
      <c r="T2319" t="s">
        <v>78</v>
      </c>
      <c r="U2319" t="s">
        <v>91</v>
      </c>
      <c r="V2319" s="1">
        <v>45523</v>
      </c>
      <c r="W2319">
        <f>Table1[[#This Row],[customer_purchase count]]+1</f>
        <v>29</v>
      </c>
      <c r="X2319">
        <f>Table1[[#This Row],[customer_purchase count]]*Rules!$B$3</f>
        <v>1673.4020512820514</v>
      </c>
      <c r="Y2319" t="str">
        <f>IF(Table1[[#This Row],[customer_subscription]]=1,"Subscribed","Not Subscribed")</f>
        <v>Not Subscribed</v>
      </c>
    </row>
    <row r="2320" spans="1:26" x14ac:dyDescent="0.25">
      <c r="A2320">
        <v>2319</v>
      </c>
      <c r="B2320">
        <v>69</v>
      </c>
      <c r="C2320" t="s">
        <v>22</v>
      </c>
      <c r="D2320">
        <v>2319</v>
      </c>
      <c r="E2320" t="s">
        <v>107</v>
      </c>
      <c r="F2320" t="s">
        <v>24</v>
      </c>
      <c r="G2320">
        <v>2319</v>
      </c>
      <c r="H2320">
        <v>2981</v>
      </c>
      <c r="I2320">
        <v>28</v>
      </c>
      <c r="J2320" t="s">
        <v>54</v>
      </c>
      <c r="K2320" t="s">
        <v>26</v>
      </c>
      <c r="L2320" t="s">
        <v>55</v>
      </c>
      <c r="M2320" t="s">
        <v>40</v>
      </c>
      <c r="N2320">
        <v>3.1</v>
      </c>
      <c r="O2320">
        <v>0</v>
      </c>
      <c r="P2320" t="s">
        <v>77</v>
      </c>
      <c r="Q2320" t="s">
        <v>155</v>
      </c>
      <c r="R2320" t="s">
        <v>155</v>
      </c>
      <c r="S2320">
        <v>30</v>
      </c>
      <c r="T2320" t="s">
        <v>42</v>
      </c>
      <c r="U2320" t="s">
        <v>52</v>
      </c>
      <c r="V2320" s="1">
        <v>45388</v>
      </c>
      <c r="W2320">
        <f>Table1[[#This Row],[customer_purchase count]]+1</f>
        <v>31</v>
      </c>
      <c r="X2320">
        <f>Table1[[#This Row],[customer_purchase count]]*Rules!$B$3</f>
        <v>1792.9307692307693</v>
      </c>
      <c r="Y2320" t="str">
        <f>IF(Table1[[#This Row],[customer_subscription]]=1,"Subscribed","Not Subscribed")</f>
        <v>Not Subscribed</v>
      </c>
    </row>
    <row r="2321" spans="1:26" x14ac:dyDescent="0.25">
      <c r="A2321">
        <v>2320</v>
      </c>
      <c r="B2321">
        <v>56</v>
      </c>
      <c r="C2321" t="s">
        <v>22</v>
      </c>
      <c r="D2321">
        <v>2320</v>
      </c>
      <c r="E2321" t="s">
        <v>44</v>
      </c>
      <c r="F2321" t="s">
        <v>45</v>
      </c>
      <c r="G2321">
        <v>2320</v>
      </c>
      <c r="H2321">
        <v>2983</v>
      </c>
      <c r="I2321">
        <v>38</v>
      </c>
      <c r="J2321" t="s">
        <v>34</v>
      </c>
      <c r="K2321" t="s">
        <v>95</v>
      </c>
      <c r="L2321" t="s">
        <v>51</v>
      </c>
      <c r="M2321" t="s">
        <v>28</v>
      </c>
      <c r="N2321">
        <v>5</v>
      </c>
      <c r="O2321">
        <v>0</v>
      </c>
      <c r="P2321" t="s">
        <v>41</v>
      </c>
      <c r="Q2321" t="s">
        <v>155</v>
      </c>
      <c r="R2321" t="s">
        <v>155</v>
      </c>
      <c r="S2321">
        <v>29</v>
      </c>
      <c r="T2321" t="s">
        <v>49</v>
      </c>
      <c r="U2321" t="s">
        <v>91</v>
      </c>
      <c r="V2321" s="1">
        <v>45654</v>
      </c>
      <c r="W2321">
        <f>Table1[[#This Row],[customer_purchase count]]+1</f>
        <v>30</v>
      </c>
      <c r="X2321">
        <f>Table1[[#This Row],[customer_purchase count]]*Rules!$B$3</f>
        <v>1733.1664102564102</v>
      </c>
      <c r="Y2321" t="str">
        <f>IF(Table1[[#This Row],[customer_subscription]]=1,"Subscribed","Not Subscribed")</f>
        <v>Not Subscribed</v>
      </c>
    </row>
    <row r="2322" spans="1:26" x14ac:dyDescent="0.25">
      <c r="A2322">
        <v>2321</v>
      </c>
      <c r="B2322">
        <v>28</v>
      </c>
      <c r="C2322" t="s">
        <v>22</v>
      </c>
      <c r="D2322">
        <v>2321</v>
      </c>
      <c r="E2322" t="s">
        <v>74</v>
      </c>
      <c r="F2322" t="s">
        <v>45</v>
      </c>
      <c r="G2322">
        <v>2321</v>
      </c>
      <c r="H2322">
        <v>2984</v>
      </c>
      <c r="I2322">
        <v>55</v>
      </c>
      <c r="J2322" t="s">
        <v>133</v>
      </c>
      <c r="K2322" t="s">
        <v>47</v>
      </c>
      <c r="L2322" t="s">
        <v>81</v>
      </c>
      <c r="M2322" t="s">
        <v>40</v>
      </c>
      <c r="N2322">
        <v>3.7</v>
      </c>
      <c r="O2322">
        <v>0</v>
      </c>
      <c r="P2322" t="s">
        <v>41</v>
      </c>
      <c r="Q2322" t="s">
        <v>155</v>
      </c>
      <c r="R2322" t="s">
        <v>155</v>
      </c>
      <c r="S2322">
        <v>9</v>
      </c>
      <c r="T2322" t="s">
        <v>89</v>
      </c>
      <c r="U2322" t="s">
        <v>100</v>
      </c>
      <c r="V2322" s="1">
        <v>45408</v>
      </c>
      <c r="W2322">
        <f>Table1[[#This Row],[customer_purchase count]]+1</f>
        <v>10</v>
      </c>
      <c r="X2322">
        <f>Table1[[#This Row],[customer_purchase count]]*Rules!$B$3</f>
        <v>537.87923076923084</v>
      </c>
      <c r="Y2322" t="str">
        <f>IF(Table1[[#This Row],[customer_subscription]]=1,"Subscribed","Not Subscribed")</f>
        <v>Not Subscribed</v>
      </c>
      <c r="Z2322" t="s">
        <v>187</v>
      </c>
    </row>
    <row r="2323" spans="1:26" x14ac:dyDescent="0.25">
      <c r="A2323">
        <v>2322</v>
      </c>
      <c r="B2323">
        <v>50</v>
      </c>
      <c r="C2323" t="s">
        <v>22</v>
      </c>
      <c r="D2323">
        <v>2322</v>
      </c>
      <c r="E2323" t="s">
        <v>44</v>
      </c>
      <c r="F2323" t="s">
        <v>45</v>
      </c>
      <c r="G2323">
        <v>2322</v>
      </c>
      <c r="H2323">
        <v>2985</v>
      </c>
      <c r="I2323">
        <v>31</v>
      </c>
      <c r="J2323" t="s">
        <v>115</v>
      </c>
      <c r="K2323" t="s">
        <v>47</v>
      </c>
      <c r="L2323" t="s">
        <v>121</v>
      </c>
      <c r="M2323" t="s">
        <v>28</v>
      </c>
      <c r="N2323">
        <v>3</v>
      </c>
      <c r="O2323">
        <v>0</v>
      </c>
      <c r="P2323" t="s">
        <v>48</v>
      </c>
      <c r="Q2323" t="s">
        <v>155</v>
      </c>
      <c r="R2323" t="s">
        <v>155</v>
      </c>
      <c r="S2323">
        <v>27</v>
      </c>
      <c r="T2323" t="s">
        <v>89</v>
      </c>
      <c r="U2323" t="s">
        <v>32</v>
      </c>
      <c r="V2323" s="1">
        <v>45303</v>
      </c>
      <c r="W2323">
        <f>Table1[[#This Row],[customer_purchase count]]+1</f>
        <v>28</v>
      </c>
      <c r="X2323">
        <f>Table1[[#This Row],[customer_purchase count]]*Rules!$B$3</f>
        <v>1613.6376923076923</v>
      </c>
      <c r="Y2323" t="str">
        <f>IF(Table1[[#This Row],[customer_subscription]]=1,"Subscribed","Not Subscribed")</f>
        <v>Not Subscribed</v>
      </c>
    </row>
    <row r="2324" spans="1:26" x14ac:dyDescent="0.25">
      <c r="A2324">
        <v>2323</v>
      </c>
      <c r="B2324">
        <v>39</v>
      </c>
      <c r="C2324" t="s">
        <v>22</v>
      </c>
      <c r="D2324">
        <v>2323</v>
      </c>
      <c r="E2324" t="s">
        <v>65</v>
      </c>
      <c r="F2324" t="s">
        <v>66</v>
      </c>
      <c r="G2324">
        <v>2323</v>
      </c>
      <c r="H2324">
        <v>2986</v>
      </c>
      <c r="I2324">
        <v>84</v>
      </c>
      <c r="J2324" t="s">
        <v>142</v>
      </c>
      <c r="K2324" t="s">
        <v>39</v>
      </c>
      <c r="L2324" t="s">
        <v>96</v>
      </c>
      <c r="M2324" t="s">
        <v>40</v>
      </c>
      <c r="N2324">
        <v>4.5</v>
      </c>
      <c r="O2324">
        <v>0</v>
      </c>
      <c r="P2324" t="s">
        <v>77</v>
      </c>
      <c r="Q2324" t="s">
        <v>155</v>
      </c>
      <c r="R2324" t="s">
        <v>155</v>
      </c>
      <c r="S2324">
        <v>21</v>
      </c>
      <c r="T2324" t="s">
        <v>31</v>
      </c>
      <c r="U2324" t="s">
        <v>32</v>
      </c>
      <c r="V2324" s="1">
        <v>45353</v>
      </c>
      <c r="W2324">
        <f>Table1[[#This Row],[customer_purchase count]]+1</f>
        <v>22</v>
      </c>
      <c r="X2324">
        <f>Table1[[#This Row],[customer_purchase count]]*Rules!$B$3</f>
        <v>1255.0515384615385</v>
      </c>
      <c r="Y2324" t="str">
        <f>IF(Table1[[#This Row],[customer_subscription]]=1,"Subscribed","Not Subscribed")</f>
        <v>Not Subscribed</v>
      </c>
    </row>
    <row r="2325" spans="1:26" x14ac:dyDescent="0.25">
      <c r="A2325">
        <v>2324</v>
      </c>
      <c r="B2325">
        <v>35</v>
      </c>
      <c r="C2325" t="s">
        <v>22</v>
      </c>
      <c r="D2325">
        <v>2324</v>
      </c>
      <c r="E2325" t="s">
        <v>146</v>
      </c>
      <c r="F2325" t="s">
        <v>70</v>
      </c>
      <c r="G2325">
        <v>2324</v>
      </c>
      <c r="H2325">
        <v>2987</v>
      </c>
      <c r="I2325">
        <v>93</v>
      </c>
      <c r="J2325" t="s">
        <v>131</v>
      </c>
      <c r="K2325" t="s">
        <v>26</v>
      </c>
      <c r="L2325" t="s">
        <v>55</v>
      </c>
      <c r="M2325" t="s">
        <v>28</v>
      </c>
      <c r="N2325">
        <v>4.7</v>
      </c>
      <c r="O2325">
        <v>0</v>
      </c>
      <c r="P2325" t="s">
        <v>29</v>
      </c>
      <c r="Q2325" t="s">
        <v>155</v>
      </c>
      <c r="R2325" t="s">
        <v>155</v>
      </c>
      <c r="S2325">
        <v>36</v>
      </c>
      <c r="T2325" t="s">
        <v>42</v>
      </c>
      <c r="U2325" t="s">
        <v>91</v>
      </c>
      <c r="V2325" s="1">
        <v>45326</v>
      </c>
      <c r="W2325">
        <f>Table1[[#This Row],[customer_purchase count]]+1</f>
        <v>37</v>
      </c>
      <c r="X2325">
        <f>Table1[[#This Row],[customer_purchase count]]*Rules!$B$3</f>
        <v>2151.5169230769234</v>
      </c>
      <c r="Y2325" t="str">
        <f>IF(Table1[[#This Row],[customer_subscription]]=1,"Subscribed","Not Subscribed")</f>
        <v>Not Subscribed</v>
      </c>
    </row>
    <row r="2326" spans="1:26" x14ac:dyDescent="0.25">
      <c r="A2326">
        <v>2325</v>
      </c>
      <c r="B2326">
        <v>59</v>
      </c>
      <c r="C2326" t="s">
        <v>22</v>
      </c>
      <c r="D2326">
        <v>2325</v>
      </c>
      <c r="E2326" t="s">
        <v>65</v>
      </c>
      <c r="F2326" t="s">
        <v>66</v>
      </c>
      <c r="G2326">
        <v>2325</v>
      </c>
      <c r="H2326">
        <v>2989</v>
      </c>
      <c r="I2326">
        <v>28</v>
      </c>
      <c r="J2326" t="s">
        <v>50</v>
      </c>
      <c r="K2326" t="s">
        <v>26</v>
      </c>
      <c r="L2326" t="s">
        <v>113</v>
      </c>
      <c r="M2326" t="s">
        <v>28</v>
      </c>
      <c r="N2326">
        <v>3.5</v>
      </c>
      <c r="O2326">
        <v>0</v>
      </c>
      <c r="P2326" t="s">
        <v>41</v>
      </c>
      <c r="Q2326" t="s">
        <v>155</v>
      </c>
      <c r="R2326" t="s">
        <v>155</v>
      </c>
      <c r="S2326">
        <v>19</v>
      </c>
      <c r="T2326" t="s">
        <v>89</v>
      </c>
      <c r="U2326" t="s">
        <v>52</v>
      </c>
      <c r="V2326" s="1">
        <v>45631</v>
      </c>
      <c r="W2326">
        <f>Table1[[#This Row],[customer_purchase count]]+1</f>
        <v>20</v>
      </c>
      <c r="X2326">
        <f>Table1[[#This Row],[customer_purchase count]]*Rules!$B$3</f>
        <v>1135.5228205128205</v>
      </c>
      <c r="Y2326" t="str">
        <f>IF(Table1[[#This Row],[customer_subscription]]=1,"Subscribed","Not Subscribed")</f>
        <v>Not Subscribed</v>
      </c>
    </row>
    <row r="2327" spans="1:26" x14ac:dyDescent="0.25">
      <c r="A2327">
        <v>2326</v>
      </c>
      <c r="B2327">
        <v>44</v>
      </c>
      <c r="C2327" t="s">
        <v>22</v>
      </c>
      <c r="D2327">
        <v>2326</v>
      </c>
      <c r="E2327" t="s">
        <v>140</v>
      </c>
      <c r="F2327" t="s">
        <v>45</v>
      </c>
      <c r="G2327">
        <v>2326</v>
      </c>
      <c r="H2327">
        <v>2990</v>
      </c>
      <c r="I2327">
        <v>55</v>
      </c>
      <c r="J2327" t="s">
        <v>87</v>
      </c>
      <c r="K2327" t="s">
        <v>47</v>
      </c>
      <c r="L2327" t="s">
        <v>64</v>
      </c>
      <c r="M2327" t="s">
        <v>56</v>
      </c>
      <c r="N2327">
        <v>4.4000000000000004</v>
      </c>
      <c r="O2327">
        <v>0</v>
      </c>
      <c r="P2327" t="s">
        <v>73</v>
      </c>
      <c r="Q2327" t="s">
        <v>155</v>
      </c>
      <c r="R2327" t="s">
        <v>155</v>
      </c>
      <c r="S2327">
        <v>47</v>
      </c>
      <c r="T2327" t="s">
        <v>36</v>
      </c>
      <c r="U2327" t="s">
        <v>43</v>
      </c>
      <c r="V2327" s="1">
        <v>45471</v>
      </c>
      <c r="W2327">
        <f>Table1[[#This Row],[customer_purchase count]]+1</f>
        <v>48</v>
      </c>
      <c r="X2327">
        <f>Table1[[#This Row],[customer_purchase count]]*Rules!$B$3</f>
        <v>2808.9248717948717</v>
      </c>
      <c r="Y2327" t="str">
        <f>IF(Table1[[#This Row],[customer_subscription]]=1,"Subscribed","Not Subscribed")</f>
        <v>Not Subscribed</v>
      </c>
    </row>
    <row r="2328" spans="1:26" x14ac:dyDescent="0.25">
      <c r="A2328">
        <v>2327</v>
      </c>
      <c r="B2328">
        <v>66</v>
      </c>
      <c r="C2328" t="s">
        <v>22</v>
      </c>
      <c r="D2328">
        <v>2327</v>
      </c>
      <c r="E2328" t="s">
        <v>90</v>
      </c>
      <c r="F2328" t="s">
        <v>24</v>
      </c>
      <c r="G2328">
        <v>2327</v>
      </c>
      <c r="H2328">
        <v>2991</v>
      </c>
      <c r="I2328">
        <v>63</v>
      </c>
      <c r="J2328" t="s">
        <v>104</v>
      </c>
      <c r="K2328" t="s">
        <v>26</v>
      </c>
      <c r="L2328" t="s">
        <v>35</v>
      </c>
      <c r="M2328" t="s">
        <v>28</v>
      </c>
      <c r="N2328">
        <v>2.6</v>
      </c>
      <c r="O2328">
        <v>0</v>
      </c>
      <c r="P2328" t="s">
        <v>57</v>
      </c>
      <c r="Q2328" t="s">
        <v>155</v>
      </c>
      <c r="R2328" t="s">
        <v>155</v>
      </c>
      <c r="S2328">
        <v>38</v>
      </c>
      <c r="T2328" t="s">
        <v>78</v>
      </c>
      <c r="U2328" t="s">
        <v>52</v>
      </c>
      <c r="V2328" s="1">
        <v>45301</v>
      </c>
      <c r="W2328">
        <f>Table1[[#This Row],[customer_purchase count]]+1</f>
        <v>39</v>
      </c>
      <c r="X2328">
        <f>Table1[[#This Row],[customer_purchase count]]*Rules!$B$3</f>
        <v>2271.0456410256411</v>
      </c>
      <c r="Y2328" t="str">
        <f>IF(Table1[[#This Row],[customer_subscription]]=1,"Subscribed","Not Subscribed")</f>
        <v>Not Subscribed</v>
      </c>
    </row>
    <row r="2329" spans="1:26" x14ac:dyDescent="0.25">
      <c r="A2329">
        <v>2328</v>
      </c>
      <c r="B2329">
        <v>20</v>
      </c>
      <c r="C2329" t="s">
        <v>22</v>
      </c>
      <c r="D2329">
        <v>2328</v>
      </c>
      <c r="E2329" t="s">
        <v>90</v>
      </c>
      <c r="F2329" t="s">
        <v>24</v>
      </c>
      <c r="G2329">
        <v>2328</v>
      </c>
      <c r="H2329">
        <v>2992</v>
      </c>
      <c r="I2329">
        <v>94</v>
      </c>
      <c r="J2329" t="s">
        <v>93</v>
      </c>
      <c r="K2329" t="s">
        <v>47</v>
      </c>
      <c r="L2329" t="s">
        <v>111</v>
      </c>
      <c r="M2329" t="s">
        <v>28</v>
      </c>
      <c r="N2329">
        <v>4.2</v>
      </c>
      <c r="O2329">
        <v>0</v>
      </c>
      <c r="P2329" t="s">
        <v>73</v>
      </c>
      <c r="Q2329" t="s">
        <v>155</v>
      </c>
      <c r="R2329" t="s">
        <v>155</v>
      </c>
      <c r="S2329">
        <v>22</v>
      </c>
      <c r="T2329" t="s">
        <v>31</v>
      </c>
      <c r="U2329" t="s">
        <v>79</v>
      </c>
      <c r="V2329" s="1">
        <v>45298</v>
      </c>
      <c r="W2329">
        <f>Table1[[#This Row],[customer_purchase count]]+1</f>
        <v>23</v>
      </c>
      <c r="X2329">
        <f>Table1[[#This Row],[customer_purchase count]]*Rules!$B$3</f>
        <v>1314.8158974358976</v>
      </c>
      <c r="Y2329" t="str">
        <f>IF(Table1[[#This Row],[customer_subscription]]=1,"Subscribed","Not Subscribed")</f>
        <v>Not Subscribed</v>
      </c>
    </row>
    <row r="2330" spans="1:26" x14ac:dyDescent="0.25">
      <c r="A2330">
        <v>2329</v>
      </c>
      <c r="B2330">
        <v>45</v>
      </c>
      <c r="C2330" t="s">
        <v>22</v>
      </c>
      <c r="D2330">
        <v>2329</v>
      </c>
      <c r="E2330" t="s">
        <v>98</v>
      </c>
      <c r="F2330" t="s">
        <v>24</v>
      </c>
      <c r="G2330">
        <v>2329</v>
      </c>
      <c r="H2330">
        <v>2993</v>
      </c>
      <c r="I2330">
        <v>36</v>
      </c>
      <c r="J2330" t="s">
        <v>117</v>
      </c>
      <c r="K2330" t="s">
        <v>47</v>
      </c>
      <c r="L2330" t="s">
        <v>35</v>
      </c>
      <c r="M2330" t="s">
        <v>60</v>
      </c>
      <c r="N2330">
        <v>2.6</v>
      </c>
      <c r="O2330">
        <v>0</v>
      </c>
      <c r="P2330" t="s">
        <v>29</v>
      </c>
      <c r="Q2330" t="s">
        <v>155</v>
      </c>
      <c r="R2330" t="s">
        <v>155</v>
      </c>
      <c r="S2330">
        <v>29</v>
      </c>
      <c r="T2330" t="s">
        <v>31</v>
      </c>
      <c r="U2330" t="s">
        <v>79</v>
      </c>
      <c r="V2330" s="1">
        <v>45593</v>
      </c>
      <c r="W2330">
        <f>Table1[[#This Row],[customer_purchase count]]+1</f>
        <v>30</v>
      </c>
      <c r="X2330">
        <f>Table1[[#This Row],[customer_purchase count]]*Rules!$B$3</f>
        <v>1733.1664102564102</v>
      </c>
      <c r="Y2330" t="str">
        <f>IF(Table1[[#This Row],[customer_subscription]]=1,"Subscribed","Not Subscribed")</f>
        <v>Not Subscribed</v>
      </c>
    </row>
    <row r="2331" spans="1:26" x14ac:dyDescent="0.25">
      <c r="A2331">
        <v>2330</v>
      </c>
      <c r="B2331">
        <v>49</v>
      </c>
      <c r="C2331" t="s">
        <v>22</v>
      </c>
      <c r="D2331">
        <v>2330</v>
      </c>
      <c r="E2331" t="s">
        <v>127</v>
      </c>
      <c r="F2331" t="s">
        <v>70</v>
      </c>
      <c r="G2331">
        <v>2330</v>
      </c>
      <c r="H2331">
        <v>2995</v>
      </c>
      <c r="I2331">
        <v>97</v>
      </c>
      <c r="J2331" t="s">
        <v>148</v>
      </c>
      <c r="K2331" t="s">
        <v>39</v>
      </c>
      <c r="L2331" t="s">
        <v>88</v>
      </c>
      <c r="M2331" t="s">
        <v>40</v>
      </c>
      <c r="N2331">
        <v>4.8</v>
      </c>
      <c r="O2331">
        <v>0</v>
      </c>
      <c r="P2331" t="s">
        <v>41</v>
      </c>
      <c r="Q2331" t="s">
        <v>155</v>
      </c>
      <c r="R2331" t="s">
        <v>155</v>
      </c>
      <c r="S2331">
        <v>42</v>
      </c>
      <c r="T2331" t="s">
        <v>78</v>
      </c>
      <c r="U2331" t="s">
        <v>52</v>
      </c>
      <c r="V2331" s="1">
        <v>45421</v>
      </c>
      <c r="W2331">
        <f>Table1[[#This Row],[customer_purchase count]]+1</f>
        <v>43</v>
      </c>
      <c r="X2331">
        <f>Table1[[#This Row],[customer_purchase count]]*Rules!$B$3</f>
        <v>2510.103076923077</v>
      </c>
      <c r="Y2331" t="str">
        <f>IF(Table1[[#This Row],[customer_subscription]]=1,"Subscribed","Not Subscribed")</f>
        <v>Not Subscribed</v>
      </c>
    </row>
    <row r="2332" spans="1:26" x14ac:dyDescent="0.25">
      <c r="A2332">
        <v>2331</v>
      </c>
      <c r="B2332">
        <v>60</v>
      </c>
      <c r="C2332" t="s">
        <v>22</v>
      </c>
      <c r="D2332">
        <v>2331</v>
      </c>
      <c r="E2332" t="s">
        <v>135</v>
      </c>
      <c r="F2332" t="s">
        <v>70</v>
      </c>
      <c r="G2332">
        <v>2331</v>
      </c>
      <c r="H2332">
        <v>2996</v>
      </c>
      <c r="I2332">
        <v>63</v>
      </c>
      <c r="J2332" t="s">
        <v>120</v>
      </c>
      <c r="K2332" t="s">
        <v>26</v>
      </c>
      <c r="L2332" t="s">
        <v>124</v>
      </c>
      <c r="M2332" t="s">
        <v>56</v>
      </c>
      <c r="N2332">
        <v>2.9</v>
      </c>
      <c r="O2332">
        <v>0</v>
      </c>
      <c r="P2332" t="s">
        <v>77</v>
      </c>
      <c r="Q2332" t="s">
        <v>155</v>
      </c>
      <c r="R2332" t="s">
        <v>155</v>
      </c>
      <c r="S2332">
        <v>47</v>
      </c>
      <c r="T2332" t="s">
        <v>49</v>
      </c>
      <c r="U2332" t="s">
        <v>100</v>
      </c>
      <c r="V2332" s="1">
        <v>45532</v>
      </c>
      <c r="W2332">
        <f>Table1[[#This Row],[customer_purchase count]]+1</f>
        <v>48</v>
      </c>
      <c r="X2332">
        <f>Table1[[#This Row],[customer_purchase count]]*Rules!$B$3</f>
        <v>2808.9248717948717</v>
      </c>
      <c r="Y2332" t="str">
        <f>IF(Table1[[#This Row],[customer_subscription]]=1,"Subscribed","Not Subscribed")</f>
        <v>Not Subscribed</v>
      </c>
    </row>
    <row r="2333" spans="1:26" x14ac:dyDescent="0.25">
      <c r="A2333">
        <v>2332</v>
      </c>
      <c r="B2333">
        <v>61</v>
      </c>
      <c r="C2333" t="s">
        <v>22</v>
      </c>
      <c r="D2333">
        <v>2332</v>
      </c>
      <c r="E2333" t="s">
        <v>122</v>
      </c>
      <c r="F2333" t="s">
        <v>70</v>
      </c>
      <c r="G2333">
        <v>2332</v>
      </c>
      <c r="H2333">
        <v>2997</v>
      </c>
      <c r="I2333">
        <v>77</v>
      </c>
      <c r="J2333" t="s">
        <v>118</v>
      </c>
      <c r="K2333" t="s">
        <v>39</v>
      </c>
      <c r="L2333" t="s">
        <v>81</v>
      </c>
      <c r="M2333" t="s">
        <v>40</v>
      </c>
      <c r="N2333">
        <v>4.3</v>
      </c>
      <c r="O2333">
        <v>0</v>
      </c>
      <c r="P2333" t="s">
        <v>73</v>
      </c>
      <c r="Q2333" t="s">
        <v>155</v>
      </c>
      <c r="R2333" t="s">
        <v>155</v>
      </c>
      <c r="S2333">
        <v>10</v>
      </c>
      <c r="T2333" t="s">
        <v>42</v>
      </c>
      <c r="U2333" t="s">
        <v>79</v>
      </c>
      <c r="V2333" s="1">
        <v>45418</v>
      </c>
      <c r="W2333">
        <f>Table1[[#This Row],[customer_purchase count]]+1</f>
        <v>11</v>
      </c>
      <c r="X2333">
        <f>Table1[[#This Row],[customer_purchase count]]*Rules!$B$3</f>
        <v>597.64358974358981</v>
      </c>
      <c r="Y2333" t="str">
        <f>IF(Table1[[#This Row],[customer_subscription]]=1,"Subscribed","Not Subscribed")</f>
        <v>Not Subscribed</v>
      </c>
      <c r="Z2333" t="s">
        <v>194</v>
      </c>
    </row>
    <row r="2334" spans="1:26" x14ac:dyDescent="0.25">
      <c r="A2334">
        <v>2333</v>
      </c>
      <c r="B2334">
        <v>36</v>
      </c>
      <c r="C2334" t="s">
        <v>22</v>
      </c>
      <c r="D2334">
        <v>2333</v>
      </c>
      <c r="E2334" t="s">
        <v>122</v>
      </c>
      <c r="F2334" t="s">
        <v>70</v>
      </c>
      <c r="G2334">
        <v>2333</v>
      </c>
      <c r="H2334">
        <v>2998</v>
      </c>
      <c r="I2334">
        <v>53</v>
      </c>
      <c r="J2334" t="s">
        <v>134</v>
      </c>
      <c r="K2334" t="s">
        <v>95</v>
      </c>
      <c r="L2334" t="s">
        <v>81</v>
      </c>
      <c r="M2334" t="s">
        <v>60</v>
      </c>
      <c r="N2334">
        <v>2.6</v>
      </c>
      <c r="O2334">
        <v>0</v>
      </c>
      <c r="P2334" t="s">
        <v>77</v>
      </c>
      <c r="Q2334" t="s">
        <v>155</v>
      </c>
      <c r="R2334" t="s">
        <v>155</v>
      </c>
      <c r="S2334">
        <v>10</v>
      </c>
      <c r="T2334" t="s">
        <v>31</v>
      </c>
      <c r="U2334" t="s">
        <v>91</v>
      </c>
      <c r="V2334" s="1">
        <v>45563</v>
      </c>
      <c r="W2334">
        <f>Table1[[#This Row],[customer_purchase count]]+1</f>
        <v>11</v>
      </c>
      <c r="X2334">
        <f>Table1[[#This Row],[customer_purchase count]]*Rules!$B$3</f>
        <v>597.64358974358981</v>
      </c>
      <c r="Y2334" t="str">
        <f>IF(Table1[[#This Row],[customer_subscription]]=1,"Subscribed","Not Subscribed")</f>
        <v>Not Subscribed</v>
      </c>
      <c r="Z2334" t="s">
        <v>194</v>
      </c>
    </row>
    <row r="2335" spans="1:26" x14ac:dyDescent="0.25">
      <c r="A2335">
        <v>2334</v>
      </c>
      <c r="B2335">
        <v>33</v>
      </c>
      <c r="C2335" t="s">
        <v>22</v>
      </c>
      <c r="D2335">
        <v>2334</v>
      </c>
      <c r="E2335" t="s">
        <v>58</v>
      </c>
      <c r="F2335" t="s">
        <v>24</v>
      </c>
      <c r="G2335">
        <v>2334</v>
      </c>
      <c r="H2335">
        <v>2999</v>
      </c>
      <c r="I2335">
        <v>77</v>
      </c>
      <c r="J2335" t="s">
        <v>114</v>
      </c>
      <c r="K2335" t="s">
        <v>47</v>
      </c>
      <c r="L2335" t="s">
        <v>121</v>
      </c>
      <c r="M2335" t="s">
        <v>40</v>
      </c>
      <c r="N2335">
        <v>3.8</v>
      </c>
      <c r="O2335">
        <v>0</v>
      </c>
      <c r="P2335" t="s">
        <v>48</v>
      </c>
      <c r="Q2335" t="s">
        <v>155</v>
      </c>
      <c r="R2335" t="s">
        <v>155</v>
      </c>
      <c r="S2335">
        <v>1</v>
      </c>
      <c r="T2335" t="s">
        <v>49</v>
      </c>
      <c r="U2335" t="s">
        <v>100</v>
      </c>
      <c r="V2335" s="1">
        <v>45436</v>
      </c>
      <c r="W2335">
        <f>Table1[[#This Row],[customer_purchase count]]+1</f>
        <v>2</v>
      </c>
      <c r="X2335">
        <f>Table1[[#This Row],[customer_purchase count]]*Rules!$B$3</f>
        <v>59.764358974358977</v>
      </c>
      <c r="Y2335" t="str">
        <f>IF(Table1[[#This Row],[customer_subscription]]=1,"Subscribed","Not Subscribed")</f>
        <v>Not Subscribed</v>
      </c>
      <c r="Z2335" t="s">
        <v>194</v>
      </c>
    </row>
    <row r="2336" spans="1:26" x14ac:dyDescent="0.25">
      <c r="A2336">
        <v>2335</v>
      </c>
      <c r="B2336">
        <v>49</v>
      </c>
      <c r="C2336" t="s">
        <v>22</v>
      </c>
      <c r="D2336">
        <v>2335</v>
      </c>
      <c r="E2336" t="s">
        <v>140</v>
      </c>
      <c r="F2336" t="s">
        <v>45</v>
      </c>
      <c r="G2336">
        <v>2335</v>
      </c>
      <c r="H2336">
        <v>3001</v>
      </c>
      <c r="I2336">
        <v>79</v>
      </c>
      <c r="J2336" t="s">
        <v>114</v>
      </c>
      <c r="K2336" t="s">
        <v>26</v>
      </c>
      <c r="L2336" t="s">
        <v>99</v>
      </c>
      <c r="M2336" t="s">
        <v>56</v>
      </c>
      <c r="N2336">
        <v>4.2</v>
      </c>
      <c r="O2336">
        <v>0</v>
      </c>
      <c r="P2336" t="s">
        <v>57</v>
      </c>
      <c r="Q2336" t="s">
        <v>155</v>
      </c>
      <c r="R2336" t="s">
        <v>155</v>
      </c>
      <c r="S2336">
        <v>7</v>
      </c>
      <c r="T2336" t="s">
        <v>42</v>
      </c>
      <c r="U2336" t="s">
        <v>91</v>
      </c>
      <c r="V2336" s="1">
        <v>45460</v>
      </c>
      <c r="W2336">
        <f>Table1[[#This Row],[customer_purchase count]]+1</f>
        <v>8</v>
      </c>
      <c r="X2336">
        <f>Table1[[#This Row],[customer_purchase count]]*Rules!$B$3</f>
        <v>418.35051282051285</v>
      </c>
      <c r="Y2336" t="str">
        <f>IF(Table1[[#This Row],[customer_subscription]]=1,"Subscribed","Not Subscribed")</f>
        <v>Not Subscribed</v>
      </c>
      <c r="Z2336" t="s">
        <v>194</v>
      </c>
    </row>
    <row r="2337" spans="1:26" x14ac:dyDescent="0.25">
      <c r="A2337">
        <v>2336</v>
      </c>
      <c r="B2337">
        <v>31</v>
      </c>
      <c r="C2337" t="s">
        <v>22</v>
      </c>
      <c r="D2337">
        <v>2336</v>
      </c>
      <c r="E2337" t="s">
        <v>65</v>
      </c>
      <c r="F2337" t="s">
        <v>66</v>
      </c>
      <c r="G2337">
        <v>2336</v>
      </c>
      <c r="H2337">
        <v>3002</v>
      </c>
      <c r="I2337">
        <v>37</v>
      </c>
      <c r="J2337" t="s">
        <v>138</v>
      </c>
      <c r="K2337" t="s">
        <v>47</v>
      </c>
      <c r="L2337" t="s">
        <v>97</v>
      </c>
      <c r="M2337" t="s">
        <v>56</v>
      </c>
      <c r="N2337">
        <v>3.9</v>
      </c>
      <c r="O2337">
        <v>0</v>
      </c>
      <c r="P2337" t="s">
        <v>77</v>
      </c>
      <c r="Q2337" t="s">
        <v>155</v>
      </c>
      <c r="R2337" t="s">
        <v>155</v>
      </c>
      <c r="S2337">
        <v>10</v>
      </c>
      <c r="T2337" t="s">
        <v>31</v>
      </c>
      <c r="U2337" t="s">
        <v>32</v>
      </c>
      <c r="V2337" s="1">
        <v>45444</v>
      </c>
      <c r="W2337">
        <f>Table1[[#This Row],[customer_purchase count]]+1</f>
        <v>11</v>
      </c>
      <c r="X2337">
        <f>Table1[[#This Row],[customer_purchase count]]*Rules!$B$3</f>
        <v>597.64358974358981</v>
      </c>
      <c r="Y2337" t="str">
        <f>IF(Table1[[#This Row],[customer_subscription]]=1,"Subscribed","Not Subscribed")</f>
        <v>Not Subscribed</v>
      </c>
      <c r="Z2337" t="s">
        <v>194</v>
      </c>
    </row>
    <row r="2338" spans="1:26" x14ac:dyDescent="0.25">
      <c r="A2338">
        <v>2337</v>
      </c>
      <c r="B2338">
        <v>19</v>
      </c>
      <c r="C2338" t="s">
        <v>22</v>
      </c>
      <c r="D2338">
        <v>2337</v>
      </c>
      <c r="E2338" t="s">
        <v>136</v>
      </c>
      <c r="F2338" t="s">
        <v>70</v>
      </c>
      <c r="G2338">
        <v>2337</v>
      </c>
      <c r="H2338">
        <v>3003</v>
      </c>
      <c r="I2338">
        <v>94</v>
      </c>
      <c r="J2338" t="s">
        <v>102</v>
      </c>
      <c r="K2338" t="s">
        <v>47</v>
      </c>
      <c r="L2338" t="s">
        <v>99</v>
      </c>
      <c r="M2338" t="s">
        <v>28</v>
      </c>
      <c r="N2338">
        <v>3.1</v>
      </c>
      <c r="O2338">
        <v>0</v>
      </c>
      <c r="P2338" t="s">
        <v>41</v>
      </c>
      <c r="Q2338" t="s">
        <v>155</v>
      </c>
      <c r="R2338" t="s">
        <v>155</v>
      </c>
      <c r="S2338">
        <v>11</v>
      </c>
      <c r="T2338" t="s">
        <v>42</v>
      </c>
      <c r="U2338" t="s">
        <v>43</v>
      </c>
      <c r="V2338" s="1">
        <v>45642</v>
      </c>
      <c r="W2338">
        <f>Table1[[#This Row],[customer_purchase count]]+1</f>
        <v>12</v>
      </c>
      <c r="X2338">
        <f>Table1[[#This Row],[customer_purchase count]]*Rules!$B$3</f>
        <v>657.40794871794878</v>
      </c>
      <c r="Y2338" t="str">
        <f>IF(Table1[[#This Row],[customer_subscription]]=1,"Subscribed","Not Subscribed")</f>
        <v>Not Subscribed</v>
      </c>
      <c r="Z2338" t="s">
        <v>187</v>
      </c>
    </row>
    <row r="2339" spans="1:26" x14ac:dyDescent="0.25">
      <c r="A2339">
        <v>2338</v>
      </c>
      <c r="B2339">
        <v>39</v>
      </c>
      <c r="C2339" t="s">
        <v>22</v>
      </c>
      <c r="D2339">
        <v>2338</v>
      </c>
      <c r="E2339" t="s">
        <v>140</v>
      </c>
      <c r="F2339" t="s">
        <v>45</v>
      </c>
      <c r="G2339">
        <v>2338</v>
      </c>
      <c r="H2339">
        <v>3004</v>
      </c>
      <c r="I2339">
        <v>76</v>
      </c>
      <c r="J2339" t="s">
        <v>117</v>
      </c>
      <c r="K2339" t="s">
        <v>39</v>
      </c>
      <c r="L2339" t="s">
        <v>86</v>
      </c>
      <c r="M2339" t="s">
        <v>60</v>
      </c>
      <c r="N2339">
        <v>3.6</v>
      </c>
      <c r="O2339">
        <v>0</v>
      </c>
      <c r="P2339" t="s">
        <v>77</v>
      </c>
      <c r="Q2339" t="s">
        <v>155</v>
      </c>
      <c r="R2339" t="s">
        <v>155</v>
      </c>
      <c r="S2339">
        <v>5</v>
      </c>
      <c r="T2339" t="s">
        <v>36</v>
      </c>
      <c r="U2339" t="s">
        <v>52</v>
      </c>
      <c r="V2339" s="1">
        <v>45563</v>
      </c>
      <c r="W2339">
        <f>Table1[[#This Row],[customer_purchase count]]+1</f>
        <v>6</v>
      </c>
      <c r="X2339">
        <f>Table1[[#This Row],[customer_purchase count]]*Rules!$B$3</f>
        <v>298.82179487179491</v>
      </c>
      <c r="Y2339" t="str">
        <f>IF(Table1[[#This Row],[customer_subscription]]=1,"Subscribed","Not Subscribed")</f>
        <v>Not Subscribed</v>
      </c>
      <c r="Z2339" t="s">
        <v>194</v>
      </c>
    </row>
    <row r="2340" spans="1:26" x14ac:dyDescent="0.25">
      <c r="A2340">
        <v>2339</v>
      </c>
      <c r="B2340">
        <v>66</v>
      </c>
      <c r="C2340" t="s">
        <v>22</v>
      </c>
      <c r="D2340">
        <v>2339</v>
      </c>
      <c r="E2340" t="s">
        <v>53</v>
      </c>
      <c r="F2340" t="s">
        <v>45</v>
      </c>
      <c r="G2340">
        <v>2339</v>
      </c>
      <c r="H2340">
        <v>3005</v>
      </c>
      <c r="I2340">
        <v>68</v>
      </c>
      <c r="J2340" t="s">
        <v>145</v>
      </c>
      <c r="K2340" t="s">
        <v>39</v>
      </c>
      <c r="L2340" t="s">
        <v>68</v>
      </c>
      <c r="M2340" t="s">
        <v>60</v>
      </c>
      <c r="N2340">
        <v>4</v>
      </c>
      <c r="O2340">
        <v>0</v>
      </c>
      <c r="P2340" t="s">
        <v>29</v>
      </c>
      <c r="Q2340" t="s">
        <v>155</v>
      </c>
      <c r="R2340" t="s">
        <v>155</v>
      </c>
      <c r="S2340">
        <v>21</v>
      </c>
      <c r="T2340" t="s">
        <v>49</v>
      </c>
      <c r="U2340" t="s">
        <v>61</v>
      </c>
      <c r="V2340" s="1">
        <v>45604</v>
      </c>
      <c r="W2340">
        <f>Table1[[#This Row],[customer_purchase count]]+1</f>
        <v>22</v>
      </c>
      <c r="X2340">
        <f>Table1[[#This Row],[customer_purchase count]]*Rules!$B$3</f>
        <v>1255.0515384615385</v>
      </c>
      <c r="Y2340" t="str">
        <f>IF(Table1[[#This Row],[customer_subscription]]=1,"Subscribed","Not Subscribed")</f>
        <v>Not Subscribed</v>
      </c>
    </row>
    <row r="2341" spans="1:26" x14ac:dyDescent="0.25">
      <c r="A2341">
        <v>2340</v>
      </c>
      <c r="B2341">
        <v>25</v>
      </c>
      <c r="C2341" t="s">
        <v>22</v>
      </c>
      <c r="D2341">
        <v>2340</v>
      </c>
      <c r="E2341" t="s">
        <v>58</v>
      </c>
      <c r="F2341" t="s">
        <v>24</v>
      </c>
      <c r="G2341">
        <v>2340</v>
      </c>
      <c r="H2341">
        <v>3007</v>
      </c>
      <c r="I2341">
        <v>65</v>
      </c>
      <c r="J2341" t="s">
        <v>118</v>
      </c>
      <c r="K2341" t="s">
        <v>26</v>
      </c>
      <c r="L2341" t="s">
        <v>35</v>
      </c>
      <c r="M2341" t="s">
        <v>40</v>
      </c>
      <c r="N2341">
        <v>3.4</v>
      </c>
      <c r="O2341">
        <v>0</v>
      </c>
      <c r="P2341" t="s">
        <v>48</v>
      </c>
      <c r="Q2341" t="s">
        <v>155</v>
      </c>
      <c r="R2341" t="s">
        <v>155</v>
      </c>
      <c r="S2341">
        <v>24</v>
      </c>
      <c r="T2341" t="s">
        <v>78</v>
      </c>
      <c r="U2341" t="s">
        <v>61</v>
      </c>
      <c r="V2341" s="1">
        <v>45361</v>
      </c>
      <c r="W2341">
        <f>Table1[[#This Row],[customer_purchase count]]+1</f>
        <v>25</v>
      </c>
      <c r="X2341">
        <f>Table1[[#This Row],[customer_purchase count]]*Rules!$B$3</f>
        <v>1434.3446153846155</v>
      </c>
      <c r="Y2341" t="str">
        <f>IF(Table1[[#This Row],[customer_subscription]]=1,"Subscribed","Not Subscribed")</f>
        <v>Not Subscribed</v>
      </c>
    </row>
    <row r="2342" spans="1:26" x14ac:dyDescent="0.25">
      <c r="A2342">
        <v>2341</v>
      </c>
      <c r="B2342">
        <v>63</v>
      </c>
      <c r="C2342" t="s">
        <v>22</v>
      </c>
      <c r="D2342">
        <v>2341</v>
      </c>
      <c r="E2342" t="s">
        <v>23</v>
      </c>
      <c r="F2342" t="s">
        <v>24</v>
      </c>
      <c r="G2342">
        <v>2341</v>
      </c>
      <c r="H2342">
        <v>3008</v>
      </c>
      <c r="I2342">
        <v>24</v>
      </c>
      <c r="J2342" t="s">
        <v>82</v>
      </c>
      <c r="K2342" t="s">
        <v>47</v>
      </c>
      <c r="L2342" t="s">
        <v>112</v>
      </c>
      <c r="M2342" t="s">
        <v>56</v>
      </c>
      <c r="N2342">
        <v>2.6</v>
      </c>
      <c r="O2342">
        <v>0</v>
      </c>
      <c r="P2342" t="s">
        <v>57</v>
      </c>
      <c r="Q2342" t="s">
        <v>155</v>
      </c>
      <c r="R2342" t="s">
        <v>155</v>
      </c>
      <c r="S2342">
        <v>37</v>
      </c>
      <c r="T2342" t="s">
        <v>42</v>
      </c>
      <c r="U2342" t="s">
        <v>32</v>
      </c>
      <c r="V2342" s="1">
        <v>45455</v>
      </c>
      <c r="W2342">
        <f>Table1[[#This Row],[customer_purchase count]]+1</f>
        <v>38</v>
      </c>
      <c r="X2342">
        <f>Table1[[#This Row],[customer_purchase count]]*Rules!$B$3</f>
        <v>2211.2812820512822</v>
      </c>
      <c r="Y2342" t="str">
        <f>IF(Table1[[#This Row],[customer_subscription]]=1,"Subscribed","Not Subscribed")</f>
        <v>Not Subscribed</v>
      </c>
    </row>
    <row r="2343" spans="1:26" x14ac:dyDescent="0.25">
      <c r="A2343">
        <v>2342</v>
      </c>
      <c r="B2343">
        <v>56</v>
      </c>
      <c r="C2343" t="s">
        <v>22</v>
      </c>
      <c r="D2343">
        <v>2342</v>
      </c>
      <c r="E2343" t="s">
        <v>105</v>
      </c>
      <c r="F2343" t="s">
        <v>66</v>
      </c>
      <c r="G2343">
        <v>2342</v>
      </c>
      <c r="H2343">
        <v>3009</v>
      </c>
      <c r="I2343">
        <v>31</v>
      </c>
      <c r="J2343" t="s">
        <v>142</v>
      </c>
      <c r="K2343" t="s">
        <v>26</v>
      </c>
      <c r="L2343" t="s">
        <v>88</v>
      </c>
      <c r="M2343" t="s">
        <v>56</v>
      </c>
      <c r="N2343">
        <v>4.5</v>
      </c>
      <c r="O2343">
        <v>0</v>
      </c>
      <c r="P2343" t="s">
        <v>29</v>
      </c>
      <c r="Q2343" t="s">
        <v>155</v>
      </c>
      <c r="R2343" t="s">
        <v>155</v>
      </c>
      <c r="S2343">
        <v>22</v>
      </c>
      <c r="T2343" t="s">
        <v>31</v>
      </c>
      <c r="U2343" t="s">
        <v>100</v>
      </c>
      <c r="V2343" s="1">
        <v>45464</v>
      </c>
      <c r="W2343">
        <f>Table1[[#This Row],[customer_purchase count]]+1</f>
        <v>23</v>
      </c>
      <c r="X2343">
        <f>Table1[[#This Row],[customer_purchase count]]*Rules!$B$3</f>
        <v>1314.8158974358976</v>
      </c>
      <c r="Y2343" t="str">
        <f>IF(Table1[[#This Row],[customer_subscription]]=1,"Subscribed","Not Subscribed")</f>
        <v>Not Subscribed</v>
      </c>
    </row>
    <row r="2344" spans="1:26" x14ac:dyDescent="0.25">
      <c r="A2344">
        <v>2343</v>
      </c>
      <c r="B2344">
        <v>20</v>
      </c>
      <c r="C2344" t="s">
        <v>22</v>
      </c>
      <c r="D2344">
        <v>2343</v>
      </c>
      <c r="E2344" t="s">
        <v>90</v>
      </c>
      <c r="F2344" t="s">
        <v>24</v>
      </c>
      <c r="G2344">
        <v>2343</v>
      </c>
      <c r="H2344">
        <v>3010</v>
      </c>
      <c r="I2344">
        <v>89</v>
      </c>
      <c r="J2344" t="s">
        <v>125</v>
      </c>
      <c r="K2344" t="s">
        <v>47</v>
      </c>
      <c r="L2344" t="s">
        <v>81</v>
      </c>
      <c r="M2344" t="s">
        <v>60</v>
      </c>
      <c r="N2344">
        <v>4.9000000000000004</v>
      </c>
      <c r="O2344">
        <v>0</v>
      </c>
      <c r="P2344" t="s">
        <v>57</v>
      </c>
      <c r="Q2344" t="s">
        <v>155</v>
      </c>
      <c r="R2344" t="s">
        <v>155</v>
      </c>
      <c r="S2344">
        <v>16</v>
      </c>
      <c r="T2344" t="s">
        <v>89</v>
      </c>
      <c r="U2344" t="s">
        <v>32</v>
      </c>
      <c r="V2344" s="1">
        <v>45545</v>
      </c>
      <c r="W2344">
        <f>Table1[[#This Row],[customer_purchase count]]+1</f>
        <v>17</v>
      </c>
      <c r="X2344">
        <f>Table1[[#This Row],[customer_purchase count]]*Rules!$B$3</f>
        <v>956.22974358974363</v>
      </c>
      <c r="Y2344" t="str">
        <f>IF(Table1[[#This Row],[customer_subscription]]=1,"Subscribed","Not Subscribed")</f>
        <v>Not Subscribed</v>
      </c>
      <c r="Z2344" t="s">
        <v>187</v>
      </c>
    </row>
    <row r="2345" spans="1:26" x14ac:dyDescent="0.25">
      <c r="A2345">
        <v>2344</v>
      </c>
      <c r="B2345">
        <v>58</v>
      </c>
      <c r="C2345" t="s">
        <v>22</v>
      </c>
      <c r="D2345">
        <v>2344</v>
      </c>
      <c r="E2345" t="s">
        <v>128</v>
      </c>
      <c r="F2345" t="s">
        <v>24</v>
      </c>
      <c r="G2345">
        <v>2344</v>
      </c>
      <c r="H2345">
        <v>3011</v>
      </c>
      <c r="I2345">
        <v>49</v>
      </c>
      <c r="J2345" t="s">
        <v>131</v>
      </c>
      <c r="K2345" t="s">
        <v>47</v>
      </c>
      <c r="L2345" t="s">
        <v>111</v>
      </c>
      <c r="M2345" t="s">
        <v>56</v>
      </c>
      <c r="N2345">
        <v>4.4000000000000004</v>
      </c>
      <c r="O2345">
        <v>0</v>
      </c>
      <c r="P2345" t="s">
        <v>73</v>
      </c>
      <c r="Q2345" t="s">
        <v>155</v>
      </c>
      <c r="R2345" t="s">
        <v>155</v>
      </c>
      <c r="S2345">
        <v>44</v>
      </c>
      <c r="T2345" t="s">
        <v>49</v>
      </c>
      <c r="U2345" t="s">
        <v>91</v>
      </c>
      <c r="V2345" s="1">
        <v>45510</v>
      </c>
      <c r="W2345">
        <f>Table1[[#This Row],[customer_purchase count]]+1</f>
        <v>45</v>
      </c>
      <c r="X2345">
        <f>Table1[[#This Row],[customer_purchase count]]*Rules!$B$3</f>
        <v>2629.6317948717951</v>
      </c>
      <c r="Y2345" t="str">
        <f>IF(Table1[[#This Row],[customer_subscription]]=1,"Subscribed","Not Subscribed")</f>
        <v>Not Subscribed</v>
      </c>
    </row>
    <row r="2346" spans="1:26" x14ac:dyDescent="0.25">
      <c r="A2346">
        <v>2345</v>
      </c>
      <c r="B2346">
        <v>34</v>
      </c>
      <c r="C2346" t="s">
        <v>22</v>
      </c>
      <c r="D2346">
        <v>2345</v>
      </c>
      <c r="E2346" t="s">
        <v>44</v>
      </c>
      <c r="F2346" t="s">
        <v>45</v>
      </c>
      <c r="G2346">
        <v>2345</v>
      </c>
      <c r="H2346">
        <v>3013</v>
      </c>
      <c r="I2346">
        <v>92</v>
      </c>
      <c r="J2346" t="s">
        <v>46</v>
      </c>
      <c r="K2346" t="s">
        <v>95</v>
      </c>
      <c r="L2346" t="s">
        <v>96</v>
      </c>
      <c r="M2346" t="s">
        <v>60</v>
      </c>
      <c r="N2346">
        <v>3.5</v>
      </c>
      <c r="O2346">
        <v>0</v>
      </c>
      <c r="P2346" t="s">
        <v>29</v>
      </c>
      <c r="Q2346" t="s">
        <v>155</v>
      </c>
      <c r="R2346" t="s">
        <v>155</v>
      </c>
      <c r="S2346">
        <v>14</v>
      </c>
      <c r="T2346" t="s">
        <v>31</v>
      </c>
      <c r="U2346" t="s">
        <v>79</v>
      </c>
      <c r="V2346" s="1">
        <v>45589</v>
      </c>
      <c r="W2346">
        <f>Table1[[#This Row],[customer_purchase count]]+1</f>
        <v>15</v>
      </c>
      <c r="X2346">
        <f>Table1[[#This Row],[customer_purchase count]]*Rules!$B$3</f>
        <v>836.70102564102569</v>
      </c>
      <c r="Y2346" t="str">
        <f>IF(Table1[[#This Row],[customer_subscription]]=1,"Subscribed","Not Subscribed")</f>
        <v>Not Subscribed</v>
      </c>
      <c r="Z2346" t="s">
        <v>194</v>
      </c>
    </row>
    <row r="2347" spans="1:26" x14ac:dyDescent="0.25">
      <c r="A2347">
        <v>2346</v>
      </c>
      <c r="B2347">
        <v>28</v>
      </c>
      <c r="C2347" t="s">
        <v>22</v>
      </c>
      <c r="D2347">
        <v>2346</v>
      </c>
      <c r="E2347" t="s">
        <v>116</v>
      </c>
      <c r="F2347" t="s">
        <v>24</v>
      </c>
      <c r="G2347">
        <v>2346</v>
      </c>
      <c r="H2347">
        <v>3014</v>
      </c>
      <c r="I2347">
        <v>32</v>
      </c>
      <c r="J2347" t="s">
        <v>87</v>
      </c>
      <c r="K2347" t="s">
        <v>39</v>
      </c>
      <c r="L2347" t="s">
        <v>124</v>
      </c>
      <c r="M2347" t="s">
        <v>28</v>
      </c>
      <c r="N2347">
        <v>3.3</v>
      </c>
      <c r="O2347">
        <v>0</v>
      </c>
      <c r="P2347" t="s">
        <v>29</v>
      </c>
      <c r="Q2347" t="s">
        <v>155</v>
      </c>
      <c r="R2347" t="s">
        <v>155</v>
      </c>
      <c r="S2347">
        <v>23</v>
      </c>
      <c r="T2347" t="s">
        <v>78</v>
      </c>
      <c r="U2347" t="s">
        <v>100</v>
      </c>
      <c r="V2347" s="1">
        <v>45293</v>
      </c>
      <c r="W2347">
        <f>Table1[[#This Row],[customer_purchase count]]+1</f>
        <v>24</v>
      </c>
      <c r="X2347">
        <f>Table1[[#This Row],[customer_purchase count]]*Rules!$B$3</f>
        <v>1374.5802564102564</v>
      </c>
      <c r="Y2347" t="str">
        <f>IF(Table1[[#This Row],[customer_subscription]]=1,"Subscribed","Not Subscribed")</f>
        <v>Not Subscribed</v>
      </c>
    </row>
    <row r="2348" spans="1:26" x14ac:dyDescent="0.25">
      <c r="A2348">
        <v>2347</v>
      </c>
      <c r="B2348">
        <v>22</v>
      </c>
      <c r="C2348" t="s">
        <v>22</v>
      </c>
      <c r="D2348">
        <v>2347</v>
      </c>
      <c r="E2348" t="s">
        <v>105</v>
      </c>
      <c r="F2348" t="s">
        <v>66</v>
      </c>
      <c r="G2348">
        <v>2347</v>
      </c>
      <c r="H2348">
        <v>3015</v>
      </c>
      <c r="I2348">
        <v>67</v>
      </c>
      <c r="J2348" t="s">
        <v>133</v>
      </c>
      <c r="K2348" t="s">
        <v>26</v>
      </c>
      <c r="L2348" t="s">
        <v>113</v>
      </c>
      <c r="M2348" t="s">
        <v>28</v>
      </c>
      <c r="N2348">
        <v>3.1</v>
      </c>
      <c r="O2348">
        <v>0</v>
      </c>
      <c r="P2348" t="s">
        <v>57</v>
      </c>
      <c r="Q2348" t="s">
        <v>155</v>
      </c>
      <c r="R2348" t="s">
        <v>155</v>
      </c>
      <c r="S2348">
        <v>46</v>
      </c>
      <c r="T2348" t="s">
        <v>89</v>
      </c>
      <c r="U2348" t="s">
        <v>32</v>
      </c>
      <c r="V2348" s="1">
        <v>45338</v>
      </c>
      <c r="W2348">
        <f>Table1[[#This Row],[customer_purchase count]]+1</f>
        <v>47</v>
      </c>
      <c r="X2348">
        <f>Table1[[#This Row],[customer_purchase count]]*Rules!$B$3</f>
        <v>2749.1605128205128</v>
      </c>
      <c r="Y2348" t="str">
        <f>IF(Table1[[#This Row],[customer_subscription]]=1,"Subscribed","Not Subscribed")</f>
        <v>Not Subscribed</v>
      </c>
    </row>
    <row r="2349" spans="1:26" x14ac:dyDescent="0.25">
      <c r="A2349">
        <v>2348</v>
      </c>
      <c r="B2349">
        <v>37</v>
      </c>
      <c r="C2349" t="s">
        <v>22</v>
      </c>
      <c r="D2349">
        <v>2348</v>
      </c>
      <c r="E2349" t="s">
        <v>136</v>
      </c>
      <c r="F2349" t="s">
        <v>70</v>
      </c>
      <c r="G2349">
        <v>2348</v>
      </c>
      <c r="H2349">
        <v>3016</v>
      </c>
      <c r="I2349">
        <v>64</v>
      </c>
      <c r="J2349" t="s">
        <v>102</v>
      </c>
      <c r="K2349" t="s">
        <v>39</v>
      </c>
      <c r="L2349" t="s">
        <v>27</v>
      </c>
      <c r="M2349" t="s">
        <v>60</v>
      </c>
      <c r="N2349">
        <v>4.2</v>
      </c>
      <c r="O2349">
        <v>0</v>
      </c>
      <c r="P2349" t="s">
        <v>29</v>
      </c>
      <c r="Q2349" t="s">
        <v>155</v>
      </c>
      <c r="R2349" t="s">
        <v>155</v>
      </c>
      <c r="S2349">
        <v>46</v>
      </c>
      <c r="T2349" t="s">
        <v>36</v>
      </c>
      <c r="U2349" t="s">
        <v>100</v>
      </c>
      <c r="V2349" s="1">
        <v>45612</v>
      </c>
      <c r="W2349">
        <f>Table1[[#This Row],[customer_purchase count]]+1</f>
        <v>47</v>
      </c>
      <c r="X2349">
        <f>Table1[[#This Row],[customer_purchase count]]*Rules!$B$3</f>
        <v>2749.1605128205128</v>
      </c>
      <c r="Y2349" t="str">
        <f>IF(Table1[[#This Row],[customer_subscription]]=1,"Subscribed","Not Subscribed")</f>
        <v>Not Subscribed</v>
      </c>
    </row>
    <row r="2350" spans="1:26" x14ac:dyDescent="0.25">
      <c r="A2350">
        <v>2349</v>
      </c>
      <c r="B2350">
        <v>54</v>
      </c>
      <c r="C2350" t="s">
        <v>22</v>
      </c>
      <c r="D2350">
        <v>2349</v>
      </c>
      <c r="E2350" t="s">
        <v>74</v>
      </c>
      <c r="F2350" t="s">
        <v>45</v>
      </c>
      <c r="G2350">
        <v>2349</v>
      </c>
      <c r="H2350">
        <v>3017</v>
      </c>
      <c r="I2350">
        <v>84</v>
      </c>
      <c r="J2350" t="s">
        <v>34</v>
      </c>
      <c r="K2350" t="s">
        <v>47</v>
      </c>
      <c r="L2350" t="s">
        <v>124</v>
      </c>
      <c r="M2350" t="s">
        <v>40</v>
      </c>
      <c r="N2350">
        <v>4.9000000000000004</v>
      </c>
      <c r="O2350">
        <v>0</v>
      </c>
      <c r="P2350" t="s">
        <v>48</v>
      </c>
      <c r="Q2350" t="s">
        <v>155</v>
      </c>
      <c r="R2350" t="s">
        <v>155</v>
      </c>
      <c r="S2350">
        <v>16</v>
      </c>
      <c r="T2350" t="s">
        <v>49</v>
      </c>
      <c r="U2350" t="s">
        <v>100</v>
      </c>
      <c r="V2350" s="1">
        <v>45370</v>
      </c>
      <c r="W2350">
        <f>Table1[[#This Row],[customer_purchase count]]+1</f>
        <v>17</v>
      </c>
      <c r="X2350">
        <f>Table1[[#This Row],[customer_purchase count]]*Rules!$B$3</f>
        <v>956.22974358974363</v>
      </c>
      <c r="Y2350" t="str">
        <f>IF(Table1[[#This Row],[customer_subscription]]=1,"Subscribed","Not Subscribed")</f>
        <v>Not Subscribed</v>
      </c>
      <c r="Z2350" t="s">
        <v>194</v>
      </c>
    </row>
    <row r="2351" spans="1:26" x14ac:dyDescent="0.25">
      <c r="A2351">
        <v>2350</v>
      </c>
      <c r="B2351">
        <v>65</v>
      </c>
      <c r="C2351" t="s">
        <v>22</v>
      </c>
      <c r="D2351">
        <v>2350</v>
      </c>
      <c r="E2351" t="s">
        <v>23</v>
      </c>
      <c r="F2351" t="s">
        <v>24</v>
      </c>
      <c r="G2351">
        <v>2350</v>
      </c>
      <c r="H2351">
        <v>3019</v>
      </c>
      <c r="I2351">
        <v>34</v>
      </c>
      <c r="J2351" t="s">
        <v>87</v>
      </c>
      <c r="K2351" t="s">
        <v>47</v>
      </c>
      <c r="L2351" t="s">
        <v>124</v>
      </c>
      <c r="M2351" t="s">
        <v>60</v>
      </c>
      <c r="N2351">
        <v>3.9</v>
      </c>
      <c r="O2351">
        <v>0</v>
      </c>
      <c r="P2351" t="s">
        <v>57</v>
      </c>
      <c r="Q2351" t="s">
        <v>155</v>
      </c>
      <c r="R2351" t="s">
        <v>155</v>
      </c>
      <c r="S2351">
        <v>40</v>
      </c>
      <c r="T2351" t="s">
        <v>42</v>
      </c>
      <c r="U2351" t="s">
        <v>100</v>
      </c>
      <c r="V2351" s="1">
        <v>45589</v>
      </c>
      <c r="W2351">
        <f>Table1[[#This Row],[customer_purchase count]]+1</f>
        <v>41</v>
      </c>
      <c r="X2351">
        <f>Table1[[#This Row],[customer_purchase count]]*Rules!$B$3</f>
        <v>2390.5743589743593</v>
      </c>
      <c r="Y2351" t="str">
        <f>IF(Table1[[#This Row],[customer_subscription]]=1,"Subscribed","Not Subscribed")</f>
        <v>Not Subscribed</v>
      </c>
    </row>
    <row r="2352" spans="1:26" x14ac:dyDescent="0.25">
      <c r="A2352">
        <v>2351</v>
      </c>
      <c r="B2352">
        <v>57</v>
      </c>
      <c r="C2352" t="s">
        <v>22</v>
      </c>
      <c r="D2352">
        <v>2351</v>
      </c>
      <c r="E2352" t="s">
        <v>74</v>
      </c>
      <c r="F2352" t="s">
        <v>45</v>
      </c>
      <c r="G2352">
        <v>2351</v>
      </c>
      <c r="H2352">
        <v>3020</v>
      </c>
      <c r="I2352">
        <v>26</v>
      </c>
      <c r="J2352" t="s">
        <v>80</v>
      </c>
      <c r="K2352" t="s">
        <v>47</v>
      </c>
      <c r="L2352" t="s">
        <v>51</v>
      </c>
      <c r="M2352" t="s">
        <v>28</v>
      </c>
      <c r="N2352">
        <v>4.2</v>
      </c>
      <c r="O2352">
        <v>0</v>
      </c>
      <c r="P2352" t="s">
        <v>41</v>
      </c>
      <c r="Q2352" t="s">
        <v>155</v>
      </c>
      <c r="R2352" t="s">
        <v>155</v>
      </c>
      <c r="S2352">
        <v>21</v>
      </c>
      <c r="T2352" t="s">
        <v>36</v>
      </c>
      <c r="U2352" t="s">
        <v>52</v>
      </c>
      <c r="V2352" s="1">
        <v>45311</v>
      </c>
      <c r="W2352">
        <f>Table1[[#This Row],[customer_purchase count]]+1</f>
        <v>22</v>
      </c>
      <c r="X2352">
        <f>Table1[[#This Row],[customer_purchase count]]*Rules!$B$3</f>
        <v>1255.0515384615385</v>
      </c>
      <c r="Y2352" t="str">
        <f>IF(Table1[[#This Row],[customer_subscription]]=1,"Subscribed","Not Subscribed")</f>
        <v>Not Subscribed</v>
      </c>
    </row>
    <row r="2353" spans="1:26" x14ac:dyDescent="0.25">
      <c r="A2353">
        <v>2352</v>
      </c>
      <c r="B2353">
        <v>38</v>
      </c>
      <c r="C2353" t="s">
        <v>22</v>
      </c>
      <c r="D2353">
        <v>2352</v>
      </c>
      <c r="E2353" t="s">
        <v>33</v>
      </c>
      <c r="F2353" t="s">
        <v>24</v>
      </c>
      <c r="G2353">
        <v>2352</v>
      </c>
      <c r="H2353">
        <v>3021</v>
      </c>
      <c r="I2353">
        <v>50</v>
      </c>
      <c r="J2353" t="s">
        <v>85</v>
      </c>
      <c r="K2353" t="s">
        <v>39</v>
      </c>
      <c r="L2353" t="s">
        <v>112</v>
      </c>
      <c r="M2353" t="s">
        <v>60</v>
      </c>
      <c r="N2353">
        <v>4.9000000000000004</v>
      </c>
      <c r="O2353">
        <v>0</v>
      </c>
      <c r="P2353" t="s">
        <v>77</v>
      </c>
      <c r="Q2353" t="s">
        <v>155</v>
      </c>
      <c r="R2353" t="s">
        <v>155</v>
      </c>
      <c r="S2353">
        <v>25</v>
      </c>
      <c r="T2353" t="s">
        <v>49</v>
      </c>
      <c r="U2353" t="s">
        <v>79</v>
      </c>
      <c r="V2353" s="1">
        <v>45617</v>
      </c>
      <c r="W2353">
        <f>Table1[[#This Row],[customer_purchase count]]+1</f>
        <v>26</v>
      </c>
      <c r="X2353">
        <f>Table1[[#This Row],[customer_purchase count]]*Rules!$B$3</f>
        <v>1494.1089743589744</v>
      </c>
      <c r="Y2353" t="str">
        <f>IF(Table1[[#This Row],[customer_subscription]]=1,"Subscribed","Not Subscribed")</f>
        <v>Not Subscribed</v>
      </c>
    </row>
    <row r="2354" spans="1:26" x14ac:dyDescent="0.25">
      <c r="A2354">
        <v>2353</v>
      </c>
      <c r="B2354">
        <v>70</v>
      </c>
      <c r="C2354" t="s">
        <v>22</v>
      </c>
      <c r="D2354">
        <v>2353</v>
      </c>
      <c r="E2354" t="s">
        <v>140</v>
      </c>
      <c r="F2354" t="s">
        <v>45</v>
      </c>
      <c r="G2354">
        <v>2353</v>
      </c>
      <c r="H2354">
        <v>3022</v>
      </c>
      <c r="I2354">
        <v>46</v>
      </c>
      <c r="J2354" t="s">
        <v>148</v>
      </c>
      <c r="K2354" t="s">
        <v>47</v>
      </c>
      <c r="L2354" t="s">
        <v>137</v>
      </c>
      <c r="M2354" t="s">
        <v>60</v>
      </c>
      <c r="N2354">
        <v>2.8</v>
      </c>
      <c r="O2354">
        <v>0</v>
      </c>
      <c r="P2354" t="s">
        <v>77</v>
      </c>
      <c r="Q2354" t="s">
        <v>155</v>
      </c>
      <c r="R2354" t="s">
        <v>155</v>
      </c>
      <c r="S2354">
        <v>25</v>
      </c>
      <c r="T2354" t="s">
        <v>78</v>
      </c>
      <c r="U2354" t="s">
        <v>61</v>
      </c>
      <c r="V2354" s="1">
        <v>45559</v>
      </c>
      <c r="W2354">
        <f>Table1[[#This Row],[customer_purchase count]]+1</f>
        <v>26</v>
      </c>
      <c r="X2354">
        <f>Table1[[#This Row],[customer_purchase count]]*Rules!$B$3</f>
        <v>1494.1089743589744</v>
      </c>
      <c r="Y2354" t="str">
        <f>IF(Table1[[#This Row],[customer_subscription]]=1,"Subscribed","Not Subscribed")</f>
        <v>Not Subscribed</v>
      </c>
    </row>
    <row r="2355" spans="1:26" x14ac:dyDescent="0.25">
      <c r="A2355">
        <v>2354</v>
      </c>
      <c r="B2355">
        <v>56</v>
      </c>
      <c r="C2355" t="s">
        <v>22</v>
      </c>
      <c r="D2355">
        <v>2354</v>
      </c>
      <c r="E2355" t="s">
        <v>69</v>
      </c>
      <c r="F2355" t="s">
        <v>70</v>
      </c>
      <c r="G2355">
        <v>2354</v>
      </c>
      <c r="H2355">
        <v>3023</v>
      </c>
      <c r="I2355">
        <v>71</v>
      </c>
      <c r="J2355" t="s">
        <v>59</v>
      </c>
      <c r="K2355" t="s">
        <v>47</v>
      </c>
      <c r="L2355" t="s">
        <v>55</v>
      </c>
      <c r="M2355" t="s">
        <v>60</v>
      </c>
      <c r="N2355">
        <v>4.0999999999999996</v>
      </c>
      <c r="O2355">
        <v>0</v>
      </c>
      <c r="P2355" t="s">
        <v>57</v>
      </c>
      <c r="Q2355" t="s">
        <v>155</v>
      </c>
      <c r="R2355" t="s">
        <v>155</v>
      </c>
      <c r="S2355">
        <v>25</v>
      </c>
      <c r="T2355" t="s">
        <v>89</v>
      </c>
      <c r="U2355" t="s">
        <v>100</v>
      </c>
      <c r="V2355" s="1">
        <v>45546</v>
      </c>
      <c r="W2355">
        <f>Table1[[#This Row],[customer_purchase count]]+1</f>
        <v>26</v>
      </c>
      <c r="X2355">
        <f>Table1[[#This Row],[customer_purchase count]]*Rules!$B$3</f>
        <v>1494.1089743589744</v>
      </c>
      <c r="Y2355" t="str">
        <f>IF(Table1[[#This Row],[customer_subscription]]=1,"Subscribed","Not Subscribed")</f>
        <v>Not Subscribed</v>
      </c>
    </row>
    <row r="2356" spans="1:26" x14ac:dyDescent="0.25">
      <c r="A2356">
        <v>2355</v>
      </c>
      <c r="B2356">
        <v>56</v>
      </c>
      <c r="C2356" t="s">
        <v>22</v>
      </c>
      <c r="D2356">
        <v>2355</v>
      </c>
      <c r="E2356" t="s">
        <v>23</v>
      </c>
      <c r="F2356" t="s">
        <v>24</v>
      </c>
      <c r="G2356">
        <v>2355</v>
      </c>
      <c r="H2356">
        <v>3025</v>
      </c>
      <c r="I2356">
        <v>78</v>
      </c>
      <c r="J2356" t="s">
        <v>153</v>
      </c>
      <c r="K2356" t="s">
        <v>47</v>
      </c>
      <c r="L2356" t="s">
        <v>147</v>
      </c>
      <c r="M2356" t="s">
        <v>56</v>
      </c>
      <c r="N2356">
        <v>4.8</v>
      </c>
      <c r="O2356">
        <v>0</v>
      </c>
      <c r="P2356" t="s">
        <v>48</v>
      </c>
      <c r="Q2356" t="s">
        <v>155</v>
      </c>
      <c r="R2356" t="s">
        <v>155</v>
      </c>
      <c r="S2356">
        <v>27</v>
      </c>
      <c r="T2356" t="s">
        <v>31</v>
      </c>
      <c r="U2356" t="s">
        <v>91</v>
      </c>
      <c r="V2356" s="1">
        <v>45492</v>
      </c>
      <c r="W2356">
        <f>Table1[[#This Row],[customer_purchase count]]+1</f>
        <v>28</v>
      </c>
      <c r="X2356">
        <f>Table1[[#This Row],[customer_purchase count]]*Rules!$B$3</f>
        <v>1613.6376923076923</v>
      </c>
      <c r="Y2356" t="str">
        <f>IF(Table1[[#This Row],[customer_subscription]]=1,"Subscribed","Not Subscribed")</f>
        <v>Not Subscribed</v>
      </c>
    </row>
    <row r="2357" spans="1:26" x14ac:dyDescent="0.25">
      <c r="A2357">
        <v>2356</v>
      </c>
      <c r="B2357">
        <v>22</v>
      </c>
      <c r="C2357" t="s">
        <v>22</v>
      </c>
      <c r="D2357">
        <v>2356</v>
      </c>
      <c r="E2357" t="s">
        <v>90</v>
      </c>
      <c r="F2357" t="s">
        <v>24</v>
      </c>
      <c r="G2357">
        <v>2356</v>
      </c>
      <c r="H2357">
        <v>3026</v>
      </c>
      <c r="I2357">
        <v>35</v>
      </c>
      <c r="J2357" t="s">
        <v>125</v>
      </c>
      <c r="K2357" t="s">
        <v>39</v>
      </c>
      <c r="L2357" t="s">
        <v>76</v>
      </c>
      <c r="M2357" t="s">
        <v>28</v>
      </c>
      <c r="N2357">
        <v>4.0999999999999996</v>
      </c>
      <c r="O2357">
        <v>0</v>
      </c>
      <c r="P2357" t="s">
        <v>48</v>
      </c>
      <c r="Q2357" t="s">
        <v>155</v>
      </c>
      <c r="R2357" t="s">
        <v>155</v>
      </c>
      <c r="S2357">
        <v>12</v>
      </c>
      <c r="T2357" t="s">
        <v>36</v>
      </c>
      <c r="U2357" t="s">
        <v>91</v>
      </c>
      <c r="V2357" s="1">
        <v>45329</v>
      </c>
      <c r="W2357">
        <f>Table1[[#This Row],[customer_purchase count]]+1</f>
        <v>13</v>
      </c>
      <c r="X2357">
        <f>Table1[[#This Row],[customer_purchase count]]*Rules!$B$3</f>
        <v>717.17230769230775</v>
      </c>
      <c r="Y2357" t="str">
        <f>IF(Table1[[#This Row],[customer_subscription]]=1,"Subscribed","Not Subscribed")</f>
        <v>Not Subscribed</v>
      </c>
      <c r="Z2357" t="s">
        <v>187</v>
      </c>
    </row>
    <row r="2358" spans="1:26" x14ac:dyDescent="0.25">
      <c r="A2358">
        <v>2357</v>
      </c>
      <c r="B2358">
        <v>57</v>
      </c>
      <c r="C2358" t="s">
        <v>22</v>
      </c>
      <c r="D2358">
        <v>2357</v>
      </c>
      <c r="E2358" t="s">
        <v>135</v>
      </c>
      <c r="F2358" t="s">
        <v>70</v>
      </c>
      <c r="G2358">
        <v>2357</v>
      </c>
      <c r="H2358">
        <v>3027</v>
      </c>
      <c r="I2358">
        <v>58</v>
      </c>
      <c r="J2358" t="s">
        <v>59</v>
      </c>
      <c r="K2358" t="s">
        <v>47</v>
      </c>
      <c r="L2358" t="s">
        <v>27</v>
      </c>
      <c r="M2358" t="s">
        <v>56</v>
      </c>
      <c r="N2358">
        <v>3</v>
      </c>
      <c r="O2358">
        <v>0</v>
      </c>
      <c r="P2358" t="s">
        <v>41</v>
      </c>
      <c r="Q2358" t="s">
        <v>155</v>
      </c>
      <c r="R2358" t="s">
        <v>155</v>
      </c>
      <c r="S2358">
        <v>27</v>
      </c>
      <c r="T2358" t="s">
        <v>89</v>
      </c>
      <c r="U2358" t="s">
        <v>61</v>
      </c>
      <c r="V2358" s="1">
        <v>45488</v>
      </c>
      <c r="W2358">
        <f>Table1[[#This Row],[customer_purchase count]]+1</f>
        <v>28</v>
      </c>
      <c r="X2358">
        <f>Table1[[#This Row],[customer_purchase count]]*Rules!$B$3</f>
        <v>1613.6376923076923</v>
      </c>
      <c r="Y2358" t="str">
        <f>IF(Table1[[#This Row],[customer_subscription]]=1,"Subscribed","Not Subscribed")</f>
        <v>Not Subscribed</v>
      </c>
    </row>
    <row r="2359" spans="1:26" x14ac:dyDescent="0.25">
      <c r="A2359">
        <v>2358</v>
      </c>
      <c r="B2359">
        <v>53</v>
      </c>
      <c r="C2359" t="s">
        <v>22</v>
      </c>
      <c r="D2359">
        <v>2358</v>
      </c>
      <c r="E2359" t="s">
        <v>58</v>
      </c>
      <c r="F2359" t="s">
        <v>24</v>
      </c>
      <c r="G2359">
        <v>2358</v>
      </c>
      <c r="H2359">
        <v>3028</v>
      </c>
      <c r="I2359">
        <v>67</v>
      </c>
      <c r="J2359" t="s">
        <v>154</v>
      </c>
      <c r="K2359" t="s">
        <v>26</v>
      </c>
      <c r="L2359" t="s">
        <v>112</v>
      </c>
      <c r="M2359" t="s">
        <v>60</v>
      </c>
      <c r="N2359">
        <v>4.2</v>
      </c>
      <c r="O2359">
        <v>0</v>
      </c>
      <c r="P2359" t="s">
        <v>73</v>
      </c>
      <c r="Q2359" t="s">
        <v>155</v>
      </c>
      <c r="R2359" t="s">
        <v>155</v>
      </c>
      <c r="S2359">
        <v>40</v>
      </c>
      <c r="T2359" t="s">
        <v>42</v>
      </c>
      <c r="U2359" t="s">
        <v>79</v>
      </c>
      <c r="V2359" s="1">
        <v>45583</v>
      </c>
      <c r="W2359">
        <f>Table1[[#This Row],[customer_purchase count]]+1</f>
        <v>41</v>
      </c>
      <c r="X2359">
        <f>Table1[[#This Row],[customer_purchase count]]*Rules!$B$3</f>
        <v>2390.5743589743593</v>
      </c>
      <c r="Y2359" t="str">
        <f>IF(Table1[[#This Row],[customer_subscription]]=1,"Subscribed","Not Subscribed")</f>
        <v>Not Subscribed</v>
      </c>
    </row>
    <row r="2360" spans="1:26" x14ac:dyDescent="0.25">
      <c r="A2360">
        <v>2359</v>
      </c>
      <c r="B2360">
        <v>53</v>
      </c>
      <c r="C2360" t="s">
        <v>22</v>
      </c>
      <c r="D2360">
        <v>2359</v>
      </c>
      <c r="E2360" t="s">
        <v>33</v>
      </c>
      <c r="F2360" t="s">
        <v>24</v>
      </c>
      <c r="G2360">
        <v>2359</v>
      </c>
      <c r="H2360">
        <v>3029</v>
      </c>
      <c r="I2360">
        <v>93</v>
      </c>
      <c r="J2360" t="s">
        <v>108</v>
      </c>
      <c r="K2360" t="s">
        <v>26</v>
      </c>
      <c r="L2360" t="s">
        <v>72</v>
      </c>
      <c r="M2360" t="s">
        <v>40</v>
      </c>
      <c r="N2360">
        <v>3.8</v>
      </c>
      <c r="O2360">
        <v>0</v>
      </c>
      <c r="P2360" t="s">
        <v>57</v>
      </c>
      <c r="Q2360" t="s">
        <v>155</v>
      </c>
      <c r="R2360" t="s">
        <v>155</v>
      </c>
      <c r="S2360">
        <v>38</v>
      </c>
      <c r="T2360" t="s">
        <v>42</v>
      </c>
      <c r="U2360" t="s">
        <v>61</v>
      </c>
      <c r="V2360" s="1">
        <v>45384</v>
      </c>
      <c r="W2360">
        <f>Table1[[#This Row],[customer_purchase count]]+1</f>
        <v>39</v>
      </c>
      <c r="X2360">
        <f>Table1[[#This Row],[customer_purchase count]]*Rules!$B$3</f>
        <v>2271.0456410256411</v>
      </c>
      <c r="Y2360" t="str">
        <f>IF(Table1[[#This Row],[customer_subscription]]=1,"Subscribed","Not Subscribed")</f>
        <v>Not Subscribed</v>
      </c>
    </row>
    <row r="2361" spans="1:26" x14ac:dyDescent="0.25">
      <c r="A2361">
        <v>2360</v>
      </c>
      <c r="B2361">
        <v>19</v>
      </c>
      <c r="C2361" t="s">
        <v>22</v>
      </c>
      <c r="D2361">
        <v>2360</v>
      </c>
      <c r="E2361" t="s">
        <v>122</v>
      </c>
      <c r="F2361" t="s">
        <v>70</v>
      </c>
      <c r="G2361">
        <v>2360</v>
      </c>
      <c r="H2361">
        <v>3031</v>
      </c>
      <c r="I2361">
        <v>81</v>
      </c>
      <c r="J2361" t="s">
        <v>141</v>
      </c>
      <c r="K2361" t="s">
        <v>39</v>
      </c>
      <c r="L2361" t="s">
        <v>83</v>
      </c>
      <c r="M2361" t="s">
        <v>40</v>
      </c>
      <c r="N2361">
        <v>3.3</v>
      </c>
      <c r="O2361">
        <v>0</v>
      </c>
      <c r="P2361" t="s">
        <v>73</v>
      </c>
      <c r="Q2361" t="s">
        <v>155</v>
      </c>
      <c r="R2361" t="s">
        <v>155</v>
      </c>
      <c r="S2361">
        <v>44</v>
      </c>
      <c r="T2361" t="s">
        <v>78</v>
      </c>
      <c r="U2361" t="s">
        <v>100</v>
      </c>
      <c r="V2361" s="1">
        <v>45364</v>
      </c>
      <c r="W2361">
        <f>Table1[[#This Row],[customer_purchase count]]+1</f>
        <v>45</v>
      </c>
      <c r="X2361">
        <f>Table1[[#This Row],[customer_purchase count]]*Rules!$B$3</f>
        <v>2629.6317948717951</v>
      </c>
      <c r="Y2361" t="str">
        <f>IF(Table1[[#This Row],[customer_subscription]]=1,"Subscribed","Not Subscribed")</f>
        <v>Not Subscribed</v>
      </c>
    </row>
    <row r="2362" spans="1:26" x14ac:dyDescent="0.25">
      <c r="A2362">
        <v>2361</v>
      </c>
      <c r="B2362">
        <v>49</v>
      </c>
      <c r="C2362" t="s">
        <v>22</v>
      </c>
      <c r="D2362">
        <v>2361</v>
      </c>
      <c r="E2362" t="s">
        <v>69</v>
      </c>
      <c r="F2362" t="s">
        <v>70</v>
      </c>
      <c r="G2362">
        <v>2361</v>
      </c>
      <c r="H2362">
        <v>3032</v>
      </c>
      <c r="I2362">
        <v>80</v>
      </c>
      <c r="J2362" t="s">
        <v>87</v>
      </c>
      <c r="K2362" t="s">
        <v>26</v>
      </c>
      <c r="L2362" t="s">
        <v>68</v>
      </c>
      <c r="M2362" t="s">
        <v>60</v>
      </c>
      <c r="N2362">
        <v>4.7</v>
      </c>
      <c r="O2362">
        <v>0</v>
      </c>
      <c r="P2362" t="s">
        <v>73</v>
      </c>
      <c r="Q2362" t="s">
        <v>155</v>
      </c>
      <c r="R2362" t="s">
        <v>155</v>
      </c>
      <c r="S2362">
        <v>27</v>
      </c>
      <c r="T2362" t="s">
        <v>31</v>
      </c>
      <c r="U2362" t="s">
        <v>100</v>
      </c>
      <c r="V2362" s="1">
        <v>45605</v>
      </c>
      <c r="W2362">
        <f>Table1[[#This Row],[customer_purchase count]]+1</f>
        <v>28</v>
      </c>
      <c r="X2362">
        <f>Table1[[#This Row],[customer_purchase count]]*Rules!$B$3</f>
        <v>1613.6376923076923</v>
      </c>
      <c r="Y2362" t="str">
        <f>IF(Table1[[#This Row],[customer_subscription]]=1,"Subscribed","Not Subscribed")</f>
        <v>Not Subscribed</v>
      </c>
    </row>
    <row r="2363" spans="1:26" x14ac:dyDescent="0.25">
      <c r="A2363">
        <v>2362</v>
      </c>
      <c r="B2363">
        <v>44</v>
      </c>
      <c r="C2363" t="s">
        <v>22</v>
      </c>
      <c r="D2363">
        <v>2362</v>
      </c>
      <c r="E2363" t="s">
        <v>122</v>
      </c>
      <c r="F2363" t="s">
        <v>70</v>
      </c>
      <c r="G2363">
        <v>2362</v>
      </c>
      <c r="H2363">
        <v>3033</v>
      </c>
      <c r="I2363">
        <v>64</v>
      </c>
      <c r="J2363" t="s">
        <v>93</v>
      </c>
      <c r="K2363" t="s">
        <v>47</v>
      </c>
      <c r="L2363" t="s">
        <v>27</v>
      </c>
      <c r="M2363" t="s">
        <v>40</v>
      </c>
      <c r="N2363">
        <v>4.3</v>
      </c>
      <c r="O2363">
        <v>0</v>
      </c>
      <c r="P2363" t="s">
        <v>73</v>
      </c>
      <c r="Q2363" t="s">
        <v>155</v>
      </c>
      <c r="R2363" t="s">
        <v>155</v>
      </c>
      <c r="S2363">
        <v>30</v>
      </c>
      <c r="T2363" t="s">
        <v>42</v>
      </c>
      <c r="U2363" t="s">
        <v>100</v>
      </c>
      <c r="V2363" s="1">
        <v>45397</v>
      </c>
      <c r="W2363">
        <f>Table1[[#This Row],[customer_purchase count]]+1</f>
        <v>31</v>
      </c>
      <c r="X2363">
        <f>Table1[[#This Row],[customer_purchase count]]*Rules!$B$3</f>
        <v>1792.9307692307693</v>
      </c>
      <c r="Y2363" t="str">
        <f>IF(Table1[[#This Row],[customer_subscription]]=1,"Subscribed","Not Subscribed")</f>
        <v>Not Subscribed</v>
      </c>
    </row>
    <row r="2364" spans="1:26" x14ac:dyDescent="0.25">
      <c r="A2364">
        <v>2363</v>
      </c>
      <c r="B2364">
        <v>27</v>
      </c>
      <c r="C2364" t="s">
        <v>22</v>
      </c>
      <c r="D2364">
        <v>2363</v>
      </c>
      <c r="E2364" t="s">
        <v>37</v>
      </c>
      <c r="F2364" t="s">
        <v>24</v>
      </c>
      <c r="G2364">
        <v>2363</v>
      </c>
      <c r="H2364">
        <v>3034</v>
      </c>
      <c r="I2364">
        <v>41</v>
      </c>
      <c r="J2364" t="s">
        <v>144</v>
      </c>
      <c r="K2364" t="s">
        <v>47</v>
      </c>
      <c r="L2364" t="s">
        <v>113</v>
      </c>
      <c r="M2364" t="s">
        <v>60</v>
      </c>
      <c r="N2364">
        <v>2.7</v>
      </c>
      <c r="O2364">
        <v>0</v>
      </c>
      <c r="P2364" t="s">
        <v>57</v>
      </c>
      <c r="Q2364" t="s">
        <v>155</v>
      </c>
      <c r="R2364" t="s">
        <v>155</v>
      </c>
      <c r="S2364">
        <v>24</v>
      </c>
      <c r="T2364" t="s">
        <v>42</v>
      </c>
      <c r="U2364" t="s">
        <v>91</v>
      </c>
      <c r="V2364" s="1">
        <v>45560</v>
      </c>
      <c r="W2364">
        <f>Table1[[#This Row],[customer_purchase count]]+1</f>
        <v>25</v>
      </c>
      <c r="X2364">
        <f>Table1[[#This Row],[customer_purchase count]]*Rules!$B$3</f>
        <v>1434.3446153846155</v>
      </c>
      <c r="Y2364" t="str">
        <f>IF(Table1[[#This Row],[customer_subscription]]=1,"Subscribed","Not Subscribed")</f>
        <v>Not Subscribed</v>
      </c>
    </row>
    <row r="2365" spans="1:26" x14ac:dyDescent="0.25">
      <c r="A2365">
        <v>2364</v>
      </c>
      <c r="B2365">
        <v>60</v>
      </c>
      <c r="C2365" t="s">
        <v>22</v>
      </c>
      <c r="D2365">
        <v>2364</v>
      </c>
      <c r="E2365" t="s">
        <v>128</v>
      </c>
      <c r="F2365" t="s">
        <v>24</v>
      </c>
      <c r="G2365">
        <v>2364</v>
      </c>
      <c r="H2365">
        <v>3035</v>
      </c>
      <c r="I2365">
        <v>79</v>
      </c>
      <c r="J2365" t="s">
        <v>141</v>
      </c>
      <c r="K2365" t="s">
        <v>95</v>
      </c>
      <c r="L2365" t="s">
        <v>72</v>
      </c>
      <c r="M2365" t="s">
        <v>28</v>
      </c>
      <c r="N2365">
        <v>4.2</v>
      </c>
      <c r="O2365">
        <v>0</v>
      </c>
      <c r="P2365" t="s">
        <v>29</v>
      </c>
      <c r="Q2365" t="s">
        <v>155</v>
      </c>
      <c r="R2365" t="s">
        <v>155</v>
      </c>
      <c r="S2365">
        <v>38</v>
      </c>
      <c r="T2365" t="s">
        <v>36</v>
      </c>
      <c r="U2365" t="s">
        <v>79</v>
      </c>
      <c r="V2365" s="1">
        <v>45644</v>
      </c>
      <c r="W2365">
        <f>Table1[[#This Row],[customer_purchase count]]+1</f>
        <v>39</v>
      </c>
      <c r="X2365">
        <f>Table1[[#This Row],[customer_purchase count]]*Rules!$B$3</f>
        <v>2271.0456410256411</v>
      </c>
      <c r="Y2365" t="str">
        <f>IF(Table1[[#This Row],[customer_subscription]]=1,"Subscribed","Not Subscribed")</f>
        <v>Not Subscribed</v>
      </c>
    </row>
    <row r="2366" spans="1:26" x14ac:dyDescent="0.25">
      <c r="A2366">
        <v>2365</v>
      </c>
      <c r="B2366">
        <v>62</v>
      </c>
      <c r="C2366" t="s">
        <v>22</v>
      </c>
      <c r="D2366">
        <v>2365</v>
      </c>
      <c r="E2366" t="s">
        <v>92</v>
      </c>
      <c r="F2366" t="s">
        <v>70</v>
      </c>
      <c r="G2366">
        <v>2365</v>
      </c>
      <c r="H2366">
        <v>3037</v>
      </c>
      <c r="I2366">
        <v>60</v>
      </c>
      <c r="J2366" t="s">
        <v>94</v>
      </c>
      <c r="K2366" t="s">
        <v>26</v>
      </c>
      <c r="L2366" t="s">
        <v>35</v>
      </c>
      <c r="M2366" t="s">
        <v>28</v>
      </c>
      <c r="N2366">
        <v>4.2</v>
      </c>
      <c r="O2366">
        <v>0</v>
      </c>
      <c r="P2366" t="s">
        <v>41</v>
      </c>
      <c r="Q2366" t="s">
        <v>155</v>
      </c>
      <c r="R2366" t="s">
        <v>155</v>
      </c>
      <c r="S2366">
        <v>4</v>
      </c>
      <c r="T2366" t="s">
        <v>49</v>
      </c>
      <c r="U2366" t="s">
        <v>61</v>
      </c>
      <c r="V2366" s="1">
        <v>45641</v>
      </c>
      <c r="W2366">
        <f>Table1[[#This Row],[customer_purchase count]]+1</f>
        <v>5</v>
      </c>
      <c r="X2366">
        <f>Table1[[#This Row],[customer_purchase count]]*Rules!$B$3</f>
        <v>239.05743589743591</v>
      </c>
      <c r="Y2366" t="str">
        <f>IF(Table1[[#This Row],[customer_subscription]]=1,"Subscribed","Not Subscribed")</f>
        <v>Not Subscribed</v>
      </c>
      <c r="Z2366" t="s">
        <v>194</v>
      </c>
    </row>
    <row r="2367" spans="1:26" x14ac:dyDescent="0.25">
      <c r="A2367">
        <v>2366</v>
      </c>
      <c r="B2367">
        <v>52</v>
      </c>
      <c r="C2367" t="s">
        <v>22</v>
      </c>
      <c r="D2367">
        <v>2366</v>
      </c>
      <c r="E2367" t="s">
        <v>53</v>
      </c>
      <c r="F2367" t="s">
        <v>45</v>
      </c>
      <c r="G2367">
        <v>2366</v>
      </c>
      <c r="H2367">
        <v>3038</v>
      </c>
      <c r="I2367">
        <v>91</v>
      </c>
      <c r="J2367" t="s">
        <v>54</v>
      </c>
      <c r="K2367" t="s">
        <v>39</v>
      </c>
      <c r="L2367" t="s">
        <v>103</v>
      </c>
      <c r="M2367" t="s">
        <v>28</v>
      </c>
      <c r="N2367">
        <v>2.5</v>
      </c>
      <c r="O2367">
        <v>0</v>
      </c>
      <c r="P2367" t="s">
        <v>48</v>
      </c>
      <c r="Q2367" t="s">
        <v>155</v>
      </c>
      <c r="R2367" t="s">
        <v>155</v>
      </c>
      <c r="S2367">
        <v>32</v>
      </c>
      <c r="T2367" t="s">
        <v>31</v>
      </c>
      <c r="U2367" t="s">
        <v>91</v>
      </c>
      <c r="V2367" s="1">
        <v>45632</v>
      </c>
      <c r="W2367">
        <f>Table1[[#This Row],[customer_purchase count]]+1</f>
        <v>33</v>
      </c>
      <c r="X2367">
        <f>Table1[[#This Row],[customer_purchase count]]*Rules!$B$3</f>
        <v>1912.4594871794873</v>
      </c>
      <c r="Y2367" t="str">
        <f>IF(Table1[[#This Row],[customer_subscription]]=1,"Subscribed","Not Subscribed")</f>
        <v>Not Subscribed</v>
      </c>
    </row>
    <row r="2368" spans="1:26" x14ac:dyDescent="0.25">
      <c r="A2368">
        <v>2367</v>
      </c>
      <c r="B2368">
        <v>30</v>
      </c>
      <c r="C2368" t="s">
        <v>22</v>
      </c>
      <c r="D2368">
        <v>2367</v>
      </c>
      <c r="E2368" t="s">
        <v>74</v>
      </c>
      <c r="F2368" t="s">
        <v>45</v>
      </c>
      <c r="G2368">
        <v>2367</v>
      </c>
      <c r="H2368">
        <v>3039</v>
      </c>
      <c r="I2368">
        <v>66</v>
      </c>
      <c r="J2368" t="s">
        <v>133</v>
      </c>
      <c r="K2368" t="s">
        <v>26</v>
      </c>
      <c r="L2368" t="s">
        <v>113</v>
      </c>
      <c r="M2368" t="s">
        <v>28</v>
      </c>
      <c r="N2368">
        <v>3.6</v>
      </c>
      <c r="O2368">
        <v>0</v>
      </c>
      <c r="P2368" t="s">
        <v>29</v>
      </c>
      <c r="Q2368" t="s">
        <v>155</v>
      </c>
      <c r="R2368" t="s">
        <v>155</v>
      </c>
      <c r="S2368">
        <v>32</v>
      </c>
      <c r="T2368" t="s">
        <v>42</v>
      </c>
      <c r="U2368" t="s">
        <v>32</v>
      </c>
      <c r="V2368" s="1">
        <v>45634</v>
      </c>
      <c r="W2368">
        <f>Table1[[#This Row],[customer_purchase count]]+1</f>
        <v>33</v>
      </c>
      <c r="X2368">
        <f>Table1[[#This Row],[customer_purchase count]]*Rules!$B$3</f>
        <v>1912.4594871794873</v>
      </c>
      <c r="Y2368" t="str">
        <f>IF(Table1[[#This Row],[customer_subscription]]=1,"Subscribed","Not Subscribed")</f>
        <v>Not Subscribed</v>
      </c>
    </row>
    <row r="2369" spans="1:26" x14ac:dyDescent="0.25">
      <c r="A2369">
        <v>2368</v>
      </c>
      <c r="B2369">
        <v>66</v>
      </c>
      <c r="C2369" t="s">
        <v>22</v>
      </c>
      <c r="D2369">
        <v>2368</v>
      </c>
      <c r="E2369" t="s">
        <v>128</v>
      </c>
      <c r="F2369" t="s">
        <v>24</v>
      </c>
      <c r="G2369">
        <v>2368</v>
      </c>
      <c r="H2369">
        <v>3040</v>
      </c>
      <c r="I2369">
        <v>85</v>
      </c>
      <c r="J2369" t="s">
        <v>117</v>
      </c>
      <c r="K2369" t="s">
        <v>26</v>
      </c>
      <c r="L2369" t="s">
        <v>99</v>
      </c>
      <c r="M2369" t="s">
        <v>28</v>
      </c>
      <c r="N2369">
        <v>3.4</v>
      </c>
      <c r="O2369">
        <v>0</v>
      </c>
      <c r="P2369" t="s">
        <v>57</v>
      </c>
      <c r="Q2369" t="s">
        <v>155</v>
      </c>
      <c r="R2369" t="s">
        <v>155</v>
      </c>
      <c r="S2369">
        <v>28</v>
      </c>
      <c r="T2369" t="s">
        <v>78</v>
      </c>
      <c r="U2369" t="s">
        <v>79</v>
      </c>
      <c r="V2369" s="1">
        <v>45325</v>
      </c>
      <c r="W2369">
        <f>Table1[[#This Row],[customer_purchase count]]+1</f>
        <v>29</v>
      </c>
      <c r="X2369">
        <f>Table1[[#This Row],[customer_purchase count]]*Rules!$B$3</f>
        <v>1673.4020512820514</v>
      </c>
      <c r="Y2369" t="str">
        <f>IF(Table1[[#This Row],[customer_subscription]]=1,"Subscribed","Not Subscribed")</f>
        <v>Not Subscribed</v>
      </c>
    </row>
    <row r="2370" spans="1:26" x14ac:dyDescent="0.25">
      <c r="A2370">
        <v>2369</v>
      </c>
      <c r="B2370">
        <v>29</v>
      </c>
      <c r="C2370" t="s">
        <v>22</v>
      </c>
      <c r="D2370">
        <v>2369</v>
      </c>
      <c r="E2370" t="s">
        <v>92</v>
      </c>
      <c r="F2370" t="s">
        <v>70</v>
      </c>
      <c r="G2370">
        <v>2369</v>
      </c>
      <c r="H2370">
        <v>3041</v>
      </c>
      <c r="I2370">
        <v>38</v>
      </c>
      <c r="J2370" t="s">
        <v>130</v>
      </c>
      <c r="K2370" t="s">
        <v>47</v>
      </c>
      <c r="L2370" t="s">
        <v>96</v>
      </c>
      <c r="M2370" t="s">
        <v>56</v>
      </c>
      <c r="N2370">
        <v>3.3</v>
      </c>
      <c r="O2370">
        <v>0</v>
      </c>
      <c r="P2370" t="s">
        <v>57</v>
      </c>
      <c r="Q2370" t="s">
        <v>155</v>
      </c>
      <c r="R2370" t="s">
        <v>155</v>
      </c>
      <c r="S2370">
        <v>6</v>
      </c>
      <c r="T2370" t="s">
        <v>89</v>
      </c>
      <c r="U2370" t="s">
        <v>100</v>
      </c>
      <c r="V2370" s="1">
        <v>45506</v>
      </c>
      <c r="W2370">
        <f>Table1[[#This Row],[customer_purchase count]]+1</f>
        <v>7</v>
      </c>
      <c r="X2370">
        <f>Table1[[#This Row],[customer_purchase count]]*Rules!$B$3</f>
        <v>358.58615384615388</v>
      </c>
      <c r="Y2370" t="str">
        <f>IF(Table1[[#This Row],[customer_subscription]]=1,"Subscribed","Not Subscribed")</f>
        <v>Not Subscribed</v>
      </c>
      <c r="Z2370" t="s">
        <v>194</v>
      </c>
    </row>
    <row r="2371" spans="1:26" x14ac:dyDescent="0.25">
      <c r="A2371">
        <v>2370</v>
      </c>
      <c r="B2371">
        <v>24</v>
      </c>
      <c r="C2371" t="s">
        <v>22</v>
      </c>
      <c r="D2371">
        <v>2370</v>
      </c>
      <c r="E2371" t="s">
        <v>33</v>
      </c>
      <c r="F2371" t="s">
        <v>24</v>
      </c>
      <c r="G2371">
        <v>2370</v>
      </c>
      <c r="H2371">
        <v>3043</v>
      </c>
      <c r="I2371">
        <v>23</v>
      </c>
      <c r="J2371" t="s">
        <v>132</v>
      </c>
      <c r="K2371" t="s">
        <v>47</v>
      </c>
      <c r="L2371" t="s">
        <v>112</v>
      </c>
      <c r="M2371" t="s">
        <v>28</v>
      </c>
      <c r="N2371">
        <v>4.5999999999999996</v>
      </c>
      <c r="O2371">
        <v>0</v>
      </c>
      <c r="P2371" t="s">
        <v>57</v>
      </c>
      <c r="Q2371" t="s">
        <v>155</v>
      </c>
      <c r="R2371" t="s">
        <v>155</v>
      </c>
      <c r="S2371">
        <v>24</v>
      </c>
      <c r="T2371" t="s">
        <v>49</v>
      </c>
      <c r="U2371" t="s">
        <v>91</v>
      </c>
      <c r="V2371" s="1">
        <v>45327</v>
      </c>
      <c r="W2371">
        <f>Table1[[#This Row],[customer_purchase count]]+1</f>
        <v>25</v>
      </c>
      <c r="X2371">
        <f>Table1[[#This Row],[customer_purchase count]]*Rules!$B$3</f>
        <v>1434.3446153846155</v>
      </c>
      <c r="Y2371" t="str">
        <f>IF(Table1[[#This Row],[customer_subscription]]=1,"Subscribed","Not Subscribed")</f>
        <v>Not Subscribed</v>
      </c>
    </row>
    <row r="2372" spans="1:26" x14ac:dyDescent="0.25">
      <c r="A2372">
        <v>2371</v>
      </c>
      <c r="B2372">
        <v>51</v>
      </c>
      <c r="C2372" t="s">
        <v>22</v>
      </c>
      <c r="D2372">
        <v>2371</v>
      </c>
      <c r="E2372" t="s">
        <v>74</v>
      </c>
      <c r="F2372" t="s">
        <v>45</v>
      </c>
      <c r="G2372">
        <v>2371</v>
      </c>
      <c r="H2372">
        <v>3044</v>
      </c>
      <c r="I2372">
        <v>71</v>
      </c>
      <c r="J2372" t="s">
        <v>123</v>
      </c>
      <c r="K2372" t="s">
        <v>47</v>
      </c>
      <c r="L2372" t="s">
        <v>97</v>
      </c>
      <c r="M2372" t="s">
        <v>40</v>
      </c>
      <c r="N2372">
        <v>3.9</v>
      </c>
      <c r="O2372">
        <v>0</v>
      </c>
      <c r="P2372" t="s">
        <v>77</v>
      </c>
      <c r="Q2372" t="s">
        <v>155</v>
      </c>
      <c r="R2372" t="s">
        <v>155</v>
      </c>
      <c r="S2372">
        <v>38</v>
      </c>
      <c r="T2372" t="s">
        <v>31</v>
      </c>
      <c r="U2372" t="s">
        <v>43</v>
      </c>
      <c r="V2372" s="1">
        <v>45415</v>
      </c>
      <c r="W2372">
        <f>Table1[[#This Row],[customer_purchase count]]+1</f>
        <v>39</v>
      </c>
      <c r="X2372">
        <f>Table1[[#This Row],[customer_purchase count]]*Rules!$B$3</f>
        <v>2271.0456410256411</v>
      </c>
      <c r="Y2372" t="str">
        <f>IF(Table1[[#This Row],[customer_subscription]]=1,"Subscribed","Not Subscribed")</f>
        <v>Not Subscribed</v>
      </c>
    </row>
    <row r="2373" spans="1:26" x14ac:dyDescent="0.25">
      <c r="A2373">
        <v>2372</v>
      </c>
      <c r="B2373">
        <v>67</v>
      </c>
      <c r="C2373" t="s">
        <v>22</v>
      </c>
      <c r="D2373">
        <v>2372</v>
      </c>
      <c r="E2373" t="s">
        <v>128</v>
      </c>
      <c r="F2373" t="s">
        <v>24</v>
      </c>
      <c r="G2373">
        <v>2372</v>
      </c>
      <c r="H2373">
        <v>3045</v>
      </c>
      <c r="I2373">
        <v>25</v>
      </c>
      <c r="J2373" t="s">
        <v>119</v>
      </c>
      <c r="K2373" t="s">
        <v>47</v>
      </c>
      <c r="L2373" t="s">
        <v>64</v>
      </c>
      <c r="M2373" t="s">
        <v>28</v>
      </c>
      <c r="N2373">
        <v>3.7</v>
      </c>
      <c r="O2373">
        <v>0</v>
      </c>
      <c r="P2373" t="s">
        <v>48</v>
      </c>
      <c r="Q2373" t="s">
        <v>155</v>
      </c>
      <c r="R2373" t="s">
        <v>155</v>
      </c>
      <c r="S2373">
        <v>28</v>
      </c>
      <c r="T2373" t="s">
        <v>89</v>
      </c>
      <c r="U2373" t="s">
        <v>52</v>
      </c>
      <c r="V2373" s="1">
        <v>45342</v>
      </c>
      <c r="W2373">
        <f>Table1[[#This Row],[customer_purchase count]]+1</f>
        <v>29</v>
      </c>
      <c r="X2373">
        <f>Table1[[#This Row],[customer_purchase count]]*Rules!$B$3</f>
        <v>1673.4020512820514</v>
      </c>
      <c r="Y2373" t="str">
        <f>IF(Table1[[#This Row],[customer_subscription]]=1,"Subscribed","Not Subscribed")</f>
        <v>Not Subscribed</v>
      </c>
    </row>
    <row r="2374" spans="1:26" x14ac:dyDescent="0.25">
      <c r="A2374">
        <v>2373</v>
      </c>
      <c r="B2374">
        <v>50</v>
      </c>
      <c r="C2374" t="s">
        <v>22</v>
      </c>
      <c r="D2374">
        <v>2373</v>
      </c>
      <c r="E2374" t="s">
        <v>140</v>
      </c>
      <c r="F2374" t="s">
        <v>45</v>
      </c>
      <c r="G2374">
        <v>2373</v>
      </c>
      <c r="H2374">
        <v>3046</v>
      </c>
      <c r="I2374">
        <v>39</v>
      </c>
      <c r="J2374" t="s">
        <v>93</v>
      </c>
      <c r="K2374" t="s">
        <v>95</v>
      </c>
      <c r="L2374" t="s">
        <v>68</v>
      </c>
      <c r="M2374" t="s">
        <v>40</v>
      </c>
      <c r="N2374">
        <v>3.1</v>
      </c>
      <c r="O2374">
        <v>0</v>
      </c>
      <c r="P2374" t="s">
        <v>29</v>
      </c>
      <c r="Q2374" t="s">
        <v>155</v>
      </c>
      <c r="R2374" t="s">
        <v>155</v>
      </c>
      <c r="S2374">
        <v>9</v>
      </c>
      <c r="T2374" t="s">
        <v>49</v>
      </c>
      <c r="U2374" t="s">
        <v>32</v>
      </c>
      <c r="V2374" s="1">
        <v>45395</v>
      </c>
      <c r="W2374">
        <f>Table1[[#This Row],[customer_purchase count]]+1</f>
        <v>10</v>
      </c>
      <c r="X2374">
        <f>Table1[[#This Row],[customer_purchase count]]*Rules!$B$3</f>
        <v>537.87923076923084</v>
      </c>
      <c r="Y2374" t="str">
        <f>IF(Table1[[#This Row],[customer_subscription]]=1,"Subscribed","Not Subscribed")</f>
        <v>Not Subscribed</v>
      </c>
      <c r="Z2374" t="s">
        <v>194</v>
      </c>
    </row>
    <row r="2375" spans="1:26" x14ac:dyDescent="0.25">
      <c r="A2375">
        <v>2374</v>
      </c>
      <c r="B2375">
        <v>37</v>
      </c>
      <c r="C2375" t="s">
        <v>22</v>
      </c>
      <c r="D2375">
        <v>2374</v>
      </c>
      <c r="E2375" t="s">
        <v>107</v>
      </c>
      <c r="F2375" t="s">
        <v>24</v>
      </c>
      <c r="G2375">
        <v>2374</v>
      </c>
      <c r="H2375">
        <v>3047</v>
      </c>
      <c r="I2375">
        <v>20</v>
      </c>
      <c r="J2375" t="s">
        <v>154</v>
      </c>
      <c r="K2375" t="s">
        <v>47</v>
      </c>
      <c r="L2375" t="s">
        <v>27</v>
      </c>
      <c r="M2375" t="s">
        <v>40</v>
      </c>
      <c r="N2375">
        <v>4.9000000000000004</v>
      </c>
      <c r="O2375">
        <v>0</v>
      </c>
      <c r="P2375" t="s">
        <v>29</v>
      </c>
      <c r="Q2375" t="s">
        <v>155</v>
      </c>
      <c r="R2375" t="s">
        <v>155</v>
      </c>
      <c r="S2375">
        <v>21</v>
      </c>
      <c r="T2375" t="s">
        <v>89</v>
      </c>
      <c r="U2375" t="s">
        <v>100</v>
      </c>
      <c r="V2375" s="1">
        <v>45418</v>
      </c>
      <c r="W2375">
        <f>Table1[[#This Row],[customer_purchase count]]+1</f>
        <v>22</v>
      </c>
      <c r="X2375">
        <f>Table1[[#This Row],[customer_purchase count]]*Rules!$B$3</f>
        <v>1255.0515384615385</v>
      </c>
      <c r="Y2375" t="str">
        <f>IF(Table1[[#This Row],[customer_subscription]]=1,"Subscribed","Not Subscribed")</f>
        <v>Not Subscribed</v>
      </c>
    </row>
    <row r="2376" spans="1:26" x14ac:dyDescent="0.25">
      <c r="A2376">
        <v>2375</v>
      </c>
      <c r="B2376">
        <v>69</v>
      </c>
      <c r="C2376" t="s">
        <v>22</v>
      </c>
      <c r="D2376">
        <v>2375</v>
      </c>
      <c r="E2376" t="s">
        <v>146</v>
      </c>
      <c r="F2376" t="s">
        <v>70</v>
      </c>
      <c r="G2376">
        <v>2375</v>
      </c>
      <c r="H2376">
        <v>3049</v>
      </c>
      <c r="I2376">
        <v>73</v>
      </c>
      <c r="J2376" t="s">
        <v>152</v>
      </c>
      <c r="K2376" t="s">
        <v>26</v>
      </c>
      <c r="L2376" t="s">
        <v>103</v>
      </c>
      <c r="M2376" t="s">
        <v>28</v>
      </c>
      <c r="N2376">
        <v>4.7</v>
      </c>
      <c r="O2376">
        <v>0</v>
      </c>
      <c r="P2376" t="s">
        <v>57</v>
      </c>
      <c r="Q2376" t="s">
        <v>155</v>
      </c>
      <c r="R2376" t="s">
        <v>155</v>
      </c>
      <c r="S2376">
        <v>31</v>
      </c>
      <c r="T2376" t="s">
        <v>89</v>
      </c>
      <c r="U2376" t="s">
        <v>91</v>
      </c>
      <c r="V2376" s="1">
        <v>45654</v>
      </c>
      <c r="W2376">
        <f>Table1[[#This Row],[customer_purchase count]]+1</f>
        <v>32</v>
      </c>
      <c r="X2376">
        <f>Table1[[#This Row],[customer_purchase count]]*Rules!$B$3</f>
        <v>1852.6951282051282</v>
      </c>
      <c r="Y2376" t="str">
        <f>IF(Table1[[#This Row],[customer_subscription]]=1,"Subscribed","Not Subscribed")</f>
        <v>Not Subscribed</v>
      </c>
    </row>
    <row r="2377" spans="1:26" x14ac:dyDescent="0.25">
      <c r="A2377">
        <v>2376</v>
      </c>
      <c r="B2377">
        <v>60</v>
      </c>
      <c r="C2377" t="s">
        <v>22</v>
      </c>
      <c r="D2377">
        <v>2376</v>
      </c>
      <c r="E2377" t="s">
        <v>135</v>
      </c>
      <c r="F2377" t="s">
        <v>70</v>
      </c>
      <c r="G2377">
        <v>2376</v>
      </c>
      <c r="H2377">
        <v>3050</v>
      </c>
      <c r="I2377">
        <v>63</v>
      </c>
      <c r="J2377" t="s">
        <v>144</v>
      </c>
      <c r="K2377" t="s">
        <v>26</v>
      </c>
      <c r="L2377" t="s">
        <v>103</v>
      </c>
      <c r="M2377" t="s">
        <v>60</v>
      </c>
      <c r="N2377">
        <v>2.9</v>
      </c>
      <c r="O2377">
        <v>0</v>
      </c>
      <c r="P2377" t="s">
        <v>48</v>
      </c>
      <c r="Q2377" t="s">
        <v>155</v>
      </c>
      <c r="R2377" t="s">
        <v>155</v>
      </c>
      <c r="S2377">
        <v>18</v>
      </c>
      <c r="T2377" t="s">
        <v>42</v>
      </c>
      <c r="U2377" t="s">
        <v>61</v>
      </c>
      <c r="V2377" s="1">
        <v>45616</v>
      </c>
      <c r="W2377">
        <f>Table1[[#This Row],[customer_purchase count]]+1</f>
        <v>19</v>
      </c>
      <c r="X2377">
        <f>Table1[[#This Row],[customer_purchase count]]*Rules!$B$3</f>
        <v>1075.7584615384617</v>
      </c>
      <c r="Y2377" t="str">
        <f>IF(Table1[[#This Row],[customer_subscription]]=1,"Subscribed","Not Subscribed")</f>
        <v>Not Subscribed</v>
      </c>
    </row>
    <row r="2378" spans="1:26" x14ac:dyDescent="0.25">
      <c r="A2378">
        <v>2377</v>
      </c>
      <c r="B2378">
        <v>21</v>
      </c>
      <c r="C2378" t="s">
        <v>22</v>
      </c>
      <c r="D2378">
        <v>2377</v>
      </c>
      <c r="E2378" t="s">
        <v>146</v>
      </c>
      <c r="F2378" t="s">
        <v>70</v>
      </c>
      <c r="G2378">
        <v>2377</v>
      </c>
      <c r="H2378">
        <v>3051</v>
      </c>
      <c r="I2378">
        <v>94</v>
      </c>
      <c r="J2378" t="s">
        <v>125</v>
      </c>
      <c r="K2378" t="s">
        <v>95</v>
      </c>
      <c r="L2378" t="s">
        <v>112</v>
      </c>
      <c r="M2378" t="s">
        <v>40</v>
      </c>
      <c r="N2378">
        <v>4.0999999999999996</v>
      </c>
      <c r="O2378">
        <v>0</v>
      </c>
      <c r="P2378" t="s">
        <v>29</v>
      </c>
      <c r="Q2378" t="s">
        <v>155</v>
      </c>
      <c r="R2378" t="s">
        <v>155</v>
      </c>
      <c r="S2378">
        <v>5</v>
      </c>
      <c r="T2378" t="s">
        <v>36</v>
      </c>
      <c r="U2378" t="s">
        <v>43</v>
      </c>
      <c r="V2378" s="1">
        <v>45368</v>
      </c>
      <c r="W2378">
        <f>Table1[[#This Row],[customer_purchase count]]+1</f>
        <v>6</v>
      </c>
      <c r="X2378">
        <f>Table1[[#This Row],[customer_purchase count]]*Rules!$B$3</f>
        <v>298.82179487179491</v>
      </c>
      <c r="Y2378" t="str">
        <f>IF(Table1[[#This Row],[customer_subscription]]=1,"Subscribed","Not Subscribed")</f>
        <v>Not Subscribed</v>
      </c>
      <c r="Z2378" t="s">
        <v>194</v>
      </c>
    </row>
    <row r="2379" spans="1:26" x14ac:dyDescent="0.25">
      <c r="A2379">
        <v>2378</v>
      </c>
      <c r="B2379">
        <v>44</v>
      </c>
      <c r="C2379" t="s">
        <v>22</v>
      </c>
      <c r="D2379">
        <v>2378</v>
      </c>
      <c r="E2379" t="s">
        <v>23</v>
      </c>
      <c r="F2379" t="s">
        <v>24</v>
      </c>
      <c r="G2379">
        <v>2378</v>
      </c>
      <c r="H2379">
        <v>3052</v>
      </c>
      <c r="I2379">
        <v>94</v>
      </c>
      <c r="J2379" t="s">
        <v>150</v>
      </c>
      <c r="K2379" t="s">
        <v>26</v>
      </c>
      <c r="L2379" t="s">
        <v>139</v>
      </c>
      <c r="M2379" t="s">
        <v>60</v>
      </c>
      <c r="N2379">
        <v>4</v>
      </c>
      <c r="O2379">
        <v>0</v>
      </c>
      <c r="P2379" t="s">
        <v>48</v>
      </c>
      <c r="Q2379" t="s">
        <v>155</v>
      </c>
      <c r="R2379" t="s">
        <v>155</v>
      </c>
      <c r="S2379">
        <v>22</v>
      </c>
      <c r="T2379" t="s">
        <v>36</v>
      </c>
      <c r="U2379" t="s">
        <v>52</v>
      </c>
      <c r="V2379" s="1">
        <v>45613</v>
      </c>
      <c r="W2379">
        <f>Table1[[#This Row],[customer_purchase count]]+1</f>
        <v>23</v>
      </c>
      <c r="X2379">
        <f>Table1[[#This Row],[customer_purchase count]]*Rules!$B$3</f>
        <v>1314.8158974358976</v>
      </c>
      <c r="Y2379" t="str">
        <f>IF(Table1[[#This Row],[customer_subscription]]=1,"Subscribed","Not Subscribed")</f>
        <v>Not Subscribed</v>
      </c>
    </row>
    <row r="2380" spans="1:26" x14ac:dyDescent="0.25">
      <c r="A2380">
        <v>2379</v>
      </c>
      <c r="B2380">
        <v>26</v>
      </c>
      <c r="C2380" t="s">
        <v>22</v>
      </c>
      <c r="D2380">
        <v>2379</v>
      </c>
      <c r="E2380" t="s">
        <v>122</v>
      </c>
      <c r="F2380" t="s">
        <v>70</v>
      </c>
      <c r="G2380">
        <v>2379</v>
      </c>
      <c r="H2380">
        <v>3053</v>
      </c>
      <c r="I2380">
        <v>71</v>
      </c>
      <c r="J2380" t="s">
        <v>85</v>
      </c>
      <c r="K2380" t="s">
        <v>26</v>
      </c>
      <c r="L2380" t="s">
        <v>88</v>
      </c>
      <c r="M2380" t="s">
        <v>56</v>
      </c>
      <c r="N2380">
        <v>2.7</v>
      </c>
      <c r="O2380">
        <v>0</v>
      </c>
      <c r="P2380" t="s">
        <v>77</v>
      </c>
      <c r="Q2380" t="s">
        <v>155</v>
      </c>
      <c r="R2380" t="s">
        <v>155</v>
      </c>
      <c r="S2380">
        <v>37</v>
      </c>
      <c r="T2380" t="s">
        <v>49</v>
      </c>
      <c r="U2380" t="s">
        <v>79</v>
      </c>
      <c r="V2380" s="1">
        <v>45458</v>
      </c>
      <c r="W2380">
        <f>Table1[[#This Row],[customer_purchase count]]+1</f>
        <v>38</v>
      </c>
      <c r="X2380">
        <f>Table1[[#This Row],[customer_purchase count]]*Rules!$B$3</f>
        <v>2211.2812820512822</v>
      </c>
      <c r="Y2380" t="str">
        <f>IF(Table1[[#This Row],[customer_subscription]]=1,"Subscribed","Not Subscribed")</f>
        <v>Not Subscribed</v>
      </c>
    </row>
    <row r="2381" spans="1:26" x14ac:dyDescent="0.25">
      <c r="A2381">
        <v>2380</v>
      </c>
      <c r="B2381">
        <v>40</v>
      </c>
      <c r="C2381" t="s">
        <v>22</v>
      </c>
      <c r="D2381">
        <v>2380</v>
      </c>
      <c r="E2381" t="s">
        <v>127</v>
      </c>
      <c r="F2381" t="s">
        <v>70</v>
      </c>
      <c r="G2381">
        <v>2380</v>
      </c>
      <c r="H2381">
        <v>3055</v>
      </c>
      <c r="I2381">
        <v>77</v>
      </c>
      <c r="J2381" t="s">
        <v>150</v>
      </c>
      <c r="K2381" t="s">
        <v>47</v>
      </c>
      <c r="L2381" t="s">
        <v>103</v>
      </c>
      <c r="M2381" t="s">
        <v>40</v>
      </c>
      <c r="N2381">
        <v>4</v>
      </c>
      <c r="O2381">
        <v>0</v>
      </c>
      <c r="P2381" t="s">
        <v>73</v>
      </c>
      <c r="Q2381" t="s">
        <v>155</v>
      </c>
      <c r="R2381" t="s">
        <v>155</v>
      </c>
      <c r="S2381">
        <v>22</v>
      </c>
      <c r="T2381" t="s">
        <v>89</v>
      </c>
      <c r="U2381" t="s">
        <v>91</v>
      </c>
      <c r="V2381" s="1">
        <v>45437</v>
      </c>
      <c r="W2381">
        <f>Table1[[#This Row],[customer_purchase count]]+1</f>
        <v>23</v>
      </c>
      <c r="X2381">
        <f>Table1[[#This Row],[customer_purchase count]]*Rules!$B$3</f>
        <v>1314.8158974358976</v>
      </c>
      <c r="Y2381" t="str">
        <f>IF(Table1[[#This Row],[customer_subscription]]=1,"Subscribed","Not Subscribed")</f>
        <v>Not Subscribed</v>
      </c>
    </row>
    <row r="2382" spans="1:26" x14ac:dyDescent="0.25">
      <c r="A2382">
        <v>2381</v>
      </c>
      <c r="B2382">
        <v>41</v>
      </c>
      <c r="C2382" t="s">
        <v>22</v>
      </c>
      <c r="D2382">
        <v>2381</v>
      </c>
      <c r="E2382" t="s">
        <v>122</v>
      </c>
      <c r="F2382" t="s">
        <v>70</v>
      </c>
      <c r="G2382">
        <v>2381</v>
      </c>
      <c r="H2382">
        <v>3056</v>
      </c>
      <c r="I2382">
        <v>66</v>
      </c>
      <c r="J2382" t="s">
        <v>141</v>
      </c>
      <c r="K2382" t="s">
        <v>47</v>
      </c>
      <c r="L2382" t="s">
        <v>97</v>
      </c>
      <c r="M2382" t="s">
        <v>60</v>
      </c>
      <c r="N2382">
        <v>2.5</v>
      </c>
      <c r="O2382">
        <v>0</v>
      </c>
      <c r="P2382" t="s">
        <v>48</v>
      </c>
      <c r="Q2382" t="s">
        <v>155</v>
      </c>
      <c r="R2382" t="s">
        <v>155</v>
      </c>
      <c r="S2382">
        <v>36</v>
      </c>
      <c r="T2382" t="s">
        <v>49</v>
      </c>
      <c r="U2382" t="s">
        <v>32</v>
      </c>
      <c r="V2382" s="1">
        <v>45569</v>
      </c>
      <c r="W2382">
        <f>Table1[[#This Row],[customer_purchase count]]+1</f>
        <v>37</v>
      </c>
      <c r="X2382">
        <f>Table1[[#This Row],[customer_purchase count]]*Rules!$B$3</f>
        <v>2151.5169230769234</v>
      </c>
      <c r="Y2382" t="str">
        <f>IF(Table1[[#This Row],[customer_subscription]]=1,"Subscribed","Not Subscribed")</f>
        <v>Not Subscribed</v>
      </c>
    </row>
    <row r="2383" spans="1:26" x14ac:dyDescent="0.25">
      <c r="A2383">
        <v>2382</v>
      </c>
      <c r="B2383">
        <v>62</v>
      </c>
      <c r="C2383" t="s">
        <v>22</v>
      </c>
      <c r="D2383">
        <v>2382</v>
      </c>
      <c r="E2383" t="s">
        <v>44</v>
      </c>
      <c r="F2383" t="s">
        <v>45</v>
      </c>
      <c r="G2383">
        <v>2382</v>
      </c>
      <c r="H2383">
        <v>3057</v>
      </c>
      <c r="I2383">
        <v>23</v>
      </c>
      <c r="J2383" t="s">
        <v>153</v>
      </c>
      <c r="K2383" t="s">
        <v>47</v>
      </c>
      <c r="L2383" t="s">
        <v>88</v>
      </c>
      <c r="M2383" t="s">
        <v>56</v>
      </c>
      <c r="N2383">
        <v>4.5</v>
      </c>
      <c r="O2383">
        <v>0</v>
      </c>
      <c r="P2383" t="s">
        <v>41</v>
      </c>
      <c r="Q2383" t="s">
        <v>155</v>
      </c>
      <c r="R2383" t="s">
        <v>155</v>
      </c>
      <c r="S2383">
        <v>23</v>
      </c>
      <c r="T2383" t="s">
        <v>49</v>
      </c>
      <c r="U2383" t="s">
        <v>52</v>
      </c>
      <c r="V2383" s="1">
        <v>45522</v>
      </c>
      <c r="W2383">
        <f>Table1[[#This Row],[customer_purchase count]]+1</f>
        <v>24</v>
      </c>
      <c r="X2383">
        <f>Table1[[#This Row],[customer_purchase count]]*Rules!$B$3</f>
        <v>1374.5802564102564</v>
      </c>
      <c r="Y2383" t="str">
        <f>IF(Table1[[#This Row],[customer_subscription]]=1,"Subscribed","Not Subscribed")</f>
        <v>Not Subscribed</v>
      </c>
    </row>
    <row r="2384" spans="1:26" x14ac:dyDescent="0.25">
      <c r="A2384">
        <v>2383</v>
      </c>
      <c r="B2384">
        <v>39</v>
      </c>
      <c r="C2384" t="s">
        <v>22</v>
      </c>
      <c r="D2384">
        <v>2383</v>
      </c>
      <c r="E2384" t="s">
        <v>33</v>
      </c>
      <c r="F2384" t="s">
        <v>24</v>
      </c>
      <c r="G2384">
        <v>2383</v>
      </c>
      <c r="H2384">
        <v>3058</v>
      </c>
      <c r="I2384">
        <v>60</v>
      </c>
      <c r="J2384" t="s">
        <v>102</v>
      </c>
      <c r="K2384" t="s">
        <v>47</v>
      </c>
      <c r="L2384" t="s">
        <v>51</v>
      </c>
      <c r="M2384" t="s">
        <v>40</v>
      </c>
      <c r="N2384">
        <v>3.9</v>
      </c>
      <c r="O2384">
        <v>0</v>
      </c>
      <c r="P2384" t="s">
        <v>29</v>
      </c>
      <c r="Q2384" t="s">
        <v>155</v>
      </c>
      <c r="R2384" t="s">
        <v>155</v>
      </c>
      <c r="S2384">
        <v>44</v>
      </c>
      <c r="T2384" t="s">
        <v>89</v>
      </c>
      <c r="U2384" t="s">
        <v>43</v>
      </c>
      <c r="V2384" s="1">
        <v>45415</v>
      </c>
      <c r="W2384">
        <f>Table1[[#This Row],[customer_purchase count]]+1</f>
        <v>45</v>
      </c>
      <c r="X2384">
        <f>Table1[[#This Row],[customer_purchase count]]*Rules!$B$3</f>
        <v>2629.6317948717951</v>
      </c>
      <c r="Y2384" t="str">
        <f>IF(Table1[[#This Row],[customer_subscription]]=1,"Subscribed","Not Subscribed")</f>
        <v>Not Subscribed</v>
      </c>
    </row>
    <row r="2385" spans="1:26" x14ac:dyDescent="0.25">
      <c r="A2385">
        <v>2384</v>
      </c>
      <c r="B2385">
        <v>53</v>
      </c>
      <c r="C2385" t="s">
        <v>22</v>
      </c>
      <c r="D2385">
        <v>2384</v>
      </c>
      <c r="E2385" t="s">
        <v>135</v>
      </c>
      <c r="F2385" t="s">
        <v>70</v>
      </c>
      <c r="G2385">
        <v>2384</v>
      </c>
      <c r="H2385">
        <v>3059</v>
      </c>
      <c r="I2385">
        <v>72</v>
      </c>
      <c r="J2385" t="s">
        <v>46</v>
      </c>
      <c r="K2385" t="s">
        <v>26</v>
      </c>
      <c r="L2385" t="s">
        <v>83</v>
      </c>
      <c r="M2385" t="s">
        <v>40</v>
      </c>
      <c r="N2385">
        <v>4.9000000000000004</v>
      </c>
      <c r="O2385">
        <v>0</v>
      </c>
      <c r="P2385" t="s">
        <v>73</v>
      </c>
      <c r="Q2385" t="s">
        <v>155</v>
      </c>
      <c r="R2385" t="s">
        <v>155</v>
      </c>
      <c r="S2385">
        <v>25</v>
      </c>
      <c r="T2385" t="s">
        <v>78</v>
      </c>
      <c r="U2385" t="s">
        <v>52</v>
      </c>
      <c r="V2385" s="1">
        <v>45426</v>
      </c>
      <c r="W2385">
        <f>Table1[[#This Row],[customer_purchase count]]+1</f>
        <v>26</v>
      </c>
      <c r="X2385">
        <f>Table1[[#This Row],[customer_purchase count]]*Rules!$B$3</f>
        <v>1494.1089743589744</v>
      </c>
      <c r="Y2385" t="str">
        <f>IF(Table1[[#This Row],[customer_subscription]]=1,"Subscribed","Not Subscribed")</f>
        <v>Not Subscribed</v>
      </c>
    </row>
    <row r="2386" spans="1:26" x14ac:dyDescent="0.25">
      <c r="A2386">
        <v>2385</v>
      </c>
      <c r="B2386">
        <v>24</v>
      </c>
      <c r="C2386" t="s">
        <v>22</v>
      </c>
      <c r="D2386">
        <v>2385</v>
      </c>
      <c r="E2386" t="s">
        <v>23</v>
      </c>
      <c r="F2386" t="s">
        <v>24</v>
      </c>
      <c r="G2386">
        <v>2385</v>
      </c>
      <c r="H2386">
        <v>3061</v>
      </c>
      <c r="I2386">
        <v>35</v>
      </c>
      <c r="J2386" t="s">
        <v>93</v>
      </c>
      <c r="K2386" t="s">
        <v>26</v>
      </c>
      <c r="L2386" t="s">
        <v>99</v>
      </c>
      <c r="M2386" t="s">
        <v>28</v>
      </c>
      <c r="N2386">
        <v>3.3</v>
      </c>
      <c r="O2386">
        <v>0</v>
      </c>
      <c r="P2386" t="s">
        <v>73</v>
      </c>
      <c r="Q2386" t="s">
        <v>155</v>
      </c>
      <c r="R2386" t="s">
        <v>155</v>
      </c>
      <c r="S2386">
        <v>40</v>
      </c>
      <c r="T2386" t="s">
        <v>49</v>
      </c>
      <c r="U2386" t="s">
        <v>61</v>
      </c>
      <c r="V2386" s="1">
        <v>45297</v>
      </c>
      <c r="W2386">
        <f>Table1[[#This Row],[customer_purchase count]]+1</f>
        <v>41</v>
      </c>
      <c r="X2386">
        <f>Table1[[#This Row],[customer_purchase count]]*Rules!$B$3</f>
        <v>2390.5743589743593</v>
      </c>
      <c r="Y2386" t="str">
        <f>IF(Table1[[#This Row],[customer_subscription]]=1,"Subscribed","Not Subscribed")</f>
        <v>Not Subscribed</v>
      </c>
    </row>
    <row r="2387" spans="1:26" x14ac:dyDescent="0.25">
      <c r="A2387">
        <v>2386</v>
      </c>
      <c r="B2387">
        <v>41</v>
      </c>
      <c r="C2387" t="s">
        <v>22</v>
      </c>
      <c r="D2387">
        <v>2386</v>
      </c>
      <c r="E2387" t="s">
        <v>122</v>
      </c>
      <c r="F2387" t="s">
        <v>70</v>
      </c>
      <c r="G2387">
        <v>2386</v>
      </c>
      <c r="H2387">
        <v>3062</v>
      </c>
      <c r="I2387">
        <v>31</v>
      </c>
      <c r="J2387" t="s">
        <v>104</v>
      </c>
      <c r="K2387" t="s">
        <v>47</v>
      </c>
      <c r="L2387" t="s">
        <v>113</v>
      </c>
      <c r="M2387" t="s">
        <v>60</v>
      </c>
      <c r="N2387">
        <v>3.8</v>
      </c>
      <c r="O2387">
        <v>0</v>
      </c>
      <c r="P2387" t="s">
        <v>29</v>
      </c>
      <c r="Q2387" t="s">
        <v>155</v>
      </c>
      <c r="R2387" t="s">
        <v>155</v>
      </c>
      <c r="S2387">
        <v>12</v>
      </c>
      <c r="T2387" t="s">
        <v>49</v>
      </c>
      <c r="U2387" t="s">
        <v>43</v>
      </c>
      <c r="V2387" s="1">
        <v>45599</v>
      </c>
      <c r="W2387">
        <f>Table1[[#This Row],[customer_purchase count]]+1</f>
        <v>13</v>
      </c>
      <c r="X2387">
        <f>Table1[[#This Row],[customer_purchase count]]*Rules!$B$3</f>
        <v>717.17230769230775</v>
      </c>
      <c r="Y2387" t="str">
        <f>IF(Table1[[#This Row],[customer_subscription]]=1,"Subscribed","Not Subscribed")</f>
        <v>Not Subscribed</v>
      </c>
      <c r="Z2387" t="s">
        <v>194</v>
      </c>
    </row>
    <row r="2388" spans="1:26" x14ac:dyDescent="0.25">
      <c r="A2388">
        <v>2387</v>
      </c>
      <c r="B2388">
        <v>19</v>
      </c>
      <c r="C2388" t="s">
        <v>22</v>
      </c>
      <c r="D2388">
        <v>2387</v>
      </c>
      <c r="E2388" t="s">
        <v>128</v>
      </c>
      <c r="F2388" t="s">
        <v>24</v>
      </c>
      <c r="G2388">
        <v>2387</v>
      </c>
      <c r="H2388">
        <v>3063</v>
      </c>
      <c r="I2388">
        <v>33</v>
      </c>
      <c r="J2388" t="s">
        <v>118</v>
      </c>
      <c r="K2388" t="s">
        <v>26</v>
      </c>
      <c r="L2388" t="s">
        <v>147</v>
      </c>
      <c r="M2388" t="s">
        <v>56</v>
      </c>
      <c r="N2388">
        <v>2.9</v>
      </c>
      <c r="O2388">
        <v>0</v>
      </c>
      <c r="P2388" t="s">
        <v>57</v>
      </c>
      <c r="Q2388" t="s">
        <v>155</v>
      </c>
      <c r="R2388" t="s">
        <v>155</v>
      </c>
      <c r="S2388">
        <v>14</v>
      </c>
      <c r="T2388" t="s">
        <v>31</v>
      </c>
      <c r="U2388" t="s">
        <v>91</v>
      </c>
      <c r="V2388" s="1">
        <v>45466</v>
      </c>
      <c r="W2388">
        <f>Table1[[#This Row],[customer_purchase count]]+1</f>
        <v>15</v>
      </c>
      <c r="X2388">
        <f>Table1[[#This Row],[customer_purchase count]]*Rules!$B$3</f>
        <v>836.70102564102569</v>
      </c>
      <c r="Y2388" t="str">
        <f>IF(Table1[[#This Row],[customer_subscription]]=1,"Subscribed","Not Subscribed")</f>
        <v>Not Subscribed</v>
      </c>
      <c r="Z2388" t="s">
        <v>187</v>
      </c>
    </row>
    <row r="2389" spans="1:26" x14ac:dyDescent="0.25">
      <c r="A2389">
        <v>2388</v>
      </c>
      <c r="B2389">
        <v>36</v>
      </c>
      <c r="C2389" t="s">
        <v>22</v>
      </c>
      <c r="D2389">
        <v>2388</v>
      </c>
      <c r="E2389" t="s">
        <v>127</v>
      </c>
      <c r="F2389" t="s">
        <v>70</v>
      </c>
      <c r="G2389">
        <v>2388</v>
      </c>
      <c r="H2389">
        <v>3064</v>
      </c>
      <c r="I2389">
        <v>95</v>
      </c>
      <c r="J2389" t="s">
        <v>125</v>
      </c>
      <c r="K2389" t="s">
        <v>47</v>
      </c>
      <c r="L2389" t="s">
        <v>83</v>
      </c>
      <c r="M2389" t="s">
        <v>56</v>
      </c>
      <c r="N2389">
        <v>4</v>
      </c>
      <c r="O2389">
        <v>0</v>
      </c>
      <c r="P2389" t="s">
        <v>73</v>
      </c>
      <c r="Q2389" t="s">
        <v>155</v>
      </c>
      <c r="R2389" t="s">
        <v>155</v>
      </c>
      <c r="S2389">
        <v>14</v>
      </c>
      <c r="T2389" t="s">
        <v>89</v>
      </c>
      <c r="U2389" t="s">
        <v>91</v>
      </c>
      <c r="V2389" s="1">
        <v>45475</v>
      </c>
      <c r="W2389">
        <f>Table1[[#This Row],[customer_purchase count]]+1</f>
        <v>15</v>
      </c>
      <c r="X2389">
        <f>Table1[[#This Row],[customer_purchase count]]*Rules!$B$3</f>
        <v>836.70102564102569</v>
      </c>
      <c r="Y2389" t="str">
        <f>IF(Table1[[#This Row],[customer_subscription]]=1,"Subscribed","Not Subscribed")</f>
        <v>Not Subscribed</v>
      </c>
      <c r="Z2389" t="s">
        <v>194</v>
      </c>
    </row>
    <row r="2390" spans="1:26" x14ac:dyDescent="0.25">
      <c r="A2390">
        <v>2389</v>
      </c>
      <c r="B2390">
        <v>21</v>
      </c>
      <c r="C2390" t="s">
        <v>22</v>
      </c>
      <c r="D2390">
        <v>2389</v>
      </c>
      <c r="E2390" t="s">
        <v>84</v>
      </c>
      <c r="F2390" t="s">
        <v>24</v>
      </c>
      <c r="G2390">
        <v>2389</v>
      </c>
      <c r="H2390">
        <v>3065</v>
      </c>
      <c r="I2390">
        <v>68</v>
      </c>
      <c r="J2390" t="s">
        <v>93</v>
      </c>
      <c r="K2390" t="s">
        <v>47</v>
      </c>
      <c r="L2390" t="s">
        <v>103</v>
      </c>
      <c r="M2390" t="s">
        <v>60</v>
      </c>
      <c r="N2390">
        <v>4.0999999999999996</v>
      </c>
      <c r="O2390">
        <v>0</v>
      </c>
      <c r="P2390" t="s">
        <v>77</v>
      </c>
      <c r="Q2390" t="s">
        <v>155</v>
      </c>
      <c r="R2390" t="s">
        <v>155</v>
      </c>
      <c r="S2390">
        <v>10</v>
      </c>
      <c r="T2390" t="s">
        <v>89</v>
      </c>
      <c r="U2390" t="s">
        <v>52</v>
      </c>
      <c r="V2390" s="1">
        <v>45590</v>
      </c>
      <c r="W2390">
        <f>Table1[[#This Row],[customer_purchase count]]+1</f>
        <v>11</v>
      </c>
      <c r="X2390">
        <f>Table1[[#This Row],[customer_purchase count]]*Rules!$B$3</f>
        <v>597.64358974358981</v>
      </c>
      <c r="Y2390" t="str">
        <f>IF(Table1[[#This Row],[customer_subscription]]=1,"Subscribed","Not Subscribed")</f>
        <v>Not Subscribed</v>
      </c>
      <c r="Z2390" t="s">
        <v>187</v>
      </c>
    </row>
    <row r="2391" spans="1:26" x14ac:dyDescent="0.25">
      <c r="A2391">
        <v>2390</v>
      </c>
      <c r="B2391">
        <v>25</v>
      </c>
      <c r="C2391" t="s">
        <v>22</v>
      </c>
      <c r="D2391">
        <v>2390</v>
      </c>
      <c r="E2391" t="s">
        <v>65</v>
      </c>
      <c r="F2391" t="s">
        <v>66</v>
      </c>
      <c r="G2391">
        <v>2390</v>
      </c>
      <c r="H2391">
        <v>3067</v>
      </c>
      <c r="I2391">
        <v>87</v>
      </c>
      <c r="J2391" t="s">
        <v>114</v>
      </c>
      <c r="K2391" t="s">
        <v>47</v>
      </c>
      <c r="L2391" t="s">
        <v>86</v>
      </c>
      <c r="M2391" t="s">
        <v>40</v>
      </c>
      <c r="N2391">
        <v>3.1</v>
      </c>
      <c r="O2391">
        <v>0</v>
      </c>
      <c r="P2391" t="s">
        <v>77</v>
      </c>
      <c r="Q2391" t="s">
        <v>155</v>
      </c>
      <c r="R2391" t="s">
        <v>155</v>
      </c>
      <c r="S2391">
        <v>17</v>
      </c>
      <c r="T2391" t="s">
        <v>78</v>
      </c>
      <c r="U2391" t="s">
        <v>100</v>
      </c>
      <c r="V2391" s="1">
        <v>45357</v>
      </c>
      <c r="W2391">
        <f>Table1[[#This Row],[customer_purchase count]]+1</f>
        <v>18</v>
      </c>
      <c r="X2391">
        <f>Table1[[#This Row],[customer_purchase count]]*Rules!$B$3</f>
        <v>1015.9941025641026</v>
      </c>
      <c r="Y2391" t="str">
        <f>IF(Table1[[#This Row],[customer_subscription]]=1,"Subscribed","Not Subscribed")</f>
        <v>Not Subscribed</v>
      </c>
      <c r="Z2391" t="s">
        <v>187</v>
      </c>
    </row>
    <row r="2392" spans="1:26" x14ac:dyDescent="0.25">
      <c r="A2392">
        <v>2391</v>
      </c>
      <c r="B2392">
        <v>65</v>
      </c>
      <c r="C2392" t="s">
        <v>22</v>
      </c>
      <c r="D2392">
        <v>2391</v>
      </c>
      <c r="E2392" t="s">
        <v>58</v>
      </c>
      <c r="F2392" t="s">
        <v>24</v>
      </c>
      <c r="G2392">
        <v>2391</v>
      </c>
      <c r="H2392">
        <v>3068</v>
      </c>
      <c r="I2392">
        <v>64</v>
      </c>
      <c r="J2392" t="s">
        <v>120</v>
      </c>
      <c r="K2392" t="s">
        <v>95</v>
      </c>
      <c r="L2392" t="s">
        <v>137</v>
      </c>
      <c r="M2392" t="s">
        <v>28</v>
      </c>
      <c r="N2392">
        <v>4.5999999999999996</v>
      </c>
      <c r="O2392">
        <v>0</v>
      </c>
      <c r="P2392" t="s">
        <v>29</v>
      </c>
      <c r="Q2392" t="s">
        <v>155</v>
      </c>
      <c r="R2392" t="s">
        <v>155</v>
      </c>
      <c r="S2392">
        <v>24</v>
      </c>
      <c r="T2392" t="s">
        <v>89</v>
      </c>
      <c r="U2392" t="s">
        <v>32</v>
      </c>
      <c r="V2392" s="1">
        <v>45644</v>
      </c>
      <c r="W2392">
        <f>Table1[[#This Row],[customer_purchase count]]+1</f>
        <v>25</v>
      </c>
      <c r="X2392">
        <f>Table1[[#This Row],[customer_purchase count]]*Rules!$B$3</f>
        <v>1434.3446153846155</v>
      </c>
      <c r="Y2392" t="str">
        <f>IF(Table1[[#This Row],[customer_subscription]]=1,"Subscribed","Not Subscribed")</f>
        <v>Not Subscribed</v>
      </c>
    </row>
    <row r="2393" spans="1:26" x14ac:dyDescent="0.25">
      <c r="A2393">
        <v>2392</v>
      </c>
      <c r="B2393">
        <v>42</v>
      </c>
      <c r="C2393" t="s">
        <v>22</v>
      </c>
      <c r="D2393">
        <v>2392</v>
      </c>
      <c r="E2393" t="s">
        <v>58</v>
      </c>
      <c r="F2393" t="s">
        <v>24</v>
      </c>
      <c r="G2393">
        <v>2392</v>
      </c>
      <c r="H2393">
        <v>3069</v>
      </c>
      <c r="I2393">
        <v>74</v>
      </c>
      <c r="J2393" t="s">
        <v>154</v>
      </c>
      <c r="K2393" t="s">
        <v>47</v>
      </c>
      <c r="L2393" t="s">
        <v>97</v>
      </c>
      <c r="M2393" t="s">
        <v>28</v>
      </c>
      <c r="N2393">
        <v>4.5999999999999996</v>
      </c>
      <c r="O2393">
        <v>0</v>
      </c>
      <c r="P2393" t="s">
        <v>48</v>
      </c>
      <c r="Q2393" t="s">
        <v>155</v>
      </c>
      <c r="R2393" t="s">
        <v>155</v>
      </c>
      <c r="S2393">
        <v>31</v>
      </c>
      <c r="T2393" t="s">
        <v>78</v>
      </c>
      <c r="U2393" t="s">
        <v>61</v>
      </c>
      <c r="V2393" s="1">
        <v>45318</v>
      </c>
      <c r="W2393">
        <f>Table1[[#This Row],[customer_purchase count]]+1</f>
        <v>32</v>
      </c>
      <c r="X2393">
        <f>Table1[[#This Row],[customer_purchase count]]*Rules!$B$3</f>
        <v>1852.6951282051282</v>
      </c>
      <c r="Y2393" t="str">
        <f>IF(Table1[[#This Row],[customer_subscription]]=1,"Subscribed","Not Subscribed")</f>
        <v>Not Subscribed</v>
      </c>
    </row>
    <row r="2394" spans="1:26" x14ac:dyDescent="0.25">
      <c r="A2394">
        <v>2393</v>
      </c>
      <c r="B2394">
        <v>40</v>
      </c>
      <c r="C2394" t="s">
        <v>22</v>
      </c>
      <c r="D2394">
        <v>2393</v>
      </c>
      <c r="E2394" t="s">
        <v>37</v>
      </c>
      <c r="F2394" t="s">
        <v>24</v>
      </c>
      <c r="G2394">
        <v>2393</v>
      </c>
      <c r="H2394">
        <v>3070</v>
      </c>
      <c r="I2394">
        <v>62</v>
      </c>
      <c r="J2394" t="s">
        <v>71</v>
      </c>
      <c r="K2394" t="s">
        <v>26</v>
      </c>
      <c r="L2394" t="s">
        <v>68</v>
      </c>
      <c r="M2394" t="s">
        <v>40</v>
      </c>
      <c r="N2394">
        <v>2.6</v>
      </c>
      <c r="O2394">
        <v>0</v>
      </c>
      <c r="P2394" t="s">
        <v>73</v>
      </c>
      <c r="Q2394" t="s">
        <v>155</v>
      </c>
      <c r="R2394" t="s">
        <v>155</v>
      </c>
      <c r="S2394">
        <v>36</v>
      </c>
      <c r="T2394" t="s">
        <v>36</v>
      </c>
      <c r="U2394" t="s">
        <v>52</v>
      </c>
      <c r="V2394" s="1">
        <v>45433</v>
      </c>
      <c r="W2394">
        <f>Table1[[#This Row],[customer_purchase count]]+1</f>
        <v>37</v>
      </c>
      <c r="X2394">
        <f>Table1[[#This Row],[customer_purchase count]]*Rules!$B$3</f>
        <v>2151.5169230769234</v>
      </c>
      <c r="Y2394" t="str">
        <f>IF(Table1[[#This Row],[customer_subscription]]=1,"Subscribed","Not Subscribed")</f>
        <v>Not Subscribed</v>
      </c>
    </row>
    <row r="2395" spans="1:26" x14ac:dyDescent="0.25">
      <c r="A2395">
        <v>2394</v>
      </c>
      <c r="B2395">
        <v>58</v>
      </c>
      <c r="C2395" t="s">
        <v>22</v>
      </c>
      <c r="D2395">
        <v>2394</v>
      </c>
      <c r="E2395" t="s">
        <v>128</v>
      </c>
      <c r="F2395" t="s">
        <v>24</v>
      </c>
      <c r="G2395">
        <v>2394</v>
      </c>
      <c r="H2395">
        <v>3071</v>
      </c>
      <c r="I2395">
        <v>97</v>
      </c>
      <c r="J2395" t="s">
        <v>63</v>
      </c>
      <c r="K2395" t="s">
        <v>47</v>
      </c>
      <c r="L2395" t="s">
        <v>113</v>
      </c>
      <c r="M2395" t="s">
        <v>28</v>
      </c>
      <c r="N2395">
        <v>5</v>
      </c>
      <c r="O2395">
        <v>0</v>
      </c>
      <c r="P2395" t="s">
        <v>73</v>
      </c>
      <c r="Q2395" t="s">
        <v>155</v>
      </c>
      <c r="R2395" t="s">
        <v>155</v>
      </c>
      <c r="S2395">
        <v>38</v>
      </c>
      <c r="T2395" t="s">
        <v>49</v>
      </c>
      <c r="U2395" t="s">
        <v>100</v>
      </c>
      <c r="V2395" s="1">
        <v>45645</v>
      </c>
      <c r="W2395">
        <f>Table1[[#This Row],[customer_purchase count]]+1</f>
        <v>39</v>
      </c>
      <c r="X2395">
        <f>Table1[[#This Row],[customer_purchase count]]*Rules!$B$3</f>
        <v>2271.0456410256411</v>
      </c>
      <c r="Y2395" t="str">
        <f>IF(Table1[[#This Row],[customer_subscription]]=1,"Subscribed","Not Subscribed")</f>
        <v>Not Subscribed</v>
      </c>
    </row>
    <row r="2396" spans="1:26" x14ac:dyDescent="0.25">
      <c r="A2396">
        <v>2395</v>
      </c>
      <c r="B2396">
        <v>40</v>
      </c>
      <c r="C2396" t="s">
        <v>22</v>
      </c>
      <c r="D2396">
        <v>2395</v>
      </c>
      <c r="E2396" t="s">
        <v>44</v>
      </c>
      <c r="F2396" t="s">
        <v>45</v>
      </c>
      <c r="G2396">
        <v>2395</v>
      </c>
      <c r="H2396">
        <v>3073</v>
      </c>
      <c r="I2396">
        <v>47</v>
      </c>
      <c r="J2396" t="s">
        <v>142</v>
      </c>
      <c r="K2396" t="s">
        <v>26</v>
      </c>
      <c r="L2396" t="s">
        <v>103</v>
      </c>
      <c r="M2396" t="s">
        <v>60</v>
      </c>
      <c r="N2396">
        <v>2.9</v>
      </c>
      <c r="O2396">
        <v>0</v>
      </c>
      <c r="P2396" t="s">
        <v>73</v>
      </c>
      <c r="Q2396" t="s">
        <v>155</v>
      </c>
      <c r="R2396" t="s">
        <v>155</v>
      </c>
      <c r="S2396">
        <v>23</v>
      </c>
      <c r="T2396" t="s">
        <v>89</v>
      </c>
      <c r="U2396" t="s">
        <v>32</v>
      </c>
      <c r="V2396" s="1">
        <v>45544</v>
      </c>
      <c r="W2396">
        <f>Table1[[#This Row],[customer_purchase count]]+1</f>
        <v>24</v>
      </c>
      <c r="X2396">
        <f>Table1[[#This Row],[customer_purchase count]]*Rules!$B$3</f>
        <v>1374.5802564102564</v>
      </c>
      <c r="Y2396" t="str">
        <f>IF(Table1[[#This Row],[customer_subscription]]=1,"Subscribed","Not Subscribed")</f>
        <v>Not Subscribed</v>
      </c>
    </row>
    <row r="2397" spans="1:26" x14ac:dyDescent="0.25">
      <c r="A2397">
        <v>2396</v>
      </c>
      <c r="B2397">
        <v>62</v>
      </c>
      <c r="C2397" t="s">
        <v>22</v>
      </c>
      <c r="D2397">
        <v>2396</v>
      </c>
      <c r="E2397" t="s">
        <v>23</v>
      </c>
      <c r="F2397" t="s">
        <v>24</v>
      </c>
      <c r="G2397">
        <v>2396</v>
      </c>
      <c r="H2397">
        <v>3074</v>
      </c>
      <c r="I2397">
        <v>83</v>
      </c>
      <c r="J2397" t="s">
        <v>142</v>
      </c>
      <c r="K2397" t="s">
        <v>47</v>
      </c>
      <c r="L2397" t="s">
        <v>112</v>
      </c>
      <c r="M2397" t="s">
        <v>28</v>
      </c>
      <c r="N2397">
        <v>3.5</v>
      </c>
      <c r="O2397">
        <v>0</v>
      </c>
      <c r="P2397" t="s">
        <v>73</v>
      </c>
      <c r="Q2397" t="s">
        <v>155</v>
      </c>
      <c r="R2397" t="s">
        <v>155</v>
      </c>
      <c r="S2397">
        <v>47</v>
      </c>
      <c r="T2397" t="s">
        <v>49</v>
      </c>
      <c r="U2397" t="s">
        <v>79</v>
      </c>
      <c r="V2397" s="1">
        <v>45649</v>
      </c>
      <c r="W2397">
        <f>Table1[[#This Row],[customer_purchase count]]+1</f>
        <v>48</v>
      </c>
      <c r="X2397">
        <f>Table1[[#This Row],[customer_purchase count]]*Rules!$B$3</f>
        <v>2808.9248717948717</v>
      </c>
      <c r="Y2397" t="str">
        <f>IF(Table1[[#This Row],[customer_subscription]]=1,"Subscribed","Not Subscribed")</f>
        <v>Not Subscribed</v>
      </c>
    </row>
    <row r="2398" spans="1:26" x14ac:dyDescent="0.25">
      <c r="A2398">
        <v>2397</v>
      </c>
      <c r="B2398">
        <v>38</v>
      </c>
      <c r="C2398" t="s">
        <v>22</v>
      </c>
      <c r="D2398">
        <v>2397</v>
      </c>
      <c r="E2398" t="s">
        <v>58</v>
      </c>
      <c r="F2398" t="s">
        <v>24</v>
      </c>
      <c r="G2398">
        <v>2397</v>
      </c>
      <c r="H2398">
        <v>3075</v>
      </c>
      <c r="I2398">
        <v>82</v>
      </c>
      <c r="J2398" t="s">
        <v>50</v>
      </c>
      <c r="K2398" t="s">
        <v>47</v>
      </c>
      <c r="L2398" t="s">
        <v>81</v>
      </c>
      <c r="M2398" t="s">
        <v>40</v>
      </c>
      <c r="N2398">
        <v>3.7</v>
      </c>
      <c r="O2398">
        <v>0</v>
      </c>
      <c r="P2398" t="s">
        <v>73</v>
      </c>
      <c r="Q2398" t="s">
        <v>155</v>
      </c>
      <c r="R2398" t="s">
        <v>155</v>
      </c>
      <c r="S2398">
        <v>20</v>
      </c>
      <c r="T2398" t="s">
        <v>31</v>
      </c>
      <c r="U2398" t="s">
        <v>43</v>
      </c>
      <c r="V2398" s="1">
        <v>45379</v>
      </c>
      <c r="W2398">
        <f>Table1[[#This Row],[customer_purchase count]]+1</f>
        <v>21</v>
      </c>
      <c r="X2398">
        <f>Table1[[#This Row],[customer_purchase count]]*Rules!$B$3</f>
        <v>1195.2871794871796</v>
      </c>
      <c r="Y2398" t="str">
        <f>IF(Table1[[#This Row],[customer_subscription]]=1,"Subscribed","Not Subscribed")</f>
        <v>Not Subscribed</v>
      </c>
    </row>
    <row r="2399" spans="1:26" x14ac:dyDescent="0.25">
      <c r="A2399">
        <v>2398</v>
      </c>
      <c r="B2399">
        <v>37</v>
      </c>
      <c r="C2399" t="s">
        <v>22</v>
      </c>
      <c r="D2399">
        <v>2398</v>
      </c>
      <c r="E2399" t="s">
        <v>92</v>
      </c>
      <c r="F2399" t="s">
        <v>70</v>
      </c>
      <c r="G2399">
        <v>2398</v>
      </c>
      <c r="H2399">
        <v>3076</v>
      </c>
      <c r="I2399">
        <v>26</v>
      </c>
      <c r="J2399" t="s">
        <v>67</v>
      </c>
      <c r="K2399" t="s">
        <v>26</v>
      </c>
      <c r="L2399" t="s">
        <v>97</v>
      </c>
      <c r="M2399" t="s">
        <v>60</v>
      </c>
      <c r="N2399">
        <v>2.9</v>
      </c>
      <c r="O2399">
        <v>0</v>
      </c>
      <c r="P2399" t="s">
        <v>77</v>
      </c>
      <c r="Q2399" t="s">
        <v>155</v>
      </c>
      <c r="R2399" t="s">
        <v>155</v>
      </c>
      <c r="S2399">
        <v>41</v>
      </c>
      <c r="T2399" t="s">
        <v>31</v>
      </c>
      <c r="U2399" t="s">
        <v>91</v>
      </c>
      <c r="V2399" s="1">
        <v>45618</v>
      </c>
      <c r="W2399">
        <f>Table1[[#This Row],[customer_purchase count]]+1</f>
        <v>42</v>
      </c>
      <c r="X2399">
        <f>Table1[[#This Row],[customer_purchase count]]*Rules!$B$3</f>
        <v>2450.3387179487181</v>
      </c>
      <c r="Y2399" t="str">
        <f>IF(Table1[[#This Row],[customer_subscription]]=1,"Subscribed","Not Subscribed")</f>
        <v>Not Subscribed</v>
      </c>
    </row>
    <row r="2400" spans="1:26" x14ac:dyDescent="0.25">
      <c r="A2400">
        <v>2399</v>
      </c>
      <c r="B2400">
        <v>65</v>
      </c>
      <c r="C2400" t="s">
        <v>22</v>
      </c>
      <c r="D2400">
        <v>2399</v>
      </c>
      <c r="E2400" t="s">
        <v>105</v>
      </c>
      <c r="F2400" t="s">
        <v>66</v>
      </c>
      <c r="G2400">
        <v>2399</v>
      </c>
      <c r="H2400">
        <v>3077</v>
      </c>
      <c r="I2400">
        <v>81</v>
      </c>
      <c r="J2400" t="s">
        <v>106</v>
      </c>
      <c r="K2400" t="s">
        <v>47</v>
      </c>
      <c r="L2400" t="s">
        <v>124</v>
      </c>
      <c r="M2400" t="s">
        <v>28</v>
      </c>
      <c r="N2400">
        <v>4.3</v>
      </c>
      <c r="O2400">
        <v>0</v>
      </c>
      <c r="P2400" t="s">
        <v>41</v>
      </c>
      <c r="Q2400" t="s">
        <v>155</v>
      </c>
      <c r="R2400" t="s">
        <v>155</v>
      </c>
      <c r="S2400">
        <v>44</v>
      </c>
      <c r="T2400" t="s">
        <v>78</v>
      </c>
      <c r="U2400" t="s">
        <v>32</v>
      </c>
      <c r="V2400" s="1">
        <v>45640</v>
      </c>
      <c r="W2400">
        <f>Table1[[#This Row],[customer_purchase count]]+1</f>
        <v>45</v>
      </c>
      <c r="X2400">
        <f>Table1[[#This Row],[customer_purchase count]]*Rules!$B$3</f>
        <v>2629.6317948717951</v>
      </c>
      <c r="Y2400" t="str">
        <f>IF(Table1[[#This Row],[customer_subscription]]=1,"Subscribed","Not Subscribed")</f>
        <v>Not Subscribed</v>
      </c>
    </row>
    <row r="2401" spans="1:26" x14ac:dyDescent="0.25">
      <c r="A2401">
        <v>2400</v>
      </c>
      <c r="B2401">
        <v>55</v>
      </c>
      <c r="C2401" t="s">
        <v>22</v>
      </c>
      <c r="D2401">
        <v>2400</v>
      </c>
      <c r="E2401" t="s">
        <v>84</v>
      </c>
      <c r="F2401" t="s">
        <v>24</v>
      </c>
      <c r="G2401">
        <v>2400</v>
      </c>
      <c r="H2401">
        <v>3079</v>
      </c>
      <c r="I2401">
        <v>44</v>
      </c>
      <c r="J2401" t="s">
        <v>85</v>
      </c>
      <c r="K2401" t="s">
        <v>26</v>
      </c>
      <c r="L2401" t="s">
        <v>121</v>
      </c>
      <c r="M2401" t="s">
        <v>40</v>
      </c>
      <c r="N2401">
        <v>3.2</v>
      </c>
      <c r="O2401">
        <v>0</v>
      </c>
      <c r="P2401" t="s">
        <v>77</v>
      </c>
      <c r="Q2401" t="s">
        <v>155</v>
      </c>
      <c r="R2401" t="s">
        <v>155</v>
      </c>
      <c r="S2401">
        <v>31</v>
      </c>
      <c r="T2401" t="s">
        <v>36</v>
      </c>
      <c r="U2401" t="s">
        <v>91</v>
      </c>
      <c r="V2401" s="1">
        <v>45390</v>
      </c>
      <c r="W2401">
        <f>Table1[[#This Row],[customer_purchase count]]+1</f>
        <v>32</v>
      </c>
      <c r="X2401">
        <f>Table1[[#This Row],[customer_purchase count]]*Rules!$B$3</f>
        <v>1852.6951282051282</v>
      </c>
      <c r="Y2401" t="str">
        <f>IF(Table1[[#This Row],[customer_subscription]]=1,"Subscribed","Not Subscribed")</f>
        <v>Not Subscribed</v>
      </c>
    </row>
    <row r="2402" spans="1:26" x14ac:dyDescent="0.25">
      <c r="A2402">
        <v>2401</v>
      </c>
      <c r="B2402">
        <v>43</v>
      </c>
      <c r="C2402" t="s">
        <v>22</v>
      </c>
      <c r="D2402">
        <v>2401</v>
      </c>
      <c r="E2402" t="s">
        <v>92</v>
      </c>
      <c r="F2402" t="s">
        <v>70</v>
      </c>
      <c r="G2402">
        <v>2401</v>
      </c>
      <c r="H2402">
        <v>3080</v>
      </c>
      <c r="I2402">
        <v>88</v>
      </c>
      <c r="J2402" t="s">
        <v>50</v>
      </c>
      <c r="K2402" t="s">
        <v>47</v>
      </c>
      <c r="L2402" t="s">
        <v>103</v>
      </c>
      <c r="M2402" t="s">
        <v>28</v>
      </c>
      <c r="N2402">
        <v>4.2</v>
      </c>
      <c r="O2402">
        <v>0</v>
      </c>
      <c r="P2402" t="s">
        <v>48</v>
      </c>
      <c r="Q2402" t="s">
        <v>155</v>
      </c>
      <c r="R2402" t="s">
        <v>155</v>
      </c>
      <c r="S2402">
        <v>11</v>
      </c>
      <c r="T2402" t="s">
        <v>42</v>
      </c>
      <c r="U2402" t="s">
        <v>79</v>
      </c>
      <c r="V2402" s="1">
        <v>45302</v>
      </c>
      <c r="W2402">
        <f>Table1[[#This Row],[customer_purchase count]]+1</f>
        <v>12</v>
      </c>
      <c r="X2402">
        <f>Table1[[#This Row],[customer_purchase count]]*Rules!$B$3</f>
        <v>657.40794871794878</v>
      </c>
      <c r="Y2402" t="str">
        <f>IF(Table1[[#This Row],[customer_subscription]]=1,"Subscribed","Not Subscribed")</f>
        <v>Not Subscribed</v>
      </c>
      <c r="Z2402" t="s">
        <v>194</v>
      </c>
    </row>
    <row r="2403" spans="1:26" x14ac:dyDescent="0.25">
      <c r="A2403">
        <v>2402</v>
      </c>
      <c r="B2403">
        <v>43</v>
      </c>
      <c r="C2403" t="s">
        <v>22</v>
      </c>
      <c r="D2403">
        <v>2402</v>
      </c>
      <c r="E2403" t="s">
        <v>140</v>
      </c>
      <c r="F2403" t="s">
        <v>45</v>
      </c>
      <c r="G2403">
        <v>2402</v>
      </c>
      <c r="H2403">
        <v>3081</v>
      </c>
      <c r="I2403">
        <v>76</v>
      </c>
      <c r="J2403" t="s">
        <v>50</v>
      </c>
      <c r="K2403" t="s">
        <v>47</v>
      </c>
      <c r="L2403" t="s">
        <v>72</v>
      </c>
      <c r="M2403" t="s">
        <v>28</v>
      </c>
      <c r="N2403">
        <v>4.2</v>
      </c>
      <c r="O2403">
        <v>0</v>
      </c>
      <c r="P2403" t="s">
        <v>57</v>
      </c>
      <c r="Q2403" t="s">
        <v>155</v>
      </c>
      <c r="R2403" t="s">
        <v>155</v>
      </c>
      <c r="S2403">
        <v>25</v>
      </c>
      <c r="T2403" t="s">
        <v>49</v>
      </c>
      <c r="U2403" t="s">
        <v>79</v>
      </c>
      <c r="V2403" s="1">
        <v>45336</v>
      </c>
      <c r="W2403">
        <f>Table1[[#This Row],[customer_purchase count]]+1</f>
        <v>26</v>
      </c>
      <c r="X2403">
        <f>Table1[[#This Row],[customer_purchase count]]*Rules!$B$3</f>
        <v>1494.1089743589744</v>
      </c>
      <c r="Y2403" t="str">
        <f>IF(Table1[[#This Row],[customer_subscription]]=1,"Subscribed","Not Subscribed")</f>
        <v>Not Subscribed</v>
      </c>
    </row>
    <row r="2404" spans="1:26" x14ac:dyDescent="0.25">
      <c r="A2404">
        <v>2403</v>
      </c>
      <c r="B2404">
        <v>45</v>
      </c>
      <c r="C2404" t="s">
        <v>22</v>
      </c>
      <c r="D2404">
        <v>2403</v>
      </c>
      <c r="E2404" t="s">
        <v>122</v>
      </c>
      <c r="F2404" t="s">
        <v>70</v>
      </c>
      <c r="G2404">
        <v>2403</v>
      </c>
      <c r="H2404">
        <v>3082</v>
      </c>
      <c r="I2404">
        <v>89</v>
      </c>
      <c r="J2404" t="s">
        <v>143</v>
      </c>
      <c r="K2404" t="s">
        <v>47</v>
      </c>
      <c r="L2404" t="s">
        <v>113</v>
      </c>
      <c r="M2404" t="s">
        <v>28</v>
      </c>
      <c r="N2404">
        <v>3.8</v>
      </c>
      <c r="O2404">
        <v>0</v>
      </c>
      <c r="P2404" t="s">
        <v>41</v>
      </c>
      <c r="Q2404" t="s">
        <v>155</v>
      </c>
      <c r="R2404" t="s">
        <v>155</v>
      </c>
      <c r="S2404">
        <v>31</v>
      </c>
      <c r="T2404" t="s">
        <v>36</v>
      </c>
      <c r="U2404" t="s">
        <v>43</v>
      </c>
      <c r="V2404" s="1">
        <v>45341</v>
      </c>
      <c r="W2404">
        <f>Table1[[#This Row],[customer_purchase count]]+1</f>
        <v>32</v>
      </c>
      <c r="X2404">
        <f>Table1[[#This Row],[customer_purchase count]]*Rules!$B$3</f>
        <v>1852.6951282051282</v>
      </c>
      <c r="Y2404" t="str">
        <f>IF(Table1[[#This Row],[customer_subscription]]=1,"Subscribed","Not Subscribed")</f>
        <v>Not Subscribed</v>
      </c>
    </row>
    <row r="2405" spans="1:26" x14ac:dyDescent="0.25">
      <c r="A2405">
        <v>2404</v>
      </c>
      <c r="B2405">
        <v>64</v>
      </c>
      <c r="C2405" t="s">
        <v>22</v>
      </c>
      <c r="D2405">
        <v>2404</v>
      </c>
      <c r="E2405" t="s">
        <v>62</v>
      </c>
      <c r="F2405" t="s">
        <v>24</v>
      </c>
      <c r="G2405">
        <v>2404</v>
      </c>
      <c r="H2405">
        <v>3083</v>
      </c>
      <c r="I2405">
        <v>22</v>
      </c>
      <c r="J2405" t="s">
        <v>71</v>
      </c>
      <c r="K2405" t="s">
        <v>47</v>
      </c>
      <c r="L2405" t="s">
        <v>139</v>
      </c>
      <c r="M2405" t="s">
        <v>60</v>
      </c>
      <c r="N2405">
        <v>4.4000000000000004</v>
      </c>
      <c r="O2405">
        <v>0</v>
      </c>
      <c r="P2405" t="s">
        <v>57</v>
      </c>
      <c r="Q2405" t="s">
        <v>155</v>
      </c>
      <c r="R2405" t="s">
        <v>155</v>
      </c>
      <c r="S2405">
        <v>40</v>
      </c>
      <c r="T2405" t="s">
        <v>89</v>
      </c>
      <c r="U2405" t="s">
        <v>43</v>
      </c>
      <c r="V2405" s="1">
        <v>45623</v>
      </c>
      <c r="W2405">
        <f>Table1[[#This Row],[customer_purchase count]]+1</f>
        <v>41</v>
      </c>
      <c r="X2405">
        <f>Table1[[#This Row],[customer_purchase count]]*Rules!$B$3</f>
        <v>2390.5743589743593</v>
      </c>
      <c r="Y2405" t="str">
        <f>IF(Table1[[#This Row],[customer_subscription]]=1,"Subscribed","Not Subscribed")</f>
        <v>Not Subscribed</v>
      </c>
    </row>
    <row r="2406" spans="1:26" x14ac:dyDescent="0.25">
      <c r="A2406">
        <v>2405</v>
      </c>
      <c r="B2406">
        <v>28</v>
      </c>
      <c r="C2406" t="s">
        <v>22</v>
      </c>
      <c r="D2406">
        <v>2405</v>
      </c>
      <c r="E2406" t="s">
        <v>62</v>
      </c>
      <c r="F2406" t="s">
        <v>24</v>
      </c>
      <c r="G2406">
        <v>2405</v>
      </c>
      <c r="H2406">
        <v>3085</v>
      </c>
      <c r="I2406">
        <v>33</v>
      </c>
      <c r="J2406" t="s">
        <v>67</v>
      </c>
      <c r="K2406" t="s">
        <v>26</v>
      </c>
      <c r="L2406" t="s">
        <v>112</v>
      </c>
      <c r="M2406" t="s">
        <v>28</v>
      </c>
      <c r="N2406">
        <v>3.1</v>
      </c>
      <c r="O2406">
        <v>0</v>
      </c>
      <c r="P2406" t="s">
        <v>73</v>
      </c>
      <c r="Q2406" t="s">
        <v>155</v>
      </c>
      <c r="R2406" t="s">
        <v>155</v>
      </c>
      <c r="S2406">
        <v>23</v>
      </c>
      <c r="T2406" t="s">
        <v>42</v>
      </c>
      <c r="U2406" t="s">
        <v>79</v>
      </c>
      <c r="V2406" s="1">
        <v>45631</v>
      </c>
      <c r="W2406">
        <f>Table1[[#This Row],[customer_purchase count]]+1</f>
        <v>24</v>
      </c>
      <c r="X2406">
        <f>Table1[[#This Row],[customer_purchase count]]*Rules!$B$3</f>
        <v>1374.5802564102564</v>
      </c>
      <c r="Y2406" t="str">
        <f>IF(Table1[[#This Row],[customer_subscription]]=1,"Subscribed","Not Subscribed")</f>
        <v>Not Subscribed</v>
      </c>
    </row>
    <row r="2407" spans="1:26" x14ac:dyDescent="0.25">
      <c r="A2407">
        <v>2406</v>
      </c>
      <c r="B2407">
        <v>69</v>
      </c>
      <c r="C2407" t="s">
        <v>22</v>
      </c>
      <c r="D2407">
        <v>2406</v>
      </c>
      <c r="E2407" t="s">
        <v>37</v>
      </c>
      <c r="F2407" t="s">
        <v>24</v>
      </c>
      <c r="G2407">
        <v>2406</v>
      </c>
      <c r="H2407">
        <v>3086</v>
      </c>
      <c r="I2407">
        <v>97</v>
      </c>
      <c r="J2407" t="s">
        <v>102</v>
      </c>
      <c r="K2407" t="s">
        <v>95</v>
      </c>
      <c r="L2407" t="s">
        <v>68</v>
      </c>
      <c r="M2407" t="s">
        <v>60</v>
      </c>
      <c r="N2407">
        <v>5</v>
      </c>
      <c r="O2407">
        <v>0</v>
      </c>
      <c r="P2407" t="s">
        <v>57</v>
      </c>
      <c r="Q2407" t="s">
        <v>155</v>
      </c>
      <c r="R2407" t="s">
        <v>155</v>
      </c>
      <c r="S2407">
        <v>5</v>
      </c>
      <c r="T2407" t="s">
        <v>89</v>
      </c>
      <c r="U2407" t="s">
        <v>61</v>
      </c>
      <c r="V2407" s="1">
        <v>45608</v>
      </c>
      <c r="W2407">
        <f>Table1[[#This Row],[customer_purchase count]]+1</f>
        <v>6</v>
      </c>
      <c r="X2407">
        <f>Table1[[#This Row],[customer_purchase count]]*Rules!$B$3</f>
        <v>298.82179487179491</v>
      </c>
      <c r="Y2407" t="str">
        <f>IF(Table1[[#This Row],[customer_subscription]]=1,"Subscribed","Not Subscribed")</f>
        <v>Not Subscribed</v>
      </c>
      <c r="Z2407" t="s">
        <v>194</v>
      </c>
    </row>
    <row r="2408" spans="1:26" x14ac:dyDescent="0.25">
      <c r="A2408">
        <v>2407</v>
      </c>
      <c r="B2408">
        <v>54</v>
      </c>
      <c r="C2408" t="s">
        <v>22</v>
      </c>
      <c r="D2408">
        <v>2407</v>
      </c>
      <c r="E2408" t="s">
        <v>122</v>
      </c>
      <c r="F2408" t="s">
        <v>70</v>
      </c>
      <c r="G2408">
        <v>2407</v>
      </c>
      <c r="H2408">
        <v>3087</v>
      </c>
      <c r="I2408">
        <v>57</v>
      </c>
      <c r="J2408" t="s">
        <v>102</v>
      </c>
      <c r="K2408" t="s">
        <v>47</v>
      </c>
      <c r="L2408" t="s">
        <v>129</v>
      </c>
      <c r="M2408" t="s">
        <v>28</v>
      </c>
      <c r="N2408">
        <v>4.7</v>
      </c>
      <c r="O2408">
        <v>0</v>
      </c>
      <c r="P2408" t="s">
        <v>57</v>
      </c>
      <c r="Q2408" t="s">
        <v>155</v>
      </c>
      <c r="R2408" t="s">
        <v>155</v>
      </c>
      <c r="S2408">
        <v>26</v>
      </c>
      <c r="T2408" t="s">
        <v>49</v>
      </c>
      <c r="U2408" t="s">
        <v>43</v>
      </c>
      <c r="V2408" s="1">
        <v>45334</v>
      </c>
      <c r="W2408">
        <f>Table1[[#This Row],[customer_purchase count]]+1</f>
        <v>27</v>
      </c>
      <c r="X2408">
        <f>Table1[[#This Row],[customer_purchase count]]*Rules!$B$3</f>
        <v>1553.8733333333334</v>
      </c>
      <c r="Y2408" t="str">
        <f>IF(Table1[[#This Row],[customer_subscription]]=1,"Subscribed","Not Subscribed")</f>
        <v>Not Subscribed</v>
      </c>
    </row>
    <row r="2409" spans="1:26" x14ac:dyDescent="0.25">
      <c r="A2409">
        <v>2408</v>
      </c>
      <c r="B2409">
        <v>52</v>
      </c>
      <c r="C2409" t="s">
        <v>22</v>
      </c>
      <c r="D2409">
        <v>2408</v>
      </c>
      <c r="E2409" t="s">
        <v>62</v>
      </c>
      <c r="F2409" t="s">
        <v>24</v>
      </c>
      <c r="G2409">
        <v>2408</v>
      </c>
      <c r="H2409">
        <v>3088</v>
      </c>
      <c r="I2409">
        <v>38</v>
      </c>
      <c r="J2409" t="s">
        <v>118</v>
      </c>
      <c r="K2409" t="s">
        <v>47</v>
      </c>
      <c r="L2409" t="s">
        <v>121</v>
      </c>
      <c r="M2409" t="s">
        <v>56</v>
      </c>
      <c r="N2409">
        <v>3</v>
      </c>
      <c r="O2409">
        <v>0</v>
      </c>
      <c r="P2409" t="s">
        <v>29</v>
      </c>
      <c r="Q2409" t="s">
        <v>155</v>
      </c>
      <c r="R2409" t="s">
        <v>155</v>
      </c>
      <c r="S2409">
        <v>11</v>
      </c>
      <c r="T2409" t="s">
        <v>42</v>
      </c>
      <c r="U2409" t="s">
        <v>79</v>
      </c>
      <c r="V2409" s="1">
        <v>45491</v>
      </c>
      <c r="W2409">
        <f>Table1[[#This Row],[customer_purchase count]]+1</f>
        <v>12</v>
      </c>
      <c r="X2409">
        <f>Table1[[#This Row],[customer_purchase count]]*Rules!$B$3</f>
        <v>657.40794871794878</v>
      </c>
      <c r="Y2409" t="str">
        <f>IF(Table1[[#This Row],[customer_subscription]]=1,"Subscribed","Not Subscribed")</f>
        <v>Not Subscribed</v>
      </c>
      <c r="Z2409" t="s">
        <v>194</v>
      </c>
    </row>
    <row r="2410" spans="1:26" x14ac:dyDescent="0.25">
      <c r="A2410">
        <v>2409</v>
      </c>
      <c r="B2410">
        <v>23</v>
      </c>
      <c r="C2410" t="s">
        <v>22</v>
      </c>
      <c r="D2410">
        <v>2409</v>
      </c>
      <c r="E2410" t="s">
        <v>53</v>
      </c>
      <c r="F2410" t="s">
        <v>45</v>
      </c>
      <c r="G2410">
        <v>2409</v>
      </c>
      <c r="H2410">
        <v>3089</v>
      </c>
      <c r="I2410">
        <v>55</v>
      </c>
      <c r="J2410" t="s">
        <v>80</v>
      </c>
      <c r="K2410" t="s">
        <v>95</v>
      </c>
      <c r="L2410" t="s">
        <v>97</v>
      </c>
      <c r="M2410" t="s">
        <v>60</v>
      </c>
      <c r="N2410">
        <v>4.2</v>
      </c>
      <c r="O2410">
        <v>0</v>
      </c>
      <c r="P2410" t="s">
        <v>48</v>
      </c>
      <c r="Q2410" t="s">
        <v>155</v>
      </c>
      <c r="R2410" t="s">
        <v>155</v>
      </c>
      <c r="S2410">
        <v>44</v>
      </c>
      <c r="T2410" t="s">
        <v>89</v>
      </c>
      <c r="U2410" t="s">
        <v>100</v>
      </c>
      <c r="V2410" s="1">
        <v>45560</v>
      </c>
      <c r="W2410">
        <f>Table1[[#This Row],[customer_purchase count]]+1</f>
        <v>45</v>
      </c>
      <c r="X2410">
        <f>Table1[[#This Row],[customer_purchase count]]*Rules!$B$3</f>
        <v>2629.6317948717951</v>
      </c>
      <c r="Y2410" t="str">
        <f>IF(Table1[[#This Row],[customer_subscription]]=1,"Subscribed","Not Subscribed")</f>
        <v>Not Subscribed</v>
      </c>
    </row>
    <row r="2411" spans="1:26" x14ac:dyDescent="0.25">
      <c r="A2411">
        <v>2410</v>
      </c>
      <c r="B2411">
        <v>26</v>
      </c>
      <c r="C2411" t="s">
        <v>22</v>
      </c>
      <c r="D2411">
        <v>2410</v>
      </c>
      <c r="E2411" t="s">
        <v>109</v>
      </c>
      <c r="F2411" t="s">
        <v>70</v>
      </c>
      <c r="G2411">
        <v>2410</v>
      </c>
      <c r="H2411">
        <v>3091</v>
      </c>
      <c r="I2411">
        <v>37</v>
      </c>
      <c r="J2411" t="s">
        <v>152</v>
      </c>
      <c r="K2411" t="s">
        <v>26</v>
      </c>
      <c r="L2411" t="s">
        <v>137</v>
      </c>
      <c r="M2411" t="s">
        <v>40</v>
      </c>
      <c r="N2411">
        <v>3</v>
      </c>
      <c r="O2411">
        <v>0</v>
      </c>
      <c r="P2411" t="s">
        <v>77</v>
      </c>
      <c r="Q2411" t="s">
        <v>155</v>
      </c>
      <c r="R2411" t="s">
        <v>155</v>
      </c>
      <c r="S2411">
        <v>47</v>
      </c>
      <c r="T2411" t="s">
        <v>36</v>
      </c>
      <c r="U2411" t="s">
        <v>100</v>
      </c>
      <c r="V2411" s="1">
        <v>45409</v>
      </c>
      <c r="W2411">
        <f>Table1[[#This Row],[customer_purchase count]]+1</f>
        <v>48</v>
      </c>
      <c r="X2411">
        <f>Table1[[#This Row],[customer_purchase count]]*Rules!$B$3</f>
        <v>2808.9248717948717</v>
      </c>
      <c r="Y2411" t="str">
        <f>IF(Table1[[#This Row],[customer_subscription]]=1,"Subscribed","Not Subscribed")</f>
        <v>Not Subscribed</v>
      </c>
    </row>
    <row r="2412" spans="1:26" x14ac:dyDescent="0.25">
      <c r="A2412">
        <v>2411</v>
      </c>
      <c r="B2412">
        <v>48</v>
      </c>
      <c r="C2412" t="s">
        <v>22</v>
      </c>
      <c r="D2412">
        <v>2411</v>
      </c>
      <c r="E2412" t="s">
        <v>74</v>
      </c>
      <c r="F2412" t="s">
        <v>45</v>
      </c>
      <c r="G2412">
        <v>2411</v>
      </c>
      <c r="H2412">
        <v>3092</v>
      </c>
      <c r="I2412">
        <v>43</v>
      </c>
      <c r="J2412" t="s">
        <v>153</v>
      </c>
      <c r="K2412" t="s">
        <v>47</v>
      </c>
      <c r="L2412" t="s">
        <v>35</v>
      </c>
      <c r="M2412" t="s">
        <v>56</v>
      </c>
      <c r="N2412">
        <v>3.7</v>
      </c>
      <c r="O2412">
        <v>0</v>
      </c>
      <c r="P2412" t="s">
        <v>41</v>
      </c>
      <c r="Q2412" t="s">
        <v>155</v>
      </c>
      <c r="R2412" t="s">
        <v>155</v>
      </c>
      <c r="S2412">
        <v>46</v>
      </c>
      <c r="T2412" t="s">
        <v>49</v>
      </c>
      <c r="U2412" t="s">
        <v>91</v>
      </c>
      <c r="V2412" s="1">
        <v>45469</v>
      </c>
      <c r="W2412">
        <f>Table1[[#This Row],[customer_purchase count]]+1</f>
        <v>47</v>
      </c>
      <c r="X2412">
        <f>Table1[[#This Row],[customer_purchase count]]*Rules!$B$3</f>
        <v>2749.1605128205128</v>
      </c>
      <c r="Y2412" t="str">
        <f>IF(Table1[[#This Row],[customer_subscription]]=1,"Subscribed","Not Subscribed")</f>
        <v>Not Subscribed</v>
      </c>
    </row>
    <row r="2413" spans="1:26" x14ac:dyDescent="0.25">
      <c r="A2413">
        <v>2412</v>
      </c>
      <c r="B2413">
        <v>49</v>
      </c>
      <c r="C2413" t="s">
        <v>22</v>
      </c>
      <c r="D2413">
        <v>2412</v>
      </c>
      <c r="E2413" t="s">
        <v>107</v>
      </c>
      <c r="F2413" t="s">
        <v>24</v>
      </c>
      <c r="G2413">
        <v>2412</v>
      </c>
      <c r="H2413">
        <v>3093</v>
      </c>
      <c r="I2413">
        <v>96</v>
      </c>
      <c r="J2413" t="s">
        <v>144</v>
      </c>
      <c r="K2413" t="s">
        <v>47</v>
      </c>
      <c r="L2413" t="s">
        <v>112</v>
      </c>
      <c r="M2413" t="s">
        <v>56</v>
      </c>
      <c r="N2413">
        <v>2.7</v>
      </c>
      <c r="O2413">
        <v>0</v>
      </c>
      <c r="P2413" t="s">
        <v>41</v>
      </c>
      <c r="Q2413" t="s">
        <v>155</v>
      </c>
      <c r="R2413" t="s">
        <v>155</v>
      </c>
      <c r="S2413">
        <v>35</v>
      </c>
      <c r="T2413" t="s">
        <v>36</v>
      </c>
      <c r="U2413" t="s">
        <v>100</v>
      </c>
      <c r="V2413" s="1">
        <v>45519</v>
      </c>
      <c r="W2413">
        <f>Table1[[#This Row],[customer_purchase count]]+1</f>
        <v>36</v>
      </c>
      <c r="X2413">
        <f>Table1[[#This Row],[customer_purchase count]]*Rules!$B$3</f>
        <v>2091.7525641025641</v>
      </c>
      <c r="Y2413" t="str">
        <f>IF(Table1[[#This Row],[customer_subscription]]=1,"Subscribed","Not Subscribed")</f>
        <v>Not Subscribed</v>
      </c>
    </row>
    <row r="2414" spans="1:26" x14ac:dyDescent="0.25">
      <c r="A2414">
        <v>2413</v>
      </c>
      <c r="B2414">
        <v>53</v>
      </c>
      <c r="C2414" t="s">
        <v>22</v>
      </c>
      <c r="D2414">
        <v>2413</v>
      </c>
      <c r="E2414" t="s">
        <v>105</v>
      </c>
      <c r="F2414" t="s">
        <v>66</v>
      </c>
      <c r="G2414">
        <v>2413</v>
      </c>
      <c r="H2414">
        <v>3094</v>
      </c>
      <c r="I2414">
        <v>51</v>
      </c>
      <c r="J2414" t="s">
        <v>50</v>
      </c>
      <c r="K2414" t="s">
        <v>47</v>
      </c>
      <c r="L2414" t="s">
        <v>72</v>
      </c>
      <c r="M2414" t="s">
        <v>28</v>
      </c>
      <c r="N2414">
        <v>4.3</v>
      </c>
      <c r="O2414">
        <v>0</v>
      </c>
      <c r="P2414" t="s">
        <v>73</v>
      </c>
      <c r="Q2414" t="s">
        <v>155</v>
      </c>
      <c r="R2414" t="s">
        <v>155</v>
      </c>
      <c r="S2414">
        <v>8</v>
      </c>
      <c r="T2414" t="s">
        <v>78</v>
      </c>
      <c r="U2414" t="s">
        <v>79</v>
      </c>
      <c r="V2414" s="1">
        <v>45349</v>
      </c>
      <c r="W2414">
        <f>Table1[[#This Row],[customer_purchase count]]+1</f>
        <v>9</v>
      </c>
      <c r="X2414">
        <f>Table1[[#This Row],[customer_purchase count]]*Rules!$B$3</f>
        <v>478.11487179487182</v>
      </c>
      <c r="Y2414" t="str">
        <f>IF(Table1[[#This Row],[customer_subscription]]=1,"Subscribed","Not Subscribed")</f>
        <v>Not Subscribed</v>
      </c>
      <c r="Z2414" t="s">
        <v>194</v>
      </c>
    </row>
    <row r="2415" spans="1:26" x14ac:dyDescent="0.25">
      <c r="A2415">
        <v>2414</v>
      </c>
      <c r="B2415">
        <v>69</v>
      </c>
      <c r="C2415" t="s">
        <v>22</v>
      </c>
      <c r="D2415">
        <v>2414</v>
      </c>
      <c r="E2415" t="s">
        <v>62</v>
      </c>
      <c r="F2415" t="s">
        <v>24</v>
      </c>
      <c r="G2415">
        <v>2414</v>
      </c>
      <c r="H2415">
        <v>3095</v>
      </c>
      <c r="I2415">
        <v>95</v>
      </c>
      <c r="J2415" t="s">
        <v>141</v>
      </c>
      <c r="K2415" t="s">
        <v>95</v>
      </c>
      <c r="L2415" t="s">
        <v>86</v>
      </c>
      <c r="M2415" t="s">
        <v>60</v>
      </c>
      <c r="N2415">
        <v>2.7</v>
      </c>
      <c r="O2415">
        <v>0</v>
      </c>
      <c r="P2415" t="s">
        <v>73</v>
      </c>
      <c r="Q2415" t="s">
        <v>155</v>
      </c>
      <c r="R2415" t="s">
        <v>155</v>
      </c>
      <c r="S2415">
        <v>30</v>
      </c>
      <c r="T2415" t="s">
        <v>78</v>
      </c>
      <c r="U2415" t="s">
        <v>43</v>
      </c>
      <c r="V2415" s="1">
        <v>45563</v>
      </c>
      <c r="W2415">
        <f>Table1[[#This Row],[customer_purchase count]]+1</f>
        <v>31</v>
      </c>
      <c r="X2415">
        <f>Table1[[#This Row],[customer_purchase count]]*Rules!$B$3</f>
        <v>1792.9307692307693</v>
      </c>
      <c r="Y2415" t="str">
        <f>IF(Table1[[#This Row],[customer_subscription]]=1,"Subscribed","Not Subscribed")</f>
        <v>Not Subscribed</v>
      </c>
    </row>
    <row r="2416" spans="1:26" x14ac:dyDescent="0.25">
      <c r="A2416">
        <v>2415</v>
      </c>
      <c r="B2416">
        <v>26</v>
      </c>
      <c r="C2416" t="s">
        <v>22</v>
      </c>
      <c r="D2416">
        <v>2415</v>
      </c>
      <c r="E2416" t="s">
        <v>128</v>
      </c>
      <c r="F2416" t="s">
        <v>24</v>
      </c>
      <c r="G2416">
        <v>2415</v>
      </c>
      <c r="H2416">
        <v>3097</v>
      </c>
      <c r="I2416">
        <v>26</v>
      </c>
      <c r="J2416" t="s">
        <v>144</v>
      </c>
      <c r="K2416" t="s">
        <v>47</v>
      </c>
      <c r="L2416" t="s">
        <v>96</v>
      </c>
      <c r="M2416" t="s">
        <v>56</v>
      </c>
      <c r="N2416">
        <v>3.7</v>
      </c>
      <c r="O2416">
        <v>0</v>
      </c>
      <c r="P2416" t="s">
        <v>48</v>
      </c>
      <c r="Q2416" t="s">
        <v>155</v>
      </c>
      <c r="R2416" t="s">
        <v>155</v>
      </c>
      <c r="S2416">
        <v>14</v>
      </c>
      <c r="T2416" t="s">
        <v>42</v>
      </c>
      <c r="U2416" t="s">
        <v>79</v>
      </c>
      <c r="V2416" s="1">
        <v>45485</v>
      </c>
      <c r="W2416">
        <f>Table1[[#This Row],[customer_purchase count]]+1</f>
        <v>15</v>
      </c>
      <c r="X2416">
        <f>Table1[[#This Row],[customer_purchase count]]*Rules!$B$3</f>
        <v>836.70102564102569</v>
      </c>
      <c r="Y2416" t="str">
        <f>IF(Table1[[#This Row],[customer_subscription]]=1,"Subscribed","Not Subscribed")</f>
        <v>Not Subscribed</v>
      </c>
      <c r="Z2416" t="s">
        <v>187</v>
      </c>
    </row>
    <row r="2417" spans="1:26" x14ac:dyDescent="0.25">
      <c r="A2417">
        <v>2416</v>
      </c>
      <c r="B2417">
        <v>21</v>
      </c>
      <c r="C2417" t="s">
        <v>22</v>
      </c>
      <c r="D2417">
        <v>2416</v>
      </c>
      <c r="E2417" t="s">
        <v>65</v>
      </c>
      <c r="F2417" t="s">
        <v>66</v>
      </c>
      <c r="G2417">
        <v>2416</v>
      </c>
      <c r="H2417">
        <v>3098</v>
      </c>
      <c r="I2417">
        <v>34</v>
      </c>
      <c r="J2417" t="s">
        <v>80</v>
      </c>
      <c r="K2417" t="s">
        <v>95</v>
      </c>
      <c r="L2417" t="s">
        <v>96</v>
      </c>
      <c r="M2417" t="s">
        <v>60</v>
      </c>
      <c r="N2417">
        <v>4.3</v>
      </c>
      <c r="O2417">
        <v>0</v>
      </c>
      <c r="P2417" t="s">
        <v>57</v>
      </c>
      <c r="Q2417" t="s">
        <v>155</v>
      </c>
      <c r="R2417" t="s">
        <v>155</v>
      </c>
      <c r="S2417">
        <v>30</v>
      </c>
      <c r="T2417" t="s">
        <v>78</v>
      </c>
      <c r="U2417" t="s">
        <v>43</v>
      </c>
      <c r="V2417" s="1">
        <v>45592</v>
      </c>
      <c r="W2417">
        <f>Table1[[#This Row],[customer_purchase count]]+1</f>
        <v>31</v>
      </c>
      <c r="X2417">
        <f>Table1[[#This Row],[customer_purchase count]]*Rules!$B$3</f>
        <v>1792.9307692307693</v>
      </c>
      <c r="Y2417" t="str">
        <f>IF(Table1[[#This Row],[customer_subscription]]=1,"Subscribed","Not Subscribed")</f>
        <v>Not Subscribed</v>
      </c>
    </row>
    <row r="2418" spans="1:26" x14ac:dyDescent="0.25">
      <c r="A2418">
        <v>2417</v>
      </c>
      <c r="B2418">
        <v>59</v>
      </c>
      <c r="C2418" t="s">
        <v>22</v>
      </c>
      <c r="D2418">
        <v>2417</v>
      </c>
      <c r="E2418" t="s">
        <v>44</v>
      </c>
      <c r="F2418" t="s">
        <v>45</v>
      </c>
      <c r="G2418">
        <v>2417</v>
      </c>
      <c r="H2418">
        <v>3099</v>
      </c>
      <c r="I2418">
        <v>83</v>
      </c>
      <c r="J2418" t="s">
        <v>148</v>
      </c>
      <c r="K2418" t="s">
        <v>39</v>
      </c>
      <c r="L2418" t="s">
        <v>97</v>
      </c>
      <c r="M2418" t="s">
        <v>56</v>
      </c>
      <c r="N2418">
        <v>4</v>
      </c>
      <c r="O2418">
        <v>0</v>
      </c>
      <c r="P2418" t="s">
        <v>48</v>
      </c>
      <c r="Q2418" t="s">
        <v>155</v>
      </c>
      <c r="R2418" t="s">
        <v>155</v>
      </c>
      <c r="S2418">
        <v>26</v>
      </c>
      <c r="T2418" t="s">
        <v>42</v>
      </c>
      <c r="U2418" t="s">
        <v>100</v>
      </c>
      <c r="V2418" s="1">
        <v>45500</v>
      </c>
      <c r="W2418">
        <f>Table1[[#This Row],[customer_purchase count]]+1</f>
        <v>27</v>
      </c>
      <c r="X2418">
        <f>Table1[[#This Row],[customer_purchase count]]*Rules!$B$3</f>
        <v>1553.8733333333334</v>
      </c>
      <c r="Y2418" t="str">
        <f>IF(Table1[[#This Row],[customer_subscription]]=1,"Subscribed","Not Subscribed")</f>
        <v>Not Subscribed</v>
      </c>
    </row>
    <row r="2419" spans="1:26" x14ac:dyDescent="0.25">
      <c r="A2419">
        <v>2418</v>
      </c>
      <c r="B2419">
        <v>21</v>
      </c>
      <c r="C2419" t="s">
        <v>22</v>
      </c>
      <c r="D2419">
        <v>2418</v>
      </c>
      <c r="E2419" t="s">
        <v>135</v>
      </c>
      <c r="F2419" t="s">
        <v>70</v>
      </c>
      <c r="G2419">
        <v>2418</v>
      </c>
      <c r="H2419">
        <v>3100</v>
      </c>
      <c r="I2419">
        <v>24</v>
      </c>
      <c r="J2419" t="s">
        <v>123</v>
      </c>
      <c r="K2419" t="s">
        <v>47</v>
      </c>
      <c r="L2419" t="s">
        <v>81</v>
      </c>
      <c r="M2419" t="s">
        <v>60</v>
      </c>
      <c r="N2419">
        <v>3.3</v>
      </c>
      <c r="O2419">
        <v>0</v>
      </c>
      <c r="P2419" t="s">
        <v>57</v>
      </c>
      <c r="Q2419" t="s">
        <v>155</v>
      </c>
      <c r="R2419" t="s">
        <v>155</v>
      </c>
      <c r="S2419">
        <v>32</v>
      </c>
      <c r="T2419" t="s">
        <v>31</v>
      </c>
      <c r="U2419" t="s">
        <v>32</v>
      </c>
      <c r="V2419" s="1">
        <v>45593</v>
      </c>
      <c r="W2419">
        <f>Table1[[#This Row],[customer_purchase count]]+1</f>
        <v>33</v>
      </c>
      <c r="X2419">
        <f>Table1[[#This Row],[customer_purchase count]]*Rules!$B$3</f>
        <v>1912.4594871794873</v>
      </c>
      <c r="Y2419" t="str">
        <f>IF(Table1[[#This Row],[customer_subscription]]=1,"Subscribed","Not Subscribed")</f>
        <v>Not Subscribed</v>
      </c>
    </row>
    <row r="2420" spans="1:26" x14ac:dyDescent="0.25">
      <c r="A2420">
        <v>2419</v>
      </c>
      <c r="B2420">
        <v>22</v>
      </c>
      <c r="C2420" t="s">
        <v>22</v>
      </c>
      <c r="D2420">
        <v>2419</v>
      </c>
      <c r="E2420" t="s">
        <v>98</v>
      </c>
      <c r="F2420" t="s">
        <v>24</v>
      </c>
      <c r="G2420">
        <v>2419</v>
      </c>
      <c r="H2420">
        <v>3101</v>
      </c>
      <c r="I2420">
        <v>69</v>
      </c>
      <c r="J2420" t="s">
        <v>154</v>
      </c>
      <c r="K2420" t="s">
        <v>39</v>
      </c>
      <c r="L2420" t="s">
        <v>129</v>
      </c>
      <c r="M2420" t="s">
        <v>60</v>
      </c>
      <c r="N2420">
        <v>4</v>
      </c>
      <c r="O2420">
        <v>0</v>
      </c>
      <c r="P2420" t="s">
        <v>48</v>
      </c>
      <c r="Q2420" t="s">
        <v>155</v>
      </c>
      <c r="R2420" t="s">
        <v>155</v>
      </c>
      <c r="S2420">
        <v>47</v>
      </c>
      <c r="T2420" t="s">
        <v>36</v>
      </c>
      <c r="U2420" t="s">
        <v>100</v>
      </c>
      <c r="V2420" s="1">
        <v>45572</v>
      </c>
      <c r="W2420">
        <f>Table1[[#This Row],[customer_purchase count]]+1</f>
        <v>48</v>
      </c>
      <c r="X2420">
        <f>Table1[[#This Row],[customer_purchase count]]*Rules!$B$3</f>
        <v>2808.9248717948717</v>
      </c>
      <c r="Y2420" t="str">
        <f>IF(Table1[[#This Row],[customer_subscription]]=1,"Subscribed","Not Subscribed")</f>
        <v>Not Subscribed</v>
      </c>
    </row>
    <row r="2421" spans="1:26" x14ac:dyDescent="0.25">
      <c r="A2421">
        <v>2420</v>
      </c>
      <c r="B2421">
        <v>26</v>
      </c>
      <c r="C2421" t="s">
        <v>22</v>
      </c>
      <c r="D2421">
        <v>2420</v>
      </c>
      <c r="E2421" t="s">
        <v>33</v>
      </c>
      <c r="F2421" t="s">
        <v>24</v>
      </c>
      <c r="G2421">
        <v>2420</v>
      </c>
      <c r="H2421">
        <v>3103</v>
      </c>
      <c r="I2421">
        <v>40</v>
      </c>
      <c r="J2421" t="s">
        <v>101</v>
      </c>
      <c r="K2421" t="s">
        <v>47</v>
      </c>
      <c r="L2421" t="s">
        <v>147</v>
      </c>
      <c r="M2421" t="s">
        <v>60</v>
      </c>
      <c r="N2421">
        <v>2.7</v>
      </c>
      <c r="O2421">
        <v>0</v>
      </c>
      <c r="P2421" t="s">
        <v>48</v>
      </c>
      <c r="Q2421" t="s">
        <v>155</v>
      </c>
      <c r="R2421" t="s">
        <v>155</v>
      </c>
      <c r="S2421">
        <v>11</v>
      </c>
      <c r="T2421" t="s">
        <v>42</v>
      </c>
      <c r="U2421" t="s">
        <v>100</v>
      </c>
      <c r="V2421" s="1">
        <v>45611</v>
      </c>
      <c r="W2421">
        <f>Table1[[#This Row],[customer_purchase count]]+1</f>
        <v>12</v>
      </c>
      <c r="X2421">
        <f>Table1[[#This Row],[customer_purchase count]]*Rules!$B$3</f>
        <v>657.40794871794878</v>
      </c>
      <c r="Y2421" t="str">
        <f>IF(Table1[[#This Row],[customer_subscription]]=1,"Subscribed","Not Subscribed")</f>
        <v>Not Subscribed</v>
      </c>
      <c r="Z2421" t="s">
        <v>187</v>
      </c>
    </row>
    <row r="2422" spans="1:26" x14ac:dyDescent="0.25">
      <c r="A2422">
        <v>2421</v>
      </c>
      <c r="B2422">
        <v>41</v>
      </c>
      <c r="C2422" t="s">
        <v>22</v>
      </c>
      <c r="D2422">
        <v>2421</v>
      </c>
      <c r="E2422" t="s">
        <v>105</v>
      </c>
      <c r="F2422" t="s">
        <v>66</v>
      </c>
      <c r="G2422">
        <v>2421</v>
      </c>
      <c r="H2422">
        <v>3104</v>
      </c>
      <c r="I2422">
        <v>87</v>
      </c>
      <c r="J2422" t="s">
        <v>101</v>
      </c>
      <c r="K2422" t="s">
        <v>39</v>
      </c>
      <c r="L2422" t="s">
        <v>99</v>
      </c>
      <c r="M2422" t="s">
        <v>28</v>
      </c>
      <c r="N2422">
        <v>4.2</v>
      </c>
      <c r="O2422">
        <v>0</v>
      </c>
      <c r="P2422" t="s">
        <v>41</v>
      </c>
      <c r="Q2422" t="s">
        <v>155</v>
      </c>
      <c r="R2422" t="s">
        <v>155</v>
      </c>
      <c r="S2422">
        <v>28</v>
      </c>
      <c r="T2422" t="s">
        <v>49</v>
      </c>
      <c r="U2422" t="s">
        <v>52</v>
      </c>
      <c r="V2422" s="1">
        <v>45302</v>
      </c>
      <c r="W2422">
        <f>Table1[[#This Row],[customer_purchase count]]+1</f>
        <v>29</v>
      </c>
      <c r="X2422">
        <f>Table1[[#This Row],[customer_purchase count]]*Rules!$B$3</f>
        <v>1673.4020512820514</v>
      </c>
      <c r="Y2422" t="str">
        <f>IF(Table1[[#This Row],[customer_subscription]]=1,"Subscribed","Not Subscribed")</f>
        <v>Not Subscribed</v>
      </c>
    </row>
    <row r="2423" spans="1:26" x14ac:dyDescent="0.25">
      <c r="A2423">
        <v>2422</v>
      </c>
      <c r="B2423">
        <v>37</v>
      </c>
      <c r="C2423" t="s">
        <v>22</v>
      </c>
      <c r="D2423">
        <v>2422</v>
      </c>
      <c r="E2423" t="s">
        <v>53</v>
      </c>
      <c r="F2423" t="s">
        <v>45</v>
      </c>
      <c r="G2423">
        <v>2422</v>
      </c>
      <c r="H2423">
        <v>3105</v>
      </c>
      <c r="I2423">
        <v>46</v>
      </c>
      <c r="J2423" t="s">
        <v>151</v>
      </c>
      <c r="K2423" t="s">
        <v>26</v>
      </c>
      <c r="L2423" t="s">
        <v>72</v>
      </c>
      <c r="M2423" t="s">
        <v>40</v>
      </c>
      <c r="N2423">
        <v>4.5999999999999996</v>
      </c>
      <c r="O2423">
        <v>0</v>
      </c>
      <c r="P2423" t="s">
        <v>57</v>
      </c>
      <c r="Q2423" t="s">
        <v>155</v>
      </c>
      <c r="R2423" t="s">
        <v>155</v>
      </c>
      <c r="S2423">
        <v>2</v>
      </c>
      <c r="T2423" t="s">
        <v>89</v>
      </c>
      <c r="U2423" t="s">
        <v>100</v>
      </c>
      <c r="V2423" s="1">
        <v>45398</v>
      </c>
      <c r="W2423">
        <f>Table1[[#This Row],[customer_purchase count]]+1</f>
        <v>3</v>
      </c>
      <c r="X2423">
        <f>Table1[[#This Row],[customer_purchase count]]*Rules!$B$3</f>
        <v>119.52871794871795</v>
      </c>
      <c r="Y2423" t="str">
        <f>IF(Table1[[#This Row],[customer_subscription]]=1,"Subscribed","Not Subscribed")</f>
        <v>Not Subscribed</v>
      </c>
      <c r="Z2423" t="s">
        <v>194</v>
      </c>
    </row>
    <row r="2424" spans="1:26" x14ac:dyDescent="0.25">
      <c r="A2424">
        <v>2423</v>
      </c>
      <c r="B2424">
        <v>30</v>
      </c>
      <c r="C2424" t="s">
        <v>22</v>
      </c>
      <c r="D2424">
        <v>2423</v>
      </c>
      <c r="E2424" t="s">
        <v>109</v>
      </c>
      <c r="F2424" t="s">
        <v>70</v>
      </c>
      <c r="G2424">
        <v>2423</v>
      </c>
      <c r="H2424">
        <v>3106</v>
      </c>
      <c r="I2424">
        <v>82</v>
      </c>
      <c r="J2424" t="s">
        <v>145</v>
      </c>
      <c r="K2424" t="s">
        <v>47</v>
      </c>
      <c r="L2424" t="s">
        <v>103</v>
      </c>
      <c r="M2424" t="s">
        <v>28</v>
      </c>
      <c r="N2424">
        <v>4.8</v>
      </c>
      <c r="O2424">
        <v>0</v>
      </c>
      <c r="P2424" t="s">
        <v>77</v>
      </c>
      <c r="Q2424" t="s">
        <v>155</v>
      </c>
      <c r="R2424" t="s">
        <v>155</v>
      </c>
      <c r="S2424">
        <v>45</v>
      </c>
      <c r="T2424" t="s">
        <v>42</v>
      </c>
      <c r="U2424" t="s">
        <v>43</v>
      </c>
      <c r="V2424" s="1">
        <v>45339</v>
      </c>
      <c r="W2424">
        <f>Table1[[#This Row],[customer_purchase count]]+1</f>
        <v>46</v>
      </c>
      <c r="X2424">
        <f>Table1[[#This Row],[customer_purchase count]]*Rules!$B$3</f>
        <v>2689.396153846154</v>
      </c>
      <c r="Y2424" t="str">
        <f>IF(Table1[[#This Row],[customer_subscription]]=1,"Subscribed","Not Subscribed")</f>
        <v>Not Subscribed</v>
      </c>
    </row>
    <row r="2425" spans="1:26" x14ac:dyDescent="0.25">
      <c r="A2425">
        <v>2424</v>
      </c>
      <c r="B2425">
        <v>49</v>
      </c>
      <c r="C2425" t="s">
        <v>22</v>
      </c>
      <c r="D2425">
        <v>2424</v>
      </c>
      <c r="E2425" t="s">
        <v>135</v>
      </c>
      <c r="F2425" t="s">
        <v>70</v>
      </c>
      <c r="G2425">
        <v>2424</v>
      </c>
      <c r="H2425">
        <v>3107</v>
      </c>
      <c r="I2425">
        <v>81</v>
      </c>
      <c r="J2425" t="s">
        <v>67</v>
      </c>
      <c r="K2425" t="s">
        <v>47</v>
      </c>
      <c r="L2425" t="s">
        <v>76</v>
      </c>
      <c r="M2425" t="s">
        <v>56</v>
      </c>
      <c r="N2425">
        <v>2.8</v>
      </c>
      <c r="O2425">
        <v>0</v>
      </c>
      <c r="P2425" t="s">
        <v>41</v>
      </c>
      <c r="Q2425" t="s">
        <v>155</v>
      </c>
      <c r="R2425" t="s">
        <v>155</v>
      </c>
      <c r="S2425">
        <v>7</v>
      </c>
      <c r="T2425" t="s">
        <v>42</v>
      </c>
      <c r="U2425" t="s">
        <v>100</v>
      </c>
      <c r="V2425" s="1">
        <v>45451</v>
      </c>
      <c r="W2425">
        <f>Table1[[#This Row],[customer_purchase count]]+1</f>
        <v>8</v>
      </c>
      <c r="X2425">
        <f>Table1[[#This Row],[customer_purchase count]]*Rules!$B$3</f>
        <v>418.35051282051285</v>
      </c>
      <c r="Y2425" t="str">
        <f>IF(Table1[[#This Row],[customer_subscription]]=1,"Subscribed","Not Subscribed")</f>
        <v>Not Subscribed</v>
      </c>
      <c r="Z2425" t="s">
        <v>194</v>
      </c>
    </row>
    <row r="2426" spans="1:26" x14ac:dyDescent="0.25">
      <c r="A2426">
        <v>2425</v>
      </c>
      <c r="B2426">
        <v>49</v>
      </c>
      <c r="C2426" t="s">
        <v>22</v>
      </c>
      <c r="D2426">
        <v>2425</v>
      </c>
      <c r="E2426" t="s">
        <v>109</v>
      </c>
      <c r="F2426" t="s">
        <v>70</v>
      </c>
      <c r="G2426">
        <v>2425</v>
      </c>
      <c r="H2426">
        <v>3109</v>
      </c>
      <c r="I2426">
        <v>57</v>
      </c>
      <c r="J2426" t="s">
        <v>82</v>
      </c>
      <c r="K2426" t="s">
        <v>47</v>
      </c>
      <c r="L2426" t="s">
        <v>103</v>
      </c>
      <c r="M2426" t="s">
        <v>28</v>
      </c>
      <c r="N2426">
        <v>4.5</v>
      </c>
      <c r="O2426">
        <v>0</v>
      </c>
      <c r="P2426" t="s">
        <v>48</v>
      </c>
      <c r="Q2426" t="s">
        <v>155</v>
      </c>
      <c r="R2426" t="s">
        <v>155</v>
      </c>
      <c r="S2426">
        <v>28</v>
      </c>
      <c r="T2426" t="s">
        <v>78</v>
      </c>
      <c r="U2426" t="s">
        <v>79</v>
      </c>
      <c r="V2426" s="1">
        <v>45329</v>
      </c>
      <c r="W2426">
        <f>Table1[[#This Row],[customer_purchase count]]+1</f>
        <v>29</v>
      </c>
      <c r="X2426">
        <f>Table1[[#This Row],[customer_purchase count]]*Rules!$B$3</f>
        <v>1673.4020512820514</v>
      </c>
      <c r="Y2426" t="str">
        <f>IF(Table1[[#This Row],[customer_subscription]]=1,"Subscribed","Not Subscribed")</f>
        <v>Not Subscribed</v>
      </c>
    </row>
    <row r="2427" spans="1:26" x14ac:dyDescent="0.25">
      <c r="A2427">
        <v>2426</v>
      </c>
      <c r="B2427">
        <v>58</v>
      </c>
      <c r="C2427" t="s">
        <v>22</v>
      </c>
      <c r="D2427">
        <v>2426</v>
      </c>
      <c r="E2427" t="s">
        <v>74</v>
      </c>
      <c r="F2427" t="s">
        <v>45</v>
      </c>
      <c r="G2427">
        <v>2426</v>
      </c>
      <c r="H2427">
        <v>3110</v>
      </c>
      <c r="I2427">
        <v>49</v>
      </c>
      <c r="J2427" t="s">
        <v>117</v>
      </c>
      <c r="K2427" t="s">
        <v>39</v>
      </c>
      <c r="L2427" t="s">
        <v>81</v>
      </c>
      <c r="M2427" t="s">
        <v>56</v>
      </c>
      <c r="N2427">
        <v>3</v>
      </c>
      <c r="O2427">
        <v>0</v>
      </c>
      <c r="P2427" t="s">
        <v>73</v>
      </c>
      <c r="Q2427" t="s">
        <v>155</v>
      </c>
      <c r="R2427" t="s">
        <v>155</v>
      </c>
      <c r="S2427">
        <v>34</v>
      </c>
      <c r="T2427" t="s">
        <v>78</v>
      </c>
      <c r="U2427" t="s">
        <v>61</v>
      </c>
      <c r="V2427" s="1">
        <v>45478</v>
      </c>
      <c r="W2427">
        <f>Table1[[#This Row],[customer_purchase count]]+1</f>
        <v>35</v>
      </c>
      <c r="X2427">
        <f>Table1[[#This Row],[customer_purchase count]]*Rules!$B$3</f>
        <v>2031.9882051282052</v>
      </c>
      <c r="Y2427" t="str">
        <f>IF(Table1[[#This Row],[customer_subscription]]=1,"Subscribed","Not Subscribed")</f>
        <v>Not Subscribed</v>
      </c>
    </row>
    <row r="2428" spans="1:26" x14ac:dyDescent="0.25">
      <c r="A2428">
        <v>2427</v>
      </c>
      <c r="B2428">
        <v>70</v>
      </c>
      <c r="C2428" t="s">
        <v>22</v>
      </c>
      <c r="D2428">
        <v>2427</v>
      </c>
      <c r="E2428" t="s">
        <v>105</v>
      </c>
      <c r="F2428" t="s">
        <v>66</v>
      </c>
      <c r="G2428">
        <v>2427</v>
      </c>
      <c r="H2428">
        <v>3111</v>
      </c>
      <c r="I2428">
        <v>42</v>
      </c>
      <c r="J2428" t="s">
        <v>106</v>
      </c>
      <c r="K2428" t="s">
        <v>47</v>
      </c>
      <c r="L2428" t="s">
        <v>81</v>
      </c>
      <c r="M2428" t="s">
        <v>60</v>
      </c>
      <c r="N2428">
        <v>4.5999999999999996</v>
      </c>
      <c r="O2428">
        <v>0</v>
      </c>
      <c r="P2428" t="s">
        <v>41</v>
      </c>
      <c r="Q2428" t="s">
        <v>155</v>
      </c>
      <c r="R2428" t="s">
        <v>155</v>
      </c>
      <c r="S2428">
        <v>26</v>
      </c>
      <c r="T2428" t="s">
        <v>89</v>
      </c>
      <c r="U2428" t="s">
        <v>100</v>
      </c>
      <c r="V2428" s="1">
        <v>45537</v>
      </c>
      <c r="W2428">
        <f>Table1[[#This Row],[customer_purchase count]]+1</f>
        <v>27</v>
      </c>
      <c r="X2428">
        <f>Table1[[#This Row],[customer_purchase count]]*Rules!$B$3</f>
        <v>1553.8733333333334</v>
      </c>
      <c r="Y2428" t="str">
        <f>IF(Table1[[#This Row],[customer_subscription]]=1,"Subscribed","Not Subscribed")</f>
        <v>Not Subscribed</v>
      </c>
    </row>
    <row r="2429" spans="1:26" x14ac:dyDescent="0.25">
      <c r="A2429">
        <v>2428</v>
      </c>
      <c r="B2429">
        <v>27</v>
      </c>
      <c r="C2429" t="s">
        <v>22</v>
      </c>
      <c r="D2429">
        <v>2428</v>
      </c>
      <c r="E2429" t="s">
        <v>105</v>
      </c>
      <c r="F2429" t="s">
        <v>66</v>
      </c>
      <c r="G2429">
        <v>2428</v>
      </c>
      <c r="H2429">
        <v>3112</v>
      </c>
      <c r="I2429">
        <v>26</v>
      </c>
      <c r="J2429" t="s">
        <v>50</v>
      </c>
      <c r="K2429" t="s">
        <v>47</v>
      </c>
      <c r="L2429" t="s">
        <v>76</v>
      </c>
      <c r="M2429" t="s">
        <v>40</v>
      </c>
      <c r="N2429">
        <v>3.3</v>
      </c>
      <c r="O2429">
        <v>0</v>
      </c>
      <c r="P2429" t="s">
        <v>57</v>
      </c>
      <c r="Q2429" t="s">
        <v>155</v>
      </c>
      <c r="R2429" t="s">
        <v>155</v>
      </c>
      <c r="S2429">
        <v>45</v>
      </c>
      <c r="T2429" t="s">
        <v>36</v>
      </c>
      <c r="U2429" t="s">
        <v>61</v>
      </c>
      <c r="V2429" s="1">
        <v>45434</v>
      </c>
      <c r="W2429">
        <f>Table1[[#This Row],[customer_purchase count]]+1</f>
        <v>46</v>
      </c>
      <c r="X2429">
        <f>Table1[[#This Row],[customer_purchase count]]*Rules!$B$3</f>
        <v>2689.396153846154</v>
      </c>
      <c r="Y2429" t="str">
        <f>IF(Table1[[#This Row],[customer_subscription]]=1,"Subscribed","Not Subscribed")</f>
        <v>Not Subscribed</v>
      </c>
    </row>
    <row r="2430" spans="1:26" x14ac:dyDescent="0.25">
      <c r="A2430">
        <v>2429</v>
      </c>
      <c r="B2430">
        <v>65</v>
      </c>
      <c r="C2430" t="s">
        <v>22</v>
      </c>
      <c r="D2430">
        <v>2429</v>
      </c>
      <c r="E2430" t="s">
        <v>116</v>
      </c>
      <c r="F2430" t="s">
        <v>24</v>
      </c>
      <c r="G2430">
        <v>2429</v>
      </c>
      <c r="H2430">
        <v>3113</v>
      </c>
      <c r="I2430">
        <v>38</v>
      </c>
      <c r="J2430" t="s">
        <v>138</v>
      </c>
      <c r="K2430" t="s">
        <v>47</v>
      </c>
      <c r="L2430" t="s">
        <v>86</v>
      </c>
      <c r="M2430" t="s">
        <v>40</v>
      </c>
      <c r="N2430">
        <v>4.4000000000000004</v>
      </c>
      <c r="O2430">
        <v>0</v>
      </c>
      <c r="P2430" t="s">
        <v>48</v>
      </c>
      <c r="Q2430" t="s">
        <v>155</v>
      </c>
      <c r="R2430" t="s">
        <v>155</v>
      </c>
      <c r="S2430">
        <v>34</v>
      </c>
      <c r="T2430" t="s">
        <v>89</v>
      </c>
      <c r="U2430" t="s">
        <v>52</v>
      </c>
      <c r="V2430" s="1">
        <v>45440</v>
      </c>
      <c r="W2430">
        <f>Table1[[#This Row],[customer_purchase count]]+1</f>
        <v>35</v>
      </c>
      <c r="X2430">
        <f>Table1[[#This Row],[customer_purchase count]]*Rules!$B$3</f>
        <v>2031.9882051282052</v>
      </c>
      <c r="Y2430" t="str">
        <f>IF(Table1[[#This Row],[customer_subscription]]=1,"Subscribed","Not Subscribed")</f>
        <v>Not Subscribed</v>
      </c>
    </row>
    <row r="2431" spans="1:26" x14ac:dyDescent="0.25">
      <c r="A2431">
        <v>2430</v>
      </c>
      <c r="B2431">
        <v>57</v>
      </c>
      <c r="C2431" t="s">
        <v>22</v>
      </c>
      <c r="D2431">
        <v>2430</v>
      </c>
      <c r="E2431" t="s">
        <v>53</v>
      </c>
      <c r="F2431" t="s">
        <v>45</v>
      </c>
      <c r="G2431">
        <v>2430</v>
      </c>
      <c r="H2431">
        <v>3115</v>
      </c>
      <c r="I2431">
        <v>57</v>
      </c>
      <c r="J2431" t="s">
        <v>144</v>
      </c>
      <c r="K2431" t="s">
        <v>95</v>
      </c>
      <c r="L2431" t="s">
        <v>35</v>
      </c>
      <c r="M2431" t="s">
        <v>56</v>
      </c>
      <c r="N2431">
        <v>4.4000000000000004</v>
      </c>
      <c r="O2431">
        <v>0</v>
      </c>
      <c r="P2431" t="s">
        <v>57</v>
      </c>
      <c r="Q2431" t="s">
        <v>155</v>
      </c>
      <c r="R2431" t="s">
        <v>155</v>
      </c>
      <c r="S2431">
        <v>47</v>
      </c>
      <c r="T2431" t="s">
        <v>42</v>
      </c>
      <c r="U2431" t="s">
        <v>32</v>
      </c>
      <c r="V2431" s="1">
        <v>45457</v>
      </c>
      <c r="W2431">
        <f>Table1[[#This Row],[customer_purchase count]]+1</f>
        <v>48</v>
      </c>
      <c r="X2431">
        <f>Table1[[#This Row],[customer_purchase count]]*Rules!$B$3</f>
        <v>2808.9248717948717</v>
      </c>
      <c r="Y2431" t="str">
        <f>IF(Table1[[#This Row],[customer_subscription]]=1,"Subscribed","Not Subscribed")</f>
        <v>Not Subscribed</v>
      </c>
    </row>
    <row r="2432" spans="1:26" x14ac:dyDescent="0.25">
      <c r="A2432">
        <v>2431</v>
      </c>
      <c r="B2432">
        <v>20</v>
      </c>
      <c r="C2432" t="s">
        <v>22</v>
      </c>
      <c r="D2432">
        <v>2431</v>
      </c>
      <c r="E2432" t="s">
        <v>105</v>
      </c>
      <c r="F2432" t="s">
        <v>66</v>
      </c>
      <c r="G2432">
        <v>2431</v>
      </c>
      <c r="H2432">
        <v>3116</v>
      </c>
      <c r="I2432">
        <v>100</v>
      </c>
      <c r="J2432" t="s">
        <v>117</v>
      </c>
      <c r="K2432" t="s">
        <v>95</v>
      </c>
      <c r="L2432" t="s">
        <v>55</v>
      </c>
      <c r="M2432" t="s">
        <v>56</v>
      </c>
      <c r="N2432">
        <v>4.3</v>
      </c>
      <c r="O2432">
        <v>0</v>
      </c>
      <c r="P2432" t="s">
        <v>29</v>
      </c>
      <c r="Q2432" t="s">
        <v>155</v>
      </c>
      <c r="R2432" t="s">
        <v>155</v>
      </c>
      <c r="S2432">
        <v>42</v>
      </c>
      <c r="T2432" t="s">
        <v>36</v>
      </c>
      <c r="U2432" t="s">
        <v>61</v>
      </c>
      <c r="V2432" s="1">
        <v>45496</v>
      </c>
      <c r="W2432">
        <f>Table1[[#This Row],[customer_purchase count]]+1</f>
        <v>43</v>
      </c>
      <c r="X2432">
        <f>Table1[[#This Row],[customer_purchase count]]*Rules!$B$3</f>
        <v>2510.103076923077</v>
      </c>
      <c r="Y2432" t="str">
        <f>IF(Table1[[#This Row],[customer_subscription]]=1,"Subscribed","Not Subscribed")</f>
        <v>Not Subscribed</v>
      </c>
    </row>
    <row r="2433" spans="1:26" x14ac:dyDescent="0.25">
      <c r="A2433">
        <v>2432</v>
      </c>
      <c r="B2433">
        <v>34</v>
      </c>
      <c r="C2433" t="s">
        <v>22</v>
      </c>
      <c r="D2433">
        <v>2432</v>
      </c>
      <c r="E2433" t="s">
        <v>107</v>
      </c>
      <c r="F2433" t="s">
        <v>24</v>
      </c>
      <c r="G2433">
        <v>2432</v>
      </c>
      <c r="H2433">
        <v>3117</v>
      </c>
      <c r="I2433">
        <v>73</v>
      </c>
      <c r="J2433" t="s">
        <v>93</v>
      </c>
      <c r="K2433" t="s">
        <v>39</v>
      </c>
      <c r="L2433" t="s">
        <v>81</v>
      </c>
      <c r="M2433" t="s">
        <v>60</v>
      </c>
      <c r="N2433">
        <v>3.4</v>
      </c>
      <c r="O2433">
        <v>0</v>
      </c>
      <c r="P2433" t="s">
        <v>29</v>
      </c>
      <c r="Q2433" t="s">
        <v>155</v>
      </c>
      <c r="R2433" t="s">
        <v>155</v>
      </c>
      <c r="S2433">
        <v>27</v>
      </c>
      <c r="T2433" t="s">
        <v>78</v>
      </c>
      <c r="U2433" t="s">
        <v>100</v>
      </c>
      <c r="V2433" s="1">
        <v>45551</v>
      </c>
      <c r="W2433">
        <f>Table1[[#This Row],[customer_purchase count]]+1</f>
        <v>28</v>
      </c>
      <c r="X2433">
        <f>Table1[[#This Row],[customer_purchase count]]*Rules!$B$3</f>
        <v>1613.6376923076923</v>
      </c>
      <c r="Y2433" t="str">
        <f>IF(Table1[[#This Row],[customer_subscription]]=1,"Subscribed","Not Subscribed")</f>
        <v>Not Subscribed</v>
      </c>
    </row>
    <row r="2434" spans="1:26" x14ac:dyDescent="0.25">
      <c r="A2434">
        <v>2433</v>
      </c>
      <c r="B2434">
        <v>59</v>
      </c>
      <c r="C2434" t="s">
        <v>22</v>
      </c>
      <c r="D2434">
        <v>2433</v>
      </c>
      <c r="E2434" t="s">
        <v>105</v>
      </c>
      <c r="F2434" t="s">
        <v>66</v>
      </c>
      <c r="G2434">
        <v>2433</v>
      </c>
      <c r="H2434">
        <v>3118</v>
      </c>
      <c r="I2434">
        <v>66</v>
      </c>
      <c r="J2434" t="s">
        <v>80</v>
      </c>
      <c r="K2434" t="s">
        <v>47</v>
      </c>
      <c r="L2434" t="s">
        <v>103</v>
      </c>
      <c r="M2434" t="s">
        <v>28</v>
      </c>
      <c r="N2434">
        <v>2.8</v>
      </c>
      <c r="O2434">
        <v>0</v>
      </c>
      <c r="P2434" t="s">
        <v>77</v>
      </c>
      <c r="Q2434" t="s">
        <v>155</v>
      </c>
      <c r="R2434" t="s">
        <v>155</v>
      </c>
      <c r="S2434">
        <v>43</v>
      </c>
      <c r="T2434" t="s">
        <v>31</v>
      </c>
      <c r="U2434" t="s">
        <v>91</v>
      </c>
      <c r="V2434" s="1">
        <v>45330</v>
      </c>
      <c r="W2434">
        <f>Table1[[#This Row],[customer_purchase count]]+1</f>
        <v>44</v>
      </c>
      <c r="X2434">
        <f>Table1[[#This Row],[customer_purchase count]]*Rules!$B$3</f>
        <v>2569.8674358974358</v>
      </c>
      <c r="Y2434" t="str">
        <f>IF(Table1[[#This Row],[customer_subscription]]=1,"Subscribed","Not Subscribed")</f>
        <v>Not Subscribed</v>
      </c>
    </row>
    <row r="2435" spans="1:26" x14ac:dyDescent="0.25">
      <c r="A2435">
        <v>2434</v>
      </c>
      <c r="B2435">
        <v>54</v>
      </c>
      <c r="C2435" t="s">
        <v>22</v>
      </c>
      <c r="D2435">
        <v>2434</v>
      </c>
      <c r="E2435" t="s">
        <v>116</v>
      </c>
      <c r="F2435" t="s">
        <v>24</v>
      </c>
      <c r="G2435">
        <v>2434</v>
      </c>
      <c r="H2435">
        <v>3119</v>
      </c>
      <c r="I2435">
        <v>73</v>
      </c>
      <c r="J2435" t="s">
        <v>50</v>
      </c>
      <c r="K2435" t="s">
        <v>47</v>
      </c>
      <c r="L2435" t="s">
        <v>147</v>
      </c>
      <c r="M2435" t="s">
        <v>40</v>
      </c>
      <c r="N2435">
        <v>3.4</v>
      </c>
      <c r="O2435">
        <v>0</v>
      </c>
      <c r="P2435" t="s">
        <v>57</v>
      </c>
      <c r="Q2435" t="s">
        <v>155</v>
      </c>
      <c r="R2435" t="s">
        <v>155</v>
      </c>
      <c r="S2435">
        <v>16</v>
      </c>
      <c r="T2435" t="s">
        <v>36</v>
      </c>
      <c r="U2435" t="s">
        <v>79</v>
      </c>
      <c r="V2435" s="1">
        <v>45396</v>
      </c>
      <c r="W2435">
        <f>Table1[[#This Row],[customer_purchase count]]+1</f>
        <v>17</v>
      </c>
      <c r="X2435">
        <f>Table1[[#This Row],[customer_purchase count]]*Rules!$B$3</f>
        <v>956.22974358974363</v>
      </c>
      <c r="Y2435" t="str">
        <f>IF(Table1[[#This Row],[customer_subscription]]=1,"Subscribed","Not Subscribed")</f>
        <v>Not Subscribed</v>
      </c>
      <c r="Z2435" t="s">
        <v>194</v>
      </c>
    </row>
    <row r="2436" spans="1:26" x14ac:dyDescent="0.25">
      <c r="A2436">
        <v>2435</v>
      </c>
      <c r="B2436">
        <v>36</v>
      </c>
      <c r="C2436" t="s">
        <v>22</v>
      </c>
      <c r="D2436">
        <v>2435</v>
      </c>
      <c r="E2436" t="s">
        <v>146</v>
      </c>
      <c r="F2436" t="s">
        <v>70</v>
      </c>
      <c r="G2436">
        <v>2435</v>
      </c>
      <c r="H2436">
        <v>3121</v>
      </c>
      <c r="I2436">
        <v>45</v>
      </c>
      <c r="J2436" t="s">
        <v>143</v>
      </c>
      <c r="K2436" t="s">
        <v>47</v>
      </c>
      <c r="L2436" t="s">
        <v>113</v>
      </c>
      <c r="M2436" t="s">
        <v>40</v>
      </c>
      <c r="N2436">
        <v>5</v>
      </c>
      <c r="O2436">
        <v>0</v>
      </c>
      <c r="P2436" t="s">
        <v>77</v>
      </c>
      <c r="Q2436" t="s">
        <v>155</v>
      </c>
      <c r="R2436" t="s">
        <v>155</v>
      </c>
      <c r="S2436">
        <v>40</v>
      </c>
      <c r="T2436" t="s">
        <v>42</v>
      </c>
      <c r="U2436" t="s">
        <v>91</v>
      </c>
      <c r="V2436" s="1">
        <v>45410</v>
      </c>
      <c r="W2436">
        <f>Table1[[#This Row],[customer_purchase count]]+1</f>
        <v>41</v>
      </c>
      <c r="X2436">
        <f>Table1[[#This Row],[customer_purchase count]]*Rules!$B$3</f>
        <v>2390.5743589743593</v>
      </c>
      <c r="Y2436" t="str">
        <f>IF(Table1[[#This Row],[customer_subscription]]=1,"Subscribed","Not Subscribed")</f>
        <v>Not Subscribed</v>
      </c>
    </row>
    <row r="2437" spans="1:26" x14ac:dyDescent="0.25">
      <c r="A2437">
        <v>2436</v>
      </c>
      <c r="B2437">
        <v>21</v>
      </c>
      <c r="C2437" t="s">
        <v>22</v>
      </c>
      <c r="D2437">
        <v>2436</v>
      </c>
      <c r="E2437" t="s">
        <v>53</v>
      </c>
      <c r="F2437" t="s">
        <v>45</v>
      </c>
      <c r="G2437">
        <v>2436</v>
      </c>
      <c r="H2437">
        <v>3122</v>
      </c>
      <c r="I2437">
        <v>27</v>
      </c>
      <c r="J2437" t="s">
        <v>80</v>
      </c>
      <c r="K2437" t="s">
        <v>39</v>
      </c>
      <c r="L2437" t="s">
        <v>97</v>
      </c>
      <c r="M2437" t="s">
        <v>60</v>
      </c>
      <c r="N2437">
        <v>4.5</v>
      </c>
      <c r="O2437">
        <v>0</v>
      </c>
      <c r="P2437" t="s">
        <v>41</v>
      </c>
      <c r="Q2437" t="s">
        <v>155</v>
      </c>
      <c r="R2437" t="s">
        <v>155</v>
      </c>
      <c r="S2437">
        <v>29</v>
      </c>
      <c r="T2437" t="s">
        <v>36</v>
      </c>
      <c r="U2437" t="s">
        <v>79</v>
      </c>
      <c r="V2437" s="1">
        <v>45538</v>
      </c>
      <c r="W2437">
        <f>Table1[[#This Row],[customer_purchase count]]+1</f>
        <v>30</v>
      </c>
      <c r="X2437">
        <f>Table1[[#This Row],[customer_purchase count]]*Rules!$B$3</f>
        <v>1733.1664102564102</v>
      </c>
      <c r="Y2437" t="str">
        <f>IF(Table1[[#This Row],[customer_subscription]]=1,"Subscribed","Not Subscribed")</f>
        <v>Not Subscribed</v>
      </c>
    </row>
    <row r="2438" spans="1:26" x14ac:dyDescent="0.25">
      <c r="A2438">
        <v>2437</v>
      </c>
      <c r="B2438">
        <v>52</v>
      </c>
      <c r="C2438" t="s">
        <v>22</v>
      </c>
      <c r="D2438">
        <v>2437</v>
      </c>
      <c r="E2438" t="s">
        <v>116</v>
      </c>
      <c r="F2438" t="s">
        <v>24</v>
      </c>
      <c r="G2438">
        <v>2437</v>
      </c>
      <c r="H2438">
        <v>3123</v>
      </c>
      <c r="I2438">
        <v>24</v>
      </c>
      <c r="J2438" t="s">
        <v>142</v>
      </c>
      <c r="K2438" t="s">
        <v>47</v>
      </c>
      <c r="L2438" t="s">
        <v>137</v>
      </c>
      <c r="M2438" t="s">
        <v>60</v>
      </c>
      <c r="N2438">
        <v>2.7</v>
      </c>
      <c r="O2438">
        <v>0</v>
      </c>
      <c r="P2438" t="s">
        <v>77</v>
      </c>
      <c r="Q2438" t="s">
        <v>155</v>
      </c>
      <c r="R2438" t="s">
        <v>155</v>
      </c>
      <c r="S2438">
        <v>38</v>
      </c>
      <c r="T2438" t="s">
        <v>42</v>
      </c>
      <c r="U2438" t="s">
        <v>61</v>
      </c>
      <c r="V2438" s="1">
        <v>45575</v>
      </c>
      <c r="W2438">
        <f>Table1[[#This Row],[customer_purchase count]]+1</f>
        <v>39</v>
      </c>
      <c r="X2438">
        <f>Table1[[#This Row],[customer_purchase count]]*Rules!$B$3</f>
        <v>2271.0456410256411</v>
      </c>
      <c r="Y2438" t="str">
        <f>IF(Table1[[#This Row],[customer_subscription]]=1,"Subscribed","Not Subscribed")</f>
        <v>Not Subscribed</v>
      </c>
    </row>
    <row r="2439" spans="1:26" x14ac:dyDescent="0.25">
      <c r="A2439">
        <v>2438</v>
      </c>
      <c r="B2439">
        <v>43</v>
      </c>
      <c r="C2439" t="s">
        <v>22</v>
      </c>
      <c r="D2439">
        <v>2438</v>
      </c>
      <c r="E2439" t="s">
        <v>53</v>
      </c>
      <c r="F2439" t="s">
        <v>45</v>
      </c>
      <c r="G2439">
        <v>2438</v>
      </c>
      <c r="H2439">
        <v>3124</v>
      </c>
      <c r="I2439">
        <v>59</v>
      </c>
      <c r="J2439" t="s">
        <v>54</v>
      </c>
      <c r="K2439" t="s">
        <v>95</v>
      </c>
      <c r="L2439" t="s">
        <v>139</v>
      </c>
      <c r="M2439" t="s">
        <v>28</v>
      </c>
      <c r="N2439">
        <v>3.4</v>
      </c>
      <c r="O2439">
        <v>0</v>
      </c>
      <c r="P2439" t="s">
        <v>77</v>
      </c>
      <c r="Q2439" t="s">
        <v>155</v>
      </c>
      <c r="R2439" t="s">
        <v>155</v>
      </c>
      <c r="S2439">
        <v>34</v>
      </c>
      <c r="T2439" t="s">
        <v>42</v>
      </c>
      <c r="U2439" t="s">
        <v>43</v>
      </c>
      <c r="V2439" s="1">
        <v>45316</v>
      </c>
      <c r="W2439">
        <f>Table1[[#This Row],[customer_purchase count]]+1</f>
        <v>35</v>
      </c>
      <c r="X2439">
        <f>Table1[[#This Row],[customer_purchase count]]*Rules!$B$3</f>
        <v>2031.9882051282052</v>
      </c>
      <c r="Y2439" t="str">
        <f>IF(Table1[[#This Row],[customer_subscription]]=1,"Subscribed","Not Subscribed")</f>
        <v>Not Subscribed</v>
      </c>
    </row>
    <row r="2440" spans="1:26" x14ac:dyDescent="0.25">
      <c r="A2440">
        <v>2439</v>
      </c>
      <c r="B2440">
        <v>32</v>
      </c>
      <c r="C2440" t="s">
        <v>22</v>
      </c>
      <c r="D2440">
        <v>2439</v>
      </c>
      <c r="E2440" t="s">
        <v>37</v>
      </c>
      <c r="F2440" t="s">
        <v>24</v>
      </c>
      <c r="G2440">
        <v>2439</v>
      </c>
      <c r="H2440">
        <v>3125</v>
      </c>
      <c r="I2440">
        <v>20</v>
      </c>
      <c r="J2440" t="s">
        <v>82</v>
      </c>
      <c r="K2440" t="s">
        <v>39</v>
      </c>
      <c r="L2440" t="s">
        <v>112</v>
      </c>
      <c r="M2440" t="s">
        <v>28</v>
      </c>
      <c r="N2440">
        <v>3.4</v>
      </c>
      <c r="O2440">
        <v>0</v>
      </c>
      <c r="P2440" t="s">
        <v>29</v>
      </c>
      <c r="Q2440" t="s">
        <v>155</v>
      </c>
      <c r="R2440" t="s">
        <v>155</v>
      </c>
      <c r="S2440">
        <v>30</v>
      </c>
      <c r="T2440" t="s">
        <v>31</v>
      </c>
      <c r="U2440" t="s">
        <v>43</v>
      </c>
      <c r="V2440" s="1">
        <v>45330</v>
      </c>
      <c r="W2440">
        <f>Table1[[#This Row],[customer_purchase count]]+1</f>
        <v>31</v>
      </c>
      <c r="X2440">
        <f>Table1[[#This Row],[customer_purchase count]]*Rules!$B$3</f>
        <v>1792.9307692307693</v>
      </c>
      <c r="Y2440" t="str">
        <f>IF(Table1[[#This Row],[customer_subscription]]=1,"Subscribed","Not Subscribed")</f>
        <v>Not Subscribed</v>
      </c>
    </row>
    <row r="2441" spans="1:26" x14ac:dyDescent="0.25">
      <c r="A2441">
        <v>2440</v>
      </c>
      <c r="B2441">
        <v>55</v>
      </c>
      <c r="C2441" t="s">
        <v>22</v>
      </c>
      <c r="D2441">
        <v>2440</v>
      </c>
      <c r="E2441" t="s">
        <v>69</v>
      </c>
      <c r="F2441" t="s">
        <v>70</v>
      </c>
      <c r="G2441">
        <v>2440</v>
      </c>
      <c r="H2441">
        <v>3127</v>
      </c>
      <c r="I2441">
        <v>44</v>
      </c>
      <c r="J2441" t="s">
        <v>75</v>
      </c>
      <c r="K2441" t="s">
        <v>47</v>
      </c>
      <c r="L2441" t="s">
        <v>35</v>
      </c>
      <c r="M2441" t="s">
        <v>56</v>
      </c>
      <c r="N2441">
        <v>2.8</v>
      </c>
      <c r="O2441">
        <v>0</v>
      </c>
      <c r="P2441" t="s">
        <v>57</v>
      </c>
      <c r="Q2441" t="s">
        <v>155</v>
      </c>
      <c r="R2441" t="s">
        <v>155</v>
      </c>
      <c r="S2441">
        <v>45</v>
      </c>
      <c r="T2441" t="s">
        <v>78</v>
      </c>
      <c r="U2441" t="s">
        <v>52</v>
      </c>
      <c r="V2441" s="1">
        <v>45482</v>
      </c>
      <c r="W2441">
        <f>Table1[[#This Row],[customer_purchase count]]+1</f>
        <v>46</v>
      </c>
      <c r="X2441">
        <f>Table1[[#This Row],[customer_purchase count]]*Rules!$B$3</f>
        <v>2689.396153846154</v>
      </c>
      <c r="Y2441" t="str">
        <f>IF(Table1[[#This Row],[customer_subscription]]=1,"Subscribed","Not Subscribed")</f>
        <v>Not Subscribed</v>
      </c>
    </row>
    <row r="2442" spans="1:26" x14ac:dyDescent="0.25">
      <c r="A2442">
        <v>2441</v>
      </c>
      <c r="B2442">
        <v>31</v>
      </c>
      <c r="C2442" t="s">
        <v>22</v>
      </c>
      <c r="D2442">
        <v>2441</v>
      </c>
      <c r="E2442" t="s">
        <v>128</v>
      </c>
      <c r="F2442" t="s">
        <v>24</v>
      </c>
      <c r="G2442">
        <v>2441</v>
      </c>
      <c r="H2442">
        <v>3128</v>
      </c>
      <c r="I2442">
        <v>90</v>
      </c>
      <c r="J2442" t="s">
        <v>119</v>
      </c>
      <c r="K2442" t="s">
        <v>47</v>
      </c>
      <c r="L2442" t="s">
        <v>111</v>
      </c>
      <c r="M2442" t="s">
        <v>40</v>
      </c>
      <c r="N2442">
        <v>4.7</v>
      </c>
      <c r="O2442">
        <v>0</v>
      </c>
      <c r="P2442" t="s">
        <v>57</v>
      </c>
      <c r="Q2442" t="s">
        <v>155</v>
      </c>
      <c r="R2442" t="s">
        <v>155</v>
      </c>
      <c r="S2442">
        <v>47</v>
      </c>
      <c r="T2442" t="s">
        <v>78</v>
      </c>
      <c r="U2442" t="s">
        <v>52</v>
      </c>
      <c r="V2442" s="1">
        <v>45365</v>
      </c>
      <c r="W2442">
        <f>Table1[[#This Row],[customer_purchase count]]+1</f>
        <v>48</v>
      </c>
      <c r="X2442">
        <f>Table1[[#This Row],[customer_purchase count]]*Rules!$B$3</f>
        <v>2808.9248717948717</v>
      </c>
      <c r="Y2442" t="str">
        <f>IF(Table1[[#This Row],[customer_subscription]]=1,"Subscribed","Not Subscribed")</f>
        <v>Not Subscribed</v>
      </c>
    </row>
    <row r="2443" spans="1:26" x14ac:dyDescent="0.25">
      <c r="A2443">
        <v>2442</v>
      </c>
      <c r="B2443">
        <v>45</v>
      </c>
      <c r="C2443" t="s">
        <v>22</v>
      </c>
      <c r="D2443">
        <v>2442</v>
      </c>
      <c r="E2443" t="s">
        <v>109</v>
      </c>
      <c r="F2443" t="s">
        <v>70</v>
      </c>
      <c r="G2443">
        <v>2442</v>
      </c>
      <c r="H2443">
        <v>3129</v>
      </c>
      <c r="I2443">
        <v>36</v>
      </c>
      <c r="J2443" t="s">
        <v>102</v>
      </c>
      <c r="K2443" t="s">
        <v>47</v>
      </c>
      <c r="L2443" t="s">
        <v>97</v>
      </c>
      <c r="M2443" t="s">
        <v>60</v>
      </c>
      <c r="N2443">
        <v>4.7</v>
      </c>
      <c r="O2443">
        <v>0</v>
      </c>
      <c r="P2443" t="s">
        <v>41</v>
      </c>
      <c r="Q2443" t="s">
        <v>155</v>
      </c>
      <c r="R2443" t="s">
        <v>155</v>
      </c>
      <c r="S2443">
        <v>5</v>
      </c>
      <c r="T2443" t="s">
        <v>42</v>
      </c>
      <c r="U2443" t="s">
        <v>91</v>
      </c>
      <c r="V2443" s="1">
        <v>45575</v>
      </c>
      <c r="W2443">
        <f>Table1[[#This Row],[customer_purchase count]]+1</f>
        <v>6</v>
      </c>
      <c r="X2443">
        <f>Table1[[#This Row],[customer_purchase count]]*Rules!$B$3</f>
        <v>298.82179487179491</v>
      </c>
      <c r="Y2443" t="str">
        <f>IF(Table1[[#This Row],[customer_subscription]]=1,"Subscribed","Not Subscribed")</f>
        <v>Not Subscribed</v>
      </c>
      <c r="Z2443" t="s">
        <v>194</v>
      </c>
    </row>
    <row r="2444" spans="1:26" x14ac:dyDescent="0.25">
      <c r="A2444">
        <v>2443</v>
      </c>
      <c r="B2444">
        <v>53</v>
      </c>
      <c r="C2444" t="s">
        <v>22</v>
      </c>
      <c r="D2444">
        <v>2443</v>
      </c>
      <c r="E2444" t="s">
        <v>23</v>
      </c>
      <c r="F2444" t="s">
        <v>24</v>
      </c>
      <c r="G2444">
        <v>2443</v>
      </c>
      <c r="H2444">
        <v>3130</v>
      </c>
      <c r="I2444">
        <v>95</v>
      </c>
      <c r="J2444" t="s">
        <v>54</v>
      </c>
      <c r="K2444" t="s">
        <v>26</v>
      </c>
      <c r="L2444" t="s">
        <v>86</v>
      </c>
      <c r="M2444" t="s">
        <v>28</v>
      </c>
      <c r="N2444">
        <v>4.7</v>
      </c>
      <c r="O2444">
        <v>0</v>
      </c>
      <c r="P2444" t="s">
        <v>41</v>
      </c>
      <c r="Q2444" t="s">
        <v>155</v>
      </c>
      <c r="R2444" t="s">
        <v>155</v>
      </c>
      <c r="S2444">
        <v>50</v>
      </c>
      <c r="T2444" t="s">
        <v>89</v>
      </c>
      <c r="U2444" t="s">
        <v>79</v>
      </c>
      <c r="V2444" s="1">
        <v>45334</v>
      </c>
      <c r="W2444">
        <f>Table1[[#This Row],[customer_purchase count]]+1</f>
        <v>51</v>
      </c>
      <c r="X2444">
        <f>Table1[[#This Row],[customer_purchase count]]*Rules!$B$3</f>
        <v>2988.2179487179487</v>
      </c>
      <c r="Y2444" t="str">
        <f>IF(Table1[[#This Row],[customer_subscription]]=1,"Subscribed","Not Subscribed")</f>
        <v>Not Subscribed</v>
      </c>
    </row>
    <row r="2445" spans="1:26" x14ac:dyDescent="0.25">
      <c r="A2445">
        <v>2444</v>
      </c>
      <c r="B2445">
        <v>24</v>
      </c>
      <c r="C2445" t="s">
        <v>22</v>
      </c>
      <c r="D2445">
        <v>2444</v>
      </c>
      <c r="E2445" t="s">
        <v>135</v>
      </c>
      <c r="F2445" t="s">
        <v>70</v>
      </c>
      <c r="G2445">
        <v>2444</v>
      </c>
      <c r="H2445">
        <v>3131</v>
      </c>
      <c r="I2445">
        <v>30</v>
      </c>
      <c r="J2445" t="s">
        <v>150</v>
      </c>
      <c r="K2445" t="s">
        <v>47</v>
      </c>
      <c r="L2445" t="s">
        <v>99</v>
      </c>
      <c r="M2445" t="s">
        <v>40</v>
      </c>
      <c r="N2445">
        <v>3.4</v>
      </c>
      <c r="O2445">
        <v>0</v>
      </c>
      <c r="P2445" t="s">
        <v>73</v>
      </c>
      <c r="Q2445" t="s">
        <v>155</v>
      </c>
      <c r="R2445" t="s">
        <v>155</v>
      </c>
      <c r="S2445">
        <v>24</v>
      </c>
      <c r="T2445" t="s">
        <v>78</v>
      </c>
      <c r="U2445" t="s">
        <v>79</v>
      </c>
      <c r="V2445" s="1">
        <v>45395</v>
      </c>
      <c r="W2445">
        <f>Table1[[#This Row],[customer_purchase count]]+1</f>
        <v>25</v>
      </c>
      <c r="X2445">
        <f>Table1[[#This Row],[customer_purchase count]]*Rules!$B$3</f>
        <v>1434.3446153846155</v>
      </c>
      <c r="Y2445" t="str">
        <f>IF(Table1[[#This Row],[customer_subscription]]=1,"Subscribed","Not Subscribed")</f>
        <v>Not Subscribed</v>
      </c>
    </row>
    <row r="2446" spans="1:26" x14ac:dyDescent="0.25">
      <c r="A2446">
        <v>2445</v>
      </c>
      <c r="B2446">
        <v>47</v>
      </c>
      <c r="C2446" t="s">
        <v>22</v>
      </c>
      <c r="D2446">
        <v>2445</v>
      </c>
      <c r="E2446" t="s">
        <v>122</v>
      </c>
      <c r="F2446" t="s">
        <v>70</v>
      </c>
      <c r="G2446">
        <v>2445</v>
      </c>
      <c r="H2446">
        <v>3133</v>
      </c>
      <c r="I2446">
        <v>65</v>
      </c>
      <c r="J2446" t="s">
        <v>67</v>
      </c>
      <c r="K2446" t="s">
        <v>39</v>
      </c>
      <c r="L2446" t="s">
        <v>83</v>
      </c>
      <c r="M2446" t="s">
        <v>60</v>
      </c>
      <c r="N2446">
        <v>3.7</v>
      </c>
      <c r="O2446">
        <v>0</v>
      </c>
      <c r="P2446" t="s">
        <v>29</v>
      </c>
      <c r="Q2446" t="s">
        <v>155</v>
      </c>
      <c r="R2446" t="s">
        <v>155</v>
      </c>
      <c r="S2446">
        <v>15</v>
      </c>
      <c r="T2446" t="s">
        <v>89</v>
      </c>
      <c r="U2446" t="s">
        <v>79</v>
      </c>
      <c r="V2446" s="1">
        <v>45603</v>
      </c>
      <c r="W2446">
        <f>Table1[[#This Row],[customer_purchase count]]+1</f>
        <v>16</v>
      </c>
      <c r="X2446">
        <f>Table1[[#This Row],[customer_purchase count]]*Rules!$B$3</f>
        <v>896.46538461538466</v>
      </c>
      <c r="Y2446" t="str">
        <f>IF(Table1[[#This Row],[customer_subscription]]=1,"Subscribed","Not Subscribed")</f>
        <v>Not Subscribed</v>
      </c>
      <c r="Z2446" t="s">
        <v>194</v>
      </c>
    </row>
    <row r="2447" spans="1:26" x14ac:dyDescent="0.25">
      <c r="A2447">
        <v>2446</v>
      </c>
      <c r="B2447">
        <v>63</v>
      </c>
      <c r="C2447" t="s">
        <v>22</v>
      </c>
      <c r="D2447">
        <v>2446</v>
      </c>
      <c r="E2447" t="s">
        <v>122</v>
      </c>
      <c r="F2447" t="s">
        <v>70</v>
      </c>
      <c r="G2447">
        <v>2446</v>
      </c>
      <c r="H2447">
        <v>3134</v>
      </c>
      <c r="I2447">
        <v>96</v>
      </c>
      <c r="J2447" t="s">
        <v>125</v>
      </c>
      <c r="K2447" t="s">
        <v>47</v>
      </c>
      <c r="L2447" t="s">
        <v>113</v>
      </c>
      <c r="M2447" t="s">
        <v>56</v>
      </c>
      <c r="N2447">
        <v>4.0999999999999996</v>
      </c>
      <c r="O2447">
        <v>0</v>
      </c>
      <c r="P2447" t="s">
        <v>77</v>
      </c>
      <c r="Q2447" t="s">
        <v>155</v>
      </c>
      <c r="R2447" t="s">
        <v>155</v>
      </c>
      <c r="S2447">
        <v>50</v>
      </c>
      <c r="T2447" t="s">
        <v>36</v>
      </c>
      <c r="U2447" t="s">
        <v>43</v>
      </c>
      <c r="V2447" s="1">
        <v>45498</v>
      </c>
      <c r="W2447">
        <f>Table1[[#This Row],[customer_purchase count]]+1</f>
        <v>51</v>
      </c>
      <c r="X2447">
        <f>Table1[[#This Row],[customer_purchase count]]*Rules!$B$3</f>
        <v>2988.2179487179487</v>
      </c>
      <c r="Y2447" t="str">
        <f>IF(Table1[[#This Row],[customer_subscription]]=1,"Subscribed","Not Subscribed")</f>
        <v>Not Subscribed</v>
      </c>
    </row>
    <row r="2448" spans="1:26" x14ac:dyDescent="0.25">
      <c r="A2448">
        <v>2447</v>
      </c>
      <c r="B2448">
        <v>38</v>
      </c>
      <c r="C2448" t="s">
        <v>22</v>
      </c>
      <c r="D2448">
        <v>2447</v>
      </c>
      <c r="E2448" t="s">
        <v>58</v>
      </c>
      <c r="F2448" t="s">
        <v>24</v>
      </c>
      <c r="G2448">
        <v>2447</v>
      </c>
      <c r="H2448">
        <v>3135</v>
      </c>
      <c r="I2448">
        <v>65</v>
      </c>
      <c r="J2448" t="s">
        <v>123</v>
      </c>
      <c r="K2448" t="s">
        <v>26</v>
      </c>
      <c r="L2448" t="s">
        <v>103</v>
      </c>
      <c r="M2448" t="s">
        <v>40</v>
      </c>
      <c r="N2448">
        <v>2.9</v>
      </c>
      <c r="O2448">
        <v>0</v>
      </c>
      <c r="P2448" t="s">
        <v>73</v>
      </c>
      <c r="Q2448" t="s">
        <v>155</v>
      </c>
      <c r="R2448" t="s">
        <v>155</v>
      </c>
      <c r="S2448">
        <v>7</v>
      </c>
      <c r="T2448" t="s">
        <v>42</v>
      </c>
      <c r="U2448" t="s">
        <v>91</v>
      </c>
      <c r="V2448" s="1">
        <v>45409</v>
      </c>
      <c r="W2448">
        <f>Table1[[#This Row],[customer_purchase count]]+1</f>
        <v>8</v>
      </c>
      <c r="X2448">
        <f>Table1[[#This Row],[customer_purchase count]]*Rules!$B$3</f>
        <v>418.35051282051285</v>
      </c>
      <c r="Y2448" t="str">
        <f>IF(Table1[[#This Row],[customer_subscription]]=1,"Subscribed","Not Subscribed")</f>
        <v>Not Subscribed</v>
      </c>
      <c r="Z2448" t="s">
        <v>194</v>
      </c>
    </row>
    <row r="2449" spans="1:26" x14ac:dyDescent="0.25">
      <c r="A2449">
        <v>2448</v>
      </c>
      <c r="B2449">
        <v>59</v>
      </c>
      <c r="C2449" t="s">
        <v>22</v>
      </c>
      <c r="D2449">
        <v>2448</v>
      </c>
      <c r="E2449" t="s">
        <v>98</v>
      </c>
      <c r="F2449" t="s">
        <v>24</v>
      </c>
      <c r="G2449">
        <v>2448</v>
      </c>
      <c r="H2449">
        <v>3136</v>
      </c>
      <c r="I2449">
        <v>47</v>
      </c>
      <c r="J2449" t="s">
        <v>150</v>
      </c>
      <c r="K2449" t="s">
        <v>26</v>
      </c>
      <c r="L2449" t="s">
        <v>103</v>
      </c>
      <c r="M2449" t="s">
        <v>60</v>
      </c>
      <c r="N2449">
        <v>3.2</v>
      </c>
      <c r="O2449">
        <v>0</v>
      </c>
      <c r="P2449" t="s">
        <v>77</v>
      </c>
      <c r="Q2449" t="s">
        <v>155</v>
      </c>
      <c r="R2449" t="s">
        <v>155</v>
      </c>
      <c r="S2449">
        <v>10</v>
      </c>
      <c r="T2449" t="s">
        <v>31</v>
      </c>
      <c r="U2449" t="s">
        <v>32</v>
      </c>
      <c r="V2449" s="1">
        <v>45583</v>
      </c>
      <c r="W2449">
        <f>Table1[[#This Row],[customer_purchase count]]+1</f>
        <v>11</v>
      </c>
      <c r="X2449">
        <f>Table1[[#This Row],[customer_purchase count]]*Rules!$B$3</f>
        <v>597.64358974358981</v>
      </c>
      <c r="Y2449" t="str">
        <f>IF(Table1[[#This Row],[customer_subscription]]=1,"Subscribed","Not Subscribed")</f>
        <v>Not Subscribed</v>
      </c>
      <c r="Z2449" t="s">
        <v>194</v>
      </c>
    </row>
    <row r="2450" spans="1:26" x14ac:dyDescent="0.25">
      <c r="A2450">
        <v>2449</v>
      </c>
      <c r="B2450">
        <v>54</v>
      </c>
      <c r="C2450" t="s">
        <v>22</v>
      </c>
      <c r="D2450">
        <v>2449</v>
      </c>
      <c r="E2450" t="s">
        <v>127</v>
      </c>
      <c r="F2450" t="s">
        <v>70</v>
      </c>
      <c r="G2450">
        <v>2449</v>
      </c>
      <c r="H2450">
        <v>3137</v>
      </c>
      <c r="I2450">
        <v>25</v>
      </c>
      <c r="J2450" t="s">
        <v>125</v>
      </c>
      <c r="K2450" t="s">
        <v>39</v>
      </c>
      <c r="L2450" t="s">
        <v>86</v>
      </c>
      <c r="M2450" t="s">
        <v>60</v>
      </c>
      <c r="N2450">
        <v>3</v>
      </c>
      <c r="O2450">
        <v>0</v>
      </c>
      <c r="P2450" t="s">
        <v>41</v>
      </c>
      <c r="Q2450" t="s">
        <v>155</v>
      </c>
      <c r="R2450" t="s">
        <v>155</v>
      </c>
      <c r="S2450">
        <v>38</v>
      </c>
      <c r="T2450" t="s">
        <v>49</v>
      </c>
      <c r="U2450" t="s">
        <v>79</v>
      </c>
      <c r="V2450" s="1">
        <v>45562</v>
      </c>
      <c r="W2450">
        <f>Table1[[#This Row],[customer_purchase count]]+1</f>
        <v>39</v>
      </c>
      <c r="X2450">
        <f>Table1[[#This Row],[customer_purchase count]]*Rules!$B$3</f>
        <v>2271.0456410256411</v>
      </c>
      <c r="Y2450" t="str">
        <f>IF(Table1[[#This Row],[customer_subscription]]=1,"Subscribed","Not Subscribed")</f>
        <v>Not Subscribed</v>
      </c>
    </row>
    <row r="2451" spans="1:26" x14ac:dyDescent="0.25">
      <c r="A2451">
        <v>2450</v>
      </c>
      <c r="B2451">
        <v>26</v>
      </c>
      <c r="C2451" t="s">
        <v>22</v>
      </c>
      <c r="D2451">
        <v>2450</v>
      </c>
      <c r="E2451" t="s">
        <v>65</v>
      </c>
      <c r="F2451" t="s">
        <v>66</v>
      </c>
      <c r="G2451">
        <v>2450</v>
      </c>
      <c r="H2451">
        <v>3139</v>
      </c>
      <c r="I2451">
        <v>56</v>
      </c>
      <c r="J2451" t="s">
        <v>93</v>
      </c>
      <c r="K2451" t="s">
        <v>39</v>
      </c>
      <c r="L2451" t="s">
        <v>86</v>
      </c>
      <c r="M2451" t="s">
        <v>60</v>
      </c>
      <c r="N2451">
        <v>4.0999999999999996</v>
      </c>
      <c r="O2451">
        <v>0</v>
      </c>
      <c r="P2451" t="s">
        <v>29</v>
      </c>
      <c r="Q2451" t="s">
        <v>155</v>
      </c>
      <c r="R2451" t="s">
        <v>155</v>
      </c>
      <c r="S2451">
        <v>31</v>
      </c>
      <c r="T2451" t="s">
        <v>31</v>
      </c>
      <c r="U2451" t="s">
        <v>32</v>
      </c>
      <c r="V2451" s="1">
        <v>45573</v>
      </c>
      <c r="W2451">
        <f>Table1[[#This Row],[customer_purchase count]]+1</f>
        <v>32</v>
      </c>
      <c r="X2451">
        <f>Table1[[#This Row],[customer_purchase count]]*Rules!$B$3</f>
        <v>1852.6951282051282</v>
      </c>
      <c r="Y2451" t="str">
        <f>IF(Table1[[#This Row],[customer_subscription]]=1,"Subscribed","Not Subscribed")</f>
        <v>Not Subscribed</v>
      </c>
    </row>
    <row r="2452" spans="1:26" x14ac:dyDescent="0.25">
      <c r="A2452">
        <v>2451</v>
      </c>
      <c r="B2452">
        <v>68</v>
      </c>
      <c r="C2452" t="s">
        <v>22</v>
      </c>
      <c r="D2452">
        <v>2451</v>
      </c>
      <c r="E2452" t="s">
        <v>116</v>
      </c>
      <c r="F2452" t="s">
        <v>24</v>
      </c>
      <c r="G2452">
        <v>2451</v>
      </c>
      <c r="H2452">
        <v>3140</v>
      </c>
      <c r="I2452">
        <v>76</v>
      </c>
      <c r="J2452" t="s">
        <v>101</v>
      </c>
      <c r="K2452" t="s">
        <v>47</v>
      </c>
      <c r="L2452" t="s">
        <v>139</v>
      </c>
      <c r="M2452" t="s">
        <v>60</v>
      </c>
      <c r="N2452">
        <v>4.5</v>
      </c>
      <c r="O2452">
        <v>0</v>
      </c>
      <c r="P2452" t="s">
        <v>57</v>
      </c>
      <c r="Q2452" t="s">
        <v>155</v>
      </c>
      <c r="R2452" t="s">
        <v>155</v>
      </c>
      <c r="S2452">
        <v>7</v>
      </c>
      <c r="T2452" t="s">
        <v>31</v>
      </c>
      <c r="U2452" t="s">
        <v>61</v>
      </c>
      <c r="V2452" s="1">
        <v>45569</v>
      </c>
      <c r="W2452">
        <f>Table1[[#This Row],[customer_purchase count]]+1</f>
        <v>8</v>
      </c>
      <c r="X2452">
        <f>Table1[[#This Row],[customer_purchase count]]*Rules!$B$3</f>
        <v>418.35051282051285</v>
      </c>
      <c r="Y2452" t="str">
        <f>IF(Table1[[#This Row],[customer_subscription]]=1,"Subscribed","Not Subscribed")</f>
        <v>Not Subscribed</v>
      </c>
      <c r="Z2452" t="s">
        <v>194</v>
      </c>
    </row>
    <row r="2453" spans="1:26" x14ac:dyDescent="0.25">
      <c r="A2453">
        <v>2452</v>
      </c>
      <c r="B2453">
        <v>41</v>
      </c>
      <c r="C2453" t="s">
        <v>22</v>
      </c>
      <c r="D2453">
        <v>2452</v>
      </c>
      <c r="E2453" t="s">
        <v>128</v>
      </c>
      <c r="F2453" t="s">
        <v>24</v>
      </c>
      <c r="G2453">
        <v>2452</v>
      </c>
      <c r="H2453">
        <v>3141</v>
      </c>
      <c r="I2453">
        <v>60</v>
      </c>
      <c r="J2453" t="s">
        <v>104</v>
      </c>
      <c r="K2453" t="s">
        <v>47</v>
      </c>
      <c r="L2453" t="s">
        <v>76</v>
      </c>
      <c r="M2453" t="s">
        <v>60</v>
      </c>
      <c r="N2453">
        <v>3.4</v>
      </c>
      <c r="O2453">
        <v>0</v>
      </c>
      <c r="P2453" t="s">
        <v>77</v>
      </c>
      <c r="Q2453" t="s">
        <v>155</v>
      </c>
      <c r="R2453" t="s">
        <v>155</v>
      </c>
      <c r="S2453">
        <v>27</v>
      </c>
      <c r="T2453" t="s">
        <v>31</v>
      </c>
      <c r="U2453" t="s">
        <v>91</v>
      </c>
      <c r="V2453" s="1">
        <v>45550</v>
      </c>
      <c r="W2453">
        <f>Table1[[#This Row],[customer_purchase count]]+1</f>
        <v>28</v>
      </c>
      <c r="X2453">
        <f>Table1[[#This Row],[customer_purchase count]]*Rules!$B$3</f>
        <v>1613.6376923076923</v>
      </c>
      <c r="Y2453" t="str">
        <f>IF(Table1[[#This Row],[customer_subscription]]=1,"Subscribed","Not Subscribed")</f>
        <v>Not Subscribed</v>
      </c>
    </row>
    <row r="2454" spans="1:26" x14ac:dyDescent="0.25">
      <c r="A2454">
        <v>2453</v>
      </c>
      <c r="B2454">
        <v>68</v>
      </c>
      <c r="C2454" t="s">
        <v>22</v>
      </c>
      <c r="D2454">
        <v>2453</v>
      </c>
      <c r="E2454" t="s">
        <v>58</v>
      </c>
      <c r="F2454" t="s">
        <v>24</v>
      </c>
      <c r="G2454">
        <v>2453</v>
      </c>
      <c r="H2454">
        <v>3142</v>
      </c>
      <c r="I2454">
        <v>67</v>
      </c>
      <c r="J2454" t="s">
        <v>87</v>
      </c>
      <c r="K2454" t="s">
        <v>26</v>
      </c>
      <c r="L2454" t="s">
        <v>76</v>
      </c>
      <c r="M2454" t="s">
        <v>28</v>
      </c>
      <c r="N2454">
        <v>4.0999999999999996</v>
      </c>
      <c r="O2454">
        <v>0</v>
      </c>
      <c r="P2454" t="s">
        <v>29</v>
      </c>
      <c r="Q2454" t="s">
        <v>155</v>
      </c>
      <c r="R2454" t="s">
        <v>155</v>
      </c>
      <c r="S2454">
        <v>45</v>
      </c>
      <c r="T2454" t="s">
        <v>78</v>
      </c>
      <c r="U2454" t="s">
        <v>100</v>
      </c>
      <c r="V2454" s="1">
        <v>45300</v>
      </c>
      <c r="W2454">
        <f>Table1[[#This Row],[customer_purchase count]]+1</f>
        <v>46</v>
      </c>
      <c r="X2454">
        <f>Table1[[#This Row],[customer_purchase count]]*Rules!$B$3</f>
        <v>2689.396153846154</v>
      </c>
      <c r="Y2454" t="str">
        <f>IF(Table1[[#This Row],[customer_subscription]]=1,"Subscribed","Not Subscribed")</f>
        <v>Not Subscribed</v>
      </c>
    </row>
    <row r="2455" spans="1:26" x14ac:dyDescent="0.25">
      <c r="A2455">
        <v>2454</v>
      </c>
      <c r="B2455">
        <v>21</v>
      </c>
      <c r="C2455" t="s">
        <v>22</v>
      </c>
      <c r="D2455">
        <v>2454</v>
      </c>
      <c r="E2455" t="s">
        <v>33</v>
      </c>
      <c r="F2455" t="s">
        <v>24</v>
      </c>
      <c r="G2455">
        <v>2454</v>
      </c>
      <c r="H2455">
        <v>3143</v>
      </c>
      <c r="I2455">
        <v>95</v>
      </c>
      <c r="J2455" t="s">
        <v>149</v>
      </c>
      <c r="K2455" t="s">
        <v>95</v>
      </c>
      <c r="L2455" t="s">
        <v>112</v>
      </c>
      <c r="M2455" t="s">
        <v>40</v>
      </c>
      <c r="N2455">
        <v>4.5999999999999996</v>
      </c>
      <c r="O2455">
        <v>0</v>
      </c>
      <c r="P2455" t="s">
        <v>77</v>
      </c>
      <c r="Q2455" t="s">
        <v>155</v>
      </c>
      <c r="R2455" t="s">
        <v>155</v>
      </c>
      <c r="S2455">
        <v>13</v>
      </c>
      <c r="T2455" t="s">
        <v>36</v>
      </c>
      <c r="U2455" t="s">
        <v>52</v>
      </c>
      <c r="V2455" s="1">
        <v>45407</v>
      </c>
      <c r="W2455">
        <f>Table1[[#This Row],[customer_purchase count]]+1</f>
        <v>14</v>
      </c>
      <c r="X2455">
        <f>Table1[[#This Row],[customer_purchase count]]*Rules!$B$3</f>
        <v>776.93666666666672</v>
      </c>
      <c r="Y2455" t="str">
        <f>IF(Table1[[#This Row],[customer_subscription]]=1,"Subscribed","Not Subscribed")</f>
        <v>Not Subscribed</v>
      </c>
      <c r="Z2455" t="s">
        <v>187</v>
      </c>
    </row>
    <row r="2456" spans="1:26" x14ac:dyDescent="0.25">
      <c r="A2456">
        <v>2455</v>
      </c>
      <c r="B2456">
        <v>32</v>
      </c>
      <c r="C2456" t="s">
        <v>22</v>
      </c>
      <c r="D2456">
        <v>2455</v>
      </c>
      <c r="E2456" t="s">
        <v>146</v>
      </c>
      <c r="F2456" t="s">
        <v>70</v>
      </c>
      <c r="G2456">
        <v>2455</v>
      </c>
      <c r="H2456">
        <v>3145</v>
      </c>
      <c r="I2456">
        <v>72</v>
      </c>
      <c r="J2456" t="s">
        <v>123</v>
      </c>
      <c r="K2456" t="s">
        <v>47</v>
      </c>
      <c r="L2456" t="s">
        <v>139</v>
      </c>
      <c r="M2456" t="s">
        <v>28</v>
      </c>
      <c r="N2456">
        <v>4.5999999999999996</v>
      </c>
      <c r="O2456">
        <v>0</v>
      </c>
      <c r="P2456" t="s">
        <v>29</v>
      </c>
      <c r="Q2456" t="s">
        <v>155</v>
      </c>
      <c r="R2456" t="s">
        <v>155</v>
      </c>
      <c r="S2456">
        <v>33</v>
      </c>
      <c r="T2456" t="s">
        <v>31</v>
      </c>
      <c r="U2456" t="s">
        <v>52</v>
      </c>
      <c r="V2456" s="1">
        <v>45303</v>
      </c>
      <c r="W2456">
        <f>Table1[[#This Row],[customer_purchase count]]+1</f>
        <v>34</v>
      </c>
      <c r="X2456">
        <f>Table1[[#This Row],[customer_purchase count]]*Rules!$B$3</f>
        <v>1972.2238461538464</v>
      </c>
      <c r="Y2456" t="str">
        <f>IF(Table1[[#This Row],[customer_subscription]]=1,"Subscribed","Not Subscribed")</f>
        <v>Not Subscribed</v>
      </c>
    </row>
    <row r="2457" spans="1:26" x14ac:dyDescent="0.25">
      <c r="A2457">
        <v>2456</v>
      </c>
      <c r="B2457">
        <v>20</v>
      </c>
      <c r="C2457" t="s">
        <v>22</v>
      </c>
      <c r="D2457">
        <v>2456</v>
      </c>
      <c r="E2457" t="s">
        <v>136</v>
      </c>
      <c r="F2457" t="s">
        <v>70</v>
      </c>
      <c r="G2457">
        <v>2456</v>
      </c>
      <c r="H2457">
        <v>3146</v>
      </c>
      <c r="I2457">
        <v>98</v>
      </c>
      <c r="J2457" t="s">
        <v>123</v>
      </c>
      <c r="K2457" t="s">
        <v>26</v>
      </c>
      <c r="L2457" t="s">
        <v>96</v>
      </c>
      <c r="M2457" t="s">
        <v>40</v>
      </c>
      <c r="N2457">
        <v>3.4</v>
      </c>
      <c r="O2457">
        <v>0</v>
      </c>
      <c r="P2457" t="s">
        <v>29</v>
      </c>
      <c r="Q2457" t="s">
        <v>155</v>
      </c>
      <c r="R2457" t="s">
        <v>155</v>
      </c>
      <c r="S2457">
        <v>25</v>
      </c>
      <c r="T2457" t="s">
        <v>36</v>
      </c>
      <c r="U2457" t="s">
        <v>100</v>
      </c>
      <c r="V2457" s="1">
        <v>45415</v>
      </c>
      <c r="W2457">
        <f>Table1[[#This Row],[customer_purchase count]]+1</f>
        <v>26</v>
      </c>
      <c r="X2457">
        <f>Table1[[#This Row],[customer_purchase count]]*Rules!$B$3</f>
        <v>1494.1089743589744</v>
      </c>
      <c r="Y2457" t="str">
        <f>IF(Table1[[#This Row],[customer_subscription]]=1,"Subscribed","Not Subscribed")</f>
        <v>Not Subscribed</v>
      </c>
    </row>
    <row r="2458" spans="1:26" x14ac:dyDescent="0.25">
      <c r="A2458">
        <v>2457</v>
      </c>
      <c r="B2458">
        <v>59</v>
      </c>
      <c r="C2458" t="s">
        <v>22</v>
      </c>
      <c r="D2458">
        <v>2457</v>
      </c>
      <c r="E2458" t="s">
        <v>37</v>
      </c>
      <c r="F2458" t="s">
        <v>24</v>
      </c>
      <c r="G2458">
        <v>2457</v>
      </c>
      <c r="H2458">
        <v>3147</v>
      </c>
      <c r="I2458">
        <v>83</v>
      </c>
      <c r="J2458" t="s">
        <v>148</v>
      </c>
      <c r="K2458" t="s">
        <v>47</v>
      </c>
      <c r="L2458" t="s">
        <v>99</v>
      </c>
      <c r="M2458" t="s">
        <v>28</v>
      </c>
      <c r="N2458">
        <v>3.3</v>
      </c>
      <c r="O2458">
        <v>0</v>
      </c>
      <c r="P2458" t="s">
        <v>73</v>
      </c>
      <c r="Q2458" t="s">
        <v>155</v>
      </c>
      <c r="R2458" t="s">
        <v>155</v>
      </c>
      <c r="S2458">
        <v>5</v>
      </c>
      <c r="T2458" t="s">
        <v>49</v>
      </c>
      <c r="U2458" t="s">
        <v>91</v>
      </c>
      <c r="V2458" s="1">
        <v>45343</v>
      </c>
      <c r="W2458">
        <f>Table1[[#This Row],[customer_purchase count]]+1</f>
        <v>6</v>
      </c>
      <c r="X2458">
        <f>Table1[[#This Row],[customer_purchase count]]*Rules!$B$3</f>
        <v>298.82179487179491</v>
      </c>
      <c r="Y2458" t="str">
        <f>IF(Table1[[#This Row],[customer_subscription]]=1,"Subscribed","Not Subscribed")</f>
        <v>Not Subscribed</v>
      </c>
      <c r="Z2458" t="s">
        <v>194</v>
      </c>
    </row>
    <row r="2459" spans="1:26" x14ac:dyDescent="0.25">
      <c r="A2459">
        <v>2458</v>
      </c>
      <c r="B2459">
        <v>53</v>
      </c>
      <c r="C2459" t="s">
        <v>22</v>
      </c>
      <c r="D2459">
        <v>2458</v>
      </c>
      <c r="E2459" t="s">
        <v>69</v>
      </c>
      <c r="F2459" t="s">
        <v>70</v>
      </c>
      <c r="G2459">
        <v>2458</v>
      </c>
      <c r="H2459">
        <v>3148</v>
      </c>
      <c r="I2459">
        <v>37</v>
      </c>
      <c r="J2459" t="s">
        <v>82</v>
      </c>
      <c r="K2459" t="s">
        <v>47</v>
      </c>
      <c r="L2459" t="s">
        <v>35</v>
      </c>
      <c r="M2459" t="s">
        <v>60</v>
      </c>
      <c r="N2459">
        <v>3.6</v>
      </c>
      <c r="O2459">
        <v>0</v>
      </c>
      <c r="P2459" t="s">
        <v>73</v>
      </c>
      <c r="Q2459" t="s">
        <v>155</v>
      </c>
      <c r="R2459" t="s">
        <v>155</v>
      </c>
      <c r="S2459">
        <v>23</v>
      </c>
      <c r="T2459" t="s">
        <v>36</v>
      </c>
      <c r="U2459" t="s">
        <v>61</v>
      </c>
      <c r="V2459" s="1">
        <v>45540</v>
      </c>
      <c r="W2459">
        <f>Table1[[#This Row],[customer_purchase count]]+1</f>
        <v>24</v>
      </c>
      <c r="X2459">
        <f>Table1[[#This Row],[customer_purchase count]]*Rules!$B$3</f>
        <v>1374.5802564102564</v>
      </c>
      <c r="Y2459" t="str">
        <f>IF(Table1[[#This Row],[customer_subscription]]=1,"Subscribed","Not Subscribed")</f>
        <v>Not Subscribed</v>
      </c>
    </row>
    <row r="2460" spans="1:26" x14ac:dyDescent="0.25">
      <c r="A2460">
        <v>2459</v>
      </c>
      <c r="B2460">
        <v>66</v>
      </c>
      <c r="C2460" t="s">
        <v>22</v>
      </c>
      <c r="D2460">
        <v>2459</v>
      </c>
      <c r="E2460" t="s">
        <v>116</v>
      </c>
      <c r="F2460" t="s">
        <v>24</v>
      </c>
      <c r="G2460">
        <v>2459</v>
      </c>
      <c r="H2460">
        <v>3149</v>
      </c>
      <c r="I2460">
        <v>85</v>
      </c>
      <c r="J2460" t="s">
        <v>108</v>
      </c>
      <c r="K2460" t="s">
        <v>26</v>
      </c>
      <c r="L2460" t="s">
        <v>51</v>
      </c>
      <c r="M2460" t="s">
        <v>60</v>
      </c>
      <c r="N2460">
        <v>4.5999999999999996</v>
      </c>
      <c r="O2460">
        <v>0</v>
      </c>
      <c r="P2460" t="s">
        <v>41</v>
      </c>
      <c r="Q2460" t="s">
        <v>155</v>
      </c>
      <c r="R2460" t="s">
        <v>155</v>
      </c>
      <c r="S2460">
        <v>17</v>
      </c>
      <c r="T2460" t="s">
        <v>78</v>
      </c>
      <c r="U2460" t="s">
        <v>43</v>
      </c>
      <c r="V2460" s="1">
        <v>45606</v>
      </c>
      <c r="W2460">
        <f>Table1[[#This Row],[customer_purchase count]]+1</f>
        <v>18</v>
      </c>
      <c r="X2460">
        <f>Table1[[#This Row],[customer_purchase count]]*Rules!$B$3</f>
        <v>1015.9941025641026</v>
      </c>
      <c r="Y2460" t="str">
        <f>IF(Table1[[#This Row],[customer_subscription]]=1,"Subscribed","Not Subscribed")</f>
        <v>Not Subscribed</v>
      </c>
      <c r="Z2460" t="s">
        <v>194</v>
      </c>
    </row>
    <row r="2461" spans="1:26" x14ac:dyDescent="0.25">
      <c r="A2461">
        <v>2460</v>
      </c>
      <c r="B2461">
        <v>47</v>
      </c>
      <c r="C2461" t="s">
        <v>22</v>
      </c>
      <c r="D2461">
        <v>2460</v>
      </c>
      <c r="E2461" t="s">
        <v>128</v>
      </c>
      <c r="F2461" t="s">
        <v>24</v>
      </c>
      <c r="G2461">
        <v>2460</v>
      </c>
      <c r="H2461">
        <v>3151</v>
      </c>
      <c r="I2461">
        <v>36</v>
      </c>
      <c r="J2461" t="s">
        <v>71</v>
      </c>
      <c r="K2461" t="s">
        <v>26</v>
      </c>
      <c r="L2461" t="s">
        <v>86</v>
      </c>
      <c r="M2461" t="s">
        <v>60</v>
      </c>
      <c r="N2461">
        <v>4.3</v>
      </c>
      <c r="O2461">
        <v>0</v>
      </c>
      <c r="P2461" t="s">
        <v>73</v>
      </c>
      <c r="Q2461" t="s">
        <v>155</v>
      </c>
      <c r="R2461" t="s">
        <v>155</v>
      </c>
      <c r="S2461">
        <v>14</v>
      </c>
      <c r="T2461" t="s">
        <v>36</v>
      </c>
      <c r="U2461" t="s">
        <v>43</v>
      </c>
      <c r="V2461" s="1">
        <v>45567</v>
      </c>
      <c r="W2461">
        <f>Table1[[#This Row],[customer_purchase count]]+1</f>
        <v>15</v>
      </c>
      <c r="X2461">
        <f>Table1[[#This Row],[customer_purchase count]]*Rules!$B$3</f>
        <v>836.70102564102569</v>
      </c>
      <c r="Y2461" t="str">
        <f>IF(Table1[[#This Row],[customer_subscription]]=1,"Subscribed","Not Subscribed")</f>
        <v>Not Subscribed</v>
      </c>
      <c r="Z2461" t="s">
        <v>194</v>
      </c>
    </row>
    <row r="2462" spans="1:26" x14ac:dyDescent="0.25">
      <c r="A2462">
        <v>2461</v>
      </c>
      <c r="B2462">
        <v>58</v>
      </c>
      <c r="C2462" t="s">
        <v>22</v>
      </c>
      <c r="D2462">
        <v>2461</v>
      </c>
      <c r="E2462" t="s">
        <v>37</v>
      </c>
      <c r="F2462" t="s">
        <v>24</v>
      </c>
      <c r="G2462">
        <v>2461</v>
      </c>
      <c r="H2462">
        <v>3152</v>
      </c>
      <c r="I2462">
        <v>36</v>
      </c>
      <c r="J2462" t="s">
        <v>34</v>
      </c>
      <c r="K2462" t="s">
        <v>39</v>
      </c>
      <c r="L2462" t="s">
        <v>96</v>
      </c>
      <c r="M2462" t="s">
        <v>28</v>
      </c>
      <c r="N2462">
        <v>4</v>
      </c>
      <c r="O2462">
        <v>0</v>
      </c>
      <c r="P2462" t="s">
        <v>77</v>
      </c>
      <c r="Q2462" t="s">
        <v>155</v>
      </c>
      <c r="R2462" t="s">
        <v>155</v>
      </c>
      <c r="S2462">
        <v>28</v>
      </c>
      <c r="T2462" t="s">
        <v>42</v>
      </c>
      <c r="U2462" t="s">
        <v>52</v>
      </c>
      <c r="V2462" s="1">
        <v>45304</v>
      </c>
      <c r="W2462">
        <f>Table1[[#This Row],[customer_purchase count]]+1</f>
        <v>29</v>
      </c>
      <c r="X2462">
        <f>Table1[[#This Row],[customer_purchase count]]*Rules!$B$3</f>
        <v>1673.4020512820514</v>
      </c>
      <c r="Y2462" t="str">
        <f>IF(Table1[[#This Row],[customer_subscription]]=1,"Subscribed","Not Subscribed")</f>
        <v>Not Subscribed</v>
      </c>
    </row>
    <row r="2463" spans="1:26" x14ac:dyDescent="0.25">
      <c r="A2463">
        <v>2462</v>
      </c>
      <c r="B2463">
        <v>28</v>
      </c>
      <c r="C2463" t="s">
        <v>22</v>
      </c>
      <c r="D2463">
        <v>2462</v>
      </c>
      <c r="E2463" t="s">
        <v>122</v>
      </c>
      <c r="F2463" t="s">
        <v>70</v>
      </c>
      <c r="G2463">
        <v>2462</v>
      </c>
      <c r="H2463">
        <v>3153</v>
      </c>
      <c r="I2463">
        <v>86</v>
      </c>
      <c r="J2463" t="s">
        <v>141</v>
      </c>
      <c r="K2463" t="s">
        <v>26</v>
      </c>
      <c r="L2463" t="s">
        <v>111</v>
      </c>
      <c r="M2463" t="s">
        <v>56</v>
      </c>
      <c r="N2463">
        <v>4.8</v>
      </c>
      <c r="O2463">
        <v>0</v>
      </c>
      <c r="P2463" t="s">
        <v>48</v>
      </c>
      <c r="Q2463" t="s">
        <v>155</v>
      </c>
      <c r="R2463" t="s">
        <v>155</v>
      </c>
      <c r="S2463">
        <v>19</v>
      </c>
      <c r="T2463" t="s">
        <v>42</v>
      </c>
      <c r="U2463" t="s">
        <v>43</v>
      </c>
      <c r="V2463" s="1">
        <v>45470</v>
      </c>
      <c r="W2463">
        <f>Table1[[#This Row],[customer_purchase count]]+1</f>
        <v>20</v>
      </c>
      <c r="X2463">
        <f>Table1[[#This Row],[customer_purchase count]]*Rules!$B$3</f>
        <v>1135.5228205128205</v>
      </c>
      <c r="Y2463" t="str">
        <f>IF(Table1[[#This Row],[customer_subscription]]=1,"Subscribed","Not Subscribed")</f>
        <v>Not Subscribed</v>
      </c>
    </row>
    <row r="2464" spans="1:26" x14ac:dyDescent="0.25">
      <c r="A2464">
        <v>2463</v>
      </c>
      <c r="B2464">
        <v>68</v>
      </c>
      <c r="C2464" t="s">
        <v>22</v>
      </c>
      <c r="D2464">
        <v>2463</v>
      </c>
      <c r="E2464" t="s">
        <v>98</v>
      </c>
      <c r="F2464" t="s">
        <v>24</v>
      </c>
      <c r="G2464">
        <v>2463</v>
      </c>
      <c r="H2464">
        <v>3154</v>
      </c>
      <c r="I2464">
        <v>99</v>
      </c>
      <c r="J2464" t="s">
        <v>71</v>
      </c>
      <c r="K2464" t="s">
        <v>95</v>
      </c>
      <c r="L2464" t="s">
        <v>124</v>
      </c>
      <c r="M2464" t="s">
        <v>40</v>
      </c>
      <c r="N2464">
        <v>4.3</v>
      </c>
      <c r="O2464">
        <v>0</v>
      </c>
      <c r="P2464" t="s">
        <v>57</v>
      </c>
      <c r="Q2464" t="s">
        <v>155</v>
      </c>
      <c r="R2464" t="s">
        <v>155</v>
      </c>
      <c r="S2464">
        <v>31</v>
      </c>
      <c r="T2464" t="s">
        <v>78</v>
      </c>
      <c r="U2464" t="s">
        <v>79</v>
      </c>
      <c r="V2464" s="1">
        <v>45361</v>
      </c>
      <c r="W2464">
        <f>Table1[[#This Row],[customer_purchase count]]+1</f>
        <v>32</v>
      </c>
      <c r="X2464">
        <f>Table1[[#This Row],[customer_purchase count]]*Rules!$B$3</f>
        <v>1852.6951282051282</v>
      </c>
      <c r="Y2464" t="str">
        <f>IF(Table1[[#This Row],[customer_subscription]]=1,"Subscribed","Not Subscribed")</f>
        <v>Not Subscribed</v>
      </c>
    </row>
    <row r="2465" spans="1:26" x14ac:dyDescent="0.25">
      <c r="A2465">
        <v>2464</v>
      </c>
      <c r="B2465">
        <v>60</v>
      </c>
      <c r="C2465" t="s">
        <v>22</v>
      </c>
      <c r="D2465">
        <v>2464</v>
      </c>
      <c r="E2465" t="s">
        <v>23</v>
      </c>
      <c r="F2465" t="s">
        <v>24</v>
      </c>
      <c r="G2465">
        <v>2464</v>
      </c>
      <c r="H2465">
        <v>3155</v>
      </c>
      <c r="I2465">
        <v>21</v>
      </c>
      <c r="J2465" t="s">
        <v>94</v>
      </c>
      <c r="K2465" t="s">
        <v>95</v>
      </c>
      <c r="L2465" t="s">
        <v>129</v>
      </c>
      <c r="M2465" t="s">
        <v>56</v>
      </c>
      <c r="N2465">
        <v>3.3</v>
      </c>
      <c r="O2465">
        <v>0</v>
      </c>
      <c r="P2465" t="s">
        <v>57</v>
      </c>
      <c r="Q2465" t="s">
        <v>155</v>
      </c>
      <c r="R2465" t="s">
        <v>155</v>
      </c>
      <c r="S2465">
        <v>25</v>
      </c>
      <c r="T2465" t="s">
        <v>36</v>
      </c>
      <c r="U2465" t="s">
        <v>79</v>
      </c>
      <c r="V2465" s="1">
        <v>45484</v>
      </c>
      <c r="W2465">
        <f>Table1[[#This Row],[customer_purchase count]]+1</f>
        <v>26</v>
      </c>
      <c r="X2465">
        <f>Table1[[#This Row],[customer_purchase count]]*Rules!$B$3</f>
        <v>1494.1089743589744</v>
      </c>
      <c r="Y2465" t="str">
        <f>IF(Table1[[#This Row],[customer_subscription]]=1,"Subscribed","Not Subscribed")</f>
        <v>Not Subscribed</v>
      </c>
    </row>
    <row r="2466" spans="1:26" x14ac:dyDescent="0.25">
      <c r="A2466">
        <v>2465</v>
      </c>
      <c r="B2466">
        <v>47</v>
      </c>
      <c r="C2466" t="s">
        <v>22</v>
      </c>
      <c r="D2466">
        <v>2465</v>
      </c>
      <c r="E2466" t="s">
        <v>105</v>
      </c>
      <c r="F2466" t="s">
        <v>66</v>
      </c>
      <c r="G2466">
        <v>2465</v>
      </c>
      <c r="H2466">
        <v>3157</v>
      </c>
      <c r="I2466">
        <v>84</v>
      </c>
      <c r="J2466" t="s">
        <v>80</v>
      </c>
      <c r="K2466" t="s">
        <v>26</v>
      </c>
      <c r="L2466" t="s">
        <v>88</v>
      </c>
      <c r="M2466" t="s">
        <v>28</v>
      </c>
      <c r="N2466">
        <v>2.8</v>
      </c>
      <c r="O2466">
        <v>0</v>
      </c>
      <c r="P2466" t="s">
        <v>29</v>
      </c>
      <c r="Q2466" t="s">
        <v>155</v>
      </c>
      <c r="R2466" t="s">
        <v>155</v>
      </c>
      <c r="S2466">
        <v>4</v>
      </c>
      <c r="T2466" t="s">
        <v>36</v>
      </c>
      <c r="U2466" t="s">
        <v>79</v>
      </c>
      <c r="V2466" s="1">
        <v>45292</v>
      </c>
      <c r="W2466">
        <f>Table1[[#This Row],[customer_purchase count]]+1</f>
        <v>5</v>
      </c>
      <c r="X2466">
        <f>Table1[[#This Row],[customer_purchase count]]*Rules!$B$3</f>
        <v>239.05743589743591</v>
      </c>
      <c r="Y2466" t="str">
        <f>IF(Table1[[#This Row],[customer_subscription]]=1,"Subscribed","Not Subscribed")</f>
        <v>Not Subscribed</v>
      </c>
      <c r="Z2466" t="s">
        <v>194</v>
      </c>
    </row>
    <row r="2467" spans="1:26" x14ac:dyDescent="0.25">
      <c r="A2467">
        <v>2466</v>
      </c>
      <c r="B2467">
        <v>18</v>
      </c>
      <c r="C2467" t="s">
        <v>22</v>
      </c>
      <c r="D2467">
        <v>2466</v>
      </c>
      <c r="E2467" t="s">
        <v>44</v>
      </c>
      <c r="F2467" t="s">
        <v>45</v>
      </c>
      <c r="G2467">
        <v>2466</v>
      </c>
      <c r="H2467">
        <v>3158</v>
      </c>
      <c r="I2467">
        <v>63</v>
      </c>
      <c r="J2467" t="s">
        <v>108</v>
      </c>
      <c r="K2467" t="s">
        <v>47</v>
      </c>
      <c r="L2467" t="s">
        <v>113</v>
      </c>
      <c r="M2467" t="s">
        <v>40</v>
      </c>
      <c r="N2467">
        <v>4.4000000000000004</v>
      </c>
      <c r="O2467">
        <v>0</v>
      </c>
      <c r="P2467" t="s">
        <v>41</v>
      </c>
      <c r="Q2467" t="s">
        <v>155</v>
      </c>
      <c r="R2467" t="s">
        <v>155</v>
      </c>
      <c r="S2467">
        <v>20</v>
      </c>
      <c r="T2467" t="s">
        <v>78</v>
      </c>
      <c r="U2467" t="s">
        <v>43</v>
      </c>
      <c r="V2467" s="1">
        <v>45379</v>
      </c>
      <c r="W2467">
        <f>Table1[[#This Row],[customer_purchase count]]+1</f>
        <v>21</v>
      </c>
      <c r="X2467">
        <f>Table1[[#This Row],[customer_purchase count]]*Rules!$B$3</f>
        <v>1195.2871794871796</v>
      </c>
      <c r="Y2467" t="str">
        <f>IF(Table1[[#This Row],[customer_subscription]]=1,"Subscribed","Not Subscribed")</f>
        <v>Not Subscribed</v>
      </c>
    </row>
    <row r="2468" spans="1:26" x14ac:dyDescent="0.25">
      <c r="A2468">
        <v>2467</v>
      </c>
      <c r="B2468">
        <v>32</v>
      </c>
      <c r="C2468" t="s">
        <v>22</v>
      </c>
      <c r="D2468">
        <v>2467</v>
      </c>
      <c r="E2468" t="s">
        <v>62</v>
      </c>
      <c r="F2468" t="s">
        <v>24</v>
      </c>
      <c r="G2468">
        <v>2467</v>
      </c>
      <c r="H2468">
        <v>3159</v>
      </c>
      <c r="I2468">
        <v>84</v>
      </c>
      <c r="J2468" t="s">
        <v>150</v>
      </c>
      <c r="K2468" t="s">
        <v>39</v>
      </c>
      <c r="L2468" t="s">
        <v>72</v>
      </c>
      <c r="M2468" t="s">
        <v>56</v>
      </c>
      <c r="N2468">
        <v>3.7</v>
      </c>
      <c r="O2468">
        <v>0</v>
      </c>
      <c r="P2468" t="s">
        <v>29</v>
      </c>
      <c r="Q2468" t="s">
        <v>155</v>
      </c>
      <c r="R2468" t="s">
        <v>155</v>
      </c>
      <c r="S2468">
        <v>37</v>
      </c>
      <c r="T2468" t="s">
        <v>36</v>
      </c>
      <c r="U2468" t="s">
        <v>52</v>
      </c>
      <c r="V2468" s="1">
        <v>45464</v>
      </c>
      <c r="W2468">
        <f>Table1[[#This Row],[customer_purchase count]]+1</f>
        <v>38</v>
      </c>
      <c r="X2468">
        <f>Table1[[#This Row],[customer_purchase count]]*Rules!$B$3</f>
        <v>2211.2812820512822</v>
      </c>
      <c r="Y2468" t="str">
        <f>IF(Table1[[#This Row],[customer_subscription]]=1,"Subscribed","Not Subscribed")</f>
        <v>Not Subscribed</v>
      </c>
    </row>
    <row r="2469" spans="1:26" x14ac:dyDescent="0.25">
      <c r="A2469">
        <v>2468</v>
      </c>
      <c r="B2469">
        <v>27</v>
      </c>
      <c r="C2469" t="s">
        <v>22</v>
      </c>
      <c r="D2469">
        <v>2468</v>
      </c>
      <c r="E2469" t="s">
        <v>62</v>
      </c>
      <c r="F2469" t="s">
        <v>24</v>
      </c>
      <c r="G2469">
        <v>2468</v>
      </c>
      <c r="H2469">
        <v>3160</v>
      </c>
      <c r="I2469">
        <v>72</v>
      </c>
      <c r="J2469" t="s">
        <v>130</v>
      </c>
      <c r="K2469" t="s">
        <v>47</v>
      </c>
      <c r="L2469" t="s">
        <v>96</v>
      </c>
      <c r="M2469" t="s">
        <v>40</v>
      </c>
      <c r="N2469">
        <v>3.6</v>
      </c>
      <c r="O2469">
        <v>0</v>
      </c>
      <c r="P2469" t="s">
        <v>29</v>
      </c>
      <c r="Q2469" t="s">
        <v>155</v>
      </c>
      <c r="R2469" t="s">
        <v>155</v>
      </c>
      <c r="S2469">
        <v>28</v>
      </c>
      <c r="T2469" t="s">
        <v>42</v>
      </c>
      <c r="U2469" t="s">
        <v>52</v>
      </c>
      <c r="V2469" s="1">
        <v>45372</v>
      </c>
      <c r="W2469">
        <f>Table1[[#This Row],[customer_purchase count]]+1</f>
        <v>29</v>
      </c>
      <c r="X2469">
        <f>Table1[[#This Row],[customer_purchase count]]*Rules!$B$3</f>
        <v>1673.4020512820514</v>
      </c>
      <c r="Y2469" t="str">
        <f>IF(Table1[[#This Row],[customer_subscription]]=1,"Subscribed","Not Subscribed")</f>
        <v>Not Subscribed</v>
      </c>
    </row>
    <row r="2470" spans="1:26" x14ac:dyDescent="0.25">
      <c r="A2470">
        <v>2469</v>
      </c>
      <c r="B2470">
        <v>65</v>
      </c>
      <c r="C2470" t="s">
        <v>22</v>
      </c>
      <c r="D2470">
        <v>2469</v>
      </c>
      <c r="E2470" t="s">
        <v>90</v>
      </c>
      <c r="F2470" t="s">
        <v>24</v>
      </c>
      <c r="G2470">
        <v>2469</v>
      </c>
      <c r="H2470">
        <v>3161</v>
      </c>
      <c r="I2470">
        <v>21</v>
      </c>
      <c r="J2470" t="s">
        <v>142</v>
      </c>
      <c r="K2470" t="s">
        <v>26</v>
      </c>
      <c r="L2470" t="s">
        <v>112</v>
      </c>
      <c r="M2470" t="s">
        <v>28</v>
      </c>
      <c r="N2470">
        <v>3.7</v>
      </c>
      <c r="O2470">
        <v>0</v>
      </c>
      <c r="P2470" t="s">
        <v>73</v>
      </c>
      <c r="Q2470" t="s">
        <v>155</v>
      </c>
      <c r="R2470" t="s">
        <v>155</v>
      </c>
      <c r="S2470">
        <v>6</v>
      </c>
      <c r="T2470" t="s">
        <v>31</v>
      </c>
      <c r="U2470" t="s">
        <v>43</v>
      </c>
      <c r="V2470" s="1">
        <v>45295</v>
      </c>
      <c r="W2470">
        <f>Table1[[#This Row],[customer_purchase count]]+1</f>
        <v>7</v>
      </c>
      <c r="X2470">
        <f>Table1[[#This Row],[customer_purchase count]]*Rules!$B$3</f>
        <v>358.58615384615388</v>
      </c>
      <c r="Y2470" t="str">
        <f>IF(Table1[[#This Row],[customer_subscription]]=1,"Subscribed","Not Subscribed")</f>
        <v>Not Subscribed</v>
      </c>
      <c r="Z2470" t="s">
        <v>194</v>
      </c>
    </row>
    <row r="2471" spans="1:26" x14ac:dyDescent="0.25">
      <c r="A2471">
        <v>2470</v>
      </c>
      <c r="B2471">
        <v>68</v>
      </c>
      <c r="C2471" t="s">
        <v>22</v>
      </c>
      <c r="D2471">
        <v>2470</v>
      </c>
      <c r="E2471" t="s">
        <v>44</v>
      </c>
      <c r="F2471" t="s">
        <v>45</v>
      </c>
      <c r="G2471">
        <v>2470</v>
      </c>
      <c r="H2471">
        <v>3163</v>
      </c>
      <c r="I2471">
        <v>92</v>
      </c>
      <c r="J2471" t="s">
        <v>131</v>
      </c>
      <c r="K2471" t="s">
        <v>47</v>
      </c>
      <c r="L2471" t="s">
        <v>137</v>
      </c>
      <c r="M2471" t="s">
        <v>60</v>
      </c>
      <c r="N2471">
        <v>5</v>
      </c>
      <c r="O2471">
        <v>0</v>
      </c>
      <c r="P2471" t="s">
        <v>57</v>
      </c>
      <c r="Q2471" t="s">
        <v>155</v>
      </c>
      <c r="R2471" t="s">
        <v>155</v>
      </c>
      <c r="S2471">
        <v>27</v>
      </c>
      <c r="T2471" t="s">
        <v>49</v>
      </c>
      <c r="U2471" t="s">
        <v>52</v>
      </c>
      <c r="V2471" s="1">
        <v>45537</v>
      </c>
      <c r="W2471">
        <f>Table1[[#This Row],[customer_purchase count]]+1</f>
        <v>28</v>
      </c>
      <c r="X2471">
        <f>Table1[[#This Row],[customer_purchase count]]*Rules!$B$3</f>
        <v>1613.6376923076923</v>
      </c>
      <c r="Y2471" t="str">
        <f>IF(Table1[[#This Row],[customer_subscription]]=1,"Subscribed","Not Subscribed")</f>
        <v>Not Subscribed</v>
      </c>
    </row>
    <row r="2472" spans="1:26" x14ac:dyDescent="0.25">
      <c r="A2472">
        <v>2471</v>
      </c>
      <c r="B2472">
        <v>55</v>
      </c>
      <c r="C2472" t="s">
        <v>22</v>
      </c>
      <c r="D2472">
        <v>2471</v>
      </c>
      <c r="E2472" t="s">
        <v>23</v>
      </c>
      <c r="F2472" t="s">
        <v>24</v>
      </c>
      <c r="G2472">
        <v>2471</v>
      </c>
      <c r="H2472">
        <v>3164</v>
      </c>
      <c r="I2472">
        <v>72</v>
      </c>
      <c r="J2472" t="s">
        <v>120</v>
      </c>
      <c r="K2472" t="s">
        <v>95</v>
      </c>
      <c r="L2472" t="s">
        <v>72</v>
      </c>
      <c r="M2472" t="s">
        <v>60</v>
      </c>
      <c r="N2472">
        <v>2.7</v>
      </c>
      <c r="O2472">
        <v>0</v>
      </c>
      <c r="P2472" t="s">
        <v>48</v>
      </c>
      <c r="Q2472" t="s">
        <v>155</v>
      </c>
      <c r="R2472" t="s">
        <v>155</v>
      </c>
      <c r="S2472">
        <v>29</v>
      </c>
      <c r="T2472" t="s">
        <v>42</v>
      </c>
      <c r="U2472" t="s">
        <v>32</v>
      </c>
      <c r="V2472" s="1">
        <v>45592</v>
      </c>
      <c r="W2472">
        <f>Table1[[#This Row],[customer_purchase count]]+1</f>
        <v>30</v>
      </c>
      <c r="X2472">
        <f>Table1[[#This Row],[customer_purchase count]]*Rules!$B$3</f>
        <v>1733.1664102564102</v>
      </c>
      <c r="Y2472" t="str">
        <f>IF(Table1[[#This Row],[customer_subscription]]=1,"Subscribed","Not Subscribed")</f>
        <v>Not Subscribed</v>
      </c>
    </row>
    <row r="2473" spans="1:26" x14ac:dyDescent="0.25">
      <c r="A2473">
        <v>2472</v>
      </c>
      <c r="B2473">
        <v>30</v>
      </c>
      <c r="C2473" t="s">
        <v>22</v>
      </c>
      <c r="D2473">
        <v>2472</v>
      </c>
      <c r="E2473" t="s">
        <v>44</v>
      </c>
      <c r="F2473" t="s">
        <v>45</v>
      </c>
      <c r="G2473">
        <v>2472</v>
      </c>
      <c r="H2473">
        <v>3165</v>
      </c>
      <c r="I2473">
        <v>83</v>
      </c>
      <c r="J2473" t="s">
        <v>104</v>
      </c>
      <c r="K2473" t="s">
        <v>47</v>
      </c>
      <c r="L2473" t="s">
        <v>27</v>
      </c>
      <c r="M2473" t="s">
        <v>40</v>
      </c>
      <c r="N2473">
        <v>4.3</v>
      </c>
      <c r="O2473">
        <v>0</v>
      </c>
      <c r="P2473" t="s">
        <v>77</v>
      </c>
      <c r="Q2473" t="s">
        <v>155</v>
      </c>
      <c r="R2473" t="s">
        <v>155</v>
      </c>
      <c r="S2473">
        <v>1</v>
      </c>
      <c r="T2473" t="s">
        <v>36</v>
      </c>
      <c r="U2473" t="s">
        <v>52</v>
      </c>
      <c r="V2473" s="1">
        <v>45355</v>
      </c>
      <c r="W2473">
        <f>Table1[[#This Row],[customer_purchase count]]+1</f>
        <v>2</v>
      </c>
      <c r="X2473">
        <f>Table1[[#This Row],[customer_purchase count]]*Rules!$B$3</f>
        <v>59.764358974358977</v>
      </c>
      <c r="Y2473" t="str">
        <f>IF(Table1[[#This Row],[customer_subscription]]=1,"Subscribed","Not Subscribed")</f>
        <v>Not Subscribed</v>
      </c>
      <c r="Z2473" t="s">
        <v>194</v>
      </c>
    </row>
    <row r="2474" spans="1:26" x14ac:dyDescent="0.25">
      <c r="A2474">
        <v>2473</v>
      </c>
      <c r="B2474">
        <v>24</v>
      </c>
      <c r="C2474" t="s">
        <v>22</v>
      </c>
      <c r="D2474">
        <v>2473</v>
      </c>
      <c r="E2474" t="s">
        <v>58</v>
      </c>
      <c r="F2474" t="s">
        <v>24</v>
      </c>
      <c r="G2474">
        <v>2473</v>
      </c>
      <c r="H2474">
        <v>3166</v>
      </c>
      <c r="I2474">
        <v>73</v>
      </c>
      <c r="J2474" t="s">
        <v>143</v>
      </c>
      <c r="K2474" t="s">
        <v>47</v>
      </c>
      <c r="L2474" t="s">
        <v>103</v>
      </c>
      <c r="M2474" t="s">
        <v>56</v>
      </c>
      <c r="N2474">
        <v>4.0999999999999996</v>
      </c>
      <c r="O2474">
        <v>0</v>
      </c>
      <c r="P2474" t="s">
        <v>57</v>
      </c>
      <c r="Q2474" t="s">
        <v>155</v>
      </c>
      <c r="R2474" t="s">
        <v>155</v>
      </c>
      <c r="S2474">
        <v>31</v>
      </c>
      <c r="T2474" t="s">
        <v>42</v>
      </c>
      <c r="U2474" t="s">
        <v>52</v>
      </c>
      <c r="V2474" s="1">
        <v>45507</v>
      </c>
      <c r="W2474">
        <f>Table1[[#This Row],[customer_purchase count]]+1</f>
        <v>32</v>
      </c>
      <c r="X2474">
        <f>Table1[[#This Row],[customer_purchase count]]*Rules!$B$3</f>
        <v>1852.6951282051282</v>
      </c>
      <c r="Y2474" t="str">
        <f>IF(Table1[[#This Row],[customer_subscription]]=1,"Subscribed","Not Subscribed")</f>
        <v>Not Subscribed</v>
      </c>
    </row>
    <row r="2475" spans="1:26" x14ac:dyDescent="0.25">
      <c r="A2475">
        <v>2474</v>
      </c>
      <c r="B2475">
        <v>57</v>
      </c>
      <c r="C2475" t="s">
        <v>22</v>
      </c>
      <c r="D2475">
        <v>2474</v>
      </c>
      <c r="E2475" t="s">
        <v>128</v>
      </c>
      <c r="F2475" t="s">
        <v>24</v>
      </c>
      <c r="G2475">
        <v>2474</v>
      </c>
      <c r="H2475">
        <v>3167</v>
      </c>
      <c r="I2475">
        <v>98</v>
      </c>
      <c r="J2475" t="s">
        <v>75</v>
      </c>
      <c r="K2475" t="s">
        <v>47</v>
      </c>
      <c r="L2475" t="s">
        <v>111</v>
      </c>
      <c r="M2475" t="s">
        <v>28</v>
      </c>
      <c r="N2475">
        <v>2.6</v>
      </c>
      <c r="O2475">
        <v>0</v>
      </c>
      <c r="P2475" t="s">
        <v>48</v>
      </c>
      <c r="Q2475" t="s">
        <v>155</v>
      </c>
      <c r="R2475" t="s">
        <v>155</v>
      </c>
      <c r="S2475">
        <v>28</v>
      </c>
      <c r="T2475" t="s">
        <v>36</v>
      </c>
      <c r="U2475" t="s">
        <v>61</v>
      </c>
      <c r="V2475" s="1">
        <v>45323</v>
      </c>
      <c r="W2475">
        <f>Table1[[#This Row],[customer_purchase count]]+1</f>
        <v>29</v>
      </c>
      <c r="X2475">
        <f>Table1[[#This Row],[customer_purchase count]]*Rules!$B$3</f>
        <v>1673.4020512820514</v>
      </c>
      <c r="Y2475" t="str">
        <f>IF(Table1[[#This Row],[customer_subscription]]=1,"Subscribed","Not Subscribed")</f>
        <v>Not Subscribed</v>
      </c>
    </row>
    <row r="2476" spans="1:26" x14ac:dyDescent="0.25">
      <c r="A2476">
        <v>2475</v>
      </c>
      <c r="B2476">
        <v>23</v>
      </c>
      <c r="C2476" t="s">
        <v>22</v>
      </c>
      <c r="D2476">
        <v>2475</v>
      </c>
      <c r="E2476" t="s">
        <v>116</v>
      </c>
      <c r="F2476" t="s">
        <v>24</v>
      </c>
      <c r="G2476">
        <v>2475</v>
      </c>
      <c r="H2476">
        <v>3169</v>
      </c>
      <c r="I2476">
        <v>76</v>
      </c>
      <c r="J2476" t="s">
        <v>101</v>
      </c>
      <c r="K2476" t="s">
        <v>47</v>
      </c>
      <c r="L2476" t="s">
        <v>81</v>
      </c>
      <c r="M2476" t="s">
        <v>60</v>
      </c>
      <c r="N2476">
        <v>3.2</v>
      </c>
      <c r="O2476">
        <v>0</v>
      </c>
      <c r="P2476" t="s">
        <v>77</v>
      </c>
      <c r="Q2476" t="s">
        <v>155</v>
      </c>
      <c r="R2476" t="s">
        <v>155</v>
      </c>
      <c r="S2476">
        <v>19</v>
      </c>
      <c r="T2476" t="s">
        <v>78</v>
      </c>
      <c r="U2476" t="s">
        <v>61</v>
      </c>
      <c r="V2476" s="1">
        <v>45579</v>
      </c>
      <c r="W2476">
        <f>Table1[[#This Row],[customer_purchase count]]+1</f>
        <v>20</v>
      </c>
      <c r="X2476">
        <f>Table1[[#This Row],[customer_purchase count]]*Rules!$B$3</f>
        <v>1135.5228205128205</v>
      </c>
      <c r="Y2476" t="str">
        <f>IF(Table1[[#This Row],[customer_subscription]]=1,"Subscribed","Not Subscribed")</f>
        <v>Not Subscribed</v>
      </c>
    </row>
    <row r="2477" spans="1:26" x14ac:dyDescent="0.25">
      <c r="A2477">
        <v>2476</v>
      </c>
      <c r="B2477">
        <v>69</v>
      </c>
      <c r="C2477" t="s">
        <v>22</v>
      </c>
      <c r="D2477">
        <v>2476</v>
      </c>
      <c r="E2477" t="s">
        <v>84</v>
      </c>
      <c r="F2477" t="s">
        <v>24</v>
      </c>
      <c r="G2477">
        <v>2476</v>
      </c>
      <c r="H2477">
        <v>3170</v>
      </c>
      <c r="I2477">
        <v>43</v>
      </c>
      <c r="J2477" t="s">
        <v>102</v>
      </c>
      <c r="K2477" t="s">
        <v>39</v>
      </c>
      <c r="L2477" t="s">
        <v>96</v>
      </c>
      <c r="M2477" t="s">
        <v>56</v>
      </c>
      <c r="N2477">
        <v>3.5</v>
      </c>
      <c r="O2477">
        <v>0</v>
      </c>
      <c r="P2477" t="s">
        <v>48</v>
      </c>
      <c r="Q2477" t="s">
        <v>155</v>
      </c>
      <c r="R2477" t="s">
        <v>155</v>
      </c>
      <c r="S2477">
        <v>36</v>
      </c>
      <c r="T2477" t="s">
        <v>31</v>
      </c>
      <c r="U2477" t="s">
        <v>91</v>
      </c>
      <c r="V2477" s="1">
        <v>45516</v>
      </c>
      <c r="W2477">
        <f>Table1[[#This Row],[customer_purchase count]]+1</f>
        <v>37</v>
      </c>
      <c r="X2477">
        <f>Table1[[#This Row],[customer_purchase count]]*Rules!$B$3</f>
        <v>2151.5169230769234</v>
      </c>
      <c r="Y2477" t="str">
        <f>IF(Table1[[#This Row],[customer_subscription]]=1,"Subscribed","Not Subscribed")</f>
        <v>Not Subscribed</v>
      </c>
    </row>
    <row r="2478" spans="1:26" x14ac:dyDescent="0.25">
      <c r="A2478">
        <v>2477</v>
      </c>
      <c r="B2478">
        <v>60</v>
      </c>
      <c r="C2478" t="s">
        <v>22</v>
      </c>
      <c r="D2478">
        <v>2477</v>
      </c>
      <c r="E2478" t="s">
        <v>127</v>
      </c>
      <c r="F2478" t="s">
        <v>70</v>
      </c>
      <c r="G2478">
        <v>2477</v>
      </c>
      <c r="H2478">
        <v>3171</v>
      </c>
      <c r="I2478">
        <v>60</v>
      </c>
      <c r="J2478" t="s">
        <v>115</v>
      </c>
      <c r="K2478" t="s">
        <v>47</v>
      </c>
      <c r="L2478" t="s">
        <v>51</v>
      </c>
      <c r="M2478" t="s">
        <v>56</v>
      </c>
      <c r="N2478">
        <v>3.7</v>
      </c>
      <c r="O2478">
        <v>0</v>
      </c>
      <c r="P2478" t="s">
        <v>48</v>
      </c>
      <c r="Q2478" t="s">
        <v>155</v>
      </c>
      <c r="R2478" t="s">
        <v>155</v>
      </c>
      <c r="S2478">
        <v>28</v>
      </c>
      <c r="T2478" t="s">
        <v>36</v>
      </c>
      <c r="U2478" t="s">
        <v>91</v>
      </c>
      <c r="V2478" s="1">
        <v>45480</v>
      </c>
      <c r="W2478">
        <f>Table1[[#This Row],[customer_purchase count]]+1</f>
        <v>29</v>
      </c>
      <c r="X2478">
        <f>Table1[[#This Row],[customer_purchase count]]*Rules!$B$3</f>
        <v>1673.4020512820514</v>
      </c>
      <c r="Y2478" t="str">
        <f>IF(Table1[[#This Row],[customer_subscription]]=1,"Subscribed","Not Subscribed")</f>
        <v>Not Subscribed</v>
      </c>
    </row>
    <row r="2479" spans="1:26" x14ac:dyDescent="0.25">
      <c r="A2479">
        <v>2478</v>
      </c>
      <c r="B2479">
        <v>25</v>
      </c>
      <c r="C2479" t="s">
        <v>22</v>
      </c>
      <c r="D2479">
        <v>2478</v>
      </c>
      <c r="E2479" t="s">
        <v>146</v>
      </c>
      <c r="F2479" t="s">
        <v>70</v>
      </c>
      <c r="G2479">
        <v>2478</v>
      </c>
      <c r="H2479">
        <v>3172</v>
      </c>
      <c r="I2479">
        <v>40</v>
      </c>
      <c r="J2479" t="s">
        <v>102</v>
      </c>
      <c r="K2479" t="s">
        <v>26</v>
      </c>
      <c r="L2479" t="s">
        <v>51</v>
      </c>
      <c r="M2479" t="s">
        <v>40</v>
      </c>
      <c r="N2479">
        <v>3.8</v>
      </c>
      <c r="O2479">
        <v>0</v>
      </c>
      <c r="P2479" t="s">
        <v>73</v>
      </c>
      <c r="Q2479" t="s">
        <v>155</v>
      </c>
      <c r="R2479" t="s">
        <v>155</v>
      </c>
      <c r="S2479">
        <v>29</v>
      </c>
      <c r="T2479" t="s">
        <v>49</v>
      </c>
      <c r="U2479" t="s">
        <v>43</v>
      </c>
      <c r="V2479" s="1">
        <v>45353</v>
      </c>
      <c r="W2479">
        <f>Table1[[#This Row],[customer_purchase count]]+1</f>
        <v>30</v>
      </c>
      <c r="X2479">
        <f>Table1[[#This Row],[customer_purchase count]]*Rules!$B$3</f>
        <v>1733.1664102564102</v>
      </c>
      <c r="Y2479" t="str">
        <f>IF(Table1[[#This Row],[customer_subscription]]=1,"Subscribed","Not Subscribed")</f>
        <v>Not Subscribed</v>
      </c>
    </row>
    <row r="2480" spans="1:26" x14ac:dyDescent="0.25">
      <c r="A2480">
        <v>2479</v>
      </c>
      <c r="B2480">
        <v>18</v>
      </c>
      <c r="C2480" t="s">
        <v>22</v>
      </c>
      <c r="D2480">
        <v>2479</v>
      </c>
      <c r="E2480" t="s">
        <v>128</v>
      </c>
      <c r="F2480" t="s">
        <v>24</v>
      </c>
      <c r="G2480">
        <v>2479</v>
      </c>
      <c r="H2480">
        <v>3173</v>
      </c>
      <c r="I2480">
        <v>93</v>
      </c>
      <c r="J2480" t="s">
        <v>132</v>
      </c>
      <c r="K2480" t="s">
        <v>39</v>
      </c>
      <c r="L2480" t="s">
        <v>35</v>
      </c>
      <c r="M2480" t="s">
        <v>28</v>
      </c>
      <c r="N2480">
        <v>4.8</v>
      </c>
      <c r="O2480">
        <v>0</v>
      </c>
      <c r="P2480" t="s">
        <v>73</v>
      </c>
      <c r="Q2480" t="s">
        <v>155</v>
      </c>
      <c r="R2480" t="s">
        <v>155</v>
      </c>
      <c r="S2480">
        <v>9</v>
      </c>
      <c r="T2480" t="s">
        <v>78</v>
      </c>
      <c r="U2480" t="s">
        <v>100</v>
      </c>
      <c r="V2480" s="1">
        <v>45636</v>
      </c>
      <c r="W2480">
        <f>Table1[[#This Row],[customer_purchase count]]+1</f>
        <v>10</v>
      </c>
      <c r="X2480">
        <f>Table1[[#This Row],[customer_purchase count]]*Rules!$B$3</f>
        <v>537.87923076923084</v>
      </c>
      <c r="Y2480" t="str">
        <f>IF(Table1[[#This Row],[customer_subscription]]=1,"Subscribed","Not Subscribed")</f>
        <v>Not Subscribed</v>
      </c>
      <c r="Z2480" t="s">
        <v>187</v>
      </c>
    </row>
    <row r="2481" spans="1:26" x14ac:dyDescent="0.25">
      <c r="A2481">
        <v>2480</v>
      </c>
      <c r="B2481">
        <v>37</v>
      </c>
      <c r="C2481" t="s">
        <v>22</v>
      </c>
      <c r="D2481">
        <v>2480</v>
      </c>
      <c r="E2481" t="s">
        <v>84</v>
      </c>
      <c r="F2481" t="s">
        <v>24</v>
      </c>
      <c r="G2481">
        <v>2480</v>
      </c>
      <c r="H2481">
        <v>3175</v>
      </c>
      <c r="I2481">
        <v>98</v>
      </c>
      <c r="J2481" t="s">
        <v>114</v>
      </c>
      <c r="K2481" t="s">
        <v>39</v>
      </c>
      <c r="L2481" t="s">
        <v>81</v>
      </c>
      <c r="M2481" t="s">
        <v>60</v>
      </c>
      <c r="N2481">
        <v>4.2</v>
      </c>
      <c r="O2481">
        <v>0</v>
      </c>
      <c r="P2481" t="s">
        <v>57</v>
      </c>
      <c r="Q2481" t="s">
        <v>155</v>
      </c>
      <c r="R2481" t="s">
        <v>155</v>
      </c>
      <c r="S2481">
        <v>26</v>
      </c>
      <c r="T2481" t="s">
        <v>42</v>
      </c>
      <c r="U2481" t="s">
        <v>100</v>
      </c>
      <c r="V2481" s="1">
        <v>45603</v>
      </c>
      <c r="W2481">
        <f>Table1[[#This Row],[customer_purchase count]]+1</f>
        <v>27</v>
      </c>
      <c r="X2481">
        <f>Table1[[#This Row],[customer_purchase count]]*Rules!$B$3</f>
        <v>1553.8733333333334</v>
      </c>
      <c r="Y2481" t="str">
        <f>IF(Table1[[#This Row],[customer_subscription]]=1,"Subscribed","Not Subscribed")</f>
        <v>Not Subscribed</v>
      </c>
    </row>
    <row r="2482" spans="1:26" x14ac:dyDescent="0.25">
      <c r="A2482">
        <v>2481</v>
      </c>
      <c r="B2482">
        <v>61</v>
      </c>
      <c r="C2482" t="s">
        <v>22</v>
      </c>
      <c r="D2482">
        <v>2481</v>
      </c>
      <c r="E2482" t="s">
        <v>128</v>
      </c>
      <c r="F2482" t="s">
        <v>24</v>
      </c>
      <c r="G2482">
        <v>2481</v>
      </c>
      <c r="H2482">
        <v>3176</v>
      </c>
      <c r="I2482">
        <v>91</v>
      </c>
      <c r="J2482" t="s">
        <v>126</v>
      </c>
      <c r="K2482" t="s">
        <v>95</v>
      </c>
      <c r="L2482" t="s">
        <v>35</v>
      </c>
      <c r="M2482" t="s">
        <v>56</v>
      </c>
      <c r="N2482">
        <v>2.9</v>
      </c>
      <c r="O2482">
        <v>0</v>
      </c>
      <c r="P2482" t="s">
        <v>48</v>
      </c>
      <c r="Q2482" t="s">
        <v>155</v>
      </c>
      <c r="R2482" t="s">
        <v>155</v>
      </c>
      <c r="S2482">
        <v>7</v>
      </c>
      <c r="T2482" t="s">
        <v>42</v>
      </c>
      <c r="U2482" t="s">
        <v>32</v>
      </c>
      <c r="V2482" s="1">
        <v>45492</v>
      </c>
      <c r="W2482">
        <f>Table1[[#This Row],[customer_purchase count]]+1</f>
        <v>8</v>
      </c>
      <c r="X2482">
        <f>Table1[[#This Row],[customer_purchase count]]*Rules!$B$3</f>
        <v>418.35051282051285</v>
      </c>
      <c r="Y2482" t="str">
        <f>IF(Table1[[#This Row],[customer_subscription]]=1,"Subscribed","Not Subscribed")</f>
        <v>Not Subscribed</v>
      </c>
      <c r="Z2482" t="s">
        <v>194</v>
      </c>
    </row>
    <row r="2483" spans="1:26" x14ac:dyDescent="0.25">
      <c r="A2483">
        <v>2482</v>
      </c>
      <c r="B2483">
        <v>41</v>
      </c>
      <c r="C2483" t="s">
        <v>22</v>
      </c>
      <c r="D2483">
        <v>2482</v>
      </c>
      <c r="E2483" t="s">
        <v>136</v>
      </c>
      <c r="F2483" t="s">
        <v>70</v>
      </c>
      <c r="G2483">
        <v>2482</v>
      </c>
      <c r="H2483">
        <v>3177</v>
      </c>
      <c r="I2483">
        <v>92</v>
      </c>
      <c r="J2483" t="s">
        <v>130</v>
      </c>
      <c r="K2483" t="s">
        <v>95</v>
      </c>
      <c r="L2483" t="s">
        <v>112</v>
      </c>
      <c r="M2483" t="s">
        <v>60</v>
      </c>
      <c r="N2483">
        <v>2.9</v>
      </c>
      <c r="O2483">
        <v>0</v>
      </c>
      <c r="P2483" t="s">
        <v>41</v>
      </c>
      <c r="Q2483" t="s">
        <v>155</v>
      </c>
      <c r="R2483" t="s">
        <v>155</v>
      </c>
      <c r="S2483">
        <v>35</v>
      </c>
      <c r="T2483" t="s">
        <v>89</v>
      </c>
      <c r="U2483" t="s">
        <v>43</v>
      </c>
      <c r="V2483" s="1">
        <v>45599</v>
      </c>
      <c r="W2483">
        <f>Table1[[#This Row],[customer_purchase count]]+1</f>
        <v>36</v>
      </c>
      <c r="X2483">
        <f>Table1[[#This Row],[customer_purchase count]]*Rules!$B$3</f>
        <v>2091.7525641025641</v>
      </c>
      <c r="Y2483" t="str">
        <f>IF(Table1[[#This Row],[customer_subscription]]=1,"Subscribed","Not Subscribed")</f>
        <v>Not Subscribed</v>
      </c>
    </row>
    <row r="2484" spans="1:26" x14ac:dyDescent="0.25">
      <c r="A2484">
        <v>2483</v>
      </c>
      <c r="B2484">
        <v>69</v>
      </c>
      <c r="C2484" t="s">
        <v>22</v>
      </c>
      <c r="D2484">
        <v>2483</v>
      </c>
      <c r="E2484" t="s">
        <v>69</v>
      </c>
      <c r="F2484" t="s">
        <v>70</v>
      </c>
      <c r="G2484">
        <v>2483</v>
      </c>
      <c r="H2484">
        <v>3178</v>
      </c>
      <c r="I2484">
        <v>87</v>
      </c>
      <c r="J2484" t="s">
        <v>120</v>
      </c>
      <c r="K2484" t="s">
        <v>39</v>
      </c>
      <c r="L2484" t="s">
        <v>103</v>
      </c>
      <c r="M2484" t="s">
        <v>28</v>
      </c>
      <c r="N2484">
        <v>4.8</v>
      </c>
      <c r="O2484">
        <v>0</v>
      </c>
      <c r="P2484" t="s">
        <v>48</v>
      </c>
      <c r="Q2484" t="s">
        <v>155</v>
      </c>
      <c r="R2484" t="s">
        <v>155</v>
      </c>
      <c r="S2484">
        <v>46</v>
      </c>
      <c r="T2484" t="s">
        <v>42</v>
      </c>
      <c r="U2484" t="s">
        <v>100</v>
      </c>
      <c r="V2484" s="1">
        <v>45298</v>
      </c>
      <c r="W2484">
        <f>Table1[[#This Row],[customer_purchase count]]+1</f>
        <v>47</v>
      </c>
      <c r="X2484">
        <f>Table1[[#This Row],[customer_purchase count]]*Rules!$B$3</f>
        <v>2749.1605128205128</v>
      </c>
      <c r="Y2484" t="str">
        <f>IF(Table1[[#This Row],[customer_subscription]]=1,"Subscribed","Not Subscribed")</f>
        <v>Not Subscribed</v>
      </c>
    </row>
    <row r="2485" spans="1:26" x14ac:dyDescent="0.25">
      <c r="A2485">
        <v>2484</v>
      </c>
      <c r="B2485">
        <v>32</v>
      </c>
      <c r="C2485" t="s">
        <v>22</v>
      </c>
      <c r="D2485">
        <v>2484</v>
      </c>
      <c r="E2485" t="s">
        <v>90</v>
      </c>
      <c r="F2485" t="s">
        <v>24</v>
      </c>
      <c r="G2485">
        <v>2484</v>
      </c>
      <c r="H2485">
        <v>3179</v>
      </c>
      <c r="I2485">
        <v>96</v>
      </c>
      <c r="J2485" t="s">
        <v>120</v>
      </c>
      <c r="K2485" t="s">
        <v>39</v>
      </c>
      <c r="L2485" t="s">
        <v>88</v>
      </c>
      <c r="M2485" t="s">
        <v>60</v>
      </c>
      <c r="N2485">
        <v>2.9</v>
      </c>
      <c r="O2485">
        <v>0</v>
      </c>
      <c r="P2485" t="s">
        <v>57</v>
      </c>
      <c r="Q2485" t="s">
        <v>155</v>
      </c>
      <c r="R2485" t="s">
        <v>155</v>
      </c>
      <c r="S2485">
        <v>8</v>
      </c>
      <c r="T2485" t="s">
        <v>89</v>
      </c>
      <c r="U2485" t="s">
        <v>91</v>
      </c>
      <c r="V2485" s="1">
        <v>45581</v>
      </c>
      <c r="W2485">
        <f>Table1[[#This Row],[customer_purchase count]]+1</f>
        <v>9</v>
      </c>
      <c r="X2485">
        <f>Table1[[#This Row],[customer_purchase count]]*Rules!$B$3</f>
        <v>478.11487179487182</v>
      </c>
      <c r="Y2485" t="str">
        <f>IF(Table1[[#This Row],[customer_subscription]]=1,"Subscribed","Not Subscribed")</f>
        <v>Not Subscribed</v>
      </c>
      <c r="Z2485" t="s">
        <v>194</v>
      </c>
    </row>
    <row r="2486" spans="1:26" x14ac:dyDescent="0.25">
      <c r="A2486">
        <v>2485</v>
      </c>
      <c r="B2486">
        <v>60</v>
      </c>
      <c r="C2486" t="s">
        <v>22</v>
      </c>
      <c r="D2486">
        <v>2485</v>
      </c>
      <c r="E2486" t="s">
        <v>107</v>
      </c>
      <c r="F2486" t="s">
        <v>24</v>
      </c>
      <c r="G2486">
        <v>2485</v>
      </c>
      <c r="H2486">
        <v>3181</v>
      </c>
      <c r="I2486">
        <v>97</v>
      </c>
      <c r="J2486" t="s">
        <v>85</v>
      </c>
      <c r="K2486" t="s">
        <v>47</v>
      </c>
      <c r="L2486" t="s">
        <v>99</v>
      </c>
      <c r="M2486" t="s">
        <v>56</v>
      </c>
      <c r="N2486">
        <v>4.8</v>
      </c>
      <c r="O2486">
        <v>0</v>
      </c>
      <c r="P2486" t="s">
        <v>73</v>
      </c>
      <c r="Q2486" t="s">
        <v>155</v>
      </c>
      <c r="R2486" t="s">
        <v>155</v>
      </c>
      <c r="S2486">
        <v>50</v>
      </c>
      <c r="T2486" t="s">
        <v>36</v>
      </c>
      <c r="U2486" t="s">
        <v>100</v>
      </c>
      <c r="V2486" s="1">
        <v>45462</v>
      </c>
      <c r="W2486">
        <f>Table1[[#This Row],[customer_purchase count]]+1</f>
        <v>51</v>
      </c>
      <c r="X2486">
        <f>Table1[[#This Row],[customer_purchase count]]*Rules!$B$3</f>
        <v>2988.2179487179487</v>
      </c>
      <c r="Y2486" t="str">
        <f>IF(Table1[[#This Row],[customer_subscription]]=1,"Subscribed","Not Subscribed")</f>
        <v>Not Subscribed</v>
      </c>
    </row>
    <row r="2487" spans="1:26" x14ac:dyDescent="0.25">
      <c r="A2487">
        <v>2486</v>
      </c>
      <c r="B2487">
        <v>43</v>
      </c>
      <c r="C2487" t="s">
        <v>22</v>
      </c>
      <c r="D2487">
        <v>2486</v>
      </c>
      <c r="E2487" t="s">
        <v>23</v>
      </c>
      <c r="F2487" t="s">
        <v>24</v>
      </c>
      <c r="G2487">
        <v>2486</v>
      </c>
      <c r="H2487">
        <v>3182</v>
      </c>
      <c r="I2487">
        <v>55</v>
      </c>
      <c r="J2487" t="s">
        <v>63</v>
      </c>
      <c r="K2487" t="s">
        <v>47</v>
      </c>
      <c r="L2487" t="s">
        <v>121</v>
      </c>
      <c r="M2487" t="s">
        <v>40</v>
      </c>
      <c r="N2487">
        <v>4.5999999999999996</v>
      </c>
      <c r="O2487">
        <v>0</v>
      </c>
      <c r="P2487" t="s">
        <v>73</v>
      </c>
      <c r="Q2487" t="s">
        <v>155</v>
      </c>
      <c r="R2487" t="s">
        <v>155</v>
      </c>
      <c r="S2487">
        <v>37</v>
      </c>
      <c r="T2487" t="s">
        <v>78</v>
      </c>
      <c r="U2487" t="s">
        <v>52</v>
      </c>
      <c r="V2487" s="1">
        <v>45435</v>
      </c>
      <c r="W2487">
        <f>Table1[[#This Row],[customer_purchase count]]+1</f>
        <v>38</v>
      </c>
      <c r="X2487">
        <f>Table1[[#This Row],[customer_purchase count]]*Rules!$B$3</f>
        <v>2211.2812820512822</v>
      </c>
      <c r="Y2487" t="str">
        <f>IF(Table1[[#This Row],[customer_subscription]]=1,"Subscribed","Not Subscribed")</f>
        <v>Not Subscribed</v>
      </c>
    </row>
    <row r="2488" spans="1:26" x14ac:dyDescent="0.25">
      <c r="A2488">
        <v>2487</v>
      </c>
      <c r="B2488">
        <v>61</v>
      </c>
      <c r="C2488" t="s">
        <v>22</v>
      </c>
      <c r="D2488">
        <v>2487</v>
      </c>
      <c r="E2488" t="s">
        <v>37</v>
      </c>
      <c r="F2488" t="s">
        <v>24</v>
      </c>
      <c r="G2488">
        <v>2487</v>
      </c>
      <c r="H2488">
        <v>3183</v>
      </c>
      <c r="I2488">
        <v>58</v>
      </c>
      <c r="J2488" t="s">
        <v>108</v>
      </c>
      <c r="K2488" t="s">
        <v>26</v>
      </c>
      <c r="L2488" t="s">
        <v>139</v>
      </c>
      <c r="M2488" t="s">
        <v>40</v>
      </c>
      <c r="N2488">
        <v>4.4000000000000004</v>
      </c>
      <c r="O2488">
        <v>0</v>
      </c>
      <c r="P2488" t="s">
        <v>77</v>
      </c>
      <c r="Q2488" t="s">
        <v>155</v>
      </c>
      <c r="R2488" t="s">
        <v>155</v>
      </c>
      <c r="S2488">
        <v>6</v>
      </c>
      <c r="T2488" t="s">
        <v>42</v>
      </c>
      <c r="U2488" t="s">
        <v>32</v>
      </c>
      <c r="V2488" s="1">
        <v>45363</v>
      </c>
      <c r="W2488">
        <f>Table1[[#This Row],[customer_purchase count]]+1</f>
        <v>7</v>
      </c>
      <c r="X2488">
        <f>Table1[[#This Row],[customer_purchase count]]*Rules!$B$3</f>
        <v>358.58615384615388</v>
      </c>
      <c r="Y2488" t="str">
        <f>IF(Table1[[#This Row],[customer_subscription]]=1,"Subscribed","Not Subscribed")</f>
        <v>Not Subscribed</v>
      </c>
      <c r="Z2488" t="s">
        <v>194</v>
      </c>
    </row>
    <row r="2489" spans="1:26" x14ac:dyDescent="0.25">
      <c r="A2489">
        <v>2488</v>
      </c>
      <c r="B2489">
        <v>57</v>
      </c>
      <c r="C2489" t="s">
        <v>22</v>
      </c>
      <c r="D2489">
        <v>2488</v>
      </c>
      <c r="E2489" t="s">
        <v>140</v>
      </c>
      <c r="F2489" t="s">
        <v>45</v>
      </c>
      <c r="G2489">
        <v>2488</v>
      </c>
      <c r="H2489">
        <v>3184</v>
      </c>
      <c r="I2489">
        <v>21</v>
      </c>
      <c r="J2489" t="s">
        <v>59</v>
      </c>
      <c r="K2489" t="s">
        <v>26</v>
      </c>
      <c r="L2489" t="s">
        <v>86</v>
      </c>
      <c r="M2489" t="s">
        <v>40</v>
      </c>
      <c r="N2489">
        <v>3</v>
      </c>
      <c r="O2489">
        <v>0</v>
      </c>
      <c r="P2489" t="s">
        <v>48</v>
      </c>
      <c r="Q2489" t="s">
        <v>155</v>
      </c>
      <c r="R2489" t="s">
        <v>155</v>
      </c>
      <c r="S2489">
        <v>16</v>
      </c>
      <c r="T2489" t="s">
        <v>49</v>
      </c>
      <c r="U2489" t="s">
        <v>79</v>
      </c>
      <c r="V2489" s="1">
        <v>45417</v>
      </c>
      <c r="W2489">
        <f>Table1[[#This Row],[customer_purchase count]]+1</f>
        <v>17</v>
      </c>
      <c r="X2489">
        <f>Table1[[#This Row],[customer_purchase count]]*Rules!$B$3</f>
        <v>956.22974358974363</v>
      </c>
      <c r="Y2489" t="str">
        <f>IF(Table1[[#This Row],[customer_subscription]]=1,"Subscribed","Not Subscribed")</f>
        <v>Not Subscribed</v>
      </c>
      <c r="Z2489" t="s">
        <v>194</v>
      </c>
    </row>
    <row r="2490" spans="1:26" x14ac:dyDescent="0.25">
      <c r="A2490">
        <v>2489</v>
      </c>
      <c r="B2490">
        <v>56</v>
      </c>
      <c r="C2490" t="s">
        <v>22</v>
      </c>
      <c r="D2490">
        <v>2489</v>
      </c>
      <c r="E2490" t="s">
        <v>69</v>
      </c>
      <c r="F2490" t="s">
        <v>70</v>
      </c>
      <c r="G2490">
        <v>2489</v>
      </c>
      <c r="H2490">
        <v>3185</v>
      </c>
      <c r="I2490">
        <v>82</v>
      </c>
      <c r="J2490" t="s">
        <v>85</v>
      </c>
      <c r="K2490" t="s">
        <v>95</v>
      </c>
      <c r="L2490" t="s">
        <v>64</v>
      </c>
      <c r="M2490" t="s">
        <v>56</v>
      </c>
      <c r="N2490">
        <v>4.4000000000000004</v>
      </c>
      <c r="O2490">
        <v>0</v>
      </c>
      <c r="P2490" t="s">
        <v>29</v>
      </c>
      <c r="Q2490" t="s">
        <v>155</v>
      </c>
      <c r="R2490" t="s">
        <v>155</v>
      </c>
      <c r="S2490">
        <v>30</v>
      </c>
      <c r="T2490" t="s">
        <v>49</v>
      </c>
      <c r="U2490" t="s">
        <v>91</v>
      </c>
      <c r="V2490" s="1">
        <v>45444</v>
      </c>
      <c r="W2490">
        <f>Table1[[#This Row],[customer_purchase count]]+1</f>
        <v>31</v>
      </c>
      <c r="X2490">
        <f>Table1[[#This Row],[customer_purchase count]]*Rules!$B$3</f>
        <v>1792.9307692307693</v>
      </c>
      <c r="Y2490" t="str">
        <f>IF(Table1[[#This Row],[customer_subscription]]=1,"Subscribed","Not Subscribed")</f>
        <v>Not Subscribed</v>
      </c>
    </row>
    <row r="2491" spans="1:26" x14ac:dyDescent="0.25">
      <c r="A2491">
        <v>2490</v>
      </c>
      <c r="B2491">
        <v>66</v>
      </c>
      <c r="C2491" t="s">
        <v>22</v>
      </c>
      <c r="D2491">
        <v>2490</v>
      </c>
      <c r="E2491" t="s">
        <v>65</v>
      </c>
      <c r="F2491" t="s">
        <v>66</v>
      </c>
      <c r="G2491">
        <v>2490</v>
      </c>
      <c r="H2491">
        <v>3187</v>
      </c>
      <c r="I2491">
        <v>34</v>
      </c>
      <c r="J2491" t="s">
        <v>150</v>
      </c>
      <c r="K2491" t="s">
        <v>47</v>
      </c>
      <c r="L2491" t="s">
        <v>99</v>
      </c>
      <c r="M2491" t="s">
        <v>28</v>
      </c>
      <c r="N2491">
        <v>3.9</v>
      </c>
      <c r="O2491">
        <v>0</v>
      </c>
      <c r="P2491" t="s">
        <v>29</v>
      </c>
      <c r="Q2491" t="s">
        <v>155</v>
      </c>
      <c r="R2491" t="s">
        <v>155</v>
      </c>
      <c r="S2491">
        <v>50</v>
      </c>
      <c r="T2491" t="s">
        <v>31</v>
      </c>
      <c r="U2491" t="s">
        <v>61</v>
      </c>
      <c r="V2491" s="1">
        <v>45637</v>
      </c>
      <c r="W2491">
        <f>Table1[[#This Row],[customer_purchase count]]+1</f>
        <v>51</v>
      </c>
      <c r="X2491">
        <f>Table1[[#This Row],[customer_purchase count]]*Rules!$B$3</f>
        <v>2988.2179487179487</v>
      </c>
      <c r="Y2491" t="str">
        <f>IF(Table1[[#This Row],[customer_subscription]]=1,"Subscribed","Not Subscribed")</f>
        <v>Not Subscribed</v>
      </c>
    </row>
    <row r="2492" spans="1:26" x14ac:dyDescent="0.25">
      <c r="A2492">
        <v>2491</v>
      </c>
      <c r="B2492">
        <v>52</v>
      </c>
      <c r="C2492" t="s">
        <v>22</v>
      </c>
      <c r="D2492">
        <v>2491</v>
      </c>
      <c r="E2492" t="s">
        <v>23</v>
      </c>
      <c r="F2492" t="s">
        <v>24</v>
      </c>
      <c r="G2492">
        <v>2491</v>
      </c>
      <c r="H2492">
        <v>3188</v>
      </c>
      <c r="I2492">
        <v>78</v>
      </c>
      <c r="J2492" t="s">
        <v>59</v>
      </c>
      <c r="K2492" t="s">
        <v>47</v>
      </c>
      <c r="L2492" t="s">
        <v>27</v>
      </c>
      <c r="M2492" t="s">
        <v>40</v>
      </c>
      <c r="N2492">
        <v>4</v>
      </c>
      <c r="O2492">
        <v>0</v>
      </c>
      <c r="P2492" t="s">
        <v>41</v>
      </c>
      <c r="Q2492" t="s">
        <v>155</v>
      </c>
      <c r="R2492" t="s">
        <v>155</v>
      </c>
      <c r="S2492">
        <v>5</v>
      </c>
      <c r="T2492" t="s">
        <v>36</v>
      </c>
      <c r="U2492" t="s">
        <v>100</v>
      </c>
      <c r="V2492" s="1">
        <v>45428</v>
      </c>
      <c r="W2492">
        <f>Table1[[#This Row],[customer_purchase count]]+1</f>
        <v>6</v>
      </c>
      <c r="X2492">
        <f>Table1[[#This Row],[customer_purchase count]]*Rules!$B$3</f>
        <v>298.82179487179491</v>
      </c>
      <c r="Y2492" t="str">
        <f>IF(Table1[[#This Row],[customer_subscription]]=1,"Subscribed","Not Subscribed")</f>
        <v>Not Subscribed</v>
      </c>
      <c r="Z2492" t="s">
        <v>194</v>
      </c>
    </row>
    <row r="2493" spans="1:26" x14ac:dyDescent="0.25">
      <c r="A2493">
        <v>2492</v>
      </c>
      <c r="B2493">
        <v>63</v>
      </c>
      <c r="C2493" t="s">
        <v>22</v>
      </c>
      <c r="D2493">
        <v>2492</v>
      </c>
      <c r="E2493" t="s">
        <v>69</v>
      </c>
      <c r="F2493" t="s">
        <v>70</v>
      </c>
      <c r="G2493">
        <v>2492</v>
      </c>
      <c r="H2493">
        <v>3189</v>
      </c>
      <c r="I2493">
        <v>47</v>
      </c>
      <c r="J2493" t="s">
        <v>101</v>
      </c>
      <c r="K2493" t="s">
        <v>47</v>
      </c>
      <c r="L2493" t="s">
        <v>139</v>
      </c>
      <c r="M2493" t="s">
        <v>40</v>
      </c>
      <c r="N2493">
        <v>2.5</v>
      </c>
      <c r="O2493">
        <v>0</v>
      </c>
      <c r="P2493" t="s">
        <v>29</v>
      </c>
      <c r="Q2493" t="s">
        <v>155</v>
      </c>
      <c r="R2493" t="s">
        <v>155</v>
      </c>
      <c r="S2493">
        <v>15</v>
      </c>
      <c r="T2493" t="s">
        <v>78</v>
      </c>
      <c r="U2493" t="s">
        <v>91</v>
      </c>
      <c r="V2493" s="1">
        <v>45437</v>
      </c>
      <c r="W2493">
        <f>Table1[[#This Row],[customer_purchase count]]+1</f>
        <v>16</v>
      </c>
      <c r="X2493">
        <f>Table1[[#This Row],[customer_purchase count]]*Rules!$B$3</f>
        <v>896.46538461538466</v>
      </c>
      <c r="Y2493" t="str">
        <f>IF(Table1[[#This Row],[customer_subscription]]=1,"Subscribed","Not Subscribed")</f>
        <v>Not Subscribed</v>
      </c>
      <c r="Z2493" t="s">
        <v>194</v>
      </c>
    </row>
    <row r="2494" spans="1:26" x14ac:dyDescent="0.25">
      <c r="A2494">
        <v>2493</v>
      </c>
      <c r="B2494">
        <v>50</v>
      </c>
      <c r="C2494" t="s">
        <v>22</v>
      </c>
      <c r="D2494">
        <v>2493</v>
      </c>
      <c r="E2494" t="s">
        <v>92</v>
      </c>
      <c r="F2494" t="s">
        <v>70</v>
      </c>
      <c r="G2494">
        <v>2493</v>
      </c>
      <c r="H2494">
        <v>3190</v>
      </c>
      <c r="I2494">
        <v>96</v>
      </c>
      <c r="J2494" t="s">
        <v>150</v>
      </c>
      <c r="K2494" t="s">
        <v>39</v>
      </c>
      <c r="L2494" t="s">
        <v>68</v>
      </c>
      <c r="M2494" t="s">
        <v>56</v>
      </c>
      <c r="N2494">
        <v>4.0999999999999996</v>
      </c>
      <c r="O2494">
        <v>0</v>
      </c>
      <c r="P2494" t="s">
        <v>48</v>
      </c>
      <c r="Q2494" t="s">
        <v>155</v>
      </c>
      <c r="R2494" t="s">
        <v>155</v>
      </c>
      <c r="S2494">
        <v>34</v>
      </c>
      <c r="T2494" t="s">
        <v>78</v>
      </c>
      <c r="U2494" t="s">
        <v>79</v>
      </c>
      <c r="V2494" s="1">
        <v>45500</v>
      </c>
      <c r="W2494">
        <f>Table1[[#This Row],[customer_purchase count]]+1</f>
        <v>35</v>
      </c>
      <c r="X2494">
        <f>Table1[[#This Row],[customer_purchase count]]*Rules!$B$3</f>
        <v>2031.9882051282052</v>
      </c>
      <c r="Y2494" t="str">
        <f>IF(Table1[[#This Row],[customer_subscription]]=1,"Subscribed","Not Subscribed")</f>
        <v>Not Subscribed</v>
      </c>
    </row>
    <row r="2495" spans="1:26" x14ac:dyDescent="0.25">
      <c r="A2495">
        <v>2494</v>
      </c>
      <c r="B2495">
        <v>21</v>
      </c>
      <c r="C2495" t="s">
        <v>22</v>
      </c>
      <c r="D2495">
        <v>2494</v>
      </c>
      <c r="E2495" t="s">
        <v>128</v>
      </c>
      <c r="F2495" t="s">
        <v>24</v>
      </c>
      <c r="G2495">
        <v>2494</v>
      </c>
      <c r="H2495">
        <v>3191</v>
      </c>
      <c r="I2495">
        <v>23</v>
      </c>
      <c r="J2495" t="s">
        <v>34</v>
      </c>
      <c r="K2495" t="s">
        <v>39</v>
      </c>
      <c r="L2495" t="s">
        <v>121</v>
      </c>
      <c r="M2495" t="s">
        <v>60</v>
      </c>
      <c r="N2495">
        <v>4.8</v>
      </c>
      <c r="O2495">
        <v>0</v>
      </c>
      <c r="P2495" t="s">
        <v>73</v>
      </c>
      <c r="Q2495" t="s">
        <v>155</v>
      </c>
      <c r="R2495" t="s">
        <v>155</v>
      </c>
      <c r="S2495">
        <v>6</v>
      </c>
      <c r="T2495" t="s">
        <v>31</v>
      </c>
      <c r="U2495" t="s">
        <v>100</v>
      </c>
      <c r="V2495" s="1">
        <v>45593</v>
      </c>
      <c r="W2495">
        <f>Table1[[#This Row],[customer_purchase count]]+1</f>
        <v>7</v>
      </c>
      <c r="X2495">
        <f>Table1[[#This Row],[customer_purchase count]]*Rules!$B$3</f>
        <v>358.58615384615388</v>
      </c>
      <c r="Y2495" t="str">
        <f>IF(Table1[[#This Row],[customer_subscription]]=1,"Subscribed","Not Subscribed")</f>
        <v>Not Subscribed</v>
      </c>
      <c r="Z2495" t="s">
        <v>194</v>
      </c>
    </row>
    <row r="2496" spans="1:26" x14ac:dyDescent="0.25">
      <c r="A2496">
        <v>2495</v>
      </c>
      <c r="B2496">
        <v>42</v>
      </c>
      <c r="C2496" t="s">
        <v>22</v>
      </c>
      <c r="D2496">
        <v>2495</v>
      </c>
      <c r="E2496" t="s">
        <v>74</v>
      </c>
      <c r="F2496" t="s">
        <v>45</v>
      </c>
      <c r="G2496">
        <v>2495</v>
      </c>
      <c r="H2496">
        <v>3193</v>
      </c>
      <c r="I2496">
        <v>27</v>
      </c>
      <c r="J2496" t="s">
        <v>104</v>
      </c>
      <c r="K2496" t="s">
        <v>39</v>
      </c>
      <c r="L2496" t="s">
        <v>103</v>
      </c>
      <c r="M2496" t="s">
        <v>28</v>
      </c>
      <c r="N2496">
        <v>2.6</v>
      </c>
      <c r="O2496">
        <v>0</v>
      </c>
      <c r="P2496" t="s">
        <v>77</v>
      </c>
      <c r="Q2496" t="s">
        <v>155</v>
      </c>
      <c r="R2496" t="s">
        <v>155</v>
      </c>
      <c r="S2496">
        <v>26</v>
      </c>
      <c r="T2496" t="s">
        <v>89</v>
      </c>
      <c r="U2496" t="s">
        <v>52</v>
      </c>
      <c r="V2496" s="1">
        <v>45637</v>
      </c>
      <c r="W2496">
        <f>Table1[[#This Row],[customer_purchase count]]+1</f>
        <v>27</v>
      </c>
      <c r="X2496">
        <f>Table1[[#This Row],[customer_purchase count]]*Rules!$B$3</f>
        <v>1553.8733333333334</v>
      </c>
      <c r="Y2496" t="str">
        <f>IF(Table1[[#This Row],[customer_subscription]]=1,"Subscribed","Not Subscribed")</f>
        <v>Not Subscribed</v>
      </c>
    </row>
    <row r="2497" spans="1:26" x14ac:dyDescent="0.25">
      <c r="A2497">
        <v>2496</v>
      </c>
      <c r="B2497">
        <v>40</v>
      </c>
      <c r="C2497" t="s">
        <v>22</v>
      </c>
      <c r="D2497">
        <v>2496</v>
      </c>
      <c r="E2497" t="s">
        <v>135</v>
      </c>
      <c r="F2497" t="s">
        <v>70</v>
      </c>
      <c r="G2497">
        <v>2496</v>
      </c>
      <c r="H2497">
        <v>3194</v>
      </c>
      <c r="I2497">
        <v>37</v>
      </c>
      <c r="J2497" t="s">
        <v>148</v>
      </c>
      <c r="K2497" t="s">
        <v>95</v>
      </c>
      <c r="L2497" t="s">
        <v>124</v>
      </c>
      <c r="M2497" t="s">
        <v>40</v>
      </c>
      <c r="N2497">
        <v>3.1</v>
      </c>
      <c r="O2497">
        <v>0</v>
      </c>
      <c r="P2497" t="s">
        <v>41</v>
      </c>
      <c r="Q2497" t="s">
        <v>155</v>
      </c>
      <c r="R2497" t="s">
        <v>155</v>
      </c>
      <c r="S2497">
        <v>34</v>
      </c>
      <c r="T2497" t="s">
        <v>42</v>
      </c>
      <c r="U2497" t="s">
        <v>100</v>
      </c>
      <c r="V2497" s="1">
        <v>45428</v>
      </c>
      <c r="W2497">
        <f>Table1[[#This Row],[customer_purchase count]]+1</f>
        <v>35</v>
      </c>
      <c r="X2497">
        <f>Table1[[#This Row],[customer_purchase count]]*Rules!$B$3</f>
        <v>2031.9882051282052</v>
      </c>
      <c r="Y2497" t="str">
        <f>IF(Table1[[#This Row],[customer_subscription]]=1,"Subscribed","Not Subscribed")</f>
        <v>Not Subscribed</v>
      </c>
    </row>
    <row r="2498" spans="1:26" x14ac:dyDescent="0.25">
      <c r="A2498">
        <v>2497</v>
      </c>
      <c r="B2498">
        <v>67</v>
      </c>
      <c r="C2498" t="s">
        <v>22</v>
      </c>
      <c r="D2498">
        <v>2497</v>
      </c>
      <c r="E2498" t="s">
        <v>122</v>
      </c>
      <c r="F2498" t="s">
        <v>70</v>
      </c>
      <c r="G2498">
        <v>2497</v>
      </c>
      <c r="H2498">
        <v>3195</v>
      </c>
      <c r="I2498">
        <v>79</v>
      </c>
      <c r="J2498" t="s">
        <v>118</v>
      </c>
      <c r="K2498" t="s">
        <v>39</v>
      </c>
      <c r="L2498" t="s">
        <v>137</v>
      </c>
      <c r="M2498" t="s">
        <v>56</v>
      </c>
      <c r="N2498">
        <v>3.2</v>
      </c>
      <c r="O2498">
        <v>0</v>
      </c>
      <c r="P2498" t="s">
        <v>77</v>
      </c>
      <c r="Q2498" t="s">
        <v>155</v>
      </c>
      <c r="R2498" t="s">
        <v>155</v>
      </c>
      <c r="S2498">
        <v>37</v>
      </c>
      <c r="T2498" t="s">
        <v>42</v>
      </c>
      <c r="U2498" t="s">
        <v>43</v>
      </c>
      <c r="V2498" s="1">
        <v>45513</v>
      </c>
      <c r="W2498">
        <f>Table1[[#This Row],[customer_purchase count]]+1</f>
        <v>38</v>
      </c>
      <c r="X2498">
        <f>Table1[[#This Row],[customer_purchase count]]*Rules!$B$3</f>
        <v>2211.2812820512822</v>
      </c>
      <c r="Y2498" t="str">
        <f>IF(Table1[[#This Row],[customer_subscription]]=1,"Subscribed","Not Subscribed")</f>
        <v>Not Subscribed</v>
      </c>
    </row>
    <row r="2499" spans="1:26" x14ac:dyDescent="0.25">
      <c r="A2499">
        <v>2498</v>
      </c>
      <c r="B2499">
        <v>35</v>
      </c>
      <c r="C2499" t="s">
        <v>22</v>
      </c>
      <c r="D2499">
        <v>2498</v>
      </c>
      <c r="E2499" t="s">
        <v>135</v>
      </c>
      <c r="F2499" t="s">
        <v>70</v>
      </c>
      <c r="G2499">
        <v>2498</v>
      </c>
      <c r="H2499">
        <v>3196</v>
      </c>
      <c r="I2499">
        <v>40</v>
      </c>
      <c r="J2499" t="s">
        <v>115</v>
      </c>
      <c r="K2499" t="s">
        <v>47</v>
      </c>
      <c r="L2499" t="s">
        <v>86</v>
      </c>
      <c r="M2499" t="s">
        <v>56</v>
      </c>
      <c r="N2499">
        <v>4.2</v>
      </c>
      <c r="O2499">
        <v>0</v>
      </c>
      <c r="P2499" t="s">
        <v>57</v>
      </c>
      <c r="Q2499" t="s">
        <v>155</v>
      </c>
      <c r="R2499" t="s">
        <v>155</v>
      </c>
      <c r="S2499">
        <v>28</v>
      </c>
      <c r="T2499" t="s">
        <v>78</v>
      </c>
      <c r="U2499" t="s">
        <v>52</v>
      </c>
      <c r="V2499" s="1">
        <v>45486</v>
      </c>
      <c r="W2499">
        <f>Table1[[#This Row],[customer_purchase count]]+1</f>
        <v>29</v>
      </c>
      <c r="X2499">
        <f>Table1[[#This Row],[customer_purchase count]]*Rules!$B$3</f>
        <v>1673.4020512820514</v>
      </c>
      <c r="Y2499" t="str">
        <f>IF(Table1[[#This Row],[customer_subscription]]=1,"Subscribed","Not Subscribed")</f>
        <v>Not Subscribed</v>
      </c>
    </row>
    <row r="2500" spans="1:26" x14ac:dyDescent="0.25">
      <c r="A2500">
        <v>2499</v>
      </c>
      <c r="B2500">
        <v>18</v>
      </c>
      <c r="C2500" t="s">
        <v>22</v>
      </c>
      <c r="D2500">
        <v>2499</v>
      </c>
      <c r="E2500" t="s">
        <v>65</v>
      </c>
      <c r="F2500" t="s">
        <v>66</v>
      </c>
      <c r="G2500">
        <v>2499</v>
      </c>
      <c r="H2500">
        <v>3197</v>
      </c>
      <c r="I2500">
        <v>39</v>
      </c>
      <c r="J2500" t="s">
        <v>38</v>
      </c>
      <c r="K2500" t="s">
        <v>39</v>
      </c>
      <c r="L2500" t="s">
        <v>99</v>
      </c>
      <c r="M2500" t="s">
        <v>60</v>
      </c>
      <c r="N2500">
        <v>2.6</v>
      </c>
      <c r="O2500">
        <v>0</v>
      </c>
      <c r="P2500" t="s">
        <v>48</v>
      </c>
      <c r="Q2500" t="s">
        <v>155</v>
      </c>
      <c r="R2500" t="s">
        <v>155</v>
      </c>
      <c r="S2500">
        <v>38</v>
      </c>
      <c r="T2500" t="s">
        <v>36</v>
      </c>
      <c r="U2500" t="s">
        <v>32</v>
      </c>
      <c r="V2500" s="1">
        <v>45542</v>
      </c>
      <c r="W2500">
        <f>Table1[[#This Row],[customer_purchase count]]+1</f>
        <v>39</v>
      </c>
      <c r="X2500">
        <f>Table1[[#This Row],[customer_purchase count]]*Rules!$B$3</f>
        <v>2271.0456410256411</v>
      </c>
      <c r="Y2500" t="str">
        <f>IF(Table1[[#This Row],[customer_subscription]]=1,"Subscribed","Not Subscribed")</f>
        <v>Not Subscribed</v>
      </c>
    </row>
    <row r="2501" spans="1:26" x14ac:dyDescent="0.25">
      <c r="A2501">
        <v>2500</v>
      </c>
      <c r="B2501">
        <v>52</v>
      </c>
      <c r="C2501" t="s">
        <v>22</v>
      </c>
      <c r="D2501">
        <v>2500</v>
      </c>
      <c r="E2501" t="s">
        <v>107</v>
      </c>
      <c r="F2501" t="s">
        <v>24</v>
      </c>
      <c r="G2501">
        <v>2500</v>
      </c>
      <c r="H2501">
        <v>3199</v>
      </c>
      <c r="I2501">
        <v>73</v>
      </c>
      <c r="J2501" t="s">
        <v>63</v>
      </c>
      <c r="K2501" t="s">
        <v>26</v>
      </c>
      <c r="L2501" t="s">
        <v>72</v>
      </c>
      <c r="M2501" t="s">
        <v>56</v>
      </c>
      <c r="N2501">
        <v>3.1</v>
      </c>
      <c r="O2501">
        <v>0</v>
      </c>
      <c r="P2501" t="s">
        <v>48</v>
      </c>
      <c r="Q2501" t="s">
        <v>155</v>
      </c>
      <c r="R2501" t="s">
        <v>155</v>
      </c>
      <c r="S2501">
        <v>2</v>
      </c>
      <c r="T2501" t="s">
        <v>36</v>
      </c>
      <c r="U2501" t="s">
        <v>61</v>
      </c>
      <c r="V2501" s="1">
        <v>45491</v>
      </c>
      <c r="W2501">
        <f>Table1[[#This Row],[customer_purchase count]]+1</f>
        <v>3</v>
      </c>
      <c r="X2501">
        <f>Table1[[#This Row],[customer_purchase count]]*Rules!$B$3</f>
        <v>119.52871794871795</v>
      </c>
      <c r="Y2501" t="str">
        <f>IF(Table1[[#This Row],[customer_subscription]]=1,"Subscribed","Not Subscribed")</f>
        <v>Not Subscribed</v>
      </c>
      <c r="Z2501" t="s">
        <v>194</v>
      </c>
    </row>
    <row r="2502" spans="1:26" x14ac:dyDescent="0.25">
      <c r="A2502">
        <v>2501</v>
      </c>
      <c r="B2502">
        <v>59</v>
      </c>
      <c r="C2502" t="s">
        <v>22</v>
      </c>
      <c r="D2502">
        <v>2501</v>
      </c>
      <c r="E2502" t="s">
        <v>146</v>
      </c>
      <c r="F2502" t="s">
        <v>70</v>
      </c>
      <c r="G2502">
        <v>2501</v>
      </c>
      <c r="H2502">
        <v>3200</v>
      </c>
      <c r="I2502">
        <v>84</v>
      </c>
      <c r="J2502" t="s">
        <v>38</v>
      </c>
      <c r="K2502" t="s">
        <v>47</v>
      </c>
      <c r="L2502" t="s">
        <v>86</v>
      </c>
      <c r="M2502" t="s">
        <v>60</v>
      </c>
      <c r="N2502">
        <v>2.9</v>
      </c>
      <c r="O2502">
        <v>0</v>
      </c>
      <c r="P2502" t="s">
        <v>77</v>
      </c>
      <c r="Q2502" t="s">
        <v>155</v>
      </c>
      <c r="R2502" t="s">
        <v>155</v>
      </c>
      <c r="S2502">
        <v>32</v>
      </c>
      <c r="T2502" t="s">
        <v>36</v>
      </c>
      <c r="U2502" t="s">
        <v>79</v>
      </c>
      <c r="V2502" s="1">
        <v>45617</v>
      </c>
      <c r="W2502">
        <f>Table1[[#This Row],[customer_purchase count]]+1</f>
        <v>33</v>
      </c>
      <c r="X2502">
        <f>Table1[[#This Row],[customer_purchase count]]*Rules!$B$3</f>
        <v>1912.4594871794873</v>
      </c>
      <c r="Y2502" t="str">
        <f>IF(Table1[[#This Row],[customer_subscription]]=1,"Subscribed","Not Subscribed")</f>
        <v>Not Subscribed</v>
      </c>
    </row>
    <row r="2503" spans="1:26" x14ac:dyDescent="0.25">
      <c r="A2503">
        <v>2502</v>
      </c>
      <c r="B2503">
        <v>49</v>
      </c>
      <c r="C2503" t="s">
        <v>22</v>
      </c>
      <c r="D2503">
        <v>2502</v>
      </c>
      <c r="E2503" t="s">
        <v>62</v>
      </c>
      <c r="F2503" t="s">
        <v>24</v>
      </c>
      <c r="G2503">
        <v>2502</v>
      </c>
      <c r="H2503">
        <v>3201</v>
      </c>
      <c r="I2503">
        <v>94</v>
      </c>
      <c r="J2503" t="s">
        <v>67</v>
      </c>
      <c r="K2503" t="s">
        <v>47</v>
      </c>
      <c r="L2503" t="s">
        <v>86</v>
      </c>
      <c r="M2503" t="s">
        <v>60</v>
      </c>
      <c r="N2503">
        <v>4.5999999999999996</v>
      </c>
      <c r="O2503">
        <v>0</v>
      </c>
      <c r="P2503" t="s">
        <v>41</v>
      </c>
      <c r="Q2503" t="s">
        <v>155</v>
      </c>
      <c r="R2503" t="s">
        <v>155</v>
      </c>
      <c r="S2503">
        <v>30</v>
      </c>
      <c r="T2503" t="s">
        <v>31</v>
      </c>
      <c r="U2503" t="s">
        <v>79</v>
      </c>
      <c r="V2503" s="1">
        <v>45606</v>
      </c>
      <c r="W2503">
        <f>Table1[[#This Row],[customer_purchase count]]+1</f>
        <v>31</v>
      </c>
      <c r="X2503">
        <f>Table1[[#This Row],[customer_purchase count]]*Rules!$B$3</f>
        <v>1792.9307692307693</v>
      </c>
      <c r="Y2503" t="str">
        <f>IF(Table1[[#This Row],[customer_subscription]]=1,"Subscribed","Not Subscribed")</f>
        <v>Not Subscribed</v>
      </c>
    </row>
    <row r="2504" spans="1:26" x14ac:dyDescent="0.25">
      <c r="A2504">
        <v>2503</v>
      </c>
      <c r="B2504">
        <v>46</v>
      </c>
      <c r="C2504" t="s">
        <v>22</v>
      </c>
      <c r="D2504">
        <v>2503</v>
      </c>
      <c r="E2504" t="s">
        <v>90</v>
      </c>
      <c r="F2504" t="s">
        <v>24</v>
      </c>
      <c r="G2504">
        <v>2503</v>
      </c>
      <c r="H2504">
        <v>3202</v>
      </c>
      <c r="I2504">
        <v>47</v>
      </c>
      <c r="J2504" t="s">
        <v>138</v>
      </c>
      <c r="K2504" t="s">
        <v>26</v>
      </c>
      <c r="L2504" t="s">
        <v>72</v>
      </c>
      <c r="M2504" t="s">
        <v>40</v>
      </c>
      <c r="N2504">
        <v>4.0999999999999996</v>
      </c>
      <c r="O2504">
        <v>0</v>
      </c>
      <c r="P2504" t="s">
        <v>57</v>
      </c>
      <c r="Q2504" t="s">
        <v>155</v>
      </c>
      <c r="R2504" t="s">
        <v>155</v>
      </c>
      <c r="S2504">
        <v>17</v>
      </c>
      <c r="T2504" t="s">
        <v>49</v>
      </c>
      <c r="U2504" t="s">
        <v>100</v>
      </c>
      <c r="V2504" s="1">
        <v>45404</v>
      </c>
      <c r="W2504">
        <f>Table1[[#This Row],[customer_purchase count]]+1</f>
        <v>18</v>
      </c>
      <c r="X2504">
        <f>Table1[[#This Row],[customer_purchase count]]*Rules!$B$3</f>
        <v>1015.9941025641026</v>
      </c>
      <c r="Y2504" t="str">
        <f>IF(Table1[[#This Row],[customer_subscription]]=1,"Subscribed","Not Subscribed")</f>
        <v>Not Subscribed</v>
      </c>
      <c r="Z2504" t="s">
        <v>194</v>
      </c>
    </row>
    <row r="2505" spans="1:26" x14ac:dyDescent="0.25">
      <c r="A2505">
        <v>2504</v>
      </c>
      <c r="B2505">
        <v>69</v>
      </c>
      <c r="C2505" t="s">
        <v>22</v>
      </c>
      <c r="D2505">
        <v>2504</v>
      </c>
      <c r="E2505" t="s">
        <v>140</v>
      </c>
      <c r="F2505" t="s">
        <v>45</v>
      </c>
      <c r="G2505">
        <v>2504</v>
      </c>
      <c r="H2505">
        <v>3203</v>
      </c>
      <c r="I2505">
        <v>77</v>
      </c>
      <c r="J2505" t="s">
        <v>126</v>
      </c>
      <c r="K2505" t="s">
        <v>47</v>
      </c>
      <c r="L2505" t="s">
        <v>86</v>
      </c>
      <c r="M2505" t="s">
        <v>56</v>
      </c>
      <c r="N2505">
        <v>2.5</v>
      </c>
      <c r="O2505">
        <v>0</v>
      </c>
      <c r="P2505" t="s">
        <v>77</v>
      </c>
      <c r="Q2505" t="s">
        <v>155</v>
      </c>
      <c r="R2505" t="s">
        <v>155</v>
      </c>
      <c r="S2505">
        <v>5</v>
      </c>
      <c r="T2505" t="s">
        <v>89</v>
      </c>
      <c r="U2505" t="s">
        <v>79</v>
      </c>
      <c r="V2505" s="1">
        <v>45491</v>
      </c>
      <c r="W2505">
        <f>Table1[[#This Row],[customer_purchase count]]+1</f>
        <v>6</v>
      </c>
      <c r="X2505">
        <f>Table1[[#This Row],[customer_purchase count]]*Rules!$B$3</f>
        <v>298.82179487179491</v>
      </c>
      <c r="Y2505" t="str">
        <f>IF(Table1[[#This Row],[customer_subscription]]=1,"Subscribed","Not Subscribed")</f>
        <v>Not Subscribed</v>
      </c>
      <c r="Z2505" t="s">
        <v>194</v>
      </c>
    </row>
    <row r="2506" spans="1:26" x14ac:dyDescent="0.25">
      <c r="A2506">
        <v>2505</v>
      </c>
      <c r="B2506">
        <v>56</v>
      </c>
      <c r="C2506" t="s">
        <v>22</v>
      </c>
      <c r="D2506">
        <v>2505</v>
      </c>
      <c r="E2506" t="s">
        <v>62</v>
      </c>
      <c r="F2506" t="s">
        <v>24</v>
      </c>
      <c r="G2506">
        <v>2505</v>
      </c>
      <c r="H2506">
        <v>3205</v>
      </c>
      <c r="I2506">
        <v>94</v>
      </c>
      <c r="J2506" t="s">
        <v>46</v>
      </c>
      <c r="K2506" t="s">
        <v>47</v>
      </c>
      <c r="L2506" t="s">
        <v>51</v>
      </c>
      <c r="M2506" t="s">
        <v>28</v>
      </c>
      <c r="N2506">
        <v>4</v>
      </c>
      <c r="O2506">
        <v>0</v>
      </c>
      <c r="P2506" t="s">
        <v>77</v>
      </c>
      <c r="Q2506" t="s">
        <v>155</v>
      </c>
      <c r="R2506" t="s">
        <v>155</v>
      </c>
      <c r="S2506">
        <v>31</v>
      </c>
      <c r="T2506" t="s">
        <v>36</v>
      </c>
      <c r="U2506" t="s">
        <v>79</v>
      </c>
      <c r="V2506" s="1">
        <v>45329</v>
      </c>
      <c r="W2506">
        <f>Table1[[#This Row],[customer_purchase count]]+1</f>
        <v>32</v>
      </c>
      <c r="X2506">
        <f>Table1[[#This Row],[customer_purchase count]]*Rules!$B$3</f>
        <v>1852.6951282051282</v>
      </c>
      <c r="Y2506" t="str">
        <f>IF(Table1[[#This Row],[customer_subscription]]=1,"Subscribed","Not Subscribed")</f>
        <v>Not Subscribed</v>
      </c>
    </row>
    <row r="2507" spans="1:26" x14ac:dyDescent="0.25">
      <c r="A2507">
        <v>2506</v>
      </c>
      <c r="B2507">
        <v>27</v>
      </c>
      <c r="C2507" t="s">
        <v>22</v>
      </c>
      <c r="D2507">
        <v>2506</v>
      </c>
      <c r="E2507" t="s">
        <v>69</v>
      </c>
      <c r="F2507" t="s">
        <v>70</v>
      </c>
      <c r="G2507">
        <v>2506</v>
      </c>
      <c r="H2507">
        <v>3206</v>
      </c>
      <c r="I2507">
        <v>75</v>
      </c>
      <c r="J2507" t="s">
        <v>118</v>
      </c>
      <c r="K2507" t="s">
        <v>47</v>
      </c>
      <c r="L2507" t="s">
        <v>112</v>
      </c>
      <c r="M2507" t="s">
        <v>56</v>
      </c>
      <c r="N2507">
        <v>3.5</v>
      </c>
      <c r="O2507">
        <v>0</v>
      </c>
      <c r="P2507" t="s">
        <v>29</v>
      </c>
      <c r="Q2507" t="s">
        <v>155</v>
      </c>
      <c r="R2507" t="s">
        <v>155</v>
      </c>
      <c r="S2507">
        <v>43</v>
      </c>
      <c r="T2507" t="s">
        <v>49</v>
      </c>
      <c r="U2507" t="s">
        <v>61</v>
      </c>
      <c r="V2507" s="1">
        <v>45498</v>
      </c>
      <c r="W2507">
        <f>Table1[[#This Row],[customer_purchase count]]+1</f>
        <v>44</v>
      </c>
      <c r="X2507">
        <f>Table1[[#This Row],[customer_purchase count]]*Rules!$B$3</f>
        <v>2569.8674358974358</v>
      </c>
      <c r="Y2507" t="str">
        <f>IF(Table1[[#This Row],[customer_subscription]]=1,"Subscribed","Not Subscribed")</f>
        <v>Not Subscribed</v>
      </c>
    </row>
    <row r="2508" spans="1:26" x14ac:dyDescent="0.25">
      <c r="A2508">
        <v>2507</v>
      </c>
      <c r="B2508">
        <v>57</v>
      </c>
      <c r="C2508" t="s">
        <v>22</v>
      </c>
      <c r="D2508">
        <v>2507</v>
      </c>
      <c r="E2508" t="s">
        <v>84</v>
      </c>
      <c r="F2508" t="s">
        <v>24</v>
      </c>
      <c r="G2508">
        <v>2507</v>
      </c>
      <c r="H2508">
        <v>3207</v>
      </c>
      <c r="I2508">
        <v>82</v>
      </c>
      <c r="J2508" t="s">
        <v>87</v>
      </c>
      <c r="K2508" t="s">
        <v>95</v>
      </c>
      <c r="L2508" t="s">
        <v>124</v>
      </c>
      <c r="M2508" t="s">
        <v>40</v>
      </c>
      <c r="N2508">
        <v>4.4000000000000004</v>
      </c>
      <c r="O2508">
        <v>0</v>
      </c>
      <c r="P2508" t="s">
        <v>41</v>
      </c>
      <c r="Q2508" t="s">
        <v>155</v>
      </c>
      <c r="R2508" t="s">
        <v>155</v>
      </c>
      <c r="S2508">
        <v>19</v>
      </c>
      <c r="T2508" t="s">
        <v>31</v>
      </c>
      <c r="U2508" t="s">
        <v>52</v>
      </c>
      <c r="V2508" s="1">
        <v>45397</v>
      </c>
      <c r="W2508">
        <f>Table1[[#This Row],[customer_purchase count]]+1</f>
        <v>20</v>
      </c>
      <c r="X2508">
        <f>Table1[[#This Row],[customer_purchase count]]*Rules!$B$3</f>
        <v>1135.5228205128205</v>
      </c>
      <c r="Y2508" t="str">
        <f>IF(Table1[[#This Row],[customer_subscription]]=1,"Subscribed","Not Subscribed")</f>
        <v>Not Subscribed</v>
      </c>
    </row>
    <row r="2509" spans="1:26" x14ac:dyDescent="0.25">
      <c r="A2509">
        <v>2508</v>
      </c>
      <c r="B2509">
        <v>58</v>
      </c>
      <c r="C2509" t="s">
        <v>22</v>
      </c>
      <c r="D2509">
        <v>2508</v>
      </c>
      <c r="E2509" t="s">
        <v>74</v>
      </c>
      <c r="F2509" t="s">
        <v>45</v>
      </c>
      <c r="G2509">
        <v>2508</v>
      </c>
      <c r="H2509">
        <v>3208</v>
      </c>
      <c r="I2509">
        <v>36</v>
      </c>
      <c r="J2509" t="s">
        <v>63</v>
      </c>
      <c r="K2509" t="s">
        <v>47</v>
      </c>
      <c r="L2509" t="s">
        <v>112</v>
      </c>
      <c r="M2509" t="s">
        <v>60</v>
      </c>
      <c r="N2509">
        <v>2.9</v>
      </c>
      <c r="O2509">
        <v>0</v>
      </c>
      <c r="P2509" t="s">
        <v>77</v>
      </c>
      <c r="Q2509" t="s">
        <v>155</v>
      </c>
      <c r="R2509" t="s">
        <v>155</v>
      </c>
      <c r="S2509">
        <v>32</v>
      </c>
      <c r="T2509" t="s">
        <v>42</v>
      </c>
      <c r="U2509" t="s">
        <v>100</v>
      </c>
      <c r="V2509" s="1">
        <v>45614</v>
      </c>
      <c r="W2509">
        <f>Table1[[#This Row],[customer_purchase count]]+1</f>
        <v>33</v>
      </c>
      <c r="X2509">
        <f>Table1[[#This Row],[customer_purchase count]]*Rules!$B$3</f>
        <v>1912.4594871794873</v>
      </c>
      <c r="Y2509" t="str">
        <f>IF(Table1[[#This Row],[customer_subscription]]=1,"Subscribed","Not Subscribed")</f>
        <v>Not Subscribed</v>
      </c>
    </row>
    <row r="2510" spans="1:26" x14ac:dyDescent="0.25">
      <c r="A2510">
        <v>2509</v>
      </c>
      <c r="B2510">
        <v>23</v>
      </c>
      <c r="C2510" t="s">
        <v>22</v>
      </c>
      <c r="D2510">
        <v>2509</v>
      </c>
      <c r="E2510" t="s">
        <v>53</v>
      </c>
      <c r="F2510" t="s">
        <v>45</v>
      </c>
      <c r="G2510">
        <v>2509</v>
      </c>
      <c r="H2510">
        <v>3209</v>
      </c>
      <c r="I2510">
        <v>90</v>
      </c>
      <c r="J2510" t="s">
        <v>102</v>
      </c>
      <c r="K2510" t="s">
        <v>95</v>
      </c>
      <c r="L2510" t="s">
        <v>129</v>
      </c>
      <c r="M2510" t="s">
        <v>40</v>
      </c>
      <c r="N2510">
        <v>3.1</v>
      </c>
      <c r="O2510">
        <v>0</v>
      </c>
      <c r="P2510" t="s">
        <v>73</v>
      </c>
      <c r="Q2510" t="s">
        <v>155</v>
      </c>
      <c r="R2510" t="s">
        <v>155</v>
      </c>
      <c r="S2510">
        <v>5</v>
      </c>
      <c r="T2510" t="s">
        <v>89</v>
      </c>
      <c r="U2510" t="s">
        <v>79</v>
      </c>
      <c r="V2510" s="1">
        <v>45367</v>
      </c>
      <c r="W2510">
        <f>Table1[[#This Row],[customer_purchase count]]+1</f>
        <v>6</v>
      </c>
      <c r="X2510">
        <f>Table1[[#This Row],[customer_purchase count]]*Rules!$B$3</f>
        <v>298.82179487179491</v>
      </c>
      <c r="Y2510" t="str">
        <f>IF(Table1[[#This Row],[customer_subscription]]=1,"Subscribed","Not Subscribed")</f>
        <v>Not Subscribed</v>
      </c>
      <c r="Z2510" t="s">
        <v>194</v>
      </c>
    </row>
    <row r="2511" spans="1:26" x14ac:dyDescent="0.25">
      <c r="A2511">
        <v>2510</v>
      </c>
      <c r="B2511">
        <v>19</v>
      </c>
      <c r="C2511" t="s">
        <v>22</v>
      </c>
      <c r="D2511">
        <v>2510</v>
      </c>
      <c r="E2511" t="s">
        <v>128</v>
      </c>
      <c r="F2511" t="s">
        <v>24</v>
      </c>
      <c r="G2511">
        <v>2510</v>
      </c>
      <c r="H2511">
        <v>3211</v>
      </c>
      <c r="I2511">
        <v>48</v>
      </c>
      <c r="J2511" t="s">
        <v>152</v>
      </c>
      <c r="K2511" t="s">
        <v>47</v>
      </c>
      <c r="L2511" t="s">
        <v>97</v>
      </c>
      <c r="M2511" t="s">
        <v>40</v>
      </c>
      <c r="N2511">
        <v>4.4000000000000004</v>
      </c>
      <c r="O2511">
        <v>0</v>
      </c>
      <c r="P2511" t="s">
        <v>41</v>
      </c>
      <c r="Q2511" t="s">
        <v>155</v>
      </c>
      <c r="R2511" t="s">
        <v>155</v>
      </c>
      <c r="S2511">
        <v>9</v>
      </c>
      <c r="T2511" t="s">
        <v>78</v>
      </c>
      <c r="U2511" t="s">
        <v>61</v>
      </c>
      <c r="V2511" s="1">
        <v>45357</v>
      </c>
      <c r="W2511">
        <f>Table1[[#This Row],[customer_purchase count]]+1</f>
        <v>10</v>
      </c>
      <c r="X2511">
        <f>Table1[[#This Row],[customer_purchase count]]*Rules!$B$3</f>
        <v>537.87923076923084</v>
      </c>
      <c r="Y2511" t="str">
        <f>IF(Table1[[#This Row],[customer_subscription]]=1,"Subscribed","Not Subscribed")</f>
        <v>Not Subscribed</v>
      </c>
      <c r="Z2511" t="s">
        <v>187</v>
      </c>
    </row>
    <row r="2512" spans="1:26" x14ac:dyDescent="0.25">
      <c r="A2512">
        <v>2511</v>
      </c>
      <c r="B2512">
        <v>40</v>
      </c>
      <c r="C2512" t="s">
        <v>22</v>
      </c>
      <c r="D2512">
        <v>2511</v>
      </c>
      <c r="E2512" t="s">
        <v>105</v>
      </c>
      <c r="F2512" t="s">
        <v>66</v>
      </c>
      <c r="G2512">
        <v>2511</v>
      </c>
      <c r="H2512">
        <v>3212</v>
      </c>
      <c r="I2512">
        <v>42</v>
      </c>
      <c r="J2512" t="s">
        <v>150</v>
      </c>
      <c r="K2512" t="s">
        <v>26</v>
      </c>
      <c r="L2512" t="s">
        <v>76</v>
      </c>
      <c r="M2512" t="s">
        <v>28</v>
      </c>
      <c r="N2512">
        <v>4.4000000000000004</v>
      </c>
      <c r="O2512">
        <v>0</v>
      </c>
      <c r="P2512" t="s">
        <v>57</v>
      </c>
      <c r="Q2512" t="s">
        <v>155</v>
      </c>
      <c r="R2512" t="s">
        <v>155</v>
      </c>
      <c r="S2512">
        <v>48</v>
      </c>
      <c r="T2512" t="s">
        <v>42</v>
      </c>
      <c r="U2512" t="s">
        <v>43</v>
      </c>
      <c r="V2512" s="1">
        <v>45339</v>
      </c>
      <c r="W2512">
        <f>Table1[[#This Row],[customer_purchase count]]+1</f>
        <v>49</v>
      </c>
      <c r="X2512">
        <f>Table1[[#This Row],[customer_purchase count]]*Rules!$B$3</f>
        <v>2868.689230769231</v>
      </c>
      <c r="Y2512" t="str">
        <f>IF(Table1[[#This Row],[customer_subscription]]=1,"Subscribed","Not Subscribed")</f>
        <v>Not Subscribed</v>
      </c>
    </row>
    <row r="2513" spans="1:26" x14ac:dyDescent="0.25">
      <c r="A2513">
        <v>2512</v>
      </c>
      <c r="B2513">
        <v>54</v>
      </c>
      <c r="C2513" t="s">
        <v>22</v>
      </c>
      <c r="D2513">
        <v>2512</v>
      </c>
      <c r="E2513" t="s">
        <v>135</v>
      </c>
      <c r="F2513" t="s">
        <v>70</v>
      </c>
      <c r="G2513">
        <v>2512</v>
      </c>
      <c r="H2513">
        <v>3213</v>
      </c>
      <c r="I2513">
        <v>33</v>
      </c>
      <c r="J2513" t="s">
        <v>138</v>
      </c>
      <c r="K2513" t="s">
        <v>47</v>
      </c>
      <c r="L2513" t="s">
        <v>112</v>
      </c>
      <c r="M2513" t="s">
        <v>56</v>
      </c>
      <c r="N2513">
        <v>2.7</v>
      </c>
      <c r="O2513">
        <v>0</v>
      </c>
      <c r="P2513" t="s">
        <v>77</v>
      </c>
      <c r="Q2513" t="s">
        <v>155</v>
      </c>
      <c r="R2513" t="s">
        <v>155</v>
      </c>
      <c r="S2513">
        <v>1</v>
      </c>
      <c r="T2513" t="s">
        <v>49</v>
      </c>
      <c r="U2513" t="s">
        <v>61</v>
      </c>
      <c r="V2513" s="1">
        <v>45466</v>
      </c>
      <c r="W2513">
        <f>Table1[[#This Row],[customer_purchase count]]+1</f>
        <v>2</v>
      </c>
      <c r="X2513">
        <f>Table1[[#This Row],[customer_purchase count]]*Rules!$B$3</f>
        <v>59.764358974358977</v>
      </c>
      <c r="Y2513" t="str">
        <f>IF(Table1[[#This Row],[customer_subscription]]=1,"Subscribed","Not Subscribed")</f>
        <v>Not Subscribed</v>
      </c>
      <c r="Z2513" t="s">
        <v>194</v>
      </c>
    </row>
    <row r="2514" spans="1:26" x14ac:dyDescent="0.25">
      <c r="A2514">
        <v>2513</v>
      </c>
      <c r="B2514">
        <v>50</v>
      </c>
      <c r="C2514" t="s">
        <v>22</v>
      </c>
      <c r="D2514">
        <v>2513</v>
      </c>
      <c r="E2514" t="s">
        <v>128</v>
      </c>
      <c r="F2514" t="s">
        <v>24</v>
      </c>
      <c r="G2514">
        <v>2513</v>
      </c>
      <c r="H2514">
        <v>3214</v>
      </c>
      <c r="I2514">
        <v>63</v>
      </c>
      <c r="J2514" t="s">
        <v>117</v>
      </c>
      <c r="K2514" t="s">
        <v>47</v>
      </c>
      <c r="L2514" t="s">
        <v>99</v>
      </c>
      <c r="M2514" t="s">
        <v>56</v>
      </c>
      <c r="N2514">
        <v>4.9000000000000004</v>
      </c>
      <c r="O2514">
        <v>0</v>
      </c>
      <c r="P2514" t="s">
        <v>41</v>
      </c>
      <c r="Q2514" t="s">
        <v>155</v>
      </c>
      <c r="R2514" t="s">
        <v>155</v>
      </c>
      <c r="S2514">
        <v>20</v>
      </c>
      <c r="T2514" t="s">
        <v>42</v>
      </c>
      <c r="U2514" t="s">
        <v>91</v>
      </c>
      <c r="V2514" s="1">
        <v>45451</v>
      </c>
      <c r="W2514">
        <f>Table1[[#This Row],[customer_purchase count]]+1</f>
        <v>21</v>
      </c>
      <c r="X2514">
        <f>Table1[[#This Row],[customer_purchase count]]*Rules!$B$3</f>
        <v>1195.2871794871796</v>
      </c>
      <c r="Y2514" t="str">
        <f>IF(Table1[[#This Row],[customer_subscription]]=1,"Subscribed","Not Subscribed")</f>
        <v>Not Subscribed</v>
      </c>
    </row>
    <row r="2515" spans="1:26" x14ac:dyDescent="0.25">
      <c r="A2515">
        <v>2514</v>
      </c>
      <c r="B2515">
        <v>69</v>
      </c>
      <c r="C2515" t="s">
        <v>22</v>
      </c>
      <c r="D2515">
        <v>2514</v>
      </c>
      <c r="E2515" t="s">
        <v>69</v>
      </c>
      <c r="F2515" t="s">
        <v>70</v>
      </c>
      <c r="G2515">
        <v>2514</v>
      </c>
      <c r="H2515">
        <v>3215</v>
      </c>
      <c r="I2515">
        <v>53</v>
      </c>
      <c r="J2515" t="s">
        <v>152</v>
      </c>
      <c r="K2515" t="s">
        <v>26</v>
      </c>
      <c r="L2515" t="s">
        <v>88</v>
      </c>
      <c r="M2515" t="s">
        <v>28</v>
      </c>
      <c r="N2515">
        <v>3.5</v>
      </c>
      <c r="O2515">
        <v>0</v>
      </c>
      <c r="P2515" t="s">
        <v>73</v>
      </c>
      <c r="Q2515" t="s">
        <v>155</v>
      </c>
      <c r="R2515" t="s">
        <v>155</v>
      </c>
      <c r="S2515">
        <v>42</v>
      </c>
      <c r="T2515" t="s">
        <v>36</v>
      </c>
      <c r="U2515" t="s">
        <v>52</v>
      </c>
      <c r="V2515" s="1">
        <v>45323</v>
      </c>
      <c r="W2515">
        <f>Table1[[#This Row],[customer_purchase count]]+1</f>
        <v>43</v>
      </c>
      <c r="X2515">
        <f>Table1[[#This Row],[customer_purchase count]]*Rules!$B$3</f>
        <v>2510.103076923077</v>
      </c>
      <c r="Y2515" t="str">
        <f>IF(Table1[[#This Row],[customer_subscription]]=1,"Subscribed","Not Subscribed")</f>
        <v>Not Subscribed</v>
      </c>
    </row>
    <row r="2516" spans="1:26" x14ac:dyDescent="0.25">
      <c r="A2516">
        <v>2515</v>
      </c>
      <c r="B2516">
        <v>42</v>
      </c>
      <c r="C2516" t="s">
        <v>22</v>
      </c>
      <c r="D2516">
        <v>2515</v>
      </c>
      <c r="E2516" t="s">
        <v>127</v>
      </c>
      <c r="F2516" t="s">
        <v>70</v>
      </c>
      <c r="G2516">
        <v>2515</v>
      </c>
      <c r="H2516">
        <v>3217</v>
      </c>
      <c r="I2516">
        <v>37</v>
      </c>
      <c r="J2516" t="s">
        <v>123</v>
      </c>
      <c r="K2516" t="s">
        <v>26</v>
      </c>
      <c r="L2516" t="s">
        <v>88</v>
      </c>
      <c r="M2516" t="s">
        <v>40</v>
      </c>
      <c r="N2516">
        <v>4.8</v>
      </c>
      <c r="O2516">
        <v>0</v>
      </c>
      <c r="P2516" t="s">
        <v>41</v>
      </c>
      <c r="Q2516" t="s">
        <v>155</v>
      </c>
      <c r="R2516" t="s">
        <v>155</v>
      </c>
      <c r="S2516">
        <v>45</v>
      </c>
      <c r="T2516" t="s">
        <v>49</v>
      </c>
      <c r="U2516" t="s">
        <v>79</v>
      </c>
      <c r="V2516" s="1">
        <v>45405</v>
      </c>
      <c r="W2516">
        <f>Table1[[#This Row],[customer_purchase count]]+1</f>
        <v>46</v>
      </c>
      <c r="X2516">
        <f>Table1[[#This Row],[customer_purchase count]]*Rules!$B$3</f>
        <v>2689.396153846154</v>
      </c>
      <c r="Y2516" t="str">
        <f>IF(Table1[[#This Row],[customer_subscription]]=1,"Subscribed","Not Subscribed")</f>
        <v>Not Subscribed</v>
      </c>
    </row>
    <row r="2517" spans="1:26" x14ac:dyDescent="0.25">
      <c r="A2517">
        <v>2516</v>
      </c>
      <c r="B2517">
        <v>37</v>
      </c>
      <c r="C2517" t="s">
        <v>22</v>
      </c>
      <c r="D2517">
        <v>2516</v>
      </c>
      <c r="E2517" t="s">
        <v>23</v>
      </c>
      <c r="F2517" t="s">
        <v>24</v>
      </c>
      <c r="G2517">
        <v>2516</v>
      </c>
      <c r="H2517">
        <v>3218</v>
      </c>
      <c r="I2517">
        <v>92</v>
      </c>
      <c r="J2517" t="s">
        <v>114</v>
      </c>
      <c r="K2517" t="s">
        <v>47</v>
      </c>
      <c r="L2517" t="s">
        <v>139</v>
      </c>
      <c r="M2517" t="s">
        <v>56</v>
      </c>
      <c r="N2517">
        <v>4.2</v>
      </c>
      <c r="O2517">
        <v>0</v>
      </c>
      <c r="P2517" t="s">
        <v>73</v>
      </c>
      <c r="Q2517" t="s">
        <v>155</v>
      </c>
      <c r="R2517" t="s">
        <v>155</v>
      </c>
      <c r="S2517">
        <v>41</v>
      </c>
      <c r="T2517" t="s">
        <v>36</v>
      </c>
      <c r="U2517" t="s">
        <v>91</v>
      </c>
      <c r="V2517" s="1">
        <v>45501</v>
      </c>
      <c r="W2517">
        <f>Table1[[#This Row],[customer_purchase count]]+1</f>
        <v>42</v>
      </c>
      <c r="X2517">
        <f>Table1[[#This Row],[customer_purchase count]]*Rules!$B$3</f>
        <v>2450.3387179487181</v>
      </c>
      <c r="Y2517" t="str">
        <f>IF(Table1[[#This Row],[customer_subscription]]=1,"Subscribed","Not Subscribed")</f>
        <v>Not Subscribed</v>
      </c>
    </row>
    <row r="2518" spans="1:26" x14ac:dyDescent="0.25">
      <c r="A2518">
        <v>2517</v>
      </c>
      <c r="B2518">
        <v>46</v>
      </c>
      <c r="C2518" t="s">
        <v>22</v>
      </c>
      <c r="D2518">
        <v>2517</v>
      </c>
      <c r="E2518" t="s">
        <v>62</v>
      </c>
      <c r="F2518" t="s">
        <v>24</v>
      </c>
      <c r="G2518">
        <v>2517</v>
      </c>
      <c r="H2518">
        <v>3219</v>
      </c>
      <c r="I2518">
        <v>73</v>
      </c>
      <c r="J2518" t="s">
        <v>143</v>
      </c>
      <c r="K2518" t="s">
        <v>95</v>
      </c>
      <c r="L2518" t="s">
        <v>113</v>
      </c>
      <c r="M2518" t="s">
        <v>40</v>
      </c>
      <c r="N2518">
        <v>4.5999999999999996</v>
      </c>
      <c r="O2518">
        <v>0</v>
      </c>
      <c r="P2518" t="s">
        <v>57</v>
      </c>
      <c r="Q2518" t="s">
        <v>155</v>
      </c>
      <c r="R2518" t="s">
        <v>155</v>
      </c>
      <c r="S2518">
        <v>36</v>
      </c>
      <c r="T2518" t="s">
        <v>89</v>
      </c>
      <c r="U2518" t="s">
        <v>61</v>
      </c>
      <c r="V2518" s="1">
        <v>45396</v>
      </c>
      <c r="W2518">
        <f>Table1[[#This Row],[customer_purchase count]]+1</f>
        <v>37</v>
      </c>
      <c r="X2518">
        <f>Table1[[#This Row],[customer_purchase count]]*Rules!$B$3</f>
        <v>2151.5169230769234</v>
      </c>
      <c r="Y2518" t="str">
        <f>IF(Table1[[#This Row],[customer_subscription]]=1,"Subscribed","Not Subscribed")</f>
        <v>Not Subscribed</v>
      </c>
    </row>
    <row r="2519" spans="1:26" x14ac:dyDescent="0.25">
      <c r="A2519">
        <v>2518</v>
      </c>
      <c r="B2519">
        <v>64</v>
      </c>
      <c r="C2519" t="s">
        <v>22</v>
      </c>
      <c r="D2519">
        <v>2518</v>
      </c>
      <c r="E2519" t="s">
        <v>58</v>
      </c>
      <c r="F2519" t="s">
        <v>24</v>
      </c>
      <c r="G2519">
        <v>2518</v>
      </c>
      <c r="H2519">
        <v>3220</v>
      </c>
      <c r="I2519">
        <v>38</v>
      </c>
      <c r="J2519" t="s">
        <v>54</v>
      </c>
      <c r="K2519" t="s">
        <v>26</v>
      </c>
      <c r="L2519" t="s">
        <v>124</v>
      </c>
      <c r="M2519" t="s">
        <v>40</v>
      </c>
      <c r="N2519">
        <v>2.9</v>
      </c>
      <c r="O2519">
        <v>0</v>
      </c>
      <c r="P2519" t="s">
        <v>57</v>
      </c>
      <c r="Q2519" t="s">
        <v>155</v>
      </c>
      <c r="R2519" t="s">
        <v>155</v>
      </c>
      <c r="S2519">
        <v>10</v>
      </c>
      <c r="T2519" t="s">
        <v>31</v>
      </c>
      <c r="U2519" t="s">
        <v>52</v>
      </c>
      <c r="V2519" s="1">
        <v>45419</v>
      </c>
      <c r="W2519">
        <f>Table1[[#This Row],[customer_purchase count]]+1</f>
        <v>11</v>
      </c>
      <c r="X2519">
        <f>Table1[[#This Row],[customer_purchase count]]*Rules!$B$3</f>
        <v>597.64358974358981</v>
      </c>
      <c r="Y2519" t="str">
        <f>IF(Table1[[#This Row],[customer_subscription]]=1,"Subscribed","Not Subscribed")</f>
        <v>Not Subscribed</v>
      </c>
      <c r="Z2519" t="s">
        <v>194</v>
      </c>
    </row>
    <row r="2520" spans="1:26" x14ac:dyDescent="0.25">
      <c r="A2520">
        <v>2519</v>
      </c>
      <c r="B2520">
        <v>20</v>
      </c>
      <c r="C2520" t="s">
        <v>22</v>
      </c>
      <c r="D2520">
        <v>2519</v>
      </c>
      <c r="E2520" t="s">
        <v>140</v>
      </c>
      <c r="F2520" t="s">
        <v>45</v>
      </c>
      <c r="G2520">
        <v>2519</v>
      </c>
      <c r="H2520">
        <v>3221</v>
      </c>
      <c r="I2520">
        <v>51</v>
      </c>
      <c r="J2520" t="s">
        <v>34</v>
      </c>
      <c r="K2520" t="s">
        <v>95</v>
      </c>
      <c r="L2520" t="s">
        <v>147</v>
      </c>
      <c r="M2520" t="s">
        <v>60</v>
      </c>
      <c r="N2520">
        <v>4</v>
      </c>
      <c r="O2520">
        <v>0</v>
      </c>
      <c r="P2520" t="s">
        <v>77</v>
      </c>
      <c r="Q2520" t="s">
        <v>155</v>
      </c>
      <c r="R2520" t="s">
        <v>155</v>
      </c>
      <c r="S2520">
        <v>31</v>
      </c>
      <c r="T2520" t="s">
        <v>31</v>
      </c>
      <c r="U2520" t="s">
        <v>52</v>
      </c>
      <c r="V2520" s="1">
        <v>45550</v>
      </c>
      <c r="W2520">
        <f>Table1[[#This Row],[customer_purchase count]]+1</f>
        <v>32</v>
      </c>
      <c r="X2520">
        <f>Table1[[#This Row],[customer_purchase count]]*Rules!$B$3</f>
        <v>1852.6951282051282</v>
      </c>
      <c r="Y2520" t="str">
        <f>IF(Table1[[#This Row],[customer_subscription]]=1,"Subscribed","Not Subscribed")</f>
        <v>Not Subscribed</v>
      </c>
    </row>
    <row r="2521" spans="1:26" x14ac:dyDescent="0.25">
      <c r="A2521">
        <v>2520</v>
      </c>
      <c r="B2521">
        <v>40</v>
      </c>
      <c r="C2521" t="s">
        <v>22</v>
      </c>
      <c r="D2521">
        <v>2520</v>
      </c>
      <c r="E2521" t="s">
        <v>105</v>
      </c>
      <c r="F2521" t="s">
        <v>66</v>
      </c>
      <c r="G2521">
        <v>2520</v>
      </c>
      <c r="H2521">
        <v>3223</v>
      </c>
      <c r="I2521">
        <v>90</v>
      </c>
      <c r="J2521" t="s">
        <v>154</v>
      </c>
      <c r="K2521" t="s">
        <v>26</v>
      </c>
      <c r="L2521" t="s">
        <v>139</v>
      </c>
      <c r="M2521" t="s">
        <v>40</v>
      </c>
      <c r="N2521">
        <v>4.9000000000000004</v>
      </c>
      <c r="O2521">
        <v>0</v>
      </c>
      <c r="P2521" t="s">
        <v>57</v>
      </c>
      <c r="Q2521" t="s">
        <v>155</v>
      </c>
      <c r="R2521" t="s">
        <v>155</v>
      </c>
      <c r="S2521">
        <v>21</v>
      </c>
      <c r="T2521" t="s">
        <v>42</v>
      </c>
      <c r="U2521" t="s">
        <v>61</v>
      </c>
      <c r="V2521" s="1">
        <v>45362</v>
      </c>
      <c r="W2521">
        <f>Table1[[#This Row],[customer_purchase count]]+1</f>
        <v>22</v>
      </c>
      <c r="X2521">
        <f>Table1[[#This Row],[customer_purchase count]]*Rules!$B$3</f>
        <v>1255.0515384615385</v>
      </c>
      <c r="Y2521" t="str">
        <f>IF(Table1[[#This Row],[customer_subscription]]=1,"Subscribed","Not Subscribed")</f>
        <v>Not Subscribed</v>
      </c>
    </row>
    <row r="2522" spans="1:26" x14ac:dyDescent="0.25">
      <c r="A2522">
        <v>2521</v>
      </c>
      <c r="B2522">
        <v>64</v>
      </c>
      <c r="C2522" t="s">
        <v>22</v>
      </c>
      <c r="D2522">
        <v>2521</v>
      </c>
      <c r="E2522" t="s">
        <v>105</v>
      </c>
      <c r="F2522" t="s">
        <v>66</v>
      </c>
      <c r="G2522">
        <v>2521</v>
      </c>
      <c r="H2522">
        <v>3224</v>
      </c>
      <c r="I2522">
        <v>56</v>
      </c>
      <c r="J2522" t="s">
        <v>118</v>
      </c>
      <c r="K2522" t="s">
        <v>26</v>
      </c>
      <c r="L2522" t="s">
        <v>139</v>
      </c>
      <c r="M2522" t="s">
        <v>56</v>
      </c>
      <c r="N2522">
        <v>3.1</v>
      </c>
      <c r="O2522">
        <v>0</v>
      </c>
      <c r="P2522" t="s">
        <v>48</v>
      </c>
      <c r="Q2522" t="s">
        <v>155</v>
      </c>
      <c r="R2522" t="s">
        <v>155</v>
      </c>
      <c r="S2522">
        <v>16</v>
      </c>
      <c r="T2522" t="s">
        <v>36</v>
      </c>
      <c r="U2522" t="s">
        <v>100</v>
      </c>
      <c r="V2522" s="1">
        <v>45459</v>
      </c>
      <c r="W2522">
        <f>Table1[[#This Row],[customer_purchase count]]+1</f>
        <v>17</v>
      </c>
      <c r="X2522">
        <f>Table1[[#This Row],[customer_purchase count]]*Rules!$B$3</f>
        <v>956.22974358974363</v>
      </c>
      <c r="Y2522" t="str">
        <f>IF(Table1[[#This Row],[customer_subscription]]=1,"Subscribed","Not Subscribed")</f>
        <v>Not Subscribed</v>
      </c>
      <c r="Z2522" t="s">
        <v>194</v>
      </c>
    </row>
    <row r="2523" spans="1:26" x14ac:dyDescent="0.25">
      <c r="A2523">
        <v>2522</v>
      </c>
      <c r="B2523">
        <v>29</v>
      </c>
      <c r="C2523" t="s">
        <v>22</v>
      </c>
      <c r="D2523">
        <v>2522</v>
      </c>
      <c r="E2523" t="s">
        <v>69</v>
      </c>
      <c r="F2523" t="s">
        <v>70</v>
      </c>
      <c r="G2523">
        <v>2522</v>
      </c>
      <c r="H2523">
        <v>3225</v>
      </c>
      <c r="I2523">
        <v>33</v>
      </c>
      <c r="J2523" t="s">
        <v>151</v>
      </c>
      <c r="K2523" t="s">
        <v>47</v>
      </c>
      <c r="L2523" t="s">
        <v>139</v>
      </c>
      <c r="M2523" t="s">
        <v>60</v>
      </c>
      <c r="N2523">
        <v>4.4000000000000004</v>
      </c>
      <c r="O2523">
        <v>0</v>
      </c>
      <c r="P2523" t="s">
        <v>57</v>
      </c>
      <c r="Q2523" t="s">
        <v>155</v>
      </c>
      <c r="R2523" t="s">
        <v>155</v>
      </c>
      <c r="S2523">
        <v>18</v>
      </c>
      <c r="T2523" t="s">
        <v>49</v>
      </c>
      <c r="U2523" t="s">
        <v>100</v>
      </c>
      <c r="V2523" s="1">
        <v>45540</v>
      </c>
      <c r="W2523">
        <f>Table1[[#This Row],[customer_purchase count]]+1</f>
        <v>19</v>
      </c>
      <c r="X2523">
        <f>Table1[[#This Row],[customer_purchase count]]*Rules!$B$3</f>
        <v>1075.7584615384617</v>
      </c>
      <c r="Y2523" t="str">
        <f>IF(Table1[[#This Row],[customer_subscription]]=1,"Subscribed","Not Subscribed")</f>
        <v>Not Subscribed</v>
      </c>
    </row>
    <row r="2524" spans="1:26" x14ac:dyDescent="0.25">
      <c r="A2524">
        <v>2523</v>
      </c>
      <c r="B2524">
        <v>20</v>
      </c>
      <c r="C2524" t="s">
        <v>22</v>
      </c>
      <c r="D2524">
        <v>2523</v>
      </c>
      <c r="E2524" t="s">
        <v>136</v>
      </c>
      <c r="F2524" t="s">
        <v>70</v>
      </c>
      <c r="G2524">
        <v>2523</v>
      </c>
      <c r="H2524">
        <v>3226</v>
      </c>
      <c r="I2524">
        <v>53</v>
      </c>
      <c r="J2524" t="s">
        <v>38</v>
      </c>
      <c r="K2524" t="s">
        <v>39</v>
      </c>
      <c r="L2524" t="s">
        <v>81</v>
      </c>
      <c r="M2524" t="s">
        <v>28</v>
      </c>
      <c r="N2524">
        <v>2.5</v>
      </c>
      <c r="O2524">
        <v>0</v>
      </c>
      <c r="P2524" t="s">
        <v>73</v>
      </c>
      <c r="Q2524" t="s">
        <v>155</v>
      </c>
      <c r="R2524" t="s">
        <v>155</v>
      </c>
      <c r="S2524">
        <v>20</v>
      </c>
      <c r="T2524" t="s">
        <v>89</v>
      </c>
      <c r="U2524" t="s">
        <v>43</v>
      </c>
      <c r="V2524" s="1">
        <v>45639</v>
      </c>
      <c r="W2524">
        <f>Table1[[#This Row],[customer_purchase count]]+1</f>
        <v>21</v>
      </c>
      <c r="X2524">
        <f>Table1[[#This Row],[customer_purchase count]]*Rules!$B$3</f>
        <v>1195.2871794871796</v>
      </c>
      <c r="Y2524" t="str">
        <f>IF(Table1[[#This Row],[customer_subscription]]=1,"Subscribed","Not Subscribed")</f>
        <v>Not Subscribed</v>
      </c>
    </row>
    <row r="2525" spans="1:26" x14ac:dyDescent="0.25">
      <c r="A2525">
        <v>2524</v>
      </c>
      <c r="B2525">
        <v>43</v>
      </c>
      <c r="C2525" t="s">
        <v>22</v>
      </c>
      <c r="D2525">
        <v>2524</v>
      </c>
      <c r="E2525" t="s">
        <v>69</v>
      </c>
      <c r="F2525" t="s">
        <v>70</v>
      </c>
      <c r="G2525">
        <v>2524</v>
      </c>
      <c r="H2525">
        <v>3227</v>
      </c>
      <c r="I2525">
        <v>24</v>
      </c>
      <c r="J2525" t="s">
        <v>130</v>
      </c>
      <c r="K2525" t="s">
        <v>39</v>
      </c>
      <c r="L2525" t="s">
        <v>112</v>
      </c>
      <c r="M2525" t="s">
        <v>40</v>
      </c>
      <c r="N2525">
        <v>3.4</v>
      </c>
      <c r="O2525">
        <v>0</v>
      </c>
      <c r="P2525" t="s">
        <v>29</v>
      </c>
      <c r="Q2525" t="s">
        <v>155</v>
      </c>
      <c r="R2525" t="s">
        <v>155</v>
      </c>
      <c r="S2525">
        <v>21</v>
      </c>
      <c r="T2525" t="s">
        <v>78</v>
      </c>
      <c r="U2525" t="s">
        <v>52</v>
      </c>
      <c r="V2525" s="1">
        <v>45358</v>
      </c>
      <c r="W2525">
        <f>Table1[[#This Row],[customer_purchase count]]+1</f>
        <v>22</v>
      </c>
      <c r="X2525">
        <f>Table1[[#This Row],[customer_purchase count]]*Rules!$B$3</f>
        <v>1255.0515384615385</v>
      </c>
      <c r="Y2525" t="str">
        <f>IF(Table1[[#This Row],[customer_subscription]]=1,"Subscribed","Not Subscribed")</f>
        <v>Not Subscribed</v>
      </c>
    </row>
    <row r="2526" spans="1:26" x14ac:dyDescent="0.25">
      <c r="A2526">
        <v>2525</v>
      </c>
      <c r="B2526">
        <v>60</v>
      </c>
      <c r="C2526" t="s">
        <v>22</v>
      </c>
      <c r="D2526">
        <v>2525</v>
      </c>
      <c r="E2526" t="s">
        <v>65</v>
      </c>
      <c r="F2526" t="s">
        <v>66</v>
      </c>
      <c r="G2526">
        <v>2525</v>
      </c>
      <c r="H2526">
        <v>3229</v>
      </c>
      <c r="I2526">
        <v>59</v>
      </c>
      <c r="J2526" t="s">
        <v>114</v>
      </c>
      <c r="K2526" t="s">
        <v>47</v>
      </c>
      <c r="L2526" t="s">
        <v>76</v>
      </c>
      <c r="M2526" t="s">
        <v>40</v>
      </c>
      <c r="N2526">
        <v>3.7</v>
      </c>
      <c r="O2526">
        <v>0</v>
      </c>
      <c r="P2526" t="s">
        <v>29</v>
      </c>
      <c r="Q2526" t="s">
        <v>155</v>
      </c>
      <c r="R2526" t="s">
        <v>155</v>
      </c>
      <c r="S2526">
        <v>23</v>
      </c>
      <c r="T2526" t="s">
        <v>42</v>
      </c>
      <c r="U2526" t="s">
        <v>61</v>
      </c>
      <c r="V2526" s="1">
        <v>45405</v>
      </c>
      <c r="W2526">
        <f>Table1[[#This Row],[customer_purchase count]]+1</f>
        <v>24</v>
      </c>
      <c r="X2526">
        <f>Table1[[#This Row],[customer_purchase count]]*Rules!$B$3</f>
        <v>1374.5802564102564</v>
      </c>
      <c r="Y2526" t="str">
        <f>IF(Table1[[#This Row],[customer_subscription]]=1,"Subscribed","Not Subscribed")</f>
        <v>Not Subscribed</v>
      </c>
    </row>
    <row r="2527" spans="1:26" x14ac:dyDescent="0.25">
      <c r="A2527">
        <v>2526</v>
      </c>
      <c r="B2527">
        <v>39</v>
      </c>
      <c r="C2527" t="s">
        <v>22</v>
      </c>
      <c r="D2527">
        <v>2526</v>
      </c>
      <c r="E2527" t="s">
        <v>33</v>
      </c>
      <c r="F2527" t="s">
        <v>24</v>
      </c>
      <c r="G2527">
        <v>2526</v>
      </c>
      <c r="H2527">
        <v>3230</v>
      </c>
      <c r="I2527">
        <v>72</v>
      </c>
      <c r="J2527" t="s">
        <v>25</v>
      </c>
      <c r="K2527" t="s">
        <v>47</v>
      </c>
      <c r="L2527" t="s">
        <v>76</v>
      </c>
      <c r="M2527" t="s">
        <v>28</v>
      </c>
      <c r="N2527">
        <v>4.2</v>
      </c>
      <c r="O2527">
        <v>0</v>
      </c>
      <c r="P2527" t="s">
        <v>57</v>
      </c>
      <c r="Q2527" t="s">
        <v>155</v>
      </c>
      <c r="R2527" t="s">
        <v>155</v>
      </c>
      <c r="S2527">
        <v>20</v>
      </c>
      <c r="T2527" t="s">
        <v>49</v>
      </c>
      <c r="U2527" t="s">
        <v>43</v>
      </c>
      <c r="V2527" s="1">
        <v>45632</v>
      </c>
      <c r="W2527">
        <f>Table1[[#This Row],[customer_purchase count]]+1</f>
        <v>21</v>
      </c>
      <c r="X2527">
        <f>Table1[[#This Row],[customer_purchase count]]*Rules!$B$3</f>
        <v>1195.2871794871796</v>
      </c>
      <c r="Y2527" t="str">
        <f>IF(Table1[[#This Row],[customer_subscription]]=1,"Subscribed","Not Subscribed")</f>
        <v>Not Subscribed</v>
      </c>
    </row>
    <row r="2528" spans="1:26" x14ac:dyDescent="0.25">
      <c r="A2528">
        <v>2527</v>
      </c>
      <c r="B2528">
        <v>47</v>
      </c>
      <c r="C2528" t="s">
        <v>22</v>
      </c>
      <c r="D2528">
        <v>2527</v>
      </c>
      <c r="E2528" t="s">
        <v>62</v>
      </c>
      <c r="F2528" t="s">
        <v>24</v>
      </c>
      <c r="G2528">
        <v>2527</v>
      </c>
      <c r="H2528">
        <v>3231</v>
      </c>
      <c r="I2528">
        <v>28</v>
      </c>
      <c r="J2528" t="s">
        <v>46</v>
      </c>
      <c r="K2528" t="s">
        <v>39</v>
      </c>
      <c r="L2528" t="s">
        <v>103</v>
      </c>
      <c r="M2528" t="s">
        <v>40</v>
      </c>
      <c r="N2528">
        <v>3.4</v>
      </c>
      <c r="O2528">
        <v>0</v>
      </c>
      <c r="P2528" t="s">
        <v>29</v>
      </c>
      <c r="Q2528" t="s">
        <v>155</v>
      </c>
      <c r="R2528" t="s">
        <v>155</v>
      </c>
      <c r="S2528">
        <v>30</v>
      </c>
      <c r="T2528" t="s">
        <v>49</v>
      </c>
      <c r="U2528" t="s">
        <v>79</v>
      </c>
      <c r="V2528" s="1">
        <v>45423</v>
      </c>
      <c r="W2528">
        <f>Table1[[#This Row],[customer_purchase count]]+1</f>
        <v>31</v>
      </c>
      <c r="X2528">
        <f>Table1[[#This Row],[customer_purchase count]]*Rules!$B$3</f>
        <v>1792.9307692307693</v>
      </c>
      <c r="Y2528" t="str">
        <f>IF(Table1[[#This Row],[customer_subscription]]=1,"Subscribed","Not Subscribed")</f>
        <v>Not Subscribed</v>
      </c>
    </row>
    <row r="2529" spans="1:26" x14ac:dyDescent="0.25">
      <c r="A2529">
        <v>2528</v>
      </c>
      <c r="B2529">
        <v>19</v>
      </c>
      <c r="C2529" t="s">
        <v>22</v>
      </c>
      <c r="D2529">
        <v>2528</v>
      </c>
      <c r="E2529" t="s">
        <v>98</v>
      </c>
      <c r="F2529" t="s">
        <v>24</v>
      </c>
      <c r="G2529">
        <v>2528</v>
      </c>
      <c r="H2529">
        <v>3232</v>
      </c>
      <c r="I2529">
        <v>36</v>
      </c>
      <c r="J2529" t="s">
        <v>118</v>
      </c>
      <c r="K2529" t="s">
        <v>47</v>
      </c>
      <c r="L2529" t="s">
        <v>83</v>
      </c>
      <c r="M2529" t="s">
        <v>60</v>
      </c>
      <c r="N2529">
        <v>3.6</v>
      </c>
      <c r="O2529">
        <v>0</v>
      </c>
      <c r="P2529" t="s">
        <v>29</v>
      </c>
      <c r="Q2529" t="s">
        <v>155</v>
      </c>
      <c r="R2529" t="s">
        <v>155</v>
      </c>
      <c r="S2529">
        <v>33</v>
      </c>
      <c r="T2529" t="s">
        <v>78</v>
      </c>
      <c r="U2529" t="s">
        <v>100</v>
      </c>
      <c r="V2529" s="1">
        <v>45562</v>
      </c>
      <c r="W2529">
        <f>Table1[[#This Row],[customer_purchase count]]+1</f>
        <v>34</v>
      </c>
      <c r="X2529">
        <f>Table1[[#This Row],[customer_purchase count]]*Rules!$B$3</f>
        <v>1972.2238461538464</v>
      </c>
      <c r="Y2529" t="str">
        <f>IF(Table1[[#This Row],[customer_subscription]]=1,"Subscribed","Not Subscribed")</f>
        <v>Not Subscribed</v>
      </c>
    </row>
    <row r="2530" spans="1:26" x14ac:dyDescent="0.25">
      <c r="A2530">
        <v>2529</v>
      </c>
      <c r="B2530">
        <v>52</v>
      </c>
      <c r="C2530" t="s">
        <v>22</v>
      </c>
      <c r="D2530">
        <v>2529</v>
      </c>
      <c r="E2530" t="s">
        <v>109</v>
      </c>
      <c r="F2530" t="s">
        <v>70</v>
      </c>
      <c r="G2530">
        <v>2529</v>
      </c>
      <c r="H2530">
        <v>3233</v>
      </c>
      <c r="I2530">
        <v>47</v>
      </c>
      <c r="J2530" t="s">
        <v>93</v>
      </c>
      <c r="K2530" t="s">
        <v>39</v>
      </c>
      <c r="L2530" t="s">
        <v>103</v>
      </c>
      <c r="M2530" t="s">
        <v>60</v>
      </c>
      <c r="N2530">
        <v>4.7</v>
      </c>
      <c r="O2530">
        <v>0</v>
      </c>
      <c r="P2530" t="s">
        <v>73</v>
      </c>
      <c r="Q2530" t="s">
        <v>155</v>
      </c>
      <c r="R2530" t="s">
        <v>155</v>
      </c>
      <c r="S2530">
        <v>31</v>
      </c>
      <c r="T2530" t="s">
        <v>89</v>
      </c>
      <c r="U2530" t="s">
        <v>91</v>
      </c>
      <c r="V2530" s="1">
        <v>45601</v>
      </c>
      <c r="W2530">
        <f>Table1[[#This Row],[customer_purchase count]]+1</f>
        <v>32</v>
      </c>
      <c r="X2530">
        <f>Table1[[#This Row],[customer_purchase count]]*Rules!$B$3</f>
        <v>1852.6951282051282</v>
      </c>
      <c r="Y2530" t="str">
        <f>IF(Table1[[#This Row],[customer_subscription]]=1,"Subscribed","Not Subscribed")</f>
        <v>Not Subscribed</v>
      </c>
    </row>
    <row r="2531" spans="1:26" x14ac:dyDescent="0.25">
      <c r="A2531">
        <v>2530</v>
      </c>
      <c r="B2531">
        <v>34</v>
      </c>
      <c r="C2531" t="s">
        <v>22</v>
      </c>
      <c r="D2531">
        <v>2530</v>
      </c>
      <c r="E2531" t="s">
        <v>146</v>
      </c>
      <c r="F2531" t="s">
        <v>70</v>
      </c>
      <c r="G2531">
        <v>2530</v>
      </c>
      <c r="H2531">
        <v>3235</v>
      </c>
      <c r="I2531">
        <v>62</v>
      </c>
      <c r="J2531" t="s">
        <v>125</v>
      </c>
      <c r="K2531" t="s">
        <v>47</v>
      </c>
      <c r="L2531" t="s">
        <v>139</v>
      </c>
      <c r="M2531" t="s">
        <v>40</v>
      </c>
      <c r="N2531">
        <v>4.7</v>
      </c>
      <c r="O2531">
        <v>0</v>
      </c>
      <c r="P2531" t="s">
        <v>48</v>
      </c>
      <c r="Q2531" t="s">
        <v>155</v>
      </c>
      <c r="R2531" t="s">
        <v>155</v>
      </c>
      <c r="S2531">
        <v>48</v>
      </c>
      <c r="T2531" t="s">
        <v>78</v>
      </c>
      <c r="U2531" t="s">
        <v>91</v>
      </c>
      <c r="V2531" s="1">
        <v>45435</v>
      </c>
      <c r="W2531">
        <f>Table1[[#This Row],[customer_purchase count]]+1</f>
        <v>49</v>
      </c>
      <c r="X2531">
        <f>Table1[[#This Row],[customer_purchase count]]*Rules!$B$3</f>
        <v>2868.689230769231</v>
      </c>
      <c r="Y2531" t="str">
        <f>IF(Table1[[#This Row],[customer_subscription]]=1,"Subscribed","Not Subscribed")</f>
        <v>Not Subscribed</v>
      </c>
    </row>
    <row r="2532" spans="1:26" x14ac:dyDescent="0.25">
      <c r="A2532">
        <v>2531</v>
      </c>
      <c r="B2532">
        <v>25</v>
      </c>
      <c r="C2532" t="s">
        <v>22</v>
      </c>
      <c r="D2532">
        <v>2531</v>
      </c>
      <c r="E2532" t="s">
        <v>90</v>
      </c>
      <c r="F2532" t="s">
        <v>24</v>
      </c>
      <c r="G2532">
        <v>2531</v>
      </c>
      <c r="H2532">
        <v>3236</v>
      </c>
      <c r="I2532">
        <v>98</v>
      </c>
      <c r="J2532" t="s">
        <v>38</v>
      </c>
      <c r="K2532" t="s">
        <v>39</v>
      </c>
      <c r="L2532" t="s">
        <v>112</v>
      </c>
      <c r="M2532" t="s">
        <v>40</v>
      </c>
      <c r="N2532">
        <v>3.6</v>
      </c>
      <c r="O2532">
        <v>0</v>
      </c>
      <c r="P2532" t="s">
        <v>41</v>
      </c>
      <c r="Q2532" t="s">
        <v>155</v>
      </c>
      <c r="R2532" t="s">
        <v>155</v>
      </c>
      <c r="S2532">
        <v>28</v>
      </c>
      <c r="T2532" t="s">
        <v>89</v>
      </c>
      <c r="U2532" t="s">
        <v>43</v>
      </c>
      <c r="V2532" s="1">
        <v>45374</v>
      </c>
      <c r="W2532">
        <f>Table1[[#This Row],[customer_purchase count]]+1</f>
        <v>29</v>
      </c>
      <c r="X2532">
        <f>Table1[[#This Row],[customer_purchase count]]*Rules!$B$3</f>
        <v>1673.4020512820514</v>
      </c>
      <c r="Y2532" t="str">
        <f>IF(Table1[[#This Row],[customer_subscription]]=1,"Subscribed","Not Subscribed")</f>
        <v>Not Subscribed</v>
      </c>
    </row>
    <row r="2533" spans="1:26" x14ac:dyDescent="0.25">
      <c r="A2533">
        <v>2532</v>
      </c>
      <c r="B2533">
        <v>43</v>
      </c>
      <c r="C2533" t="s">
        <v>22</v>
      </c>
      <c r="D2533">
        <v>2532</v>
      </c>
      <c r="E2533" t="s">
        <v>44</v>
      </c>
      <c r="F2533" t="s">
        <v>45</v>
      </c>
      <c r="G2533">
        <v>2532</v>
      </c>
      <c r="H2533">
        <v>3237</v>
      </c>
      <c r="I2533">
        <v>28</v>
      </c>
      <c r="J2533" t="s">
        <v>108</v>
      </c>
      <c r="K2533" t="s">
        <v>47</v>
      </c>
      <c r="L2533" t="s">
        <v>86</v>
      </c>
      <c r="M2533" t="s">
        <v>56</v>
      </c>
      <c r="N2533">
        <v>4.5999999999999996</v>
      </c>
      <c r="O2533">
        <v>0</v>
      </c>
      <c r="P2533" t="s">
        <v>41</v>
      </c>
      <c r="Q2533" t="s">
        <v>155</v>
      </c>
      <c r="R2533" t="s">
        <v>155</v>
      </c>
      <c r="S2533">
        <v>7</v>
      </c>
      <c r="T2533" t="s">
        <v>36</v>
      </c>
      <c r="U2533" t="s">
        <v>100</v>
      </c>
      <c r="V2533" s="1">
        <v>45526</v>
      </c>
      <c r="W2533">
        <f>Table1[[#This Row],[customer_purchase count]]+1</f>
        <v>8</v>
      </c>
      <c r="X2533">
        <f>Table1[[#This Row],[customer_purchase count]]*Rules!$B$3</f>
        <v>418.35051282051285</v>
      </c>
      <c r="Y2533" t="str">
        <f>IF(Table1[[#This Row],[customer_subscription]]=1,"Subscribed","Not Subscribed")</f>
        <v>Not Subscribed</v>
      </c>
      <c r="Z2533" t="s">
        <v>194</v>
      </c>
    </row>
    <row r="2534" spans="1:26" x14ac:dyDescent="0.25">
      <c r="A2534">
        <v>2533</v>
      </c>
      <c r="B2534">
        <v>55</v>
      </c>
      <c r="C2534" t="s">
        <v>22</v>
      </c>
      <c r="D2534">
        <v>2533</v>
      </c>
      <c r="E2534" t="s">
        <v>128</v>
      </c>
      <c r="F2534" t="s">
        <v>24</v>
      </c>
      <c r="G2534">
        <v>2533</v>
      </c>
      <c r="H2534">
        <v>3238</v>
      </c>
      <c r="I2534">
        <v>86</v>
      </c>
      <c r="J2534" t="s">
        <v>148</v>
      </c>
      <c r="K2534" t="s">
        <v>39</v>
      </c>
      <c r="L2534" t="s">
        <v>64</v>
      </c>
      <c r="M2534" t="s">
        <v>56</v>
      </c>
      <c r="N2534">
        <v>2.6</v>
      </c>
      <c r="O2534">
        <v>0</v>
      </c>
      <c r="P2534" t="s">
        <v>48</v>
      </c>
      <c r="Q2534" t="s">
        <v>155</v>
      </c>
      <c r="R2534" t="s">
        <v>155</v>
      </c>
      <c r="S2534">
        <v>4</v>
      </c>
      <c r="T2534" t="s">
        <v>89</v>
      </c>
      <c r="U2534" t="s">
        <v>43</v>
      </c>
      <c r="V2534" s="1">
        <v>45444</v>
      </c>
      <c r="W2534">
        <f>Table1[[#This Row],[customer_purchase count]]+1</f>
        <v>5</v>
      </c>
      <c r="X2534">
        <f>Table1[[#This Row],[customer_purchase count]]*Rules!$B$3</f>
        <v>239.05743589743591</v>
      </c>
      <c r="Y2534" t="str">
        <f>IF(Table1[[#This Row],[customer_subscription]]=1,"Subscribed","Not Subscribed")</f>
        <v>Not Subscribed</v>
      </c>
      <c r="Z2534" t="s">
        <v>194</v>
      </c>
    </row>
    <row r="2535" spans="1:26" x14ac:dyDescent="0.25">
      <c r="A2535">
        <v>2534</v>
      </c>
      <c r="B2535">
        <v>66</v>
      </c>
      <c r="C2535" t="s">
        <v>22</v>
      </c>
      <c r="D2535">
        <v>2534</v>
      </c>
      <c r="E2535" t="s">
        <v>109</v>
      </c>
      <c r="F2535" t="s">
        <v>70</v>
      </c>
      <c r="G2535">
        <v>2534</v>
      </c>
      <c r="H2535">
        <v>3239</v>
      </c>
      <c r="I2535">
        <v>46</v>
      </c>
      <c r="J2535" t="s">
        <v>141</v>
      </c>
      <c r="K2535" t="s">
        <v>39</v>
      </c>
      <c r="L2535" t="s">
        <v>147</v>
      </c>
      <c r="M2535" t="s">
        <v>56</v>
      </c>
      <c r="N2535">
        <v>3.1</v>
      </c>
      <c r="O2535">
        <v>0</v>
      </c>
      <c r="P2535" t="s">
        <v>57</v>
      </c>
      <c r="Q2535" t="s">
        <v>155</v>
      </c>
      <c r="R2535" t="s">
        <v>155</v>
      </c>
      <c r="S2535">
        <v>49</v>
      </c>
      <c r="T2535" t="s">
        <v>36</v>
      </c>
      <c r="U2535" t="s">
        <v>79</v>
      </c>
      <c r="V2535" s="1">
        <v>45500</v>
      </c>
      <c r="W2535">
        <f>Table1[[#This Row],[customer_purchase count]]+1</f>
        <v>50</v>
      </c>
      <c r="X2535">
        <f>Table1[[#This Row],[customer_purchase count]]*Rules!$B$3</f>
        <v>2928.4535897435899</v>
      </c>
      <c r="Y2535" t="str">
        <f>IF(Table1[[#This Row],[customer_subscription]]=1,"Subscribed","Not Subscribed")</f>
        <v>Not Subscribed</v>
      </c>
    </row>
    <row r="2536" spans="1:26" x14ac:dyDescent="0.25">
      <c r="A2536">
        <v>2535</v>
      </c>
      <c r="B2536">
        <v>41</v>
      </c>
      <c r="C2536" t="s">
        <v>22</v>
      </c>
      <c r="D2536">
        <v>2535</v>
      </c>
      <c r="E2536" t="s">
        <v>92</v>
      </c>
      <c r="F2536" t="s">
        <v>70</v>
      </c>
      <c r="G2536">
        <v>2535</v>
      </c>
      <c r="H2536">
        <v>3241</v>
      </c>
      <c r="I2536">
        <v>42</v>
      </c>
      <c r="J2536" t="s">
        <v>144</v>
      </c>
      <c r="K2536" t="s">
        <v>95</v>
      </c>
      <c r="L2536" t="s">
        <v>111</v>
      </c>
      <c r="M2536" t="s">
        <v>60</v>
      </c>
      <c r="N2536">
        <v>3.2</v>
      </c>
      <c r="O2536">
        <v>0</v>
      </c>
      <c r="P2536" t="s">
        <v>41</v>
      </c>
      <c r="Q2536" t="s">
        <v>155</v>
      </c>
      <c r="R2536" t="s">
        <v>155</v>
      </c>
      <c r="S2536">
        <v>22</v>
      </c>
      <c r="T2536" t="s">
        <v>36</v>
      </c>
      <c r="U2536" t="s">
        <v>43</v>
      </c>
      <c r="V2536" s="1">
        <v>45550</v>
      </c>
      <c r="W2536">
        <f>Table1[[#This Row],[customer_purchase count]]+1</f>
        <v>23</v>
      </c>
      <c r="X2536">
        <f>Table1[[#This Row],[customer_purchase count]]*Rules!$B$3</f>
        <v>1314.8158974358976</v>
      </c>
      <c r="Y2536" t="str">
        <f>IF(Table1[[#This Row],[customer_subscription]]=1,"Subscribed","Not Subscribed")</f>
        <v>Not Subscribed</v>
      </c>
    </row>
    <row r="2537" spans="1:26" x14ac:dyDescent="0.25">
      <c r="A2537">
        <v>2536</v>
      </c>
      <c r="B2537">
        <v>47</v>
      </c>
      <c r="C2537" t="s">
        <v>22</v>
      </c>
      <c r="D2537">
        <v>2536</v>
      </c>
      <c r="E2537" t="s">
        <v>65</v>
      </c>
      <c r="F2537" t="s">
        <v>66</v>
      </c>
      <c r="G2537">
        <v>2536</v>
      </c>
      <c r="H2537">
        <v>3242</v>
      </c>
      <c r="I2537">
        <v>80</v>
      </c>
      <c r="J2537" t="s">
        <v>132</v>
      </c>
      <c r="K2537" t="s">
        <v>39</v>
      </c>
      <c r="L2537" t="s">
        <v>76</v>
      </c>
      <c r="M2537" t="s">
        <v>28</v>
      </c>
      <c r="N2537">
        <v>3.9</v>
      </c>
      <c r="O2537">
        <v>0</v>
      </c>
      <c r="P2537" t="s">
        <v>29</v>
      </c>
      <c r="Q2537" t="s">
        <v>155</v>
      </c>
      <c r="R2537" t="s">
        <v>155</v>
      </c>
      <c r="S2537">
        <v>39</v>
      </c>
      <c r="T2537" t="s">
        <v>78</v>
      </c>
      <c r="U2537" t="s">
        <v>32</v>
      </c>
      <c r="V2537" s="1">
        <v>45293</v>
      </c>
      <c r="W2537">
        <f>Table1[[#This Row],[customer_purchase count]]+1</f>
        <v>40</v>
      </c>
      <c r="X2537">
        <f>Table1[[#This Row],[customer_purchase count]]*Rules!$B$3</f>
        <v>2330.81</v>
      </c>
      <c r="Y2537" t="str">
        <f>IF(Table1[[#This Row],[customer_subscription]]=1,"Subscribed","Not Subscribed")</f>
        <v>Not Subscribed</v>
      </c>
    </row>
    <row r="2538" spans="1:26" x14ac:dyDescent="0.25">
      <c r="A2538">
        <v>2537</v>
      </c>
      <c r="B2538">
        <v>51</v>
      </c>
      <c r="C2538" t="s">
        <v>22</v>
      </c>
      <c r="D2538">
        <v>2537</v>
      </c>
      <c r="E2538" t="s">
        <v>136</v>
      </c>
      <c r="F2538" t="s">
        <v>70</v>
      </c>
      <c r="G2538">
        <v>2537</v>
      </c>
      <c r="H2538">
        <v>3243</v>
      </c>
      <c r="I2538">
        <v>39</v>
      </c>
      <c r="J2538" t="s">
        <v>104</v>
      </c>
      <c r="K2538" t="s">
        <v>26</v>
      </c>
      <c r="L2538" t="s">
        <v>27</v>
      </c>
      <c r="M2538" t="s">
        <v>40</v>
      </c>
      <c r="N2538">
        <v>4.9000000000000004</v>
      </c>
      <c r="O2538">
        <v>0</v>
      </c>
      <c r="P2538" t="s">
        <v>29</v>
      </c>
      <c r="Q2538" t="s">
        <v>155</v>
      </c>
      <c r="R2538" t="s">
        <v>155</v>
      </c>
      <c r="S2538">
        <v>45</v>
      </c>
      <c r="T2538" t="s">
        <v>49</v>
      </c>
      <c r="U2538" t="s">
        <v>100</v>
      </c>
      <c r="V2538" s="1">
        <v>45376</v>
      </c>
      <c r="W2538">
        <f>Table1[[#This Row],[customer_purchase count]]+1</f>
        <v>46</v>
      </c>
      <c r="X2538">
        <f>Table1[[#This Row],[customer_purchase count]]*Rules!$B$3</f>
        <v>2689.396153846154</v>
      </c>
      <c r="Y2538" t="str">
        <f>IF(Table1[[#This Row],[customer_subscription]]=1,"Subscribed","Not Subscribed")</f>
        <v>Not Subscribed</v>
      </c>
    </row>
    <row r="2539" spans="1:26" x14ac:dyDescent="0.25">
      <c r="A2539">
        <v>2538</v>
      </c>
      <c r="B2539">
        <v>44</v>
      </c>
      <c r="C2539" t="s">
        <v>22</v>
      </c>
      <c r="D2539">
        <v>2538</v>
      </c>
      <c r="E2539" t="s">
        <v>65</v>
      </c>
      <c r="F2539" t="s">
        <v>66</v>
      </c>
      <c r="G2539">
        <v>2538</v>
      </c>
      <c r="H2539">
        <v>3244</v>
      </c>
      <c r="I2539">
        <v>49</v>
      </c>
      <c r="J2539" t="s">
        <v>34</v>
      </c>
      <c r="K2539" t="s">
        <v>47</v>
      </c>
      <c r="L2539" t="s">
        <v>76</v>
      </c>
      <c r="M2539" t="s">
        <v>56</v>
      </c>
      <c r="N2539">
        <v>4.0999999999999996</v>
      </c>
      <c r="O2539">
        <v>0</v>
      </c>
      <c r="P2539" t="s">
        <v>73</v>
      </c>
      <c r="Q2539" t="s">
        <v>155</v>
      </c>
      <c r="R2539" t="s">
        <v>155</v>
      </c>
      <c r="S2539">
        <v>30</v>
      </c>
      <c r="T2539" t="s">
        <v>49</v>
      </c>
      <c r="U2539" t="s">
        <v>32</v>
      </c>
      <c r="V2539" s="1">
        <v>45455</v>
      </c>
      <c r="W2539">
        <f>Table1[[#This Row],[customer_purchase count]]+1</f>
        <v>31</v>
      </c>
      <c r="X2539">
        <f>Table1[[#This Row],[customer_purchase count]]*Rules!$B$3</f>
        <v>1792.9307692307693</v>
      </c>
      <c r="Y2539" t="str">
        <f>IF(Table1[[#This Row],[customer_subscription]]=1,"Subscribed","Not Subscribed")</f>
        <v>Not Subscribed</v>
      </c>
    </row>
    <row r="2540" spans="1:26" x14ac:dyDescent="0.25">
      <c r="A2540">
        <v>2539</v>
      </c>
      <c r="B2540">
        <v>18</v>
      </c>
      <c r="C2540" t="s">
        <v>22</v>
      </c>
      <c r="D2540">
        <v>2539</v>
      </c>
      <c r="E2540" t="s">
        <v>122</v>
      </c>
      <c r="F2540" t="s">
        <v>70</v>
      </c>
      <c r="G2540">
        <v>2539</v>
      </c>
      <c r="H2540">
        <v>3245</v>
      </c>
      <c r="I2540">
        <v>32</v>
      </c>
      <c r="J2540" t="s">
        <v>130</v>
      </c>
      <c r="K2540" t="s">
        <v>47</v>
      </c>
      <c r="L2540" t="s">
        <v>68</v>
      </c>
      <c r="M2540" t="s">
        <v>56</v>
      </c>
      <c r="N2540">
        <v>4.2</v>
      </c>
      <c r="O2540">
        <v>0</v>
      </c>
      <c r="P2540" t="s">
        <v>48</v>
      </c>
      <c r="Q2540" t="s">
        <v>155</v>
      </c>
      <c r="R2540" t="s">
        <v>155</v>
      </c>
      <c r="S2540">
        <v>33</v>
      </c>
      <c r="T2540" t="s">
        <v>42</v>
      </c>
      <c r="U2540" t="s">
        <v>79</v>
      </c>
      <c r="V2540" s="1">
        <v>45484</v>
      </c>
      <c r="W2540">
        <f>Table1[[#This Row],[customer_purchase count]]+1</f>
        <v>34</v>
      </c>
      <c r="X2540">
        <f>Table1[[#This Row],[customer_purchase count]]*Rules!$B$3</f>
        <v>1972.2238461538464</v>
      </c>
      <c r="Y2540" t="str">
        <f>IF(Table1[[#This Row],[customer_subscription]]=1,"Subscribed","Not Subscribed")</f>
        <v>Not Subscribed</v>
      </c>
    </row>
    <row r="2541" spans="1:26" x14ac:dyDescent="0.25">
      <c r="A2541">
        <v>2540</v>
      </c>
      <c r="B2541">
        <v>33</v>
      </c>
      <c r="C2541" t="s">
        <v>22</v>
      </c>
      <c r="D2541">
        <v>2540</v>
      </c>
      <c r="E2541" t="s">
        <v>44</v>
      </c>
      <c r="F2541" t="s">
        <v>45</v>
      </c>
      <c r="G2541">
        <v>2540</v>
      </c>
      <c r="H2541">
        <v>3247</v>
      </c>
      <c r="I2541">
        <v>73</v>
      </c>
      <c r="J2541" t="s">
        <v>38</v>
      </c>
      <c r="K2541" t="s">
        <v>47</v>
      </c>
      <c r="L2541" t="s">
        <v>76</v>
      </c>
      <c r="M2541" t="s">
        <v>60</v>
      </c>
      <c r="N2541">
        <v>4.0999999999999996</v>
      </c>
      <c r="O2541">
        <v>0</v>
      </c>
      <c r="P2541" t="s">
        <v>48</v>
      </c>
      <c r="Q2541" t="s">
        <v>155</v>
      </c>
      <c r="R2541" t="s">
        <v>155</v>
      </c>
      <c r="S2541">
        <v>24</v>
      </c>
      <c r="T2541" t="s">
        <v>36</v>
      </c>
      <c r="U2541" t="s">
        <v>79</v>
      </c>
      <c r="V2541" s="1">
        <v>45622</v>
      </c>
      <c r="W2541">
        <f>Table1[[#This Row],[customer_purchase count]]+1</f>
        <v>25</v>
      </c>
      <c r="X2541">
        <f>Table1[[#This Row],[customer_purchase count]]*Rules!$B$3</f>
        <v>1434.3446153846155</v>
      </c>
      <c r="Y2541" t="str">
        <f>IF(Table1[[#This Row],[customer_subscription]]=1,"Subscribed","Not Subscribed")</f>
        <v>Not Subscribed</v>
      </c>
    </row>
    <row r="2542" spans="1:26" x14ac:dyDescent="0.25">
      <c r="A2542">
        <v>2541</v>
      </c>
      <c r="B2542">
        <v>24</v>
      </c>
      <c r="C2542" t="s">
        <v>22</v>
      </c>
      <c r="D2542">
        <v>2541</v>
      </c>
      <c r="E2542" t="s">
        <v>136</v>
      </c>
      <c r="F2542" t="s">
        <v>70</v>
      </c>
      <c r="G2542">
        <v>2541</v>
      </c>
      <c r="H2542">
        <v>3248</v>
      </c>
      <c r="I2542">
        <v>42</v>
      </c>
      <c r="J2542" t="s">
        <v>130</v>
      </c>
      <c r="K2542" t="s">
        <v>47</v>
      </c>
      <c r="L2542" t="s">
        <v>64</v>
      </c>
      <c r="M2542" t="s">
        <v>56</v>
      </c>
      <c r="N2542">
        <v>3.9</v>
      </c>
      <c r="O2542">
        <v>0</v>
      </c>
      <c r="P2542" t="s">
        <v>41</v>
      </c>
      <c r="Q2542" t="s">
        <v>155</v>
      </c>
      <c r="R2542" t="s">
        <v>155</v>
      </c>
      <c r="S2542">
        <v>11</v>
      </c>
      <c r="T2542" t="s">
        <v>89</v>
      </c>
      <c r="U2542" t="s">
        <v>61</v>
      </c>
      <c r="V2542" s="1">
        <v>45468</v>
      </c>
      <c r="W2542">
        <f>Table1[[#This Row],[customer_purchase count]]+1</f>
        <v>12</v>
      </c>
      <c r="X2542">
        <f>Table1[[#This Row],[customer_purchase count]]*Rules!$B$3</f>
        <v>657.40794871794878</v>
      </c>
      <c r="Y2542" t="str">
        <f>IF(Table1[[#This Row],[customer_subscription]]=1,"Subscribed","Not Subscribed")</f>
        <v>Not Subscribed</v>
      </c>
      <c r="Z2542" t="s">
        <v>187</v>
      </c>
    </row>
    <row r="2543" spans="1:26" x14ac:dyDescent="0.25">
      <c r="A2543">
        <v>2542</v>
      </c>
      <c r="B2543">
        <v>33</v>
      </c>
      <c r="C2543" t="s">
        <v>22</v>
      </c>
      <c r="D2543">
        <v>2542</v>
      </c>
      <c r="E2543" t="s">
        <v>122</v>
      </c>
      <c r="F2543" t="s">
        <v>70</v>
      </c>
      <c r="G2543">
        <v>2542</v>
      </c>
      <c r="H2543">
        <v>3249</v>
      </c>
      <c r="I2543">
        <v>58</v>
      </c>
      <c r="J2543" t="s">
        <v>152</v>
      </c>
      <c r="K2543" t="s">
        <v>47</v>
      </c>
      <c r="L2543" t="s">
        <v>68</v>
      </c>
      <c r="M2543" t="s">
        <v>40</v>
      </c>
      <c r="N2543">
        <v>2.7</v>
      </c>
      <c r="O2543">
        <v>0</v>
      </c>
      <c r="P2543" t="s">
        <v>48</v>
      </c>
      <c r="Q2543" t="s">
        <v>155</v>
      </c>
      <c r="R2543" t="s">
        <v>155</v>
      </c>
      <c r="S2543">
        <v>13</v>
      </c>
      <c r="T2543" t="s">
        <v>31</v>
      </c>
      <c r="U2543" t="s">
        <v>100</v>
      </c>
      <c r="V2543" s="1">
        <v>45438</v>
      </c>
      <c r="W2543">
        <f>Table1[[#This Row],[customer_purchase count]]+1</f>
        <v>14</v>
      </c>
      <c r="X2543">
        <f>Table1[[#This Row],[customer_purchase count]]*Rules!$B$3</f>
        <v>776.93666666666672</v>
      </c>
      <c r="Y2543" t="str">
        <f>IF(Table1[[#This Row],[customer_subscription]]=1,"Subscribed","Not Subscribed")</f>
        <v>Not Subscribed</v>
      </c>
      <c r="Z2543" t="s">
        <v>194</v>
      </c>
    </row>
    <row r="2544" spans="1:26" x14ac:dyDescent="0.25">
      <c r="A2544">
        <v>2543</v>
      </c>
      <c r="B2544">
        <v>61</v>
      </c>
      <c r="C2544" t="s">
        <v>22</v>
      </c>
      <c r="D2544">
        <v>2543</v>
      </c>
      <c r="E2544" t="s">
        <v>109</v>
      </c>
      <c r="F2544" t="s">
        <v>70</v>
      </c>
      <c r="G2544">
        <v>2543</v>
      </c>
      <c r="H2544">
        <v>3250</v>
      </c>
      <c r="I2544">
        <v>22</v>
      </c>
      <c r="J2544" t="s">
        <v>75</v>
      </c>
      <c r="K2544" t="s">
        <v>47</v>
      </c>
      <c r="L2544" t="s">
        <v>55</v>
      </c>
      <c r="M2544" t="s">
        <v>28</v>
      </c>
      <c r="N2544">
        <v>3.7</v>
      </c>
      <c r="O2544">
        <v>0</v>
      </c>
      <c r="P2544" t="s">
        <v>29</v>
      </c>
      <c r="Q2544" t="s">
        <v>155</v>
      </c>
      <c r="R2544" t="s">
        <v>155</v>
      </c>
      <c r="S2544">
        <v>27</v>
      </c>
      <c r="T2544" t="s">
        <v>49</v>
      </c>
      <c r="U2544" t="s">
        <v>52</v>
      </c>
      <c r="V2544" s="1">
        <v>45641</v>
      </c>
      <c r="W2544">
        <f>Table1[[#This Row],[customer_purchase count]]+1</f>
        <v>28</v>
      </c>
      <c r="X2544">
        <f>Table1[[#This Row],[customer_purchase count]]*Rules!$B$3</f>
        <v>1613.6376923076923</v>
      </c>
      <c r="Y2544" t="str">
        <f>IF(Table1[[#This Row],[customer_subscription]]=1,"Subscribed","Not Subscribed")</f>
        <v>Not Subscribed</v>
      </c>
    </row>
    <row r="2545" spans="1:26" x14ac:dyDescent="0.25">
      <c r="A2545">
        <v>2544</v>
      </c>
      <c r="B2545">
        <v>27</v>
      </c>
      <c r="C2545" t="s">
        <v>22</v>
      </c>
      <c r="D2545">
        <v>2544</v>
      </c>
      <c r="E2545" t="s">
        <v>122</v>
      </c>
      <c r="F2545" t="s">
        <v>70</v>
      </c>
      <c r="G2545">
        <v>2544</v>
      </c>
      <c r="H2545">
        <v>3251</v>
      </c>
      <c r="I2545">
        <v>56</v>
      </c>
      <c r="J2545" t="s">
        <v>67</v>
      </c>
      <c r="K2545" t="s">
        <v>26</v>
      </c>
      <c r="L2545" t="s">
        <v>103</v>
      </c>
      <c r="M2545" t="s">
        <v>40</v>
      </c>
      <c r="N2545">
        <v>2.7</v>
      </c>
      <c r="O2545">
        <v>0</v>
      </c>
      <c r="P2545" t="s">
        <v>48</v>
      </c>
      <c r="Q2545" t="s">
        <v>155</v>
      </c>
      <c r="R2545" t="s">
        <v>155</v>
      </c>
      <c r="S2545">
        <v>30</v>
      </c>
      <c r="T2545" t="s">
        <v>49</v>
      </c>
      <c r="U2545" t="s">
        <v>79</v>
      </c>
      <c r="V2545" s="1">
        <v>45421</v>
      </c>
      <c r="W2545">
        <f>Table1[[#This Row],[customer_purchase count]]+1</f>
        <v>31</v>
      </c>
      <c r="X2545">
        <f>Table1[[#This Row],[customer_purchase count]]*Rules!$B$3</f>
        <v>1792.9307692307693</v>
      </c>
      <c r="Y2545" t="str">
        <f>IF(Table1[[#This Row],[customer_subscription]]=1,"Subscribed","Not Subscribed")</f>
        <v>Not Subscribed</v>
      </c>
    </row>
    <row r="2546" spans="1:26" x14ac:dyDescent="0.25">
      <c r="A2546">
        <v>2545</v>
      </c>
      <c r="B2546">
        <v>46</v>
      </c>
      <c r="C2546" t="s">
        <v>22</v>
      </c>
      <c r="D2546">
        <v>2545</v>
      </c>
      <c r="E2546" t="s">
        <v>98</v>
      </c>
      <c r="F2546" t="s">
        <v>24</v>
      </c>
      <c r="G2546">
        <v>2545</v>
      </c>
      <c r="H2546">
        <v>3253</v>
      </c>
      <c r="I2546">
        <v>70</v>
      </c>
      <c r="J2546" t="s">
        <v>82</v>
      </c>
      <c r="K2546" t="s">
        <v>47</v>
      </c>
      <c r="L2546" t="s">
        <v>111</v>
      </c>
      <c r="M2546" t="s">
        <v>40</v>
      </c>
      <c r="N2546">
        <v>2.5</v>
      </c>
      <c r="O2546">
        <v>0</v>
      </c>
      <c r="P2546" t="s">
        <v>48</v>
      </c>
      <c r="Q2546" t="s">
        <v>155</v>
      </c>
      <c r="R2546" t="s">
        <v>155</v>
      </c>
      <c r="S2546">
        <v>39</v>
      </c>
      <c r="T2546" t="s">
        <v>31</v>
      </c>
      <c r="U2546" t="s">
        <v>61</v>
      </c>
      <c r="V2546" s="1">
        <v>45389</v>
      </c>
      <c r="W2546">
        <f>Table1[[#This Row],[customer_purchase count]]+1</f>
        <v>40</v>
      </c>
      <c r="X2546">
        <f>Table1[[#This Row],[customer_purchase count]]*Rules!$B$3</f>
        <v>2330.81</v>
      </c>
      <c r="Y2546" t="str">
        <f>IF(Table1[[#This Row],[customer_subscription]]=1,"Subscribed","Not Subscribed")</f>
        <v>Not Subscribed</v>
      </c>
    </row>
    <row r="2547" spans="1:26" x14ac:dyDescent="0.25">
      <c r="A2547">
        <v>2546</v>
      </c>
      <c r="B2547">
        <v>38</v>
      </c>
      <c r="C2547" t="s">
        <v>22</v>
      </c>
      <c r="D2547">
        <v>2546</v>
      </c>
      <c r="E2547" t="s">
        <v>74</v>
      </c>
      <c r="F2547" t="s">
        <v>45</v>
      </c>
      <c r="G2547">
        <v>2546</v>
      </c>
      <c r="H2547">
        <v>3254</v>
      </c>
      <c r="I2547">
        <v>50</v>
      </c>
      <c r="J2547" t="s">
        <v>108</v>
      </c>
      <c r="K2547" t="s">
        <v>26</v>
      </c>
      <c r="L2547" t="s">
        <v>81</v>
      </c>
      <c r="M2547" t="s">
        <v>40</v>
      </c>
      <c r="N2547">
        <v>3.9</v>
      </c>
      <c r="O2547">
        <v>0</v>
      </c>
      <c r="P2547" t="s">
        <v>41</v>
      </c>
      <c r="Q2547" t="s">
        <v>155</v>
      </c>
      <c r="R2547" t="s">
        <v>155</v>
      </c>
      <c r="S2547">
        <v>10</v>
      </c>
      <c r="T2547" t="s">
        <v>89</v>
      </c>
      <c r="U2547" t="s">
        <v>52</v>
      </c>
      <c r="V2547" s="1">
        <v>45385</v>
      </c>
      <c r="W2547">
        <f>Table1[[#This Row],[customer_purchase count]]+1</f>
        <v>11</v>
      </c>
      <c r="X2547">
        <f>Table1[[#This Row],[customer_purchase count]]*Rules!$B$3</f>
        <v>597.64358974358981</v>
      </c>
      <c r="Y2547" t="str">
        <f>IF(Table1[[#This Row],[customer_subscription]]=1,"Subscribed","Not Subscribed")</f>
        <v>Not Subscribed</v>
      </c>
      <c r="Z2547" t="s">
        <v>194</v>
      </c>
    </row>
    <row r="2548" spans="1:26" x14ac:dyDescent="0.25">
      <c r="A2548">
        <v>2547</v>
      </c>
      <c r="B2548">
        <v>63</v>
      </c>
      <c r="C2548" t="s">
        <v>22</v>
      </c>
      <c r="D2548">
        <v>2547</v>
      </c>
      <c r="E2548" t="s">
        <v>140</v>
      </c>
      <c r="F2548" t="s">
        <v>45</v>
      </c>
      <c r="G2548">
        <v>2547</v>
      </c>
      <c r="H2548">
        <v>3255</v>
      </c>
      <c r="I2548">
        <v>21</v>
      </c>
      <c r="J2548" t="s">
        <v>108</v>
      </c>
      <c r="K2548" t="s">
        <v>26</v>
      </c>
      <c r="L2548" t="s">
        <v>27</v>
      </c>
      <c r="M2548" t="s">
        <v>56</v>
      </c>
      <c r="N2548">
        <v>3</v>
      </c>
      <c r="O2548">
        <v>0</v>
      </c>
      <c r="P2548" t="s">
        <v>29</v>
      </c>
      <c r="Q2548" t="s">
        <v>155</v>
      </c>
      <c r="R2548" t="s">
        <v>155</v>
      </c>
      <c r="S2548">
        <v>4</v>
      </c>
      <c r="T2548" t="s">
        <v>42</v>
      </c>
      <c r="U2548" t="s">
        <v>61</v>
      </c>
      <c r="V2548" s="1">
        <v>45516</v>
      </c>
      <c r="W2548">
        <f>Table1[[#This Row],[customer_purchase count]]+1</f>
        <v>5</v>
      </c>
      <c r="X2548">
        <f>Table1[[#This Row],[customer_purchase count]]*Rules!$B$3</f>
        <v>239.05743589743591</v>
      </c>
      <c r="Y2548" t="str">
        <f>IF(Table1[[#This Row],[customer_subscription]]=1,"Subscribed","Not Subscribed")</f>
        <v>Not Subscribed</v>
      </c>
      <c r="Z2548" t="s">
        <v>194</v>
      </c>
    </row>
    <row r="2549" spans="1:26" x14ac:dyDescent="0.25">
      <c r="A2549">
        <v>2548</v>
      </c>
      <c r="B2549">
        <v>47</v>
      </c>
      <c r="C2549" t="s">
        <v>22</v>
      </c>
      <c r="D2549">
        <v>2548</v>
      </c>
      <c r="E2549" t="s">
        <v>105</v>
      </c>
      <c r="F2549" t="s">
        <v>66</v>
      </c>
      <c r="G2549">
        <v>2548</v>
      </c>
      <c r="H2549">
        <v>3256</v>
      </c>
      <c r="I2549">
        <v>97</v>
      </c>
      <c r="J2549" t="s">
        <v>94</v>
      </c>
      <c r="K2549" t="s">
        <v>47</v>
      </c>
      <c r="L2549" t="s">
        <v>121</v>
      </c>
      <c r="M2549" t="s">
        <v>56</v>
      </c>
      <c r="N2549">
        <v>3.2</v>
      </c>
      <c r="O2549">
        <v>0</v>
      </c>
      <c r="P2549" t="s">
        <v>73</v>
      </c>
      <c r="Q2549" t="s">
        <v>155</v>
      </c>
      <c r="R2549" t="s">
        <v>155</v>
      </c>
      <c r="S2549">
        <v>16</v>
      </c>
      <c r="T2549" t="s">
        <v>36</v>
      </c>
      <c r="U2549" t="s">
        <v>43</v>
      </c>
      <c r="V2549" s="1">
        <v>45448</v>
      </c>
      <c r="W2549">
        <f>Table1[[#This Row],[customer_purchase count]]+1</f>
        <v>17</v>
      </c>
      <c r="X2549">
        <f>Table1[[#This Row],[customer_purchase count]]*Rules!$B$3</f>
        <v>956.22974358974363</v>
      </c>
      <c r="Y2549" t="str">
        <f>IF(Table1[[#This Row],[customer_subscription]]=1,"Subscribed","Not Subscribed")</f>
        <v>Not Subscribed</v>
      </c>
      <c r="Z2549" t="s">
        <v>194</v>
      </c>
    </row>
    <row r="2550" spans="1:26" x14ac:dyDescent="0.25">
      <c r="A2550">
        <v>2549</v>
      </c>
      <c r="B2550">
        <v>42</v>
      </c>
      <c r="C2550" t="s">
        <v>22</v>
      </c>
      <c r="D2550">
        <v>2549</v>
      </c>
      <c r="E2550" t="s">
        <v>135</v>
      </c>
      <c r="F2550" t="s">
        <v>70</v>
      </c>
      <c r="G2550">
        <v>2549</v>
      </c>
      <c r="H2550">
        <v>3257</v>
      </c>
      <c r="I2550">
        <v>63</v>
      </c>
      <c r="J2550" t="s">
        <v>108</v>
      </c>
      <c r="K2550" t="s">
        <v>26</v>
      </c>
      <c r="L2550" t="s">
        <v>72</v>
      </c>
      <c r="M2550" t="s">
        <v>28</v>
      </c>
      <c r="N2550">
        <v>3.8</v>
      </c>
      <c r="O2550">
        <v>0</v>
      </c>
      <c r="P2550" t="s">
        <v>57</v>
      </c>
      <c r="Q2550" t="s">
        <v>155</v>
      </c>
      <c r="R2550" t="s">
        <v>155</v>
      </c>
      <c r="S2550">
        <v>34</v>
      </c>
      <c r="T2550" t="s">
        <v>42</v>
      </c>
      <c r="U2550" t="s">
        <v>91</v>
      </c>
      <c r="V2550" s="1">
        <v>45308</v>
      </c>
      <c r="W2550">
        <f>Table1[[#This Row],[customer_purchase count]]+1</f>
        <v>35</v>
      </c>
      <c r="X2550">
        <f>Table1[[#This Row],[customer_purchase count]]*Rules!$B$3</f>
        <v>2031.9882051282052</v>
      </c>
      <c r="Y2550" t="str">
        <f>IF(Table1[[#This Row],[customer_subscription]]=1,"Subscribed","Not Subscribed")</f>
        <v>Not Subscribed</v>
      </c>
    </row>
    <row r="2551" spans="1:26" x14ac:dyDescent="0.25">
      <c r="A2551">
        <v>2550</v>
      </c>
      <c r="B2551">
        <v>41</v>
      </c>
      <c r="C2551" t="s">
        <v>22</v>
      </c>
      <c r="D2551">
        <v>2550</v>
      </c>
      <c r="E2551" t="s">
        <v>105</v>
      </c>
      <c r="F2551" t="s">
        <v>66</v>
      </c>
      <c r="G2551">
        <v>2550</v>
      </c>
      <c r="H2551">
        <v>3259</v>
      </c>
      <c r="I2551">
        <v>60</v>
      </c>
      <c r="J2551" t="s">
        <v>144</v>
      </c>
      <c r="K2551" t="s">
        <v>47</v>
      </c>
      <c r="L2551" t="s">
        <v>111</v>
      </c>
      <c r="M2551" t="s">
        <v>60</v>
      </c>
      <c r="N2551">
        <v>2.7</v>
      </c>
      <c r="O2551">
        <v>0</v>
      </c>
      <c r="P2551" t="s">
        <v>57</v>
      </c>
      <c r="Q2551" t="s">
        <v>155</v>
      </c>
      <c r="R2551" t="s">
        <v>155</v>
      </c>
      <c r="S2551">
        <v>11</v>
      </c>
      <c r="T2551" t="s">
        <v>89</v>
      </c>
      <c r="U2551" t="s">
        <v>100</v>
      </c>
      <c r="V2551" s="1">
        <v>45542</v>
      </c>
      <c r="W2551">
        <f>Table1[[#This Row],[customer_purchase count]]+1</f>
        <v>12</v>
      </c>
      <c r="X2551">
        <f>Table1[[#This Row],[customer_purchase count]]*Rules!$B$3</f>
        <v>657.40794871794878</v>
      </c>
      <c r="Y2551" t="str">
        <f>IF(Table1[[#This Row],[customer_subscription]]=1,"Subscribed","Not Subscribed")</f>
        <v>Not Subscribed</v>
      </c>
      <c r="Z2551" t="s">
        <v>194</v>
      </c>
    </row>
    <row r="2552" spans="1:26" x14ac:dyDescent="0.25">
      <c r="A2552">
        <v>2551</v>
      </c>
      <c r="B2552">
        <v>53</v>
      </c>
      <c r="C2552" t="s">
        <v>22</v>
      </c>
      <c r="D2552">
        <v>2551</v>
      </c>
      <c r="E2552" t="s">
        <v>140</v>
      </c>
      <c r="F2552" t="s">
        <v>45</v>
      </c>
      <c r="G2552">
        <v>2551</v>
      </c>
      <c r="H2552">
        <v>3260</v>
      </c>
      <c r="I2552">
        <v>52</v>
      </c>
      <c r="J2552" t="s">
        <v>85</v>
      </c>
      <c r="K2552" t="s">
        <v>95</v>
      </c>
      <c r="L2552" t="s">
        <v>103</v>
      </c>
      <c r="M2552" t="s">
        <v>60</v>
      </c>
      <c r="N2552">
        <v>3</v>
      </c>
      <c r="O2552">
        <v>0</v>
      </c>
      <c r="P2552" t="s">
        <v>77</v>
      </c>
      <c r="Q2552" t="s">
        <v>155</v>
      </c>
      <c r="R2552" t="s">
        <v>155</v>
      </c>
      <c r="S2552">
        <v>30</v>
      </c>
      <c r="T2552" t="s">
        <v>89</v>
      </c>
      <c r="U2552" t="s">
        <v>32</v>
      </c>
      <c r="V2552" s="1">
        <v>45607</v>
      </c>
      <c r="W2552">
        <f>Table1[[#This Row],[customer_purchase count]]+1</f>
        <v>31</v>
      </c>
      <c r="X2552">
        <f>Table1[[#This Row],[customer_purchase count]]*Rules!$B$3</f>
        <v>1792.9307692307693</v>
      </c>
      <c r="Y2552" t="str">
        <f>IF(Table1[[#This Row],[customer_subscription]]=1,"Subscribed","Not Subscribed")</f>
        <v>Not Subscribed</v>
      </c>
    </row>
    <row r="2553" spans="1:26" x14ac:dyDescent="0.25">
      <c r="A2553">
        <v>2552</v>
      </c>
      <c r="B2553">
        <v>29</v>
      </c>
      <c r="C2553" t="s">
        <v>22</v>
      </c>
      <c r="D2553">
        <v>2552</v>
      </c>
      <c r="E2553" t="s">
        <v>74</v>
      </c>
      <c r="F2553" t="s">
        <v>45</v>
      </c>
      <c r="G2553">
        <v>2552</v>
      </c>
      <c r="H2553">
        <v>3261</v>
      </c>
      <c r="I2553">
        <v>32</v>
      </c>
      <c r="J2553" t="s">
        <v>151</v>
      </c>
      <c r="K2553" t="s">
        <v>47</v>
      </c>
      <c r="L2553" t="s">
        <v>35</v>
      </c>
      <c r="M2553" t="s">
        <v>28</v>
      </c>
      <c r="N2553">
        <v>4.0999999999999996</v>
      </c>
      <c r="O2553">
        <v>0</v>
      </c>
      <c r="P2553" t="s">
        <v>48</v>
      </c>
      <c r="Q2553" t="s">
        <v>155</v>
      </c>
      <c r="R2553" t="s">
        <v>155</v>
      </c>
      <c r="S2553">
        <v>40</v>
      </c>
      <c r="T2553" t="s">
        <v>89</v>
      </c>
      <c r="U2553" t="s">
        <v>52</v>
      </c>
      <c r="V2553" s="1">
        <v>45344</v>
      </c>
      <c r="W2553">
        <f>Table1[[#This Row],[customer_purchase count]]+1</f>
        <v>41</v>
      </c>
      <c r="X2553">
        <f>Table1[[#This Row],[customer_purchase count]]*Rules!$B$3</f>
        <v>2390.5743589743593</v>
      </c>
      <c r="Y2553" t="str">
        <f>IF(Table1[[#This Row],[customer_subscription]]=1,"Subscribed","Not Subscribed")</f>
        <v>Not Subscribed</v>
      </c>
    </row>
    <row r="2554" spans="1:26" x14ac:dyDescent="0.25">
      <c r="A2554">
        <v>2553</v>
      </c>
      <c r="B2554">
        <v>61</v>
      </c>
      <c r="C2554" t="s">
        <v>22</v>
      </c>
      <c r="D2554">
        <v>2553</v>
      </c>
      <c r="E2554" t="s">
        <v>136</v>
      </c>
      <c r="F2554" t="s">
        <v>70</v>
      </c>
      <c r="G2554">
        <v>2553</v>
      </c>
      <c r="H2554">
        <v>3262</v>
      </c>
      <c r="I2554">
        <v>48</v>
      </c>
      <c r="J2554" t="s">
        <v>131</v>
      </c>
      <c r="K2554" t="s">
        <v>95</v>
      </c>
      <c r="L2554" t="s">
        <v>76</v>
      </c>
      <c r="M2554" t="s">
        <v>40</v>
      </c>
      <c r="N2554">
        <v>3.2</v>
      </c>
      <c r="O2554">
        <v>0</v>
      </c>
      <c r="P2554" t="s">
        <v>73</v>
      </c>
      <c r="Q2554" t="s">
        <v>155</v>
      </c>
      <c r="R2554" t="s">
        <v>155</v>
      </c>
      <c r="S2554">
        <v>13</v>
      </c>
      <c r="T2554" t="s">
        <v>42</v>
      </c>
      <c r="U2554" t="s">
        <v>52</v>
      </c>
      <c r="V2554" s="1">
        <v>45425</v>
      </c>
      <c r="W2554">
        <f>Table1[[#This Row],[customer_purchase count]]+1</f>
        <v>14</v>
      </c>
      <c r="X2554">
        <f>Table1[[#This Row],[customer_purchase count]]*Rules!$B$3</f>
        <v>776.93666666666672</v>
      </c>
      <c r="Y2554" t="str">
        <f>IF(Table1[[#This Row],[customer_subscription]]=1,"Subscribed","Not Subscribed")</f>
        <v>Not Subscribed</v>
      </c>
      <c r="Z2554" t="s">
        <v>194</v>
      </c>
    </row>
    <row r="2555" spans="1:26" x14ac:dyDescent="0.25">
      <c r="A2555">
        <v>2554</v>
      </c>
      <c r="B2555">
        <v>69</v>
      </c>
      <c r="C2555" t="s">
        <v>22</v>
      </c>
      <c r="D2555">
        <v>2554</v>
      </c>
      <c r="E2555" t="s">
        <v>109</v>
      </c>
      <c r="F2555" t="s">
        <v>70</v>
      </c>
      <c r="G2555">
        <v>2554</v>
      </c>
      <c r="H2555">
        <v>3263</v>
      </c>
      <c r="I2555">
        <v>25</v>
      </c>
      <c r="J2555" t="s">
        <v>132</v>
      </c>
      <c r="K2555" t="s">
        <v>47</v>
      </c>
      <c r="L2555" t="s">
        <v>35</v>
      </c>
      <c r="M2555" t="s">
        <v>56</v>
      </c>
      <c r="N2555">
        <v>4.5</v>
      </c>
      <c r="O2555">
        <v>0</v>
      </c>
      <c r="P2555" t="s">
        <v>77</v>
      </c>
      <c r="Q2555" t="s">
        <v>155</v>
      </c>
      <c r="R2555" t="s">
        <v>155</v>
      </c>
      <c r="S2555">
        <v>28</v>
      </c>
      <c r="T2555" t="s">
        <v>31</v>
      </c>
      <c r="U2555" t="s">
        <v>100</v>
      </c>
      <c r="V2555" s="1">
        <v>45447</v>
      </c>
      <c r="W2555">
        <f>Table1[[#This Row],[customer_purchase count]]+1</f>
        <v>29</v>
      </c>
      <c r="X2555">
        <f>Table1[[#This Row],[customer_purchase count]]*Rules!$B$3</f>
        <v>1673.4020512820514</v>
      </c>
      <c r="Y2555" t="str">
        <f>IF(Table1[[#This Row],[customer_subscription]]=1,"Subscribed","Not Subscribed")</f>
        <v>Not Subscribed</v>
      </c>
    </row>
    <row r="2556" spans="1:26" x14ac:dyDescent="0.25">
      <c r="A2556">
        <v>2555</v>
      </c>
      <c r="B2556">
        <v>51</v>
      </c>
      <c r="C2556" t="s">
        <v>22</v>
      </c>
      <c r="D2556">
        <v>2555</v>
      </c>
      <c r="E2556" t="s">
        <v>109</v>
      </c>
      <c r="F2556" t="s">
        <v>70</v>
      </c>
      <c r="G2556">
        <v>2555</v>
      </c>
      <c r="H2556">
        <v>3265</v>
      </c>
      <c r="I2556">
        <v>68</v>
      </c>
      <c r="J2556" t="s">
        <v>114</v>
      </c>
      <c r="K2556" t="s">
        <v>47</v>
      </c>
      <c r="L2556" t="s">
        <v>27</v>
      </c>
      <c r="M2556" t="s">
        <v>56</v>
      </c>
      <c r="N2556">
        <v>4.3</v>
      </c>
      <c r="O2556">
        <v>0</v>
      </c>
      <c r="P2556" t="s">
        <v>77</v>
      </c>
      <c r="Q2556" t="s">
        <v>155</v>
      </c>
      <c r="R2556" t="s">
        <v>155</v>
      </c>
      <c r="S2556">
        <v>49</v>
      </c>
      <c r="T2556" t="s">
        <v>89</v>
      </c>
      <c r="U2556" t="s">
        <v>79</v>
      </c>
      <c r="V2556" s="1">
        <v>45496</v>
      </c>
      <c r="W2556">
        <f>Table1[[#This Row],[customer_purchase count]]+1</f>
        <v>50</v>
      </c>
      <c r="X2556">
        <f>Table1[[#This Row],[customer_purchase count]]*Rules!$B$3</f>
        <v>2928.4535897435899</v>
      </c>
      <c r="Y2556" t="str">
        <f>IF(Table1[[#This Row],[customer_subscription]]=1,"Subscribed","Not Subscribed")</f>
        <v>Not Subscribed</v>
      </c>
    </row>
    <row r="2557" spans="1:26" x14ac:dyDescent="0.25">
      <c r="A2557">
        <v>2556</v>
      </c>
      <c r="B2557">
        <v>24</v>
      </c>
      <c r="C2557" t="s">
        <v>22</v>
      </c>
      <c r="D2557">
        <v>2556</v>
      </c>
      <c r="E2557" t="s">
        <v>98</v>
      </c>
      <c r="F2557" t="s">
        <v>24</v>
      </c>
      <c r="G2557">
        <v>2556</v>
      </c>
      <c r="H2557">
        <v>3266</v>
      </c>
      <c r="I2557">
        <v>74</v>
      </c>
      <c r="J2557" t="s">
        <v>138</v>
      </c>
      <c r="K2557" t="s">
        <v>47</v>
      </c>
      <c r="L2557" t="s">
        <v>27</v>
      </c>
      <c r="M2557" t="s">
        <v>60</v>
      </c>
      <c r="N2557">
        <v>3.5</v>
      </c>
      <c r="O2557">
        <v>0</v>
      </c>
      <c r="P2557" t="s">
        <v>57</v>
      </c>
      <c r="Q2557" t="s">
        <v>155</v>
      </c>
      <c r="R2557" t="s">
        <v>155</v>
      </c>
      <c r="S2557">
        <v>23</v>
      </c>
      <c r="T2557" t="s">
        <v>42</v>
      </c>
      <c r="U2557" t="s">
        <v>43</v>
      </c>
      <c r="V2557" s="1">
        <v>45561</v>
      </c>
      <c r="W2557">
        <f>Table1[[#This Row],[customer_purchase count]]+1</f>
        <v>24</v>
      </c>
      <c r="X2557">
        <f>Table1[[#This Row],[customer_purchase count]]*Rules!$B$3</f>
        <v>1374.5802564102564</v>
      </c>
      <c r="Y2557" t="str">
        <f>IF(Table1[[#This Row],[customer_subscription]]=1,"Subscribed","Not Subscribed")</f>
        <v>Not Subscribed</v>
      </c>
    </row>
    <row r="2558" spans="1:26" x14ac:dyDescent="0.25">
      <c r="A2558">
        <v>2557</v>
      </c>
      <c r="B2558">
        <v>24</v>
      </c>
      <c r="C2558" t="s">
        <v>22</v>
      </c>
      <c r="D2558">
        <v>2557</v>
      </c>
      <c r="E2558" t="s">
        <v>116</v>
      </c>
      <c r="F2558" t="s">
        <v>24</v>
      </c>
      <c r="G2558">
        <v>2557</v>
      </c>
      <c r="H2558">
        <v>3267</v>
      </c>
      <c r="I2558">
        <v>88</v>
      </c>
      <c r="J2558" t="s">
        <v>59</v>
      </c>
      <c r="K2558" t="s">
        <v>95</v>
      </c>
      <c r="L2558" t="s">
        <v>139</v>
      </c>
      <c r="M2558" t="s">
        <v>60</v>
      </c>
      <c r="N2558">
        <v>3.1</v>
      </c>
      <c r="O2558">
        <v>0</v>
      </c>
      <c r="P2558" t="s">
        <v>57</v>
      </c>
      <c r="Q2558" t="s">
        <v>155</v>
      </c>
      <c r="R2558" t="s">
        <v>155</v>
      </c>
      <c r="S2558">
        <v>4</v>
      </c>
      <c r="T2558" t="s">
        <v>78</v>
      </c>
      <c r="U2558" t="s">
        <v>61</v>
      </c>
      <c r="V2558" s="1">
        <v>45614</v>
      </c>
      <c r="W2558">
        <f>Table1[[#This Row],[customer_purchase count]]+1</f>
        <v>5</v>
      </c>
      <c r="X2558">
        <f>Table1[[#This Row],[customer_purchase count]]*Rules!$B$3</f>
        <v>239.05743589743591</v>
      </c>
      <c r="Y2558" t="str">
        <f>IF(Table1[[#This Row],[customer_subscription]]=1,"Subscribed","Not Subscribed")</f>
        <v>Not Subscribed</v>
      </c>
      <c r="Z2558" t="s">
        <v>194</v>
      </c>
    </row>
    <row r="2559" spans="1:26" x14ac:dyDescent="0.25">
      <c r="A2559">
        <v>2558</v>
      </c>
      <c r="B2559">
        <v>70</v>
      </c>
      <c r="C2559" t="s">
        <v>22</v>
      </c>
      <c r="D2559">
        <v>2558</v>
      </c>
      <c r="E2559" t="s">
        <v>62</v>
      </c>
      <c r="F2559" t="s">
        <v>24</v>
      </c>
      <c r="G2559">
        <v>2558</v>
      </c>
      <c r="H2559">
        <v>3268</v>
      </c>
      <c r="I2559">
        <v>23</v>
      </c>
      <c r="J2559" t="s">
        <v>104</v>
      </c>
      <c r="K2559" t="s">
        <v>26</v>
      </c>
      <c r="L2559" t="s">
        <v>112</v>
      </c>
      <c r="M2559" t="s">
        <v>40</v>
      </c>
      <c r="N2559">
        <v>3.9</v>
      </c>
      <c r="O2559">
        <v>0</v>
      </c>
      <c r="P2559" t="s">
        <v>57</v>
      </c>
      <c r="Q2559" t="s">
        <v>155</v>
      </c>
      <c r="R2559" t="s">
        <v>155</v>
      </c>
      <c r="S2559">
        <v>17</v>
      </c>
      <c r="T2559" t="s">
        <v>49</v>
      </c>
      <c r="U2559" t="s">
        <v>32</v>
      </c>
      <c r="V2559" s="1">
        <v>45410</v>
      </c>
      <c r="W2559">
        <f>Table1[[#This Row],[customer_purchase count]]+1</f>
        <v>18</v>
      </c>
      <c r="X2559">
        <f>Table1[[#This Row],[customer_purchase count]]*Rules!$B$3</f>
        <v>1015.9941025641026</v>
      </c>
      <c r="Y2559" t="str">
        <f>IF(Table1[[#This Row],[customer_subscription]]=1,"Subscribed","Not Subscribed")</f>
        <v>Not Subscribed</v>
      </c>
      <c r="Z2559" t="s">
        <v>194</v>
      </c>
    </row>
    <row r="2560" spans="1:26" x14ac:dyDescent="0.25">
      <c r="A2560">
        <v>2559</v>
      </c>
      <c r="B2560">
        <v>49</v>
      </c>
      <c r="C2560" t="s">
        <v>22</v>
      </c>
      <c r="D2560">
        <v>2559</v>
      </c>
      <c r="E2560" t="s">
        <v>107</v>
      </c>
      <c r="F2560" t="s">
        <v>24</v>
      </c>
      <c r="G2560">
        <v>2559</v>
      </c>
      <c r="H2560">
        <v>3269</v>
      </c>
      <c r="I2560">
        <v>32</v>
      </c>
      <c r="J2560" t="s">
        <v>102</v>
      </c>
      <c r="K2560" t="s">
        <v>47</v>
      </c>
      <c r="L2560" t="s">
        <v>68</v>
      </c>
      <c r="M2560" t="s">
        <v>60</v>
      </c>
      <c r="N2560">
        <v>2.7</v>
      </c>
      <c r="O2560">
        <v>0</v>
      </c>
      <c r="P2560" t="s">
        <v>29</v>
      </c>
      <c r="Q2560" t="s">
        <v>155</v>
      </c>
      <c r="R2560" t="s">
        <v>155</v>
      </c>
      <c r="S2560">
        <v>24</v>
      </c>
      <c r="T2560" t="s">
        <v>49</v>
      </c>
      <c r="U2560" t="s">
        <v>32</v>
      </c>
      <c r="V2560" s="1">
        <v>45586</v>
      </c>
      <c r="W2560">
        <f>Table1[[#This Row],[customer_purchase count]]+1</f>
        <v>25</v>
      </c>
      <c r="X2560">
        <f>Table1[[#This Row],[customer_purchase count]]*Rules!$B$3</f>
        <v>1434.3446153846155</v>
      </c>
      <c r="Y2560" t="str">
        <f>IF(Table1[[#This Row],[customer_subscription]]=1,"Subscribed","Not Subscribed")</f>
        <v>Not Subscribed</v>
      </c>
    </row>
    <row r="2561" spans="1:26" x14ac:dyDescent="0.25">
      <c r="A2561">
        <v>2560</v>
      </c>
      <c r="B2561">
        <v>48</v>
      </c>
      <c r="C2561" t="s">
        <v>22</v>
      </c>
      <c r="D2561">
        <v>2560</v>
      </c>
      <c r="E2561" t="s">
        <v>136</v>
      </c>
      <c r="F2561" t="s">
        <v>70</v>
      </c>
      <c r="G2561">
        <v>2560</v>
      </c>
      <c r="H2561">
        <v>3271</v>
      </c>
      <c r="I2561">
        <v>71</v>
      </c>
      <c r="J2561" t="s">
        <v>94</v>
      </c>
      <c r="K2561" t="s">
        <v>39</v>
      </c>
      <c r="L2561" t="s">
        <v>99</v>
      </c>
      <c r="M2561" t="s">
        <v>28</v>
      </c>
      <c r="N2561">
        <v>4</v>
      </c>
      <c r="O2561">
        <v>0</v>
      </c>
      <c r="P2561" t="s">
        <v>41</v>
      </c>
      <c r="Q2561" t="s">
        <v>155</v>
      </c>
      <c r="R2561" t="s">
        <v>155</v>
      </c>
      <c r="S2561">
        <v>21</v>
      </c>
      <c r="T2561" t="s">
        <v>89</v>
      </c>
      <c r="U2561" t="s">
        <v>100</v>
      </c>
      <c r="V2561" s="1">
        <v>45335</v>
      </c>
      <c r="W2561">
        <f>Table1[[#This Row],[customer_purchase count]]+1</f>
        <v>22</v>
      </c>
      <c r="X2561">
        <f>Table1[[#This Row],[customer_purchase count]]*Rules!$B$3</f>
        <v>1255.0515384615385</v>
      </c>
      <c r="Y2561" t="str">
        <f>IF(Table1[[#This Row],[customer_subscription]]=1,"Subscribed","Not Subscribed")</f>
        <v>Not Subscribed</v>
      </c>
    </row>
    <row r="2562" spans="1:26" x14ac:dyDescent="0.25">
      <c r="A2562">
        <v>2561</v>
      </c>
      <c r="B2562">
        <v>58</v>
      </c>
      <c r="C2562" t="s">
        <v>22</v>
      </c>
      <c r="D2562">
        <v>2561</v>
      </c>
      <c r="E2562" t="s">
        <v>140</v>
      </c>
      <c r="F2562" t="s">
        <v>45</v>
      </c>
      <c r="G2562">
        <v>2561</v>
      </c>
      <c r="H2562">
        <v>3272</v>
      </c>
      <c r="I2562">
        <v>62</v>
      </c>
      <c r="J2562" t="s">
        <v>102</v>
      </c>
      <c r="K2562" t="s">
        <v>47</v>
      </c>
      <c r="L2562" t="s">
        <v>86</v>
      </c>
      <c r="M2562" t="s">
        <v>40</v>
      </c>
      <c r="N2562">
        <v>2.7</v>
      </c>
      <c r="O2562">
        <v>0</v>
      </c>
      <c r="P2562" t="s">
        <v>48</v>
      </c>
      <c r="Q2562" t="s">
        <v>155</v>
      </c>
      <c r="R2562" t="s">
        <v>155</v>
      </c>
      <c r="S2562">
        <v>17</v>
      </c>
      <c r="T2562" t="s">
        <v>89</v>
      </c>
      <c r="U2562" t="s">
        <v>79</v>
      </c>
      <c r="V2562" s="1">
        <v>45365</v>
      </c>
      <c r="W2562">
        <f>Table1[[#This Row],[customer_purchase count]]+1</f>
        <v>18</v>
      </c>
      <c r="X2562">
        <f>Table1[[#This Row],[customer_purchase count]]*Rules!$B$3</f>
        <v>1015.9941025641026</v>
      </c>
      <c r="Y2562" t="str">
        <f>IF(Table1[[#This Row],[customer_subscription]]=1,"Subscribed","Not Subscribed")</f>
        <v>Not Subscribed</v>
      </c>
      <c r="Z2562" t="s">
        <v>194</v>
      </c>
    </row>
    <row r="2563" spans="1:26" x14ac:dyDescent="0.25">
      <c r="A2563">
        <v>2562</v>
      </c>
      <c r="B2563">
        <v>32</v>
      </c>
      <c r="C2563" t="s">
        <v>22</v>
      </c>
      <c r="D2563">
        <v>2562</v>
      </c>
      <c r="E2563" t="s">
        <v>107</v>
      </c>
      <c r="F2563" t="s">
        <v>24</v>
      </c>
      <c r="G2563">
        <v>2562</v>
      </c>
      <c r="H2563">
        <v>3273</v>
      </c>
      <c r="I2563">
        <v>20</v>
      </c>
      <c r="J2563" t="s">
        <v>87</v>
      </c>
      <c r="K2563" t="s">
        <v>26</v>
      </c>
      <c r="L2563" t="s">
        <v>139</v>
      </c>
      <c r="M2563" t="s">
        <v>40</v>
      </c>
      <c r="N2563">
        <v>2.7</v>
      </c>
      <c r="O2563">
        <v>0</v>
      </c>
      <c r="P2563" t="s">
        <v>41</v>
      </c>
      <c r="Q2563" t="s">
        <v>155</v>
      </c>
      <c r="R2563" t="s">
        <v>155</v>
      </c>
      <c r="S2563">
        <v>22</v>
      </c>
      <c r="T2563" t="s">
        <v>89</v>
      </c>
      <c r="U2563" t="s">
        <v>61</v>
      </c>
      <c r="V2563" s="1">
        <v>45424</v>
      </c>
      <c r="W2563">
        <f>Table1[[#This Row],[customer_purchase count]]+1</f>
        <v>23</v>
      </c>
      <c r="X2563">
        <f>Table1[[#This Row],[customer_purchase count]]*Rules!$B$3</f>
        <v>1314.8158974358976</v>
      </c>
      <c r="Y2563" t="str">
        <f>IF(Table1[[#This Row],[customer_subscription]]=1,"Subscribed","Not Subscribed")</f>
        <v>Not Subscribed</v>
      </c>
    </row>
    <row r="2564" spans="1:26" x14ac:dyDescent="0.25">
      <c r="A2564">
        <v>2563</v>
      </c>
      <c r="B2564">
        <v>57</v>
      </c>
      <c r="C2564" t="s">
        <v>22</v>
      </c>
      <c r="D2564">
        <v>2563</v>
      </c>
      <c r="E2564" t="s">
        <v>62</v>
      </c>
      <c r="F2564" t="s">
        <v>24</v>
      </c>
      <c r="G2564">
        <v>2563</v>
      </c>
      <c r="H2564">
        <v>3274</v>
      </c>
      <c r="I2564">
        <v>62</v>
      </c>
      <c r="J2564" t="s">
        <v>120</v>
      </c>
      <c r="K2564" t="s">
        <v>95</v>
      </c>
      <c r="L2564" t="s">
        <v>137</v>
      </c>
      <c r="M2564" t="s">
        <v>40</v>
      </c>
      <c r="N2564">
        <v>4.7</v>
      </c>
      <c r="O2564">
        <v>0</v>
      </c>
      <c r="P2564" t="s">
        <v>57</v>
      </c>
      <c r="Q2564" t="s">
        <v>155</v>
      </c>
      <c r="R2564" t="s">
        <v>155</v>
      </c>
      <c r="S2564">
        <v>27</v>
      </c>
      <c r="T2564" t="s">
        <v>36</v>
      </c>
      <c r="U2564" t="s">
        <v>32</v>
      </c>
      <c r="V2564" s="1">
        <v>45368</v>
      </c>
      <c r="W2564">
        <f>Table1[[#This Row],[customer_purchase count]]+1</f>
        <v>28</v>
      </c>
      <c r="X2564">
        <f>Table1[[#This Row],[customer_purchase count]]*Rules!$B$3</f>
        <v>1613.6376923076923</v>
      </c>
      <c r="Y2564" t="str">
        <f>IF(Table1[[#This Row],[customer_subscription]]=1,"Subscribed","Not Subscribed")</f>
        <v>Not Subscribed</v>
      </c>
    </row>
    <row r="2565" spans="1:26" x14ac:dyDescent="0.25">
      <c r="A2565">
        <v>2564</v>
      </c>
      <c r="B2565">
        <v>69</v>
      </c>
      <c r="C2565" t="s">
        <v>22</v>
      </c>
      <c r="D2565">
        <v>2564</v>
      </c>
      <c r="E2565" t="s">
        <v>135</v>
      </c>
      <c r="F2565" t="s">
        <v>70</v>
      </c>
      <c r="G2565">
        <v>2564</v>
      </c>
      <c r="H2565">
        <v>3275</v>
      </c>
      <c r="I2565">
        <v>81</v>
      </c>
      <c r="J2565" t="s">
        <v>38</v>
      </c>
      <c r="K2565" t="s">
        <v>95</v>
      </c>
      <c r="L2565" t="s">
        <v>27</v>
      </c>
      <c r="M2565" t="s">
        <v>28</v>
      </c>
      <c r="N2565">
        <v>4.5</v>
      </c>
      <c r="O2565">
        <v>0</v>
      </c>
      <c r="P2565" t="s">
        <v>57</v>
      </c>
      <c r="Q2565" t="s">
        <v>155</v>
      </c>
      <c r="R2565" t="s">
        <v>155</v>
      </c>
      <c r="S2565">
        <v>1</v>
      </c>
      <c r="T2565" t="s">
        <v>31</v>
      </c>
      <c r="U2565" t="s">
        <v>100</v>
      </c>
      <c r="V2565" s="1">
        <v>45342</v>
      </c>
      <c r="W2565">
        <f>Table1[[#This Row],[customer_purchase count]]+1</f>
        <v>2</v>
      </c>
      <c r="X2565">
        <f>Table1[[#This Row],[customer_purchase count]]*Rules!$B$3</f>
        <v>59.764358974358977</v>
      </c>
      <c r="Y2565" t="str">
        <f>IF(Table1[[#This Row],[customer_subscription]]=1,"Subscribed","Not Subscribed")</f>
        <v>Not Subscribed</v>
      </c>
      <c r="Z2565" t="s">
        <v>194</v>
      </c>
    </row>
    <row r="2566" spans="1:26" x14ac:dyDescent="0.25">
      <c r="A2566">
        <v>2565</v>
      </c>
      <c r="B2566">
        <v>42</v>
      </c>
      <c r="C2566" t="s">
        <v>22</v>
      </c>
      <c r="D2566">
        <v>2565</v>
      </c>
      <c r="E2566" t="s">
        <v>122</v>
      </c>
      <c r="F2566" t="s">
        <v>70</v>
      </c>
      <c r="G2566">
        <v>2565</v>
      </c>
      <c r="H2566">
        <v>3277</v>
      </c>
      <c r="I2566">
        <v>90</v>
      </c>
      <c r="J2566" t="s">
        <v>25</v>
      </c>
      <c r="K2566" t="s">
        <v>26</v>
      </c>
      <c r="L2566" t="s">
        <v>129</v>
      </c>
      <c r="M2566" t="s">
        <v>28</v>
      </c>
      <c r="N2566">
        <v>3</v>
      </c>
      <c r="O2566">
        <v>0</v>
      </c>
      <c r="P2566" t="s">
        <v>73</v>
      </c>
      <c r="Q2566" t="s">
        <v>155</v>
      </c>
      <c r="R2566" t="s">
        <v>155</v>
      </c>
      <c r="S2566">
        <v>27</v>
      </c>
      <c r="T2566" t="s">
        <v>78</v>
      </c>
      <c r="U2566" t="s">
        <v>43</v>
      </c>
      <c r="V2566" s="1">
        <v>45637</v>
      </c>
      <c r="W2566">
        <f>Table1[[#This Row],[customer_purchase count]]+1</f>
        <v>28</v>
      </c>
      <c r="X2566">
        <f>Table1[[#This Row],[customer_purchase count]]*Rules!$B$3</f>
        <v>1613.6376923076923</v>
      </c>
      <c r="Y2566" t="str">
        <f>IF(Table1[[#This Row],[customer_subscription]]=1,"Subscribed","Not Subscribed")</f>
        <v>Not Subscribed</v>
      </c>
    </row>
    <row r="2567" spans="1:26" x14ac:dyDescent="0.25">
      <c r="A2567">
        <v>2566</v>
      </c>
      <c r="B2567">
        <v>30</v>
      </c>
      <c r="C2567" t="s">
        <v>22</v>
      </c>
      <c r="D2567">
        <v>2566</v>
      </c>
      <c r="E2567" t="s">
        <v>128</v>
      </c>
      <c r="F2567" t="s">
        <v>24</v>
      </c>
      <c r="G2567">
        <v>2566</v>
      </c>
      <c r="H2567">
        <v>3278</v>
      </c>
      <c r="I2567">
        <v>43</v>
      </c>
      <c r="J2567" t="s">
        <v>132</v>
      </c>
      <c r="K2567" t="s">
        <v>39</v>
      </c>
      <c r="L2567" t="s">
        <v>129</v>
      </c>
      <c r="M2567" t="s">
        <v>60</v>
      </c>
      <c r="N2567">
        <v>3.6</v>
      </c>
      <c r="O2567">
        <v>0</v>
      </c>
      <c r="P2567" t="s">
        <v>77</v>
      </c>
      <c r="Q2567" t="s">
        <v>155</v>
      </c>
      <c r="R2567" t="s">
        <v>155</v>
      </c>
      <c r="S2567">
        <v>8</v>
      </c>
      <c r="T2567" t="s">
        <v>31</v>
      </c>
      <c r="U2567" t="s">
        <v>61</v>
      </c>
      <c r="V2567" s="1">
        <v>45549</v>
      </c>
      <c r="W2567">
        <f>Table1[[#This Row],[customer_purchase count]]+1</f>
        <v>9</v>
      </c>
      <c r="X2567">
        <f>Table1[[#This Row],[customer_purchase count]]*Rules!$B$3</f>
        <v>478.11487179487182</v>
      </c>
      <c r="Y2567" t="str">
        <f>IF(Table1[[#This Row],[customer_subscription]]=1,"Subscribed","Not Subscribed")</f>
        <v>Not Subscribed</v>
      </c>
      <c r="Z2567" t="s">
        <v>194</v>
      </c>
    </row>
    <row r="2568" spans="1:26" x14ac:dyDescent="0.25">
      <c r="A2568">
        <v>2567</v>
      </c>
      <c r="B2568">
        <v>35</v>
      </c>
      <c r="C2568" t="s">
        <v>22</v>
      </c>
      <c r="D2568">
        <v>2567</v>
      </c>
      <c r="E2568" t="s">
        <v>69</v>
      </c>
      <c r="F2568" t="s">
        <v>70</v>
      </c>
      <c r="G2568">
        <v>2567</v>
      </c>
      <c r="H2568">
        <v>3279</v>
      </c>
      <c r="I2568">
        <v>38</v>
      </c>
      <c r="J2568" t="s">
        <v>71</v>
      </c>
      <c r="K2568" t="s">
        <v>39</v>
      </c>
      <c r="L2568" t="s">
        <v>137</v>
      </c>
      <c r="M2568" t="s">
        <v>60</v>
      </c>
      <c r="N2568">
        <v>3.3</v>
      </c>
      <c r="O2568">
        <v>0</v>
      </c>
      <c r="P2568" t="s">
        <v>57</v>
      </c>
      <c r="Q2568" t="s">
        <v>155</v>
      </c>
      <c r="R2568" t="s">
        <v>155</v>
      </c>
      <c r="S2568">
        <v>43</v>
      </c>
      <c r="T2568" t="s">
        <v>49</v>
      </c>
      <c r="U2568" t="s">
        <v>61</v>
      </c>
      <c r="V2568" s="1">
        <v>45589</v>
      </c>
      <c r="W2568">
        <f>Table1[[#This Row],[customer_purchase count]]+1</f>
        <v>44</v>
      </c>
      <c r="X2568">
        <f>Table1[[#This Row],[customer_purchase count]]*Rules!$B$3</f>
        <v>2569.8674358974358</v>
      </c>
      <c r="Y2568" t="str">
        <f>IF(Table1[[#This Row],[customer_subscription]]=1,"Subscribed","Not Subscribed")</f>
        <v>Not Subscribed</v>
      </c>
    </row>
    <row r="2569" spans="1:26" x14ac:dyDescent="0.25">
      <c r="A2569">
        <v>2568</v>
      </c>
      <c r="B2569">
        <v>19</v>
      </c>
      <c r="C2569" t="s">
        <v>22</v>
      </c>
      <c r="D2569">
        <v>2568</v>
      </c>
      <c r="E2569" t="s">
        <v>92</v>
      </c>
      <c r="F2569" t="s">
        <v>70</v>
      </c>
      <c r="G2569">
        <v>2568</v>
      </c>
      <c r="H2569">
        <v>3280</v>
      </c>
      <c r="I2569">
        <v>25</v>
      </c>
      <c r="J2569" t="s">
        <v>154</v>
      </c>
      <c r="K2569" t="s">
        <v>95</v>
      </c>
      <c r="L2569" t="s">
        <v>83</v>
      </c>
      <c r="M2569" t="s">
        <v>40</v>
      </c>
      <c r="N2569">
        <v>4.3</v>
      </c>
      <c r="O2569">
        <v>0</v>
      </c>
      <c r="P2569" t="s">
        <v>77</v>
      </c>
      <c r="Q2569" t="s">
        <v>155</v>
      </c>
      <c r="R2569" t="s">
        <v>155</v>
      </c>
      <c r="S2569">
        <v>24</v>
      </c>
      <c r="T2569" t="s">
        <v>36</v>
      </c>
      <c r="U2569" t="s">
        <v>32</v>
      </c>
      <c r="V2569" s="1">
        <v>45353</v>
      </c>
      <c r="W2569">
        <f>Table1[[#This Row],[customer_purchase count]]+1</f>
        <v>25</v>
      </c>
      <c r="X2569">
        <f>Table1[[#This Row],[customer_purchase count]]*Rules!$B$3</f>
        <v>1434.3446153846155</v>
      </c>
      <c r="Y2569" t="str">
        <f>IF(Table1[[#This Row],[customer_subscription]]=1,"Subscribed","Not Subscribed")</f>
        <v>Not Subscribed</v>
      </c>
    </row>
    <row r="2570" spans="1:26" x14ac:dyDescent="0.25">
      <c r="A2570">
        <v>2569</v>
      </c>
      <c r="B2570">
        <v>52</v>
      </c>
      <c r="C2570" t="s">
        <v>22</v>
      </c>
      <c r="D2570">
        <v>2569</v>
      </c>
      <c r="E2570" t="s">
        <v>116</v>
      </c>
      <c r="F2570" t="s">
        <v>24</v>
      </c>
      <c r="G2570">
        <v>2569</v>
      </c>
      <c r="H2570">
        <v>3281</v>
      </c>
      <c r="I2570">
        <v>98</v>
      </c>
      <c r="J2570" t="s">
        <v>108</v>
      </c>
      <c r="K2570" t="s">
        <v>95</v>
      </c>
      <c r="L2570" t="s">
        <v>99</v>
      </c>
      <c r="M2570" t="s">
        <v>28</v>
      </c>
      <c r="N2570">
        <v>4.3</v>
      </c>
      <c r="O2570">
        <v>0</v>
      </c>
      <c r="P2570" t="s">
        <v>29</v>
      </c>
      <c r="Q2570" t="s">
        <v>155</v>
      </c>
      <c r="R2570" t="s">
        <v>155</v>
      </c>
      <c r="S2570">
        <v>29</v>
      </c>
      <c r="T2570" t="s">
        <v>49</v>
      </c>
      <c r="U2570" t="s">
        <v>32</v>
      </c>
      <c r="V2570" s="1">
        <v>45651</v>
      </c>
      <c r="W2570">
        <f>Table1[[#This Row],[customer_purchase count]]+1</f>
        <v>30</v>
      </c>
      <c r="X2570">
        <f>Table1[[#This Row],[customer_purchase count]]*Rules!$B$3</f>
        <v>1733.1664102564102</v>
      </c>
      <c r="Y2570" t="str">
        <f>IF(Table1[[#This Row],[customer_subscription]]=1,"Subscribed","Not Subscribed")</f>
        <v>Not Subscribed</v>
      </c>
    </row>
    <row r="2571" spans="1:26" x14ac:dyDescent="0.25">
      <c r="A2571">
        <v>2570</v>
      </c>
      <c r="B2571">
        <v>42</v>
      </c>
      <c r="C2571" t="s">
        <v>22</v>
      </c>
      <c r="D2571">
        <v>2570</v>
      </c>
      <c r="E2571" t="s">
        <v>84</v>
      </c>
      <c r="F2571" t="s">
        <v>24</v>
      </c>
      <c r="G2571">
        <v>2570</v>
      </c>
      <c r="H2571">
        <v>3283</v>
      </c>
      <c r="I2571">
        <v>75</v>
      </c>
      <c r="J2571" t="s">
        <v>87</v>
      </c>
      <c r="K2571" t="s">
        <v>47</v>
      </c>
      <c r="L2571" t="s">
        <v>64</v>
      </c>
      <c r="M2571" t="s">
        <v>40</v>
      </c>
      <c r="N2571">
        <v>4.8</v>
      </c>
      <c r="O2571">
        <v>0</v>
      </c>
      <c r="P2571" t="s">
        <v>41</v>
      </c>
      <c r="Q2571" t="s">
        <v>155</v>
      </c>
      <c r="R2571" t="s">
        <v>155</v>
      </c>
      <c r="S2571">
        <v>10</v>
      </c>
      <c r="T2571" t="s">
        <v>78</v>
      </c>
      <c r="U2571" t="s">
        <v>79</v>
      </c>
      <c r="V2571" s="1">
        <v>45435</v>
      </c>
      <c r="W2571">
        <f>Table1[[#This Row],[customer_purchase count]]+1</f>
        <v>11</v>
      </c>
      <c r="X2571">
        <f>Table1[[#This Row],[customer_purchase count]]*Rules!$B$3</f>
        <v>597.64358974358981</v>
      </c>
      <c r="Y2571" t="str">
        <f>IF(Table1[[#This Row],[customer_subscription]]=1,"Subscribed","Not Subscribed")</f>
        <v>Not Subscribed</v>
      </c>
      <c r="Z2571" t="s">
        <v>194</v>
      </c>
    </row>
    <row r="2572" spans="1:26" x14ac:dyDescent="0.25">
      <c r="A2572">
        <v>2571</v>
      </c>
      <c r="B2572">
        <v>36</v>
      </c>
      <c r="C2572" t="s">
        <v>22</v>
      </c>
      <c r="D2572">
        <v>2571</v>
      </c>
      <c r="E2572" t="s">
        <v>53</v>
      </c>
      <c r="F2572" t="s">
        <v>45</v>
      </c>
      <c r="G2572">
        <v>2571</v>
      </c>
      <c r="H2572">
        <v>3284</v>
      </c>
      <c r="I2572">
        <v>27</v>
      </c>
      <c r="J2572" t="s">
        <v>133</v>
      </c>
      <c r="K2572" t="s">
        <v>95</v>
      </c>
      <c r="L2572" t="s">
        <v>81</v>
      </c>
      <c r="M2572" t="s">
        <v>40</v>
      </c>
      <c r="N2572">
        <v>4</v>
      </c>
      <c r="O2572">
        <v>0</v>
      </c>
      <c r="P2572" t="s">
        <v>77</v>
      </c>
      <c r="Q2572" t="s">
        <v>155</v>
      </c>
      <c r="R2572" t="s">
        <v>155</v>
      </c>
      <c r="S2572">
        <v>12</v>
      </c>
      <c r="T2572" t="s">
        <v>49</v>
      </c>
      <c r="U2572" t="s">
        <v>32</v>
      </c>
      <c r="V2572" s="1">
        <v>45438</v>
      </c>
      <c r="W2572">
        <f>Table1[[#This Row],[customer_purchase count]]+1</f>
        <v>13</v>
      </c>
      <c r="X2572">
        <f>Table1[[#This Row],[customer_purchase count]]*Rules!$B$3</f>
        <v>717.17230769230775</v>
      </c>
      <c r="Y2572" t="str">
        <f>IF(Table1[[#This Row],[customer_subscription]]=1,"Subscribed","Not Subscribed")</f>
        <v>Not Subscribed</v>
      </c>
      <c r="Z2572" t="s">
        <v>194</v>
      </c>
    </row>
    <row r="2573" spans="1:26" x14ac:dyDescent="0.25">
      <c r="A2573">
        <v>2572</v>
      </c>
      <c r="B2573">
        <v>45</v>
      </c>
      <c r="C2573" t="s">
        <v>22</v>
      </c>
      <c r="D2573">
        <v>2572</v>
      </c>
      <c r="E2573" t="s">
        <v>92</v>
      </c>
      <c r="F2573" t="s">
        <v>70</v>
      </c>
      <c r="G2573">
        <v>2572</v>
      </c>
      <c r="H2573">
        <v>3285</v>
      </c>
      <c r="I2573">
        <v>27</v>
      </c>
      <c r="J2573" t="s">
        <v>94</v>
      </c>
      <c r="K2573" t="s">
        <v>26</v>
      </c>
      <c r="L2573" t="s">
        <v>97</v>
      </c>
      <c r="M2573" t="s">
        <v>28</v>
      </c>
      <c r="N2573">
        <v>3.5</v>
      </c>
      <c r="O2573">
        <v>0</v>
      </c>
      <c r="P2573" t="s">
        <v>57</v>
      </c>
      <c r="Q2573" t="s">
        <v>155</v>
      </c>
      <c r="R2573" t="s">
        <v>155</v>
      </c>
      <c r="S2573">
        <v>48</v>
      </c>
      <c r="T2573" t="s">
        <v>36</v>
      </c>
      <c r="U2573" t="s">
        <v>32</v>
      </c>
      <c r="V2573" s="1">
        <v>45317</v>
      </c>
      <c r="W2573">
        <f>Table1[[#This Row],[customer_purchase count]]+1</f>
        <v>49</v>
      </c>
      <c r="X2573">
        <f>Table1[[#This Row],[customer_purchase count]]*Rules!$B$3</f>
        <v>2868.689230769231</v>
      </c>
      <c r="Y2573" t="str">
        <f>IF(Table1[[#This Row],[customer_subscription]]=1,"Subscribed","Not Subscribed")</f>
        <v>Not Subscribed</v>
      </c>
    </row>
    <row r="2574" spans="1:26" x14ac:dyDescent="0.25">
      <c r="A2574">
        <v>2573</v>
      </c>
      <c r="B2574">
        <v>54</v>
      </c>
      <c r="C2574" t="s">
        <v>22</v>
      </c>
      <c r="D2574">
        <v>2573</v>
      </c>
      <c r="E2574" t="s">
        <v>23</v>
      </c>
      <c r="F2574" t="s">
        <v>24</v>
      </c>
      <c r="G2574">
        <v>2573</v>
      </c>
      <c r="H2574">
        <v>3286</v>
      </c>
      <c r="I2574">
        <v>42</v>
      </c>
      <c r="J2574" t="s">
        <v>152</v>
      </c>
      <c r="K2574" t="s">
        <v>47</v>
      </c>
      <c r="L2574" t="s">
        <v>68</v>
      </c>
      <c r="M2574" t="s">
        <v>60</v>
      </c>
      <c r="N2574">
        <v>3.9</v>
      </c>
      <c r="O2574">
        <v>0</v>
      </c>
      <c r="P2574" t="s">
        <v>48</v>
      </c>
      <c r="Q2574" t="s">
        <v>155</v>
      </c>
      <c r="R2574" t="s">
        <v>155</v>
      </c>
      <c r="S2574">
        <v>40</v>
      </c>
      <c r="T2574" t="s">
        <v>78</v>
      </c>
      <c r="U2574" t="s">
        <v>61</v>
      </c>
      <c r="V2574" s="1">
        <v>45540</v>
      </c>
      <c r="W2574">
        <f>Table1[[#This Row],[customer_purchase count]]+1</f>
        <v>41</v>
      </c>
      <c r="X2574">
        <f>Table1[[#This Row],[customer_purchase count]]*Rules!$B$3</f>
        <v>2390.5743589743593</v>
      </c>
      <c r="Y2574" t="str">
        <f>IF(Table1[[#This Row],[customer_subscription]]=1,"Subscribed","Not Subscribed")</f>
        <v>Not Subscribed</v>
      </c>
    </row>
    <row r="2575" spans="1:26" x14ac:dyDescent="0.25">
      <c r="A2575">
        <v>2574</v>
      </c>
      <c r="B2575">
        <v>54</v>
      </c>
      <c r="C2575" t="s">
        <v>22</v>
      </c>
      <c r="D2575">
        <v>2574</v>
      </c>
      <c r="E2575" t="s">
        <v>116</v>
      </c>
      <c r="F2575" t="s">
        <v>24</v>
      </c>
      <c r="G2575">
        <v>2574</v>
      </c>
      <c r="H2575">
        <v>3287</v>
      </c>
      <c r="I2575">
        <v>90</v>
      </c>
      <c r="J2575" t="s">
        <v>133</v>
      </c>
      <c r="K2575" t="s">
        <v>47</v>
      </c>
      <c r="L2575" t="s">
        <v>111</v>
      </c>
      <c r="M2575" t="s">
        <v>56</v>
      </c>
      <c r="N2575">
        <v>4.4000000000000004</v>
      </c>
      <c r="O2575">
        <v>0</v>
      </c>
      <c r="P2575" t="s">
        <v>77</v>
      </c>
      <c r="Q2575" t="s">
        <v>155</v>
      </c>
      <c r="R2575" t="s">
        <v>155</v>
      </c>
      <c r="S2575">
        <v>1</v>
      </c>
      <c r="T2575" t="s">
        <v>78</v>
      </c>
      <c r="U2575" t="s">
        <v>52</v>
      </c>
      <c r="V2575" s="1">
        <v>45516</v>
      </c>
      <c r="W2575">
        <f>Table1[[#This Row],[customer_purchase count]]+1</f>
        <v>2</v>
      </c>
      <c r="X2575">
        <f>Table1[[#This Row],[customer_purchase count]]*Rules!$B$3</f>
        <v>59.764358974358977</v>
      </c>
      <c r="Y2575" t="str">
        <f>IF(Table1[[#This Row],[customer_subscription]]=1,"Subscribed","Not Subscribed")</f>
        <v>Not Subscribed</v>
      </c>
      <c r="Z2575" t="s">
        <v>194</v>
      </c>
    </row>
    <row r="2576" spans="1:26" x14ac:dyDescent="0.25">
      <c r="A2576">
        <v>2575</v>
      </c>
      <c r="B2576">
        <v>27</v>
      </c>
      <c r="C2576" t="s">
        <v>22</v>
      </c>
      <c r="D2576">
        <v>2575</v>
      </c>
      <c r="E2576" t="s">
        <v>127</v>
      </c>
      <c r="F2576" t="s">
        <v>70</v>
      </c>
      <c r="G2576">
        <v>2575</v>
      </c>
      <c r="H2576">
        <v>3289</v>
      </c>
      <c r="I2576">
        <v>63</v>
      </c>
      <c r="J2576" t="s">
        <v>106</v>
      </c>
      <c r="K2576" t="s">
        <v>47</v>
      </c>
      <c r="L2576" t="s">
        <v>113</v>
      </c>
      <c r="M2576" t="s">
        <v>56</v>
      </c>
      <c r="N2576">
        <v>4.5999999999999996</v>
      </c>
      <c r="O2576">
        <v>0</v>
      </c>
      <c r="P2576" t="s">
        <v>73</v>
      </c>
      <c r="Q2576" t="s">
        <v>155</v>
      </c>
      <c r="R2576" t="s">
        <v>155</v>
      </c>
      <c r="S2576">
        <v>26</v>
      </c>
      <c r="T2576" t="s">
        <v>42</v>
      </c>
      <c r="U2576" t="s">
        <v>32</v>
      </c>
      <c r="V2576" s="1">
        <v>45476</v>
      </c>
      <c r="W2576">
        <f>Table1[[#This Row],[customer_purchase count]]+1</f>
        <v>27</v>
      </c>
      <c r="X2576">
        <f>Table1[[#This Row],[customer_purchase count]]*Rules!$B$3</f>
        <v>1553.8733333333334</v>
      </c>
      <c r="Y2576" t="str">
        <f>IF(Table1[[#This Row],[customer_subscription]]=1,"Subscribed","Not Subscribed")</f>
        <v>Not Subscribed</v>
      </c>
    </row>
    <row r="2577" spans="1:26" x14ac:dyDescent="0.25">
      <c r="A2577">
        <v>2576</v>
      </c>
      <c r="B2577">
        <v>53</v>
      </c>
      <c r="C2577" t="s">
        <v>22</v>
      </c>
      <c r="D2577">
        <v>2576</v>
      </c>
      <c r="E2577" t="s">
        <v>62</v>
      </c>
      <c r="F2577" t="s">
        <v>24</v>
      </c>
      <c r="G2577">
        <v>2576</v>
      </c>
      <c r="H2577">
        <v>3290</v>
      </c>
      <c r="I2577">
        <v>96</v>
      </c>
      <c r="J2577" t="s">
        <v>151</v>
      </c>
      <c r="K2577" t="s">
        <v>47</v>
      </c>
      <c r="L2577" t="s">
        <v>68</v>
      </c>
      <c r="M2577" t="s">
        <v>60</v>
      </c>
      <c r="N2577">
        <v>4</v>
      </c>
      <c r="O2577">
        <v>0</v>
      </c>
      <c r="P2577" t="s">
        <v>29</v>
      </c>
      <c r="Q2577" t="s">
        <v>155</v>
      </c>
      <c r="R2577" t="s">
        <v>155</v>
      </c>
      <c r="S2577">
        <v>9</v>
      </c>
      <c r="T2577" t="s">
        <v>49</v>
      </c>
      <c r="U2577" t="s">
        <v>52</v>
      </c>
      <c r="V2577" s="1">
        <v>45562</v>
      </c>
      <c r="W2577">
        <f>Table1[[#This Row],[customer_purchase count]]+1</f>
        <v>10</v>
      </c>
      <c r="X2577">
        <f>Table1[[#This Row],[customer_purchase count]]*Rules!$B$3</f>
        <v>537.87923076923084</v>
      </c>
      <c r="Y2577" t="str">
        <f>IF(Table1[[#This Row],[customer_subscription]]=1,"Subscribed","Not Subscribed")</f>
        <v>Not Subscribed</v>
      </c>
      <c r="Z2577" t="s">
        <v>194</v>
      </c>
    </row>
    <row r="2578" spans="1:26" x14ac:dyDescent="0.25">
      <c r="A2578">
        <v>2577</v>
      </c>
      <c r="B2578">
        <v>20</v>
      </c>
      <c r="C2578" t="s">
        <v>22</v>
      </c>
      <c r="D2578">
        <v>2577</v>
      </c>
      <c r="E2578" t="s">
        <v>107</v>
      </c>
      <c r="F2578" t="s">
        <v>24</v>
      </c>
      <c r="G2578">
        <v>2577</v>
      </c>
      <c r="H2578">
        <v>3291</v>
      </c>
      <c r="I2578">
        <v>40</v>
      </c>
      <c r="J2578" t="s">
        <v>85</v>
      </c>
      <c r="K2578" t="s">
        <v>47</v>
      </c>
      <c r="L2578" t="s">
        <v>68</v>
      </c>
      <c r="M2578" t="s">
        <v>28</v>
      </c>
      <c r="N2578">
        <v>4.2</v>
      </c>
      <c r="O2578">
        <v>0</v>
      </c>
      <c r="P2578" t="s">
        <v>41</v>
      </c>
      <c r="Q2578" t="s">
        <v>155</v>
      </c>
      <c r="R2578" t="s">
        <v>155</v>
      </c>
      <c r="S2578">
        <v>19</v>
      </c>
      <c r="T2578" t="s">
        <v>89</v>
      </c>
      <c r="U2578" t="s">
        <v>61</v>
      </c>
      <c r="V2578" s="1">
        <v>45324</v>
      </c>
      <c r="W2578">
        <f>Table1[[#This Row],[customer_purchase count]]+1</f>
        <v>20</v>
      </c>
      <c r="X2578">
        <f>Table1[[#This Row],[customer_purchase count]]*Rules!$B$3</f>
        <v>1135.5228205128205</v>
      </c>
      <c r="Y2578" t="str">
        <f>IF(Table1[[#This Row],[customer_subscription]]=1,"Subscribed","Not Subscribed")</f>
        <v>Not Subscribed</v>
      </c>
    </row>
    <row r="2579" spans="1:26" x14ac:dyDescent="0.25">
      <c r="A2579">
        <v>2578</v>
      </c>
      <c r="B2579">
        <v>52</v>
      </c>
      <c r="C2579" t="s">
        <v>22</v>
      </c>
      <c r="D2579">
        <v>2578</v>
      </c>
      <c r="E2579" t="s">
        <v>128</v>
      </c>
      <c r="F2579" t="s">
        <v>24</v>
      </c>
      <c r="G2579">
        <v>2578</v>
      </c>
      <c r="H2579">
        <v>3292</v>
      </c>
      <c r="I2579">
        <v>39</v>
      </c>
      <c r="J2579" t="s">
        <v>151</v>
      </c>
      <c r="K2579" t="s">
        <v>26</v>
      </c>
      <c r="L2579" t="s">
        <v>97</v>
      </c>
      <c r="M2579" t="s">
        <v>60</v>
      </c>
      <c r="N2579">
        <v>4.5</v>
      </c>
      <c r="O2579">
        <v>0</v>
      </c>
      <c r="P2579" t="s">
        <v>48</v>
      </c>
      <c r="Q2579" t="s">
        <v>155</v>
      </c>
      <c r="R2579" t="s">
        <v>155</v>
      </c>
      <c r="S2579">
        <v>37</v>
      </c>
      <c r="T2579" t="s">
        <v>78</v>
      </c>
      <c r="U2579" t="s">
        <v>91</v>
      </c>
      <c r="V2579" s="1">
        <v>45555</v>
      </c>
      <c r="W2579">
        <f>Table1[[#This Row],[customer_purchase count]]+1</f>
        <v>38</v>
      </c>
      <c r="X2579">
        <f>Table1[[#This Row],[customer_purchase count]]*Rules!$B$3</f>
        <v>2211.2812820512822</v>
      </c>
      <c r="Y2579" t="str">
        <f>IF(Table1[[#This Row],[customer_subscription]]=1,"Subscribed","Not Subscribed")</f>
        <v>Not Subscribed</v>
      </c>
    </row>
    <row r="2580" spans="1:26" x14ac:dyDescent="0.25">
      <c r="A2580">
        <v>2579</v>
      </c>
      <c r="B2580">
        <v>54</v>
      </c>
      <c r="C2580" t="s">
        <v>22</v>
      </c>
      <c r="D2580">
        <v>2579</v>
      </c>
      <c r="E2580" t="s">
        <v>92</v>
      </c>
      <c r="F2580" t="s">
        <v>70</v>
      </c>
      <c r="G2580">
        <v>2579</v>
      </c>
      <c r="H2580">
        <v>3293</v>
      </c>
      <c r="I2580">
        <v>48</v>
      </c>
      <c r="J2580" t="s">
        <v>132</v>
      </c>
      <c r="K2580" t="s">
        <v>47</v>
      </c>
      <c r="L2580" t="s">
        <v>76</v>
      </c>
      <c r="M2580" t="s">
        <v>60</v>
      </c>
      <c r="N2580">
        <v>3.9</v>
      </c>
      <c r="O2580">
        <v>0</v>
      </c>
      <c r="P2580" t="s">
        <v>41</v>
      </c>
      <c r="Q2580" t="s">
        <v>155</v>
      </c>
      <c r="R2580" t="s">
        <v>155</v>
      </c>
      <c r="S2580">
        <v>3</v>
      </c>
      <c r="T2580" t="s">
        <v>36</v>
      </c>
      <c r="U2580" t="s">
        <v>61</v>
      </c>
      <c r="V2580" s="1">
        <v>45546</v>
      </c>
      <c r="W2580">
        <f>Table1[[#This Row],[customer_purchase count]]+1</f>
        <v>4</v>
      </c>
      <c r="X2580">
        <f>Table1[[#This Row],[customer_purchase count]]*Rules!$B$3</f>
        <v>179.29307692307694</v>
      </c>
      <c r="Y2580" t="str">
        <f>IF(Table1[[#This Row],[customer_subscription]]=1,"Subscribed","Not Subscribed")</f>
        <v>Not Subscribed</v>
      </c>
      <c r="Z2580" t="s">
        <v>194</v>
      </c>
    </row>
    <row r="2581" spans="1:26" x14ac:dyDescent="0.25">
      <c r="A2581">
        <v>2580</v>
      </c>
      <c r="B2581">
        <v>65</v>
      </c>
      <c r="C2581" t="s">
        <v>22</v>
      </c>
      <c r="D2581">
        <v>2580</v>
      </c>
      <c r="E2581" t="s">
        <v>23</v>
      </c>
      <c r="F2581" t="s">
        <v>24</v>
      </c>
      <c r="G2581">
        <v>2580</v>
      </c>
      <c r="H2581">
        <v>3295</v>
      </c>
      <c r="I2581">
        <v>20</v>
      </c>
      <c r="J2581" t="s">
        <v>151</v>
      </c>
      <c r="K2581" t="s">
        <v>47</v>
      </c>
      <c r="L2581" t="s">
        <v>76</v>
      </c>
      <c r="M2581" t="s">
        <v>56</v>
      </c>
      <c r="N2581">
        <v>3.7</v>
      </c>
      <c r="O2581">
        <v>0</v>
      </c>
      <c r="P2581" t="s">
        <v>29</v>
      </c>
      <c r="Q2581" t="s">
        <v>155</v>
      </c>
      <c r="R2581" t="s">
        <v>155</v>
      </c>
      <c r="S2581">
        <v>40</v>
      </c>
      <c r="T2581" t="s">
        <v>31</v>
      </c>
      <c r="U2581" t="s">
        <v>43</v>
      </c>
      <c r="V2581" s="1">
        <v>45455</v>
      </c>
      <c r="W2581">
        <f>Table1[[#This Row],[customer_purchase count]]+1</f>
        <v>41</v>
      </c>
      <c r="X2581">
        <f>Table1[[#This Row],[customer_purchase count]]*Rules!$B$3</f>
        <v>2390.5743589743593</v>
      </c>
      <c r="Y2581" t="str">
        <f>IF(Table1[[#This Row],[customer_subscription]]=1,"Subscribed","Not Subscribed")</f>
        <v>Not Subscribed</v>
      </c>
    </row>
    <row r="2582" spans="1:26" x14ac:dyDescent="0.25">
      <c r="A2582">
        <v>2581</v>
      </c>
      <c r="B2582">
        <v>43</v>
      </c>
      <c r="C2582" t="s">
        <v>22</v>
      </c>
      <c r="D2582">
        <v>2581</v>
      </c>
      <c r="E2582" t="s">
        <v>37</v>
      </c>
      <c r="F2582" t="s">
        <v>24</v>
      </c>
      <c r="G2582">
        <v>2581</v>
      </c>
      <c r="H2582">
        <v>3296</v>
      </c>
      <c r="I2582">
        <v>29</v>
      </c>
      <c r="J2582" t="s">
        <v>38</v>
      </c>
      <c r="K2582" t="s">
        <v>39</v>
      </c>
      <c r="L2582" t="s">
        <v>51</v>
      </c>
      <c r="M2582" t="s">
        <v>56</v>
      </c>
      <c r="N2582">
        <v>3.6</v>
      </c>
      <c r="O2582">
        <v>0</v>
      </c>
      <c r="P2582" t="s">
        <v>77</v>
      </c>
      <c r="Q2582" t="s">
        <v>155</v>
      </c>
      <c r="R2582" t="s">
        <v>155</v>
      </c>
      <c r="S2582">
        <v>13</v>
      </c>
      <c r="T2582" t="s">
        <v>78</v>
      </c>
      <c r="U2582" t="s">
        <v>61</v>
      </c>
      <c r="V2582" s="1">
        <v>45467</v>
      </c>
      <c r="W2582">
        <f>Table1[[#This Row],[customer_purchase count]]+1</f>
        <v>14</v>
      </c>
      <c r="X2582">
        <f>Table1[[#This Row],[customer_purchase count]]*Rules!$B$3</f>
        <v>776.93666666666672</v>
      </c>
      <c r="Y2582" t="str">
        <f>IF(Table1[[#This Row],[customer_subscription]]=1,"Subscribed","Not Subscribed")</f>
        <v>Not Subscribed</v>
      </c>
      <c r="Z2582" t="s">
        <v>194</v>
      </c>
    </row>
    <row r="2583" spans="1:26" x14ac:dyDescent="0.25">
      <c r="A2583">
        <v>2582</v>
      </c>
      <c r="B2583">
        <v>57</v>
      </c>
      <c r="C2583" t="s">
        <v>22</v>
      </c>
      <c r="D2583">
        <v>2582</v>
      </c>
      <c r="E2583" t="s">
        <v>84</v>
      </c>
      <c r="F2583" t="s">
        <v>24</v>
      </c>
      <c r="G2583">
        <v>2582</v>
      </c>
      <c r="H2583">
        <v>3297</v>
      </c>
      <c r="I2583">
        <v>81</v>
      </c>
      <c r="J2583" t="s">
        <v>54</v>
      </c>
      <c r="K2583" t="s">
        <v>47</v>
      </c>
      <c r="L2583" t="s">
        <v>83</v>
      </c>
      <c r="M2583" t="s">
        <v>28</v>
      </c>
      <c r="N2583">
        <v>4.7</v>
      </c>
      <c r="O2583">
        <v>0</v>
      </c>
      <c r="P2583" t="s">
        <v>29</v>
      </c>
      <c r="Q2583" t="s">
        <v>155</v>
      </c>
      <c r="R2583" t="s">
        <v>155</v>
      </c>
      <c r="S2583">
        <v>48</v>
      </c>
      <c r="T2583" t="s">
        <v>42</v>
      </c>
      <c r="U2583" t="s">
        <v>91</v>
      </c>
      <c r="V2583" s="1">
        <v>45300</v>
      </c>
      <c r="W2583">
        <f>Table1[[#This Row],[customer_purchase count]]+1</f>
        <v>49</v>
      </c>
      <c r="X2583">
        <f>Table1[[#This Row],[customer_purchase count]]*Rules!$B$3</f>
        <v>2868.689230769231</v>
      </c>
      <c r="Y2583" t="str">
        <f>IF(Table1[[#This Row],[customer_subscription]]=1,"Subscribed","Not Subscribed")</f>
        <v>Not Subscribed</v>
      </c>
    </row>
    <row r="2584" spans="1:26" x14ac:dyDescent="0.25">
      <c r="A2584">
        <v>2583</v>
      </c>
      <c r="B2584">
        <v>19</v>
      </c>
      <c r="C2584" t="s">
        <v>22</v>
      </c>
      <c r="D2584">
        <v>2583</v>
      </c>
      <c r="E2584" t="s">
        <v>84</v>
      </c>
      <c r="F2584" t="s">
        <v>24</v>
      </c>
      <c r="G2584">
        <v>2583</v>
      </c>
      <c r="H2584">
        <v>3298</v>
      </c>
      <c r="I2584">
        <v>98</v>
      </c>
      <c r="J2584" t="s">
        <v>150</v>
      </c>
      <c r="K2584" t="s">
        <v>39</v>
      </c>
      <c r="L2584" t="s">
        <v>129</v>
      </c>
      <c r="M2584" t="s">
        <v>60</v>
      </c>
      <c r="N2584">
        <v>3.6</v>
      </c>
      <c r="O2584">
        <v>0</v>
      </c>
      <c r="P2584" t="s">
        <v>73</v>
      </c>
      <c r="Q2584" t="s">
        <v>155</v>
      </c>
      <c r="R2584" t="s">
        <v>155</v>
      </c>
      <c r="S2584">
        <v>4</v>
      </c>
      <c r="T2584" t="s">
        <v>31</v>
      </c>
      <c r="U2584" t="s">
        <v>100</v>
      </c>
      <c r="V2584" s="1">
        <v>45570</v>
      </c>
      <c r="W2584">
        <f>Table1[[#This Row],[customer_purchase count]]+1</f>
        <v>5</v>
      </c>
      <c r="X2584">
        <f>Table1[[#This Row],[customer_purchase count]]*Rules!$B$3</f>
        <v>239.05743589743591</v>
      </c>
      <c r="Y2584" t="str">
        <f>IF(Table1[[#This Row],[customer_subscription]]=1,"Subscribed","Not Subscribed")</f>
        <v>Not Subscribed</v>
      </c>
      <c r="Z2584" t="s">
        <v>194</v>
      </c>
    </row>
    <row r="2585" spans="1:26" x14ac:dyDescent="0.25">
      <c r="A2585">
        <v>2584</v>
      </c>
      <c r="B2585">
        <v>69</v>
      </c>
      <c r="C2585" t="s">
        <v>22</v>
      </c>
      <c r="D2585">
        <v>2584</v>
      </c>
      <c r="E2585" t="s">
        <v>37</v>
      </c>
      <c r="F2585" t="s">
        <v>24</v>
      </c>
      <c r="G2585">
        <v>2584</v>
      </c>
      <c r="H2585">
        <v>3299</v>
      </c>
      <c r="I2585">
        <v>93</v>
      </c>
      <c r="J2585" t="s">
        <v>104</v>
      </c>
      <c r="K2585" t="s">
        <v>47</v>
      </c>
      <c r="L2585" t="s">
        <v>96</v>
      </c>
      <c r="M2585" t="s">
        <v>60</v>
      </c>
      <c r="N2585">
        <v>2.5</v>
      </c>
      <c r="O2585">
        <v>0</v>
      </c>
      <c r="P2585" t="s">
        <v>48</v>
      </c>
      <c r="Q2585" t="s">
        <v>155</v>
      </c>
      <c r="R2585" t="s">
        <v>155</v>
      </c>
      <c r="S2585">
        <v>9</v>
      </c>
      <c r="T2585" t="s">
        <v>36</v>
      </c>
      <c r="U2585" t="s">
        <v>43</v>
      </c>
      <c r="V2585" s="1">
        <v>45568</v>
      </c>
      <c r="W2585">
        <f>Table1[[#This Row],[customer_purchase count]]+1</f>
        <v>10</v>
      </c>
      <c r="X2585">
        <f>Table1[[#This Row],[customer_purchase count]]*Rules!$B$3</f>
        <v>537.87923076923084</v>
      </c>
      <c r="Y2585" t="str">
        <f>IF(Table1[[#This Row],[customer_subscription]]=1,"Subscribed","Not Subscribed")</f>
        <v>Not Subscribed</v>
      </c>
      <c r="Z2585" t="s">
        <v>194</v>
      </c>
    </row>
    <row r="2586" spans="1:26" x14ac:dyDescent="0.25">
      <c r="A2586">
        <v>2585</v>
      </c>
      <c r="B2586">
        <v>26</v>
      </c>
      <c r="C2586" t="s">
        <v>22</v>
      </c>
      <c r="D2586">
        <v>2585</v>
      </c>
      <c r="E2586" t="s">
        <v>128</v>
      </c>
      <c r="F2586" t="s">
        <v>24</v>
      </c>
      <c r="G2586">
        <v>2585</v>
      </c>
      <c r="H2586">
        <v>3301</v>
      </c>
      <c r="I2586">
        <v>30</v>
      </c>
      <c r="J2586" t="s">
        <v>106</v>
      </c>
      <c r="K2586" t="s">
        <v>26</v>
      </c>
      <c r="L2586" t="s">
        <v>147</v>
      </c>
      <c r="M2586" t="s">
        <v>56</v>
      </c>
      <c r="N2586">
        <v>2.9</v>
      </c>
      <c r="O2586">
        <v>0</v>
      </c>
      <c r="P2586" t="s">
        <v>77</v>
      </c>
      <c r="Q2586" t="s">
        <v>155</v>
      </c>
      <c r="R2586" t="s">
        <v>155</v>
      </c>
      <c r="S2586">
        <v>26</v>
      </c>
      <c r="T2586" t="s">
        <v>78</v>
      </c>
      <c r="U2586" t="s">
        <v>79</v>
      </c>
      <c r="V2586" s="1">
        <v>45492</v>
      </c>
      <c r="W2586">
        <f>Table1[[#This Row],[customer_purchase count]]+1</f>
        <v>27</v>
      </c>
      <c r="X2586">
        <f>Table1[[#This Row],[customer_purchase count]]*Rules!$B$3</f>
        <v>1553.8733333333334</v>
      </c>
      <c r="Y2586" t="str">
        <f>IF(Table1[[#This Row],[customer_subscription]]=1,"Subscribed","Not Subscribed")</f>
        <v>Not Subscribed</v>
      </c>
    </row>
    <row r="2587" spans="1:26" x14ac:dyDescent="0.25">
      <c r="A2587">
        <v>2586</v>
      </c>
      <c r="B2587">
        <v>57</v>
      </c>
      <c r="C2587" t="s">
        <v>22</v>
      </c>
      <c r="D2587">
        <v>2586</v>
      </c>
      <c r="E2587" t="s">
        <v>92</v>
      </c>
      <c r="F2587" t="s">
        <v>70</v>
      </c>
      <c r="G2587">
        <v>2586</v>
      </c>
      <c r="H2587">
        <v>3302</v>
      </c>
      <c r="I2587">
        <v>37</v>
      </c>
      <c r="J2587" t="s">
        <v>153</v>
      </c>
      <c r="K2587" t="s">
        <v>26</v>
      </c>
      <c r="L2587" t="s">
        <v>35</v>
      </c>
      <c r="M2587" t="s">
        <v>60</v>
      </c>
      <c r="N2587">
        <v>4.4000000000000004</v>
      </c>
      <c r="O2587">
        <v>0</v>
      </c>
      <c r="P2587" t="s">
        <v>41</v>
      </c>
      <c r="Q2587" t="s">
        <v>155</v>
      </c>
      <c r="R2587" t="s">
        <v>155</v>
      </c>
      <c r="S2587">
        <v>19</v>
      </c>
      <c r="T2587" t="s">
        <v>89</v>
      </c>
      <c r="U2587" t="s">
        <v>43</v>
      </c>
      <c r="V2587" s="1">
        <v>45566</v>
      </c>
      <c r="W2587">
        <f>Table1[[#This Row],[customer_purchase count]]+1</f>
        <v>20</v>
      </c>
      <c r="X2587">
        <f>Table1[[#This Row],[customer_purchase count]]*Rules!$B$3</f>
        <v>1135.5228205128205</v>
      </c>
      <c r="Y2587" t="str">
        <f>IF(Table1[[#This Row],[customer_subscription]]=1,"Subscribed","Not Subscribed")</f>
        <v>Not Subscribed</v>
      </c>
    </row>
    <row r="2588" spans="1:26" x14ac:dyDescent="0.25">
      <c r="A2588">
        <v>2587</v>
      </c>
      <c r="B2588">
        <v>20</v>
      </c>
      <c r="C2588" t="s">
        <v>22</v>
      </c>
      <c r="D2588">
        <v>2587</v>
      </c>
      <c r="E2588" t="s">
        <v>65</v>
      </c>
      <c r="F2588" t="s">
        <v>66</v>
      </c>
      <c r="G2588">
        <v>2587</v>
      </c>
      <c r="H2588">
        <v>3303</v>
      </c>
      <c r="I2588">
        <v>28</v>
      </c>
      <c r="J2588" t="s">
        <v>34</v>
      </c>
      <c r="K2588" t="s">
        <v>26</v>
      </c>
      <c r="L2588" t="s">
        <v>137</v>
      </c>
      <c r="M2588" t="s">
        <v>28</v>
      </c>
      <c r="N2588">
        <v>4.5999999999999996</v>
      </c>
      <c r="O2588">
        <v>0</v>
      </c>
      <c r="P2588" t="s">
        <v>29</v>
      </c>
      <c r="Q2588" t="s">
        <v>155</v>
      </c>
      <c r="R2588" t="s">
        <v>155</v>
      </c>
      <c r="S2588">
        <v>1</v>
      </c>
      <c r="T2588" t="s">
        <v>42</v>
      </c>
      <c r="U2588" t="s">
        <v>100</v>
      </c>
      <c r="V2588" s="1">
        <v>45298</v>
      </c>
      <c r="W2588">
        <f>Table1[[#This Row],[customer_purchase count]]+1</f>
        <v>2</v>
      </c>
      <c r="X2588">
        <f>Table1[[#This Row],[customer_purchase count]]*Rules!$B$3</f>
        <v>59.764358974358977</v>
      </c>
      <c r="Y2588" t="str">
        <f>IF(Table1[[#This Row],[customer_subscription]]=1,"Subscribed","Not Subscribed")</f>
        <v>Not Subscribed</v>
      </c>
      <c r="Z2588" t="s">
        <v>194</v>
      </c>
    </row>
    <row r="2589" spans="1:26" x14ac:dyDescent="0.25">
      <c r="A2589">
        <v>2588</v>
      </c>
      <c r="B2589">
        <v>55</v>
      </c>
      <c r="C2589" t="s">
        <v>22</v>
      </c>
      <c r="D2589">
        <v>2588</v>
      </c>
      <c r="E2589" t="s">
        <v>122</v>
      </c>
      <c r="F2589" t="s">
        <v>70</v>
      </c>
      <c r="G2589">
        <v>2588</v>
      </c>
      <c r="H2589">
        <v>3304</v>
      </c>
      <c r="I2589">
        <v>29</v>
      </c>
      <c r="J2589" t="s">
        <v>142</v>
      </c>
      <c r="K2589" t="s">
        <v>47</v>
      </c>
      <c r="L2589" t="s">
        <v>76</v>
      </c>
      <c r="M2589" t="s">
        <v>28</v>
      </c>
      <c r="N2589">
        <v>3.7</v>
      </c>
      <c r="O2589">
        <v>0</v>
      </c>
      <c r="P2589" t="s">
        <v>29</v>
      </c>
      <c r="Q2589" t="s">
        <v>155</v>
      </c>
      <c r="R2589" t="s">
        <v>155</v>
      </c>
      <c r="S2589">
        <v>29</v>
      </c>
      <c r="T2589" t="s">
        <v>49</v>
      </c>
      <c r="U2589" t="s">
        <v>100</v>
      </c>
      <c r="V2589" s="1">
        <v>45632</v>
      </c>
      <c r="W2589">
        <f>Table1[[#This Row],[customer_purchase count]]+1</f>
        <v>30</v>
      </c>
      <c r="X2589">
        <f>Table1[[#This Row],[customer_purchase count]]*Rules!$B$3</f>
        <v>1733.1664102564102</v>
      </c>
      <c r="Y2589" t="str">
        <f>IF(Table1[[#This Row],[customer_subscription]]=1,"Subscribed","Not Subscribed")</f>
        <v>Not Subscribed</v>
      </c>
    </row>
    <row r="2590" spans="1:26" x14ac:dyDescent="0.25">
      <c r="A2590">
        <v>2589</v>
      </c>
      <c r="B2590">
        <v>44</v>
      </c>
      <c r="C2590" t="s">
        <v>22</v>
      </c>
      <c r="D2590">
        <v>2589</v>
      </c>
      <c r="E2590" t="s">
        <v>135</v>
      </c>
      <c r="F2590" t="s">
        <v>70</v>
      </c>
      <c r="G2590">
        <v>2589</v>
      </c>
      <c r="H2590">
        <v>3305</v>
      </c>
      <c r="I2590">
        <v>49</v>
      </c>
      <c r="J2590" t="s">
        <v>82</v>
      </c>
      <c r="K2590" t="s">
        <v>47</v>
      </c>
      <c r="L2590" t="s">
        <v>103</v>
      </c>
      <c r="M2590" t="s">
        <v>56</v>
      </c>
      <c r="N2590">
        <v>3.2</v>
      </c>
      <c r="O2590">
        <v>0</v>
      </c>
      <c r="P2590" t="s">
        <v>41</v>
      </c>
      <c r="Q2590" t="s">
        <v>155</v>
      </c>
      <c r="R2590" t="s">
        <v>155</v>
      </c>
      <c r="S2590">
        <v>38</v>
      </c>
      <c r="T2590" t="s">
        <v>31</v>
      </c>
      <c r="U2590" t="s">
        <v>79</v>
      </c>
      <c r="V2590" s="1">
        <v>45528</v>
      </c>
      <c r="W2590">
        <f>Table1[[#This Row],[customer_purchase count]]+1</f>
        <v>39</v>
      </c>
      <c r="X2590">
        <f>Table1[[#This Row],[customer_purchase count]]*Rules!$B$3</f>
        <v>2271.0456410256411</v>
      </c>
      <c r="Y2590" t="str">
        <f>IF(Table1[[#This Row],[customer_subscription]]=1,"Subscribed","Not Subscribed")</f>
        <v>Not Subscribed</v>
      </c>
    </row>
    <row r="2591" spans="1:26" x14ac:dyDescent="0.25">
      <c r="A2591">
        <v>2590</v>
      </c>
      <c r="B2591">
        <v>52</v>
      </c>
      <c r="C2591" t="s">
        <v>22</v>
      </c>
      <c r="D2591">
        <v>2590</v>
      </c>
      <c r="E2591" t="s">
        <v>98</v>
      </c>
      <c r="F2591" t="s">
        <v>24</v>
      </c>
      <c r="G2591">
        <v>2590</v>
      </c>
      <c r="H2591">
        <v>3307</v>
      </c>
      <c r="I2591">
        <v>53</v>
      </c>
      <c r="J2591" t="s">
        <v>117</v>
      </c>
      <c r="K2591" t="s">
        <v>47</v>
      </c>
      <c r="L2591" t="s">
        <v>68</v>
      </c>
      <c r="M2591" t="s">
        <v>28</v>
      </c>
      <c r="N2591">
        <v>4.9000000000000004</v>
      </c>
      <c r="O2591">
        <v>0</v>
      </c>
      <c r="P2591" t="s">
        <v>73</v>
      </c>
      <c r="Q2591" t="s">
        <v>155</v>
      </c>
      <c r="R2591" t="s">
        <v>155</v>
      </c>
      <c r="S2591">
        <v>31</v>
      </c>
      <c r="T2591" t="s">
        <v>49</v>
      </c>
      <c r="U2591" t="s">
        <v>52</v>
      </c>
      <c r="V2591" s="1">
        <v>45325</v>
      </c>
      <c r="W2591">
        <f>Table1[[#This Row],[customer_purchase count]]+1</f>
        <v>32</v>
      </c>
      <c r="X2591">
        <f>Table1[[#This Row],[customer_purchase count]]*Rules!$B$3</f>
        <v>1852.6951282051282</v>
      </c>
      <c r="Y2591" t="str">
        <f>IF(Table1[[#This Row],[customer_subscription]]=1,"Subscribed","Not Subscribed")</f>
        <v>Not Subscribed</v>
      </c>
    </row>
    <row r="2592" spans="1:26" x14ac:dyDescent="0.25">
      <c r="A2592">
        <v>2591</v>
      </c>
      <c r="B2592">
        <v>57</v>
      </c>
      <c r="C2592" t="s">
        <v>22</v>
      </c>
      <c r="D2592">
        <v>2591</v>
      </c>
      <c r="E2592" t="s">
        <v>146</v>
      </c>
      <c r="F2592" t="s">
        <v>70</v>
      </c>
      <c r="G2592">
        <v>2591</v>
      </c>
      <c r="H2592">
        <v>3308</v>
      </c>
      <c r="I2592">
        <v>66</v>
      </c>
      <c r="J2592" t="s">
        <v>102</v>
      </c>
      <c r="K2592" t="s">
        <v>47</v>
      </c>
      <c r="L2592" t="s">
        <v>51</v>
      </c>
      <c r="M2592" t="s">
        <v>56</v>
      </c>
      <c r="N2592">
        <v>5</v>
      </c>
      <c r="O2592">
        <v>0</v>
      </c>
      <c r="P2592" t="s">
        <v>41</v>
      </c>
      <c r="Q2592" t="s">
        <v>155</v>
      </c>
      <c r="R2592" t="s">
        <v>155</v>
      </c>
      <c r="S2592">
        <v>35</v>
      </c>
      <c r="T2592" t="s">
        <v>31</v>
      </c>
      <c r="U2592" t="s">
        <v>52</v>
      </c>
      <c r="V2592" s="1">
        <v>45498</v>
      </c>
      <c r="W2592">
        <f>Table1[[#This Row],[customer_purchase count]]+1</f>
        <v>36</v>
      </c>
      <c r="X2592">
        <f>Table1[[#This Row],[customer_purchase count]]*Rules!$B$3</f>
        <v>2091.7525641025641</v>
      </c>
      <c r="Y2592" t="str">
        <f>IF(Table1[[#This Row],[customer_subscription]]=1,"Subscribed","Not Subscribed")</f>
        <v>Not Subscribed</v>
      </c>
    </row>
    <row r="2593" spans="1:26" x14ac:dyDescent="0.25">
      <c r="A2593">
        <v>2592</v>
      </c>
      <c r="B2593">
        <v>40</v>
      </c>
      <c r="C2593" t="s">
        <v>22</v>
      </c>
      <c r="D2593">
        <v>2592</v>
      </c>
      <c r="E2593" t="s">
        <v>105</v>
      </c>
      <c r="F2593" t="s">
        <v>66</v>
      </c>
      <c r="G2593">
        <v>2592</v>
      </c>
      <c r="H2593">
        <v>3309</v>
      </c>
      <c r="I2593">
        <v>61</v>
      </c>
      <c r="J2593" t="s">
        <v>133</v>
      </c>
      <c r="K2593" t="s">
        <v>39</v>
      </c>
      <c r="L2593" t="s">
        <v>81</v>
      </c>
      <c r="M2593" t="s">
        <v>40</v>
      </c>
      <c r="N2593">
        <v>3.3</v>
      </c>
      <c r="O2593">
        <v>0</v>
      </c>
      <c r="P2593" t="s">
        <v>29</v>
      </c>
      <c r="Q2593" t="s">
        <v>155</v>
      </c>
      <c r="R2593" t="s">
        <v>155</v>
      </c>
      <c r="S2593">
        <v>40</v>
      </c>
      <c r="T2593" t="s">
        <v>36</v>
      </c>
      <c r="U2593" t="s">
        <v>61</v>
      </c>
      <c r="V2593" s="1">
        <v>45423</v>
      </c>
      <c r="W2593">
        <f>Table1[[#This Row],[customer_purchase count]]+1</f>
        <v>41</v>
      </c>
      <c r="X2593">
        <f>Table1[[#This Row],[customer_purchase count]]*Rules!$B$3</f>
        <v>2390.5743589743593</v>
      </c>
      <c r="Y2593" t="str">
        <f>IF(Table1[[#This Row],[customer_subscription]]=1,"Subscribed","Not Subscribed")</f>
        <v>Not Subscribed</v>
      </c>
    </row>
    <row r="2594" spans="1:26" x14ac:dyDescent="0.25">
      <c r="A2594">
        <v>2593</v>
      </c>
      <c r="B2594">
        <v>23</v>
      </c>
      <c r="C2594" t="s">
        <v>22</v>
      </c>
      <c r="D2594">
        <v>2593</v>
      </c>
      <c r="E2594" t="s">
        <v>62</v>
      </c>
      <c r="F2594" t="s">
        <v>24</v>
      </c>
      <c r="G2594">
        <v>2593</v>
      </c>
      <c r="H2594">
        <v>3310</v>
      </c>
      <c r="I2594">
        <v>23</v>
      </c>
      <c r="J2594" t="s">
        <v>149</v>
      </c>
      <c r="K2594" t="s">
        <v>95</v>
      </c>
      <c r="L2594" t="s">
        <v>103</v>
      </c>
      <c r="M2594" t="s">
        <v>56</v>
      </c>
      <c r="N2594">
        <v>4.4000000000000004</v>
      </c>
      <c r="O2594">
        <v>0</v>
      </c>
      <c r="P2594" t="s">
        <v>77</v>
      </c>
      <c r="Q2594" t="s">
        <v>155</v>
      </c>
      <c r="R2594" t="s">
        <v>155</v>
      </c>
      <c r="S2594">
        <v>13</v>
      </c>
      <c r="T2594" t="s">
        <v>31</v>
      </c>
      <c r="U2594" t="s">
        <v>61</v>
      </c>
      <c r="V2594" s="1">
        <v>45513</v>
      </c>
      <c r="W2594">
        <f>Table1[[#This Row],[customer_purchase count]]+1</f>
        <v>14</v>
      </c>
      <c r="X2594">
        <f>Table1[[#This Row],[customer_purchase count]]*Rules!$B$3</f>
        <v>776.93666666666672</v>
      </c>
      <c r="Y2594" t="str">
        <f>IF(Table1[[#This Row],[customer_subscription]]=1,"Subscribed","Not Subscribed")</f>
        <v>Not Subscribed</v>
      </c>
      <c r="Z2594" t="s">
        <v>187</v>
      </c>
    </row>
    <row r="2595" spans="1:26" x14ac:dyDescent="0.25">
      <c r="A2595">
        <v>2594</v>
      </c>
      <c r="B2595">
        <v>36</v>
      </c>
      <c r="C2595" t="s">
        <v>22</v>
      </c>
      <c r="D2595">
        <v>2594</v>
      </c>
      <c r="E2595" t="s">
        <v>98</v>
      </c>
      <c r="F2595" t="s">
        <v>24</v>
      </c>
      <c r="G2595">
        <v>2594</v>
      </c>
      <c r="H2595">
        <v>3311</v>
      </c>
      <c r="I2595">
        <v>36</v>
      </c>
      <c r="J2595" t="s">
        <v>115</v>
      </c>
      <c r="K2595" t="s">
        <v>39</v>
      </c>
      <c r="L2595" t="s">
        <v>129</v>
      </c>
      <c r="M2595" t="s">
        <v>60</v>
      </c>
      <c r="N2595">
        <v>4.7</v>
      </c>
      <c r="O2595">
        <v>0</v>
      </c>
      <c r="P2595" t="s">
        <v>77</v>
      </c>
      <c r="Q2595" t="s">
        <v>155</v>
      </c>
      <c r="R2595" t="s">
        <v>155</v>
      </c>
      <c r="S2595">
        <v>9</v>
      </c>
      <c r="T2595" t="s">
        <v>78</v>
      </c>
      <c r="U2595" t="s">
        <v>100</v>
      </c>
      <c r="V2595" s="1">
        <v>45578</v>
      </c>
      <c r="W2595">
        <f>Table1[[#This Row],[customer_purchase count]]+1</f>
        <v>10</v>
      </c>
      <c r="X2595">
        <f>Table1[[#This Row],[customer_purchase count]]*Rules!$B$3</f>
        <v>537.87923076923084</v>
      </c>
      <c r="Y2595" t="str">
        <f>IF(Table1[[#This Row],[customer_subscription]]=1,"Subscribed","Not Subscribed")</f>
        <v>Not Subscribed</v>
      </c>
      <c r="Z2595" t="s">
        <v>194</v>
      </c>
    </row>
    <row r="2596" spans="1:26" x14ac:dyDescent="0.25">
      <c r="A2596">
        <v>2595</v>
      </c>
      <c r="B2596">
        <v>59</v>
      </c>
      <c r="C2596" t="s">
        <v>22</v>
      </c>
      <c r="D2596">
        <v>2595</v>
      </c>
      <c r="E2596" t="s">
        <v>90</v>
      </c>
      <c r="F2596" t="s">
        <v>24</v>
      </c>
      <c r="G2596">
        <v>2595</v>
      </c>
      <c r="H2596">
        <v>3313</v>
      </c>
      <c r="I2596">
        <v>81</v>
      </c>
      <c r="J2596" t="s">
        <v>59</v>
      </c>
      <c r="K2596" t="s">
        <v>26</v>
      </c>
      <c r="L2596" t="s">
        <v>129</v>
      </c>
      <c r="M2596" t="s">
        <v>60</v>
      </c>
      <c r="N2596">
        <v>3.6</v>
      </c>
      <c r="O2596">
        <v>0</v>
      </c>
      <c r="P2596" t="s">
        <v>41</v>
      </c>
      <c r="Q2596" t="s">
        <v>155</v>
      </c>
      <c r="R2596" t="s">
        <v>155</v>
      </c>
      <c r="S2596">
        <v>25</v>
      </c>
      <c r="T2596" t="s">
        <v>36</v>
      </c>
      <c r="U2596" t="s">
        <v>100</v>
      </c>
      <c r="V2596" s="1">
        <v>45613</v>
      </c>
      <c r="W2596">
        <f>Table1[[#This Row],[customer_purchase count]]+1</f>
        <v>26</v>
      </c>
      <c r="X2596">
        <f>Table1[[#This Row],[customer_purchase count]]*Rules!$B$3</f>
        <v>1494.1089743589744</v>
      </c>
      <c r="Y2596" t="str">
        <f>IF(Table1[[#This Row],[customer_subscription]]=1,"Subscribed","Not Subscribed")</f>
        <v>Not Subscribed</v>
      </c>
    </row>
    <row r="2597" spans="1:26" x14ac:dyDescent="0.25">
      <c r="A2597">
        <v>2596</v>
      </c>
      <c r="B2597">
        <v>29</v>
      </c>
      <c r="C2597" t="s">
        <v>22</v>
      </c>
      <c r="D2597">
        <v>2596</v>
      </c>
      <c r="E2597" t="s">
        <v>23</v>
      </c>
      <c r="F2597" t="s">
        <v>24</v>
      </c>
      <c r="G2597">
        <v>2596</v>
      </c>
      <c r="H2597">
        <v>3314</v>
      </c>
      <c r="I2597">
        <v>56</v>
      </c>
      <c r="J2597" t="s">
        <v>149</v>
      </c>
      <c r="K2597" t="s">
        <v>95</v>
      </c>
      <c r="L2597" t="s">
        <v>35</v>
      </c>
      <c r="M2597" t="s">
        <v>56</v>
      </c>
      <c r="N2597">
        <v>3.2</v>
      </c>
      <c r="O2597">
        <v>0</v>
      </c>
      <c r="P2597" t="s">
        <v>41</v>
      </c>
      <c r="Q2597" t="s">
        <v>155</v>
      </c>
      <c r="R2597" t="s">
        <v>155</v>
      </c>
      <c r="S2597">
        <v>3</v>
      </c>
      <c r="T2597" t="s">
        <v>78</v>
      </c>
      <c r="U2597" t="s">
        <v>79</v>
      </c>
      <c r="V2597" s="1">
        <v>45521</v>
      </c>
      <c r="W2597">
        <f>Table1[[#This Row],[customer_purchase count]]+1</f>
        <v>4</v>
      </c>
      <c r="X2597">
        <f>Table1[[#This Row],[customer_purchase count]]*Rules!$B$3</f>
        <v>179.29307692307694</v>
      </c>
      <c r="Y2597" t="str">
        <f>IF(Table1[[#This Row],[customer_subscription]]=1,"Subscribed","Not Subscribed")</f>
        <v>Not Subscribed</v>
      </c>
      <c r="Z2597" t="s">
        <v>194</v>
      </c>
    </row>
    <row r="2598" spans="1:26" x14ac:dyDescent="0.25">
      <c r="A2598">
        <v>2597</v>
      </c>
      <c r="B2598">
        <v>63</v>
      </c>
      <c r="C2598" t="s">
        <v>22</v>
      </c>
      <c r="D2598">
        <v>2597</v>
      </c>
      <c r="E2598" t="s">
        <v>58</v>
      </c>
      <c r="F2598" t="s">
        <v>24</v>
      </c>
      <c r="G2598">
        <v>2597</v>
      </c>
      <c r="H2598">
        <v>3315</v>
      </c>
      <c r="I2598">
        <v>78</v>
      </c>
      <c r="J2598" t="s">
        <v>63</v>
      </c>
      <c r="K2598" t="s">
        <v>26</v>
      </c>
      <c r="L2598" t="s">
        <v>97</v>
      </c>
      <c r="M2598" t="s">
        <v>40</v>
      </c>
      <c r="N2598">
        <v>3</v>
      </c>
      <c r="O2598">
        <v>0</v>
      </c>
      <c r="P2598" t="s">
        <v>48</v>
      </c>
      <c r="Q2598" t="s">
        <v>155</v>
      </c>
      <c r="R2598" t="s">
        <v>155</v>
      </c>
      <c r="S2598">
        <v>35</v>
      </c>
      <c r="T2598" t="s">
        <v>42</v>
      </c>
      <c r="U2598" t="s">
        <v>91</v>
      </c>
      <c r="V2598" s="1">
        <v>45361</v>
      </c>
      <c r="W2598">
        <f>Table1[[#This Row],[customer_purchase count]]+1</f>
        <v>36</v>
      </c>
      <c r="X2598">
        <f>Table1[[#This Row],[customer_purchase count]]*Rules!$B$3</f>
        <v>2091.7525641025641</v>
      </c>
      <c r="Y2598" t="str">
        <f>IF(Table1[[#This Row],[customer_subscription]]=1,"Subscribed","Not Subscribed")</f>
        <v>Not Subscribed</v>
      </c>
    </row>
    <row r="2599" spans="1:26" x14ac:dyDescent="0.25">
      <c r="A2599">
        <v>2598</v>
      </c>
      <c r="B2599">
        <v>60</v>
      </c>
      <c r="C2599" t="s">
        <v>22</v>
      </c>
      <c r="D2599">
        <v>2598</v>
      </c>
      <c r="E2599" t="s">
        <v>109</v>
      </c>
      <c r="F2599" t="s">
        <v>70</v>
      </c>
      <c r="G2599">
        <v>2598</v>
      </c>
      <c r="H2599">
        <v>3316</v>
      </c>
      <c r="I2599">
        <v>25</v>
      </c>
      <c r="J2599" t="s">
        <v>93</v>
      </c>
      <c r="K2599" t="s">
        <v>95</v>
      </c>
      <c r="L2599" t="s">
        <v>88</v>
      </c>
      <c r="M2599" t="s">
        <v>56</v>
      </c>
      <c r="N2599">
        <v>4.4000000000000004</v>
      </c>
      <c r="O2599">
        <v>0</v>
      </c>
      <c r="P2599" t="s">
        <v>77</v>
      </c>
      <c r="Q2599" t="s">
        <v>155</v>
      </c>
      <c r="R2599" t="s">
        <v>155</v>
      </c>
      <c r="S2599">
        <v>13</v>
      </c>
      <c r="T2599" t="s">
        <v>31</v>
      </c>
      <c r="U2599" t="s">
        <v>79</v>
      </c>
      <c r="V2599" s="1">
        <v>45505</v>
      </c>
      <c r="W2599">
        <f>Table1[[#This Row],[customer_purchase count]]+1</f>
        <v>14</v>
      </c>
      <c r="X2599">
        <f>Table1[[#This Row],[customer_purchase count]]*Rules!$B$3</f>
        <v>776.93666666666672</v>
      </c>
      <c r="Y2599" t="str">
        <f>IF(Table1[[#This Row],[customer_subscription]]=1,"Subscribed","Not Subscribed")</f>
        <v>Not Subscribed</v>
      </c>
      <c r="Z2599" t="s">
        <v>194</v>
      </c>
    </row>
    <row r="2600" spans="1:26" x14ac:dyDescent="0.25">
      <c r="A2600">
        <v>2599</v>
      </c>
      <c r="B2600">
        <v>64</v>
      </c>
      <c r="C2600" t="s">
        <v>22</v>
      </c>
      <c r="D2600">
        <v>2599</v>
      </c>
      <c r="E2600" t="s">
        <v>135</v>
      </c>
      <c r="F2600" t="s">
        <v>70</v>
      </c>
      <c r="G2600">
        <v>2599</v>
      </c>
      <c r="H2600">
        <v>3317</v>
      </c>
      <c r="I2600">
        <v>86</v>
      </c>
      <c r="J2600" t="s">
        <v>110</v>
      </c>
      <c r="K2600" t="s">
        <v>95</v>
      </c>
      <c r="L2600" t="s">
        <v>81</v>
      </c>
      <c r="M2600" t="s">
        <v>60</v>
      </c>
      <c r="N2600">
        <v>3.3</v>
      </c>
      <c r="O2600">
        <v>0</v>
      </c>
      <c r="P2600" t="s">
        <v>29</v>
      </c>
      <c r="Q2600" t="s">
        <v>155</v>
      </c>
      <c r="R2600" t="s">
        <v>155</v>
      </c>
      <c r="S2600">
        <v>31</v>
      </c>
      <c r="T2600" t="s">
        <v>89</v>
      </c>
      <c r="U2600" t="s">
        <v>52</v>
      </c>
      <c r="V2600" s="1">
        <v>45556</v>
      </c>
      <c r="W2600">
        <f>Table1[[#This Row],[customer_purchase count]]+1</f>
        <v>32</v>
      </c>
      <c r="X2600">
        <f>Table1[[#This Row],[customer_purchase count]]*Rules!$B$3</f>
        <v>1852.6951282051282</v>
      </c>
      <c r="Y2600" t="str">
        <f>IF(Table1[[#This Row],[customer_subscription]]=1,"Subscribed","Not Subscribed")</f>
        <v>Not Subscribed</v>
      </c>
    </row>
    <row r="2601" spans="1:26" x14ac:dyDescent="0.25">
      <c r="A2601">
        <v>2600</v>
      </c>
      <c r="B2601">
        <v>63</v>
      </c>
      <c r="C2601" t="s">
        <v>22</v>
      </c>
      <c r="D2601">
        <v>2600</v>
      </c>
      <c r="E2601" t="s">
        <v>109</v>
      </c>
      <c r="F2601" t="s">
        <v>70</v>
      </c>
      <c r="G2601">
        <v>2600</v>
      </c>
      <c r="H2601">
        <v>3319</v>
      </c>
      <c r="I2601">
        <v>99</v>
      </c>
      <c r="J2601" t="s">
        <v>132</v>
      </c>
      <c r="K2601" t="s">
        <v>47</v>
      </c>
      <c r="L2601" t="s">
        <v>83</v>
      </c>
      <c r="M2601" t="s">
        <v>28</v>
      </c>
      <c r="N2601">
        <v>3.4</v>
      </c>
      <c r="O2601">
        <v>0</v>
      </c>
      <c r="P2601" t="s">
        <v>29</v>
      </c>
      <c r="Q2601" t="s">
        <v>155</v>
      </c>
      <c r="R2601" t="s">
        <v>155</v>
      </c>
      <c r="S2601">
        <v>48</v>
      </c>
      <c r="T2601" t="s">
        <v>42</v>
      </c>
      <c r="U2601" t="s">
        <v>91</v>
      </c>
      <c r="V2601" s="1">
        <v>45339</v>
      </c>
      <c r="W2601">
        <f>Table1[[#This Row],[customer_purchase count]]+1</f>
        <v>49</v>
      </c>
      <c r="X2601">
        <f>Table1[[#This Row],[customer_purchase count]]*Rules!$B$3</f>
        <v>2868.689230769231</v>
      </c>
      <c r="Y2601" t="str">
        <f>IF(Table1[[#This Row],[customer_subscription]]=1,"Subscribed","Not Subscribed")</f>
        <v>Not Subscribed</v>
      </c>
    </row>
    <row r="2602" spans="1:26" x14ac:dyDescent="0.25">
      <c r="A2602">
        <v>2601</v>
      </c>
      <c r="B2602">
        <v>21</v>
      </c>
      <c r="C2602" t="s">
        <v>22</v>
      </c>
      <c r="D2602">
        <v>2601</v>
      </c>
      <c r="E2602" t="s">
        <v>136</v>
      </c>
      <c r="F2602" t="s">
        <v>70</v>
      </c>
      <c r="G2602">
        <v>2601</v>
      </c>
      <c r="H2602">
        <v>3320</v>
      </c>
      <c r="I2602">
        <v>83</v>
      </c>
      <c r="J2602" t="s">
        <v>87</v>
      </c>
      <c r="K2602" t="s">
        <v>47</v>
      </c>
      <c r="L2602" t="s">
        <v>27</v>
      </c>
      <c r="M2602" t="s">
        <v>60</v>
      </c>
      <c r="N2602">
        <v>3.9</v>
      </c>
      <c r="O2602">
        <v>0</v>
      </c>
      <c r="P2602" t="s">
        <v>29</v>
      </c>
      <c r="Q2602" t="s">
        <v>155</v>
      </c>
      <c r="R2602" t="s">
        <v>155</v>
      </c>
      <c r="S2602">
        <v>6</v>
      </c>
      <c r="T2602" t="s">
        <v>78</v>
      </c>
      <c r="U2602" t="s">
        <v>79</v>
      </c>
      <c r="V2602" s="1">
        <v>45573</v>
      </c>
      <c r="W2602">
        <f>Table1[[#This Row],[customer_purchase count]]+1</f>
        <v>7</v>
      </c>
      <c r="X2602">
        <f>Table1[[#This Row],[customer_purchase count]]*Rules!$B$3</f>
        <v>358.58615384615388</v>
      </c>
      <c r="Y2602" t="str">
        <f>IF(Table1[[#This Row],[customer_subscription]]=1,"Subscribed","Not Subscribed")</f>
        <v>Not Subscribed</v>
      </c>
      <c r="Z2602" t="s">
        <v>194</v>
      </c>
    </row>
    <row r="2603" spans="1:26" x14ac:dyDescent="0.25">
      <c r="A2603">
        <v>2602</v>
      </c>
      <c r="B2603">
        <v>61</v>
      </c>
      <c r="C2603" t="s">
        <v>22</v>
      </c>
      <c r="D2603">
        <v>2602</v>
      </c>
      <c r="E2603" t="s">
        <v>84</v>
      </c>
      <c r="F2603" t="s">
        <v>24</v>
      </c>
      <c r="G2603">
        <v>2602</v>
      </c>
      <c r="H2603">
        <v>3321</v>
      </c>
      <c r="I2603">
        <v>33</v>
      </c>
      <c r="J2603" t="s">
        <v>94</v>
      </c>
      <c r="K2603" t="s">
        <v>26</v>
      </c>
      <c r="L2603" t="s">
        <v>124</v>
      </c>
      <c r="M2603" t="s">
        <v>28</v>
      </c>
      <c r="N2603">
        <v>2.9</v>
      </c>
      <c r="O2603">
        <v>0</v>
      </c>
      <c r="P2603" t="s">
        <v>77</v>
      </c>
      <c r="Q2603" t="s">
        <v>155</v>
      </c>
      <c r="R2603" t="s">
        <v>155</v>
      </c>
      <c r="S2603">
        <v>43</v>
      </c>
      <c r="T2603" t="s">
        <v>36</v>
      </c>
      <c r="U2603" t="s">
        <v>91</v>
      </c>
      <c r="V2603" s="1">
        <v>45338</v>
      </c>
      <c r="W2603">
        <f>Table1[[#This Row],[customer_purchase count]]+1</f>
        <v>44</v>
      </c>
      <c r="X2603">
        <f>Table1[[#This Row],[customer_purchase count]]*Rules!$B$3</f>
        <v>2569.8674358974358</v>
      </c>
      <c r="Y2603" t="str">
        <f>IF(Table1[[#This Row],[customer_subscription]]=1,"Subscribed","Not Subscribed")</f>
        <v>Not Subscribed</v>
      </c>
    </row>
    <row r="2604" spans="1:26" x14ac:dyDescent="0.25">
      <c r="A2604">
        <v>2603</v>
      </c>
      <c r="B2604">
        <v>65</v>
      </c>
      <c r="C2604" t="s">
        <v>22</v>
      </c>
      <c r="D2604">
        <v>2603</v>
      </c>
      <c r="E2604" t="s">
        <v>65</v>
      </c>
      <c r="F2604" t="s">
        <v>66</v>
      </c>
      <c r="G2604">
        <v>2603</v>
      </c>
      <c r="H2604">
        <v>3322</v>
      </c>
      <c r="I2604">
        <v>44</v>
      </c>
      <c r="J2604" t="s">
        <v>134</v>
      </c>
      <c r="K2604" t="s">
        <v>47</v>
      </c>
      <c r="L2604" t="s">
        <v>97</v>
      </c>
      <c r="M2604" t="s">
        <v>60</v>
      </c>
      <c r="N2604">
        <v>2.9</v>
      </c>
      <c r="O2604">
        <v>0</v>
      </c>
      <c r="P2604" t="s">
        <v>41</v>
      </c>
      <c r="Q2604" t="s">
        <v>155</v>
      </c>
      <c r="R2604" t="s">
        <v>155</v>
      </c>
      <c r="S2604">
        <v>1</v>
      </c>
      <c r="T2604" t="s">
        <v>31</v>
      </c>
      <c r="U2604" t="s">
        <v>61</v>
      </c>
      <c r="V2604" s="1">
        <v>45578</v>
      </c>
      <c r="W2604">
        <f>Table1[[#This Row],[customer_purchase count]]+1</f>
        <v>2</v>
      </c>
      <c r="X2604">
        <f>Table1[[#This Row],[customer_purchase count]]*Rules!$B$3</f>
        <v>59.764358974358977</v>
      </c>
      <c r="Y2604" t="str">
        <f>IF(Table1[[#This Row],[customer_subscription]]=1,"Subscribed","Not Subscribed")</f>
        <v>Not Subscribed</v>
      </c>
      <c r="Z2604" t="s">
        <v>194</v>
      </c>
    </row>
    <row r="2605" spans="1:26" x14ac:dyDescent="0.25">
      <c r="A2605">
        <v>2604</v>
      </c>
      <c r="B2605">
        <v>69</v>
      </c>
      <c r="C2605" t="s">
        <v>22</v>
      </c>
      <c r="D2605">
        <v>2604</v>
      </c>
      <c r="E2605" t="s">
        <v>84</v>
      </c>
      <c r="F2605" t="s">
        <v>24</v>
      </c>
      <c r="G2605">
        <v>2604</v>
      </c>
      <c r="H2605">
        <v>3323</v>
      </c>
      <c r="I2605">
        <v>58</v>
      </c>
      <c r="J2605" t="s">
        <v>152</v>
      </c>
      <c r="K2605" t="s">
        <v>47</v>
      </c>
      <c r="L2605" t="s">
        <v>88</v>
      </c>
      <c r="M2605" t="s">
        <v>40</v>
      </c>
      <c r="N2605">
        <v>2.7</v>
      </c>
      <c r="O2605">
        <v>0</v>
      </c>
      <c r="P2605" t="s">
        <v>73</v>
      </c>
      <c r="Q2605" t="s">
        <v>155</v>
      </c>
      <c r="R2605" t="s">
        <v>155</v>
      </c>
      <c r="S2605">
        <v>8</v>
      </c>
      <c r="T2605" t="s">
        <v>36</v>
      </c>
      <c r="U2605" t="s">
        <v>52</v>
      </c>
      <c r="V2605" s="1">
        <v>45404</v>
      </c>
      <c r="W2605">
        <f>Table1[[#This Row],[customer_purchase count]]+1</f>
        <v>9</v>
      </c>
      <c r="X2605">
        <f>Table1[[#This Row],[customer_purchase count]]*Rules!$B$3</f>
        <v>478.11487179487182</v>
      </c>
      <c r="Y2605" t="str">
        <f>IF(Table1[[#This Row],[customer_subscription]]=1,"Subscribed","Not Subscribed")</f>
        <v>Not Subscribed</v>
      </c>
      <c r="Z2605" t="s">
        <v>194</v>
      </c>
    </row>
    <row r="2606" spans="1:26" x14ac:dyDescent="0.25">
      <c r="A2606">
        <v>2605</v>
      </c>
      <c r="B2606">
        <v>47</v>
      </c>
      <c r="C2606" t="s">
        <v>22</v>
      </c>
      <c r="D2606">
        <v>2605</v>
      </c>
      <c r="E2606" t="s">
        <v>33</v>
      </c>
      <c r="F2606" t="s">
        <v>24</v>
      </c>
      <c r="G2606">
        <v>2605</v>
      </c>
      <c r="H2606">
        <v>3325</v>
      </c>
      <c r="I2606">
        <v>54</v>
      </c>
      <c r="J2606" t="s">
        <v>115</v>
      </c>
      <c r="K2606" t="s">
        <v>47</v>
      </c>
      <c r="L2606" t="s">
        <v>121</v>
      </c>
      <c r="M2606" t="s">
        <v>40</v>
      </c>
      <c r="N2606">
        <v>3.4</v>
      </c>
      <c r="O2606">
        <v>0</v>
      </c>
      <c r="P2606" t="s">
        <v>77</v>
      </c>
      <c r="Q2606" t="s">
        <v>155</v>
      </c>
      <c r="R2606" t="s">
        <v>155</v>
      </c>
      <c r="S2606">
        <v>6</v>
      </c>
      <c r="T2606" t="s">
        <v>89</v>
      </c>
      <c r="U2606" t="s">
        <v>43</v>
      </c>
      <c r="V2606" s="1">
        <v>45367</v>
      </c>
      <c r="W2606">
        <f>Table1[[#This Row],[customer_purchase count]]+1</f>
        <v>7</v>
      </c>
      <c r="X2606">
        <f>Table1[[#This Row],[customer_purchase count]]*Rules!$B$3</f>
        <v>358.58615384615388</v>
      </c>
      <c r="Y2606" t="str">
        <f>IF(Table1[[#This Row],[customer_subscription]]=1,"Subscribed","Not Subscribed")</f>
        <v>Not Subscribed</v>
      </c>
      <c r="Z2606" t="s">
        <v>194</v>
      </c>
    </row>
    <row r="2607" spans="1:26" x14ac:dyDescent="0.25">
      <c r="A2607">
        <v>2606</v>
      </c>
      <c r="B2607">
        <v>41</v>
      </c>
      <c r="C2607" t="s">
        <v>22</v>
      </c>
      <c r="D2607">
        <v>2606</v>
      </c>
      <c r="E2607" t="s">
        <v>107</v>
      </c>
      <c r="F2607" t="s">
        <v>24</v>
      </c>
      <c r="G2607">
        <v>2606</v>
      </c>
      <c r="H2607">
        <v>3326</v>
      </c>
      <c r="I2607">
        <v>93</v>
      </c>
      <c r="J2607" t="s">
        <v>110</v>
      </c>
      <c r="K2607" t="s">
        <v>47</v>
      </c>
      <c r="L2607" t="s">
        <v>55</v>
      </c>
      <c r="M2607" t="s">
        <v>40</v>
      </c>
      <c r="N2607">
        <v>3.7</v>
      </c>
      <c r="O2607">
        <v>0</v>
      </c>
      <c r="P2607" t="s">
        <v>73</v>
      </c>
      <c r="Q2607" t="s">
        <v>155</v>
      </c>
      <c r="R2607" t="s">
        <v>155</v>
      </c>
      <c r="S2607">
        <v>32</v>
      </c>
      <c r="T2607" t="s">
        <v>31</v>
      </c>
      <c r="U2607" t="s">
        <v>32</v>
      </c>
      <c r="V2607" s="1">
        <v>45418</v>
      </c>
      <c r="W2607">
        <f>Table1[[#This Row],[customer_purchase count]]+1</f>
        <v>33</v>
      </c>
      <c r="X2607">
        <f>Table1[[#This Row],[customer_purchase count]]*Rules!$B$3</f>
        <v>1912.4594871794873</v>
      </c>
      <c r="Y2607" t="str">
        <f>IF(Table1[[#This Row],[customer_subscription]]=1,"Subscribed","Not Subscribed")</f>
        <v>Not Subscribed</v>
      </c>
    </row>
    <row r="2608" spans="1:26" x14ac:dyDescent="0.25">
      <c r="A2608">
        <v>2607</v>
      </c>
      <c r="B2608">
        <v>68</v>
      </c>
      <c r="C2608" t="s">
        <v>22</v>
      </c>
      <c r="D2608">
        <v>2607</v>
      </c>
      <c r="E2608" t="s">
        <v>74</v>
      </c>
      <c r="F2608" t="s">
        <v>45</v>
      </c>
      <c r="G2608">
        <v>2607</v>
      </c>
      <c r="H2608">
        <v>3327</v>
      </c>
      <c r="I2608">
        <v>98</v>
      </c>
      <c r="J2608" t="s">
        <v>110</v>
      </c>
      <c r="K2608" t="s">
        <v>26</v>
      </c>
      <c r="L2608" t="s">
        <v>51</v>
      </c>
      <c r="M2608" t="s">
        <v>40</v>
      </c>
      <c r="N2608">
        <v>4.7</v>
      </c>
      <c r="O2608">
        <v>0</v>
      </c>
      <c r="P2608" t="s">
        <v>57</v>
      </c>
      <c r="Q2608" t="s">
        <v>155</v>
      </c>
      <c r="R2608" t="s">
        <v>155</v>
      </c>
      <c r="S2608">
        <v>46</v>
      </c>
      <c r="T2608" t="s">
        <v>78</v>
      </c>
      <c r="U2608" t="s">
        <v>79</v>
      </c>
      <c r="V2608" s="1">
        <v>45358</v>
      </c>
      <c r="W2608">
        <f>Table1[[#This Row],[customer_purchase count]]+1</f>
        <v>47</v>
      </c>
      <c r="X2608">
        <f>Table1[[#This Row],[customer_purchase count]]*Rules!$B$3</f>
        <v>2749.1605128205128</v>
      </c>
      <c r="Y2608" t="str">
        <f>IF(Table1[[#This Row],[customer_subscription]]=1,"Subscribed","Not Subscribed")</f>
        <v>Not Subscribed</v>
      </c>
    </row>
    <row r="2609" spans="1:26" x14ac:dyDescent="0.25">
      <c r="A2609">
        <v>2608</v>
      </c>
      <c r="B2609">
        <v>41</v>
      </c>
      <c r="C2609" t="s">
        <v>22</v>
      </c>
      <c r="D2609">
        <v>2608</v>
      </c>
      <c r="E2609" t="s">
        <v>74</v>
      </c>
      <c r="F2609" t="s">
        <v>45</v>
      </c>
      <c r="G2609">
        <v>2608</v>
      </c>
      <c r="H2609">
        <v>3328</v>
      </c>
      <c r="I2609">
        <v>36</v>
      </c>
      <c r="J2609" t="s">
        <v>104</v>
      </c>
      <c r="K2609" t="s">
        <v>95</v>
      </c>
      <c r="L2609" t="s">
        <v>88</v>
      </c>
      <c r="M2609" t="s">
        <v>40</v>
      </c>
      <c r="N2609">
        <v>3.1</v>
      </c>
      <c r="O2609">
        <v>0</v>
      </c>
      <c r="P2609" t="s">
        <v>29</v>
      </c>
      <c r="Q2609" t="s">
        <v>155</v>
      </c>
      <c r="R2609" t="s">
        <v>155</v>
      </c>
      <c r="S2609">
        <v>38</v>
      </c>
      <c r="T2609" t="s">
        <v>49</v>
      </c>
      <c r="U2609" t="s">
        <v>100</v>
      </c>
      <c r="V2609" s="1">
        <v>45415</v>
      </c>
      <c r="W2609">
        <f>Table1[[#This Row],[customer_purchase count]]+1</f>
        <v>39</v>
      </c>
      <c r="X2609">
        <f>Table1[[#This Row],[customer_purchase count]]*Rules!$B$3</f>
        <v>2271.0456410256411</v>
      </c>
      <c r="Y2609" t="str">
        <f>IF(Table1[[#This Row],[customer_subscription]]=1,"Subscribed","Not Subscribed")</f>
        <v>Not Subscribed</v>
      </c>
    </row>
    <row r="2610" spans="1:26" x14ac:dyDescent="0.25">
      <c r="A2610">
        <v>2609</v>
      </c>
      <c r="B2610">
        <v>42</v>
      </c>
      <c r="C2610" t="s">
        <v>22</v>
      </c>
      <c r="D2610">
        <v>2609</v>
      </c>
      <c r="E2610" t="s">
        <v>105</v>
      </c>
      <c r="F2610" t="s">
        <v>66</v>
      </c>
      <c r="G2610">
        <v>2609</v>
      </c>
      <c r="H2610">
        <v>3329</v>
      </c>
      <c r="I2610">
        <v>68</v>
      </c>
      <c r="J2610" t="s">
        <v>94</v>
      </c>
      <c r="K2610" t="s">
        <v>26</v>
      </c>
      <c r="L2610" t="s">
        <v>124</v>
      </c>
      <c r="M2610" t="s">
        <v>60</v>
      </c>
      <c r="N2610">
        <v>4.2</v>
      </c>
      <c r="O2610">
        <v>0</v>
      </c>
      <c r="P2610" t="s">
        <v>73</v>
      </c>
      <c r="Q2610" t="s">
        <v>155</v>
      </c>
      <c r="R2610" t="s">
        <v>155</v>
      </c>
      <c r="S2610">
        <v>48</v>
      </c>
      <c r="T2610" t="s">
        <v>42</v>
      </c>
      <c r="U2610" t="s">
        <v>32</v>
      </c>
      <c r="V2610" s="1">
        <v>45562</v>
      </c>
      <c r="W2610">
        <f>Table1[[#This Row],[customer_purchase count]]+1</f>
        <v>49</v>
      </c>
      <c r="X2610">
        <f>Table1[[#This Row],[customer_purchase count]]*Rules!$B$3</f>
        <v>2868.689230769231</v>
      </c>
      <c r="Y2610" t="str">
        <f>IF(Table1[[#This Row],[customer_subscription]]=1,"Subscribed","Not Subscribed")</f>
        <v>Not Subscribed</v>
      </c>
    </row>
    <row r="2611" spans="1:26" x14ac:dyDescent="0.25">
      <c r="A2611">
        <v>2610</v>
      </c>
      <c r="B2611">
        <v>66</v>
      </c>
      <c r="C2611" t="s">
        <v>22</v>
      </c>
      <c r="D2611">
        <v>2610</v>
      </c>
      <c r="E2611" t="s">
        <v>135</v>
      </c>
      <c r="F2611" t="s">
        <v>70</v>
      </c>
      <c r="G2611">
        <v>2610</v>
      </c>
      <c r="H2611">
        <v>3331</v>
      </c>
      <c r="I2611">
        <v>95</v>
      </c>
      <c r="J2611" t="s">
        <v>75</v>
      </c>
      <c r="K2611" t="s">
        <v>47</v>
      </c>
      <c r="L2611" t="s">
        <v>97</v>
      </c>
      <c r="M2611" t="s">
        <v>56</v>
      </c>
      <c r="N2611">
        <v>3</v>
      </c>
      <c r="O2611">
        <v>0</v>
      </c>
      <c r="P2611" t="s">
        <v>77</v>
      </c>
      <c r="Q2611" t="s">
        <v>155</v>
      </c>
      <c r="R2611" t="s">
        <v>155</v>
      </c>
      <c r="S2611">
        <v>18</v>
      </c>
      <c r="T2611" t="s">
        <v>89</v>
      </c>
      <c r="U2611" t="s">
        <v>79</v>
      </c>
      <c r="V2611" s="1">
        <v>45514</v>
      </c>
      <c r="W2611">
        <f>Table1[[#This Row],[customer_purchase count]]+1</f>
        <v>19</v>
      </c>
      <c r="X2611">
        <f>Table1[[#This Row],[customer_purchase count]]*Rules!$B$3</f>
        <v>1075.7584615384617</v>
      </c>
      <c r="Y2611" t="str">
        <f>IF(Table1[[#This Row],[customer_subscription]]=1,"Subscribed","Not Subscribed")</f>
        <v>Not Subscribed</v>
      </c>
    </row>
    <row r="2612" spans="1:26" x14ac:dyDescent="0.25">
      <c r="A2612">
        <v>2611</v>
      </c>
      <c r="B2612">
        <v>66</v>
      </c>
      <c r="C2612" t="s">
        <v>22</v>
      </c>
      <c r="D2612">
        <v>2611</v>
      </c>
      <c r="E2612" t="s">
        <v>37</v>
      </c>
      <c r="F2612" t="s">
        <v>24</v>
      </c>
      <c r="G2612">
        <v>2611</v>
      </c>
      <c r="H2612">
        <v>3332</v>
      </c>
      <c r="I2612">
        <v>93</v>
      </c>
      <c r="J2612" t="s">
        <v>67</v>
      </c>
      <c r="K2612" t="s">
        <v>47</v>
      </c>
      <c r="L2612" t="s">
        <v>86</v>
      </c>
      <c r="M2612" t="s">
        <v>40</v>
      </c>
      <c r="N2612">
        <v>3.1</v>
      </c>
      <c r="O2612">
        <v>0</v>
      </c>
      <c r="P2612" t="s">
        <v>29</v>
      </c>
      <c r="Q2612" t="s">
        <v>155</v>
      </c>
      <c r="R2612" t="s">
        <v>155</v>
      </c>
      <c r="S2612">
        <v>25</v>
      </c>
      <c r="T2612" t="s">
        <v>36</v>
      </c>
      <c r="U2612" t="s">
        <v>61</v>
      </c>
      <c r="V2612" s="1">
        <v>45439</v>
      </c>
      <c r="W2612">
        <f>Table1[[#This Row],[customer_purchase count]]+1</f>
        <v>26</v>
      </c>
      <c r="X2612">
        <f>Table1[[#This Row],[customer_purchase count]]*Rules!$B$3</f>
        <v>1494.1089743589744</v>
      </c>
      <c r="Y2612" t="str">
        <f>IF(Table1[[#This Row],[customer_subscription]]=1,"Subscribed","Not Subscribed")</f>
        <v>Not Subscribed</v>
      </c>
    </row>
    <row r="2613" spans="1:26" x14ac:dyDescent="0.25">
      <c r="A2613">
        <v>2612</v>
      </c>
      <c r="B2613">
        <v>33</v>
      </c>
      <c r="C2613" t="s">
        <v>22</v>
      </c>
      <c r="D2613">
        <v>2612</v>
      </c>
      <c r="E2613" t="s">
        <v>105</v>
      </c>
      <c r="F2613" t="s">
        <v>66</v>
      </c>
      <c r="G2613">
        <v>2612</v>
      </c>
      <c r="H2613">
        <v>3333</v>
      </c>
      <c r="I2613">
        <v>99</v>
      </c>
      <c r="J2613" t="s">
        <v>154</v>
      </c>
      <c r="K2613" t="s">
        <v>26</v>
      </c>
      <c r="L2613" t="s">
        <v>35</v>
      </c>
      <c r="M2613" t="s">
        <v>60</v>
      </c>
      <c r="N2613">
        <v>4.2</v>
      </c>
      <c r="O2613">
        <v>0</v>
      </c>
      <c r="P2613" t="s">
        <v>73</v>
      </c>
      <c r="Q2613" t="s">
        <v>155</v>
      </c>
      <c r="R2613" t="s">
        <v>155</v>
      </c>
      <c r="S2613">
        <v>4</v>
      </c>
      <c r="T2613" t="s">
        <v>36</v>
      </c>
      <c r="U2613" t="s">
        <v>32</v>
      </c>
      <c r="V2613" s="1">
        <v>45578</v>
      </c>
      <c r="W2613">
        <f>Table1[[#This Row],[customer_purchase count]]+1</f>
        <v>5</v>
      </c>
      <c r="X2613">
        <f>Table1[[#This Row],[customer_purchase count]]*Rules!$B$3</f>
        <v>239.05743589743591</v>
      </c>
      <c r="Y2613" t="str">
        <f>IF(Table1[[#This Row],[customer_subscription]]=1,"Subscribed","Not Subscribed")</f>
        <v>Not Subscribed</v>
      </c>
      <c r="Z2613" t="s">
        <v>194</v>
      </c>
    </row>
    <row r="2614" spans="1:26" x14ac:dyDescent="0.25">
      <c r="A2614">
        <v>2613</v>
      </c>
      <c r="B2614">
        <v>55</v>
      </c>
      <c r="C2614" t="s">
        <v>22</v>
      </c>
      <c r="D2614">
        <v>2613</v>
      </c>
      <c r="E2614" t="s">
        <v>92</v>
      </c>
      <c r="F2614" t="s">
        <v>70</v>
      </c>
      <c r="G2614">
        <v>2613</v>
      </c>
      <c r="H2614">
        <v>3334</v>
      </c>
      <c r="I2614">
        <v>22</v>
      </c>
      <c r="J2614" t="s">
        <v>63</v>
      </c>
      <c r="K2614" t="s">
        <v>47</v>
      </c>
      <c r="L2614" t="s">
        <v>51</v>
      </c>
      <c r="M2614" t="s">
        <v>28</v>
      </c>
      <c r="N2614">
        <v>3.8</v>
      </c>
      <c r="O2614">
        <v>0</v>
      </c>
      <c r="P2614" t="s">
        <v>48</v>
      </c>
      <c r="Q2614" t="s">
        <v>155</v>
      </c>
      <c r="R2614" t="s">
        <v>155</v>
      </c>
      <c r="S2614">
        <v>27</v>
      </c>
      <c r="T2614" t="s">
        <v>31</v>
      </c>
      <c r="U2614" t="s">
        <v>61</v>
      </c>
      <c r="V2614" s="1">
        <v>45331</v>
      </c>
      <c r="W2614">
        <f>Table1[[#This Row],[customer_purchase count]]+1</f>
        <v>28</v>
      </c>
      <c r="X2614">
        <f>Table1[[#This Row],[customer_purchase count]]*Rules!$B$3</f>
        <v>1613.6376923076923</v>
      </c>
      <c r="Y2614" t="str">
        <f>IF(Table1[[#This Row],[customer_subscription]]=1,"Subscribed","Not Subscribed")</f>
        <v>Not Subscribed</v>
      </c>
    </row>
    <row r="2615" spans="1:26" x14ac:dyDescent="0.25">
      <c r="A2615">
        <v>2614</v>
      </c>
      <c r="B2615">
        <v>58</v>
      </c>
      <c r="C2615" t="s">
        <v>22</v>
      </c>
      <c r="D2615">
        <v>2614</v>
      </c>
      <c r="E2615" t="s">
        <v>146</v>
      </c>
      <c r="F2615" t="s">
        <v>70</v>
      </c>
      <c r="G2615">
        <v>2614</v>
      </c>
      <c r="H2615">
        <v>3335</v>
      </c>
      <c r="I2615">
        <v>88</v>
      </c>
      <c r="J2615" t="s">
        <v>150</v>
      </c>
      <c r="K2615" t="s">
        <v>47</v>
      </c>
      <c r="L2615" t="s">
        <v>83</v>
      </c>
      <c r="M2615" t="s">
        <v>60</v>
      </c>
      <c r="N2615">
        <v>2.9</v>
      </c>
      <c r="O2615">
        <v>0</v>
      </c>
      <c r="P2615" t="s">
        <v>29</v>
      </c>
      <c r="Q2615" t="s">
        <v>155</v>
      </c>
      <c r="R2615" t="s">
        <v>155</v>
      </c>
      <c r="S2615">
        <v>14</v>
      </c>
      <c r="T2615" t="s">
        <v>78</v>
      </c>
      <c r="U2615" t="s">
        <v>91</v>
      </c>
      <c r="V2615" s="1">
        <v>45622</v>
      </c>
      <c r="W2615">
        <f>Table1[[#This Row],[customer_purchase count]]+1</f>
        <v>15</v>
      </c>
      <c r="X2615">
        <f>Table1[[#This Row],[customer_purchase count]]*Rules!$B$3</f>
        <v>836.70102564102569</v>
      </c>
      <c r="Y2615" t="str">
        <f>IF(Table1[[#This Row],[customer_subscription]]=1,"Subscribed","Not Subscribed")</f>
        <v>Not Subscribed</v>
      </c>
      <c r="Z2615" t="s">
        <v>194</v>
      </c>
    </row>
    <row r="2616" spans="1:26" x14ac:dyDescent="0.25">
      <c r="A2616">
        <v>2615</v>
      </c>
      <c r="B2616">
        <v>18</v>
      </c>
      <c r="C2616" t="s">
        <v>22</v>
      </c>
      <c r="D2616">
        <v>2615</v>
      </c>
      <c r="E2616" t="s">
        <v>105</v>
      </c>
      <c r="F2616" t="s">
        <v>66</v>
      </c>
      <c r="G2616">
        <v>2615</v>
      </c>
      <c r="H2616">
        <v>3337</v>
      </c>
      <c r="I2616">
        <v>65</v>
      </c>
      <c r="J2616" t="s">
        <v>117</v>
      </c>
      <c r="K2616" t="s">
        <v>47</v>
      </c>
      <c r="L2616" t="s">
        <v>51</v>
      </c>
      <c r="M2616" t="s">
        <v>40</v>
      </c>
      <c r="N2616">
        <v>4.2</v>
      </c>
      <c r="O2616">
        <v>0</v>
      </c>
      <c r="P2616" t="s">
        <v>29</v>
      </c>
      <c r="Q2616" t="s">
        <v>155</v>
      </c>
      <c r="R2616" t="s">
        <v>155</v>
      </c>
      <c r="S2616">
        <v>36</v>
      </c>
      <c r="T2616" t="s">
        <v>78</v>
      </c>
      <c r="U2616" t="s">
        <v>32</v>
      </c>
      <c r="V2616" s="1">
        <v>45394</v>
      </c>
      <c r="W2616">
        <f>Table1[[#This Row],[customer_purchase count]]+1</f>
        <v>37</v>
      </c>
      <c r="X2616">
        <f>Table1[[#This Row],[customer_purchase count]]*Rules!$B$3</f>
        <v>2151.5169230769234</v>
      </c>
      <c r="Y2616" t="str">
        <f>IF(Table1[[#This Row],[customer_subscription]]=1,"Subscribed","Not Subscribed")</f>
        <v>Not Subscribed</v>
      </c>
    </row>
    <row r="2617" spans="1:26" x14ac:dyDescent="0.25">
      <c r="A2617">
        <v>2616</v>
      </c>
      <c r="B2617">
        <v>49</v>
      </c>
      <c r="C2617" t="s">
        <v>22</v>
      </c>
      <c r="D2617">
        <v>2616</v>
      </c>
      <c r="E2617" t="s">
        <v>116</v>
      </c>
      <c r="F2617" t="s">
        <v>24</v>
      </c>
      <c r="G2617">
        <v>2616</v>
      </c>
      <c r="H2617">
        <v>3338</v>
      </c>
      <c r="I2617">
        <v>62</v>
      </c>
      <c r="J2617" t="s">
        <v>120</v>
      </c>
      <c r="K2617" t="s">
        <v>47</v>
      </c>
      <c r="L2617" t="s">
        <v>35</v>
      </c>
      <c r="M2617" t="s">
        <v>60</v>
      </c>
      <c r="N2617">
        <v>3.1</v>
      </c>
      <c r="O2617">
        <v>0</v>
      </c>
      <c r="P2617" t="s">
        <v>73</v>
      </c>
      <c r="Q2617" t="s">
        <v>155</v>
      </c>
      <c r="R2617" t="s">
        <v>155</v>
      </c>
      <c r="S2617">
        <v>6</v>
      </c>
      <c r="T2617" t="s">
        <v>89</v>
      </c>
      <c r="U2617" t="s">
        <v>61</v>
      </c>
      <c r="V2617" s="1">
        <v>45588</v>
      </c>
      <c r="W2617">
        <f>Table1[[#This Row],[customer_purchase count]]+1</f>
        <v>7</v>
      </c>
      <c r="X2617">
        <f>Table1[[#This Row],[customer_purchase count]]*Rules!$B$3</f>
        <v>358.58615384615388</v>
      </c>
      <c r="Y2617" t="str">
        <f>IF(Table1[[#This Row],[customer_subscription]]=1,"Subscribed","Not Subscribed")</f>
        <v>Not Subscribed</v>
      </c>
      <c r="Z2617" t="s">
        <v>194</v>
      </c>
    </row>
    <row r="2618" spans="1:26" x14ac:dyDescent="0.25">
      <c r="A2618">
        <v>2617</v>
      </c>
      <c r="B2618">
        <v>61</v>
      </c>
      <c r="C2618" t="s">
        <v>22</v>
      </c>
      <c r="D2618">
        <v>2617</v>
      </c>
      <c r="E2618" t="s">
        <v>44</v>
      </c>
      <c r="F2618" t="s">
        <v>45</v>
      </c>
      <c r="G2618">
        <v>2617</v>
      </c>
      <c r="H2618">
        <v>3339</v>
      </c>
      <c r="I2618">
        <v>55</v>
      </c>
      <c r="J2618" t="s">
        <v>145</v>
      </c>
      <c r="K2618" t="s">
        <v>95</v>
      </c>
      <c r="L2618" t="s">
        <v>76</v>
      </c>
      <c r="M2618" t="s">
        <v>40</v>
      </c>
      <c r="N2618">
        <v>3.6</v>
      </c>
      <c r="O2618">
        <v>0</v>
      </c>
      <c r="P2618" t="s">
        <v>29</v>
      </c>
      <c r="Q2618" t="s">
        <v>155</v>
      </c>
      <c r="R2618" t="s">
        <v>155</v>
      </c>
      <c r="S2618">
        <v>46</v>
      </c>
      <c r="T2618" t="s">
        <v>36</v>
      </c>
      <c r="U2618" t="s">
        <v>52</v>
      </c>
      <c r="V2618" s="1">
        <v>45409</v>
      </c>
      <c r="W2618">
        <f>Table1[[#This Row],[customer_purchase count]]+1</f>
        <v>47</v>
      </c>
      <c r="X2618">
        <f>Table1[[#This Row],[customer_purchase count]]*Rules!$B$3</f>
        <v>2749.1605128205128</v>
      </c>
      <c r="Y2618" t="str">
        <f>IF(Table1[[#This Row],[customer_subscription]]=1,"Subscribed","Not Subscribed")</f>
        <v>Not Subscribed</v>
      </c>
    </row>
    <row r="2619" spans="1:26" x14ac:dyDescent="0.25">
      <c r="A2619">
        <v>2618</v>
      </c>
      <c r="B2619">
        <v>31</v>
      </c>
      <c r="C2619" t="s">
        <v>22</v>
      </c>
      <c r="D2619">
        <v>2618</v>
      </c>
      <c r="E2619" t="s">
        <v>62</v>
      </c>
      <c r="F2619" t="s">
        <v>24</v>
      </c>
      <c r="G2619">
        <v>2618</v>
      </c>
      <c r="H2619">
        <v>3340</v>
      </c>
      <c r="I2619">
        <v>97</v>
      </c>
      <c r="J2619" t="s">
        <v>138</v>
      </c>
      <c r="K2619" t="s">
        <v>39</v>
      </c>
      <c r="L2619" t="s">
        <v>35</v>
      </c>
      <c r="M2619" t="s">
        <v>40</v>
      </c>
      <c r="N2619">
        <v>4.8</v>
      </c>
      <c r="O2619">
        <v>0</v>
      </c>
      <c r="P2619" t="s">
        <v>57</v>
      </c>
      <c r="Q2619" t="s">
        <v>155</v>
      </c>
      <c r="R2619" t="s">
        <v>155</v>
      </c>
      <c r="S2619">
        <v>29</v>
      </c>
      <c r="T2619" t="s">
        <v>78</v>
      </c>
      <c r="U2619" t="s">
        <v>52</v>
      </c>
      <c r="V2619" s="1">
        <v>45400</v>
      </c>
      <c r="W2619">
        <f>Table1[[#This Row],[customer_purchase count]]+1</f>
        <v>30</v>
      </c>
      <c r="X2619">
        <f>Table1[[#This Row],[customer_purchase count]]*Rules!$B$3</f>
        <v>1733.1664102564102</v>
      </c>
      <c r="Y2619" t="str">
        <f>IF(Table1[[#This Row],[customer_subscription]]=1,"Subscribed","Not Subscribed")</f>
        <v>Not Subscribed</v>
      </c>
    </row>
    <row r="2620" spans="1:26" x14ac:dyDescent="0.25">
      <c r="A2620">
        <v>2619</v>
      </c>
      <c r="B2620">
        <v>70</v>
      </c>
      <c r="C2620" t="s">
        <v>22</v>
      </c>
      <c r="D2620">
        <v>2619</v>
      </c>
      <c r="E2620" t="s">
        <v>69</v>
      </c>
      <c r="F2620" t="s">
        <v>70</v>
      </c>
      <c r="G2620">
        <v>2619</v>
      </c>
      <c r="H2620">
        <v>3341</v>
      </c>
      <c r="I2620">
        <v>77</v>
      </c>
      <c r="J2620" t="s">
        <v>63</v>
      </c>
      <c r="K2620" t="s">
        <v>26</v>
      </c>
      <c r="L2620" t="s">
        <v>113</v>
      </c>
      <c r="M2620" t="s">
        <v>60</v>
      </c>
      <c r="N2620">
        <v>4.0999999999999996</v>
      </c>
      <c r="O2620">
        <v>0</v>
      </c>
      <c r="P2620" t="s">
        <v>29</v>
      </c>
      <c r="Q2620" t="s">
        <v>155</v>
      </c>
      <c r="R2620" t="s">
        <v>155</v>
      </c>
      <c r="S2620">
        <v>12</v>
      </c>
      <c r="T2620" t="s">
        <v>31</v>
      </c>
      <c r="U2620" t="s">
        <v>91</v>
      </c>
      <c r="V2620" s="1">
        <v>45585</v>
      </c>
      <c r="W2620">
        <f>Table1[[#This Row],[customer_purchase count]]+1</f>
        <v>13</v>
      </c>
      <c r="X2620">
        <f>Table1[[#This Row],[customer_purchase count]]*Rules!$B$3</f>
        <v>717.17230769230775</v>
      </c>
      <c r="Y2620" t="str">
        <f>IF(Table1[[#This Row],[customer_subscription]]=1,"Subscribed","Not Subscribed")</f>
        <v>Not Subscribed</v>
      </c>
      <c r="Z2620" t="s">
        <v>194</v>
      </c>
    </row>
    <row r="2621" spans="1:26" x14ac:dyDescent="0.25">
      <c r="A2621">
        <v>2620</v>
      </c>
      <c r="B2621">
        <v>68</v>
      </c>
      <c r="C2621" t="s">
        <v>22</v>
      </c>
      <c r="D2621">
        <v>2620</v>
      </c>
      <c r="E2621" t="s">
        <v>98</v>
      </c>
      <c r="F2621" t="s">
        <v>24</v>
      </c>
      <c r="G2621">
        <v>2620</v>
      </c>
      <c r="H2621">
        <v>3343</v>
      </c>
      <c r="I2621">
        <v>40</v>
      </c>
      <c r="J2621" t="s">
        <v>142</v>
      </c>
      <c r="K2621" t="s">
        <v>26</v>
      </c>
      <c r="L2621" t="s">
        <v>129</v>
      </c>
      <c r="M2621" t="s">
        <v>28</v>
      </c>
      <c r="N2621">
        <v>3.9</v>
      </c>
      <c r="O2621">
        <v>0</v>
      </c>
      <c r="P2621" t="s">
        <v>41</v>
      </c>
      <c r="Q2621" t="s">
        <v>155</v>
      </c>
      <c r="R2621" t="s">
        <v>155</v>
      </c>
      <c r="S2621">
        <v>47</v>
      </c>
      <c r="T2621" t="s">
        <v>42</v>
      </c>
      <c r="U2621" t="s">
        <v>43</v>
      </c>
      <c r="V2621" s="1">
        <v>45347</v>
      </c>
      <c r="W2621">
        <f>Table1[[#This Row],[customer_purchase count]]+1</f>
        <v>48</v>
      </c>
      <c r="X2621">
        <f>Table1[[#This Row],[customer_purchase count]]*Rules!$B$3</f>
        <v>2808.9248717948717</v>
      </c>
      <c r="Y2621" t="str">
        <f>IF(Table1[[#This Row],[customer_subscription]]=1,"Subscribed","Not Subscribed")</f>
        <v>Not Subscribed</v>
      </c>
    </row>
    <row r="2622" spans="1:26" x14ac:dyDescent="0.25">
      <c r="A2622">
        <v>2621</v>
      </c>
      <c r="B2622">
        <v>27</v>
      </c>
      <c r="C2622" t="s">
        <v>22</v>
      </c>
      <c r="D2622">
        <v>2621</v>
      </c>
      <c r="E2622" t="s">
        <v>23</v>
      </c>
      <c r="F2622" t="s">
        <v>24</v>
      </c>
      <c r="G2622">
        <v>2621</v>
      </c>
      <c r="H2622">
        <v>3344</v>
      </c>
      <c r="I2622">
        <v>23</v>
      </c>
      <c r="J2622" t="s">
        <v>126</v>
      </c>
      <c r="K2622" t="s">
        <v>39</v>
      </c>
      <c r="L2622" t="s">
        <v>96</v>
      </c>
      <c r="M2622" t="s">
        <v>28</v>
      </c>
      <c r="N2622">
        <v>3</v>
      </c>
      <c r="O2622">
        <v>0</v>
      </c>
      <c r="P2622" t="s">
        <v>57</v>
      </c>
      <c r="Q2622" t="s">
        <v>155</v>
      </c>
      <c r="R2622" t="s">
        <v>155</v>
      </c>
      <c r="S2622">
        <v>28</v>
      </c>
      <c r="T2622" t="s">
        <v>89</v>
      </c>
      <c r="U2622" t="s">
        <v>52</v>
      </c>
      <c r="V2622" s="1">
        <v>45339</v>
      </c>
      <c r="W2622">
        <f>Table1[[#This Row],[customer_purchase count]]+1</f>
        <v>29</v>
      </c>
      <c r="X2622">
        <f>Table1[[#This Row],[customer_purchase count]]*Rules!$B$3</f>
        <v>1673.4020512820514</v>
      </c>
      <c r="Y2622" t="str">
        <f>IF(Table1[[#This Row],[customer_subscription]]=1,"Subscribed","Not Subscribed")</f>
        <v>Not Subscribed</v>
      </c>
    </row>
    <row r="2623" spans="1:26" x14ac:dyDescent="0.25">
      <c r="A2623">
        <v>2622</v>
      </c>
      <c r="B2623">
        <v>48</v>
      </c>
      <c r="C2623" t="s">
        <v>22</v>
      </c>
      <c r="D2623">
        <v>2622</v>
      </c>
      <c r="E2623" t="s">
        <v>74</v>
      </c>
      <c r="F2623" t="s">
        <v>45</v>
      </c>
      <c r="G2623">
        <v>2622</v>
      </c>
      <c r="H2623">
        <v>3345</v>
      </c>
      <c r="I2623">
        <v>46</v>
      </c>
      <c r="J2623" t="s">
        <v>34</v>
      </c>
      <c r="K2623" t="s">
        <v>47</v>
      </c>
      <c r="L2623" t="s">
        <v>121</v>
      </c>
      <c r="M2623" t="s">
        <v>28</v>
      </c>
      <c r="N2623">
        <v>3</v>
      </c>
      <c r="O2623">
        <v>0</v>
      </c>
      <c r="P2623" t="s">
        <v>29</v>
      </c>
      <c r="Q2623" t="s">
        <v>155</v>
      </c>
      <c r="R2623" t="s">
        <v>155</v>
      </c>
      <c r="S2623">
        <v>21</v>
      </c>
      <c r="T2623" t="s">
        <v>78</v>
      </c>
      <c r="U2623" t="s">
        <v>52</v>
      </c>
      <c r="V2623" s="1">
        <v>45331</v>
      </c>
      <c r="W2623">
        <f>Table1[[#This Row],[customer_purchase count]]+1</f>
        <v>22</v>
      </c>
      <c r="X2623">
        <f>Table1[[#This Row],[customer_purchase count]]*Rules!$B$3</f>
        <v>1255.0515384615385</v>
      </c>
      <c r="Y2623" t="str">
        <f>IF(Table1[[#This Row],[customer_subscription]]=1,"Subscribed","Not Subscribed")</f>
        <v>Not Subscribed</v>
      </c>
    </row>
    <row r="2624" spans="1:26" x14ac:dyDescent="0.25">
      <c r="A2624">
        <v>2623</v>
      </c>
      <c r="B2624">
        <v>63</v>
      </c>
      <c r="C2624" t="s">
        <v>22</v>
      </c>
      <c r="D2624">
        <v>2623</v>
      </c>
      <c r="E2624" t="s">
        <v>135</v>
      </c>
      <c r="F2624" t="s">
        <v>70</v>
      </c>
      <c r="G2624">
        <v>2623</v>
      </c>
      <c r="H2624">
        <v>3346</v>
      </c>
      <c r="I2624">
        <v>75</v>
      </c>
      <c r="J2624" t="s">
        <v>85</v>
      </c>
      <c r="K2624" t="s">
        <v>47</v>
      </c>
      <c r="L2624" t="s">
        <v>137</v>
      </c>
      <c r="M2624" t="s">
        <v>40</v>
      </c>
      <c r="N2624">
        <v>4.9000000000000004</v>
      </c>
      <c r="O2624">
        <v>0</v>
      </c>
      <c r="P2624" t="s">
        <v>73</v>
      </c>
      <c r="Q2624" t="s">
        <v>155</v>
      </c>
      <c r="R2624" t="s">
        <v>155</v>
      </c>
      <c r="S2624">
        <v>15</v>
      </c>
      <c r="T2624" t="s">
        <v>42</v>
      </c>
      <c r="U2624" t="s">
        <v>52</v>
      </c>
      <c r="V2624" s="1">
        <v>45355</v>
      </c>
      <c r="W2624">
        <f>Table1[[#This Row],[customer_purchase count]]+1</f>
        <v>16</v>
      </c>
      <c r="X2624">
        <f>Table1[[#This Row],[customer_purchase count]]*Rules!$B$3</f>
        <v>896.46538461538466</v>
      </c>
      <c r="Y2624" t="str">
        <f>IF(Table1[[#This Row],[customer_subscription]]=1,"Subscribed","Not Subscribed")</f>
        <v>Not Subscribed</v>
      </c>
      <c r="Z2624" t="s">
        <v>194</v>
      </c>
    </row>
    <row r="2625" spans="1:26" x14ac:dyDescent="0.25">
      <c r="A2625">
        <v>2624</v>
      </c>
      <c r="B2625">
        <v>49</v>
      </c>
      <c r="C2625" t="s">
        <v>22</v>
      </c>
      <c r="D2625">
        <v>2624</v>
      </c>
      <c r="E2625" t="s">
        <v>74</v>
      </c>
      <c r="F2625" t="s">
        <v>45</v>
      </c>
      <c r="G2625">
        <v>2624</v>
      </c>
      <c r="H2625">
        <v>3347</v>
      </c>
      <c r="I2625">
        <v>76</v>
      </c>
      <c r="J2625" t="s">
        <v>38</v>
      </c>
      <c r="K2625" t="s">
        <v>47</v>
      </c>
      <c r="L2625" t="s">
        <v>83</v>
      </c>
      <c r="M2625" t="s">
        <v>60</v>
      </c>
      <c r="N2625">
        <v>4.8</v>
      </c>
      <c r="O2625">
        <v>0</v>
      </c>
      <c r="P2625" t="s">
        <v>48</v>
      </c>
      <c r="Q2625" t="s">
        <v>155</v>
      </c>
      <c r="R2625" t="s">
        <v>155</v>
      </c>
      <c r="S2625">
        <v>38</v>
      </c>
      <c r="T2625" t="s">
        <v>36</v>
      </c>
      <c r="U2625" t="s">
        <v>52</v>
      </c>
      <c r="V2625" s="1">
        <v>45617</v>
      </c>
      <c r="W2625">
        <f>Table1[[#This Row],[customer_purchase count]]+1</f>
        <v>39</v>
      </c>
      <c r="X2625">
        <f>Table1[[#This Row],[customer_purchase count]]*Rules!$B$3</f>
        <v>2271.0456410256411</v>
      </c>
      <c r="Y2625" t="str">
        <f>IF(Table1[[#This Row],[customer_subscription]]=1,"Subscribed","Not Subscribed")</f>
        <v>Not Subscribed</v>
      </c>
    </row>
    <row r="2626" spans="1:26" x14ac:dyDescent="0.25">
      <c r="A2626">
        <v>2625</v>
      </c>
      <c r="B2626">
        <v>19</v>
      </c>
      <c r="C2626" t="s">
        <v>22</v>
      </c>
      <c r="D2626">
        <v>2625</v>
      </c>
      <c r="E2626" t="s">
        <v>84</v>
      </c>
      <c r="F2626" t="s">
        <v>24</v>
      </c>
      <c r="G2626">
        <v>2625</v>
      </c>
      <c r="H2626">
        <v>3349</v>
      </c>
      <c r="I2626">
        <v>59</v>
      </c>
      <c r="J2626" t="s">
        <v>150</v>
      </c>
      <c r="K2626" t="s">
        <v>47</v>
      </c>
      <c r="L2626" t="s">
        <v>129</v>
      </c>
      <c r="M2626" t="s">
        <v>56</v>
      </c>
      <c r="N2626">
        <v>3.3</v>
      </c>
      <c r="O2626">
        <v>0</v>
      </c>
      <c r="P2626" t="s">
        <v>57</v>
      </c>
      <c r="Q2626" t="s">
        <v>155</v>
      </c>
      <c r="R2626" t="s">
        <v>155</v>
      </c>
      <c r="S2626">
        <v>19</v>
      </c>
      <c r="T2626" t="s">
        <v>42</v>
      </c>
      <c r="U2626" t="s">
        <v>52</v>
      </c>
      <c r="V2626" s="1">
        <v>45530</v>
      </c>
      <c r="W2626">
        <f>Table1[[#This Row],[customer_purchase count]]+1</f>
        <v>20</v>
      </c>
      <c r="X2626">
        <f>Table1[[#This Row],[customer_purchase count]]*Rules!$B$3</f>
        <v>1135.5228205128205</v>
      </c>
      <c r="Y2626" t="str">
        <f>IF(Table1[[#This Row],[customer_subscription]]=1,"Subscribed","Not Subscribed")</f>
        <v>Not Subscribed</v>
      </c>
    </row>
    <row r="2627" spans="1:26" x14ac:dyDescent="0.25">
      <c r="A2627">
        <v>2626</v>
      </c>
      <c r="B2627">
        <v>30</v>
      </c>
      <c r="C2627" t="s">
        <v>22</v>
      </c>
      <c r="D2627">
        <v>2626</v>
      </c>
      <c r="E2627" t="s">
        <v>90</v>
      </c>
      <c r="F2627" t="s">
        <v>24</v>
      </c>
      <c r="G2627">
        <v>2626</v>
      </c>
      <c r="H2627">
        <v>3350</v>
      </c>
      <c r="I2627">
        <v>51</v>
      </c>
      <c r="J2627" t="s">
        <v>115</v>
      </c>
      <c r="K2627" t="s">
        <v>26</v>
      </c>
      <c r="L2627" t="s">
        <v>112</v>
      </c>
      <c r="M2627" t="s">
        <v>56</v>
      </c>
      <c r="N2627">
        <v>2.7</v>
      </c>
      <c r="O2627">
        <v>0</v>
      </c>
      <c r="P2627" t="s">
        <v>57</v>
      </c>
      <c r="Q2627" t="s">
        <v>155</v>
      </c>
      <c r="R2627" t="s">
        <v>155</v>
      </c>
      <c r="S2627">
        <v>31</v>
      </c>
      <c r="T2627" t="s">
        <v>42</v>
      </c>
      <c r="U2627" t="s">
        <v>43</v>
      </c>
      <c r="V2627" s="1">
        <v>45498</v>
      </c>
      <c r="W2627">
        <f>Table1[[#This Row],[customer_purchase count]]+1</f>
        <v>32</v>
      </c>
      <c r="X2627">
        <f>Table1[[#This Row],[customer_purchase count]]*Rules!$B$3</f>
        <v>1852.6951282051282</v>
      </c>
      <c r="Y2627" t="str">
        <f>IF(Table1[[#This Row],[customer_subscription]]=1,"Subscribed","Not Subscribed")</f>
        <v>Not Subscribed</v>
      </c>
    </row>
    <row r="2628" spans="1:26" x14ac:dyDescent="0.25">
      <c r="A2628">
        <v>2627</v>
      </c>
      <c r="B2628">
        <v>50</v>
      </c>
      <c r="C2628" t="s">
        <v>22</v>
      </c>
      <c r="D2628">
        <v>2627</v>
      </c>
      <c r="E2628" t="s">
        <v>105</v>
      </c>
      <c r="F2628" t="s">
        <v>66</v>
      </c>
      <c r="G2628">
        <v>2627</v>
      </c>
      <c r="H2628">
        <v>3351</v>
      </c>
      <c r="I2628">
        <v>46</v>
      </c>
      <c r="J2628" t="s">
        <v>46</v>
      </c>
      <c r="K2628" t="s">
        <v>95</v>
      </c>
      <c r="L2628" t="s">
        <v>68</v>
      </c>
      <c r="M2628" t="s">
        <v>60</v>
      </c>
      <c r="N2628">
        <v>4.2</v>
      </c>
      <c r="O2628">
        <v>0</v>
      </c>
      <c r="P2628" t="s">
        <v>29</v>
      </c>
      <c r="Q2628" t="s">
        <v>155</v>
      </c>
      <c r="R2628" t="s">
        <v>155</v>
      </c>
      <c r="S2628">
        <v>30</v>
      </c>
      <c r="T2628" t="s">
        <v>42</v>
      </c>
      <c r="U2628" t="s">
        <v>100</v>
      </c>
      <c r="V2628" s="1">
        <v>45616</v>
      </c>
      <c r="W2628">
        <f>Table1[[#This Row],[customer_purchase count]]+1</f>
        <v>31</v>
      </c>
      <c r="X2628">
        <f>Table1[[#This Row],[customer_purchase count]]*Rules!$B$3</f>
        <v>1792.9307692307693</v>
      </c>
      <c r="Y2628" t="str">
        <f>IF(Table1[[#This Row],[customer_subscription]]=1,"Subscribed","Not Subscribed")</f>
        <v>Not Subscribed</v>
      </c>
    </row>
    <row r="2629" spans="1:26" x14ac:dyDescent="0.25">
      <c r="A2629">
        <v>2628</v>
      </c>
      <c r="B2629">
        <v>66</v>
      </c>
      <c r="C2629" t="s">
        <v>22</v>
      </c>
      <c r="D2629">
        <v>2628</v>
      </c>
      <c r="E2629" t="s">
        <v>58</v>
      </c>
      <c r="F2629" t="s">
        <v>24</v>
      </c>
      <c r="G2629">
        <v>2628</v>
      </c>
      <c r="H2629">
        <v>3352</v>
      </c>
      <c r="I2629">
        <v>26</v>
      </c>
      <c r="J2629" t="s">
        <v>71</v>
      </c>
      <c r="K2629" t="s">
        <v>26</v>
      </c>
      <c r="L2629" t="s">
        <v>68</v>
      </c>
      <c r="M2629" t="s">
        <v>60</v>
      </c>
      <c r="N2629">
        <v>3.6</v>
      </c>
      <c r="O2629">
        <v>0</v>
      </c>
      <c r="P2629" t="s">
        <v>48</v>
      </c>
      <c r="Q2629" t="s">
        <v>155</v>
      </c>
      <c r="R2629" t="s">
        <v>155</v>
      </c>
      <c r="S2629">
        <v>40</v>
      </c>
      <c r="T2629" t="s">
        <v>78</v>
      </c>
      <c r="U2629" t="s">
        <v>61</v>
      </c>
      <c r="V2629" s="1">
        <v>45540</v>
      </c>
      <c r="W2629">
        <f>Table1[[#This Row],[customer_purchase count]]+1</f>
        <v>41</v>
      </c>
      <c r="X2629">
        <f>Table1[[#This Row],[customer_purchase count]]*Rules!$B$3</f>
        <v>2390.5743589743593</v>
      </c>
      <c r="Y2629" t="str">
        <f>IF(Table1[[#This Row],[customer_subscription]]=1,"Subscribed","Not Subscribed")</f>
        <v>Not Subscribed</v>
      </c>
    </row>
    <row r="2630" spans="1:26" x14ac:dyDescent="0.25">
      <c r="A2630">
        <v>2629</v>
      </c>
      <c r="B2630">
        <v>25</v>
      </c>
      <c r="C2630" t="s">
        <v>22</v>
      </c>
      <c r="D2630">
        <v>2629</v>
      </c>
      <c r="E2630" t="s">
        <v>107</v>
      </c>
      <c r="F2630" t="s">
        <v>24</v>
      </c>
      <c r="G2630">
        <v>2629</v>
      </c>
      <c r="H2630">
        <v>3353</v>
      </c>
      <c r="I2630">
        <v>51</v>
      </c>
      <c r="J2630" t="s">
        <v>54</v>
      </c>
      <c r="K2630" t="s">
        <v>47</v>
      </c>
      <c r="L2630" t="s">
        <v>68</v>
      </c>
      <c r="M2630" t="s">
        <v>56</v>
      </c>
      <c r="N2630">
        <v>3.8</v>
      </c>
      <c r="O2630">
        <v>0</v>
      </c>
      <c r="P2630" t="s">
        <v>48</v>
      </c>
      <c r="Q2630" t="s">
        <v>155</v>
      </c>
      <c r="R2630" t="s">
        <v>155</v>
      </c>
      <c r="S2630">
        <v>42</v>
      </c>
      <c r="T2630" t="s">
        <v>42</v>
      </c>
      <c r="U2630" t="s">
        <v>79</v>
      </c>
      <c r="V2630" s="1">
        <v>45497</v>
      </c>
      <c r="W2630">
        <f>Table1[[#This Row],[customer_purchase count]]+1</f>
        <v>43</v>
      </c>
      <c r="X2630">
        <f>Table1[[#This Row],[customer_purchase count]]*Rules!$B$3</f>
        <v>2510.103076923077</v>
      </c>
      <c r="Y2630" t="str">
        <f>IF(Table1[[#This Row],[customer_subscription]]=1,"Subscribed","Not Subscribed")</f>
        <v>Not Subscribed</v>
      </c>
    </row>
    <row r="2631" spans="1:26" x14ac:dyDescent="0.25">
      <c r="A2631">
        <v>2630</v>
      </c>
      <c r="B2631">
        <v>61</v>
      </c>
      <c r="C2631" t="s">
        <v>22</v>
      </c>
      <c r="D2631">
        <v>2630</v>
      </c>
      <c r="E2631" t="s">
        <v>122</v>
      </c>
      <c r="F2631" t="s">
        <v>70</v>
      </c>
      <c r="G2631">
        <v>2630</v>
      </c>
      <c r="H2631">
        <v>3355</v>
      </c>
      <c r="I2631">
        <v>44</v>
      </c>
      <c r="J2631" t="s">
        <v>85</v>
      </c>
      <c r="K2631" t="s">
        <v>47</v>
      </c>
      <c r="L2631" t="s">
        <v>103</v>
      </c>
      <c r="M2631" t="s">
        <v>28</v>
      </c>
      <c r="N2631">
        <v>3.8</v>
      </c>
      <c r="O2631">
        <v>0</v>
      </c>
      <c r="P2631" t="s">
        <v>41</v>
      </c>
      <c r="Q2631" t="s">
        <v>155</v>
      </c>
      <c r="R2631" t="s">
        <v>155</v>
      </c>
      <c r="S2631">
        <v>25</v>
      </c>
      <c r="T2631" t="s">
        <v>31</v>
      </c>
      <c r="U2631" t="s">
        <v>52</v>
      </c>
      <c r="V2631" s="1">
        <v>45651</v>
      </c>
      <c r="W2631">
        <f>Table1[[#This Row],[customer_purchase count]]+1</f>
        <v>26</v>
      </c>
      <c r="X2631">
        <f>Table1[[#This Row],[customer_purchase count]]*Rules!$B$3</f>
        <v>1494.1089743589744</v>
      </c>
      <c r="Y2631" t="str">
        <f>IF(Table1[[#This Row],[customer_subscription]]=1,"Subscribed","Not Subscribed")</f>
        <v>Not Subscribed</v>
      </c>
    </row>
    <row r="2632" spans="1:26" x14ac:dyDescent="0.25">
      <c r="A2632">
        <v>2631</v>
      </c>
      <c r="B2632">
        <v>29</v>
      </c>
      <c r="C2632" t="s">
        <v>22</v>
      </c>
      <c r="D2632">
        <v>2631</v>
      </c>
      <c r="E2632" t="s">
        <v>90</v>
      </c>
      <c r="F2632" t="s">
        <v>24</v>
      </c>
      <c r="G2632">
        <v>2631</v>
      </c>
      <c r="H2632">
        <v>3356</v>
      </c>
      <c r="I2632">
        <v>82</v>
      </c>
      <c r="J2632" t="s">
        <v>34</v>
      </c>
      <c r="K2632" t="s">
        <v>39</v>
      </c>
      <c r="L2632" t="s">
        <v>72</v>
      </c>
      <c r="M2632" t="s">
        <v>40</v>
      </c>
      <c r="N2632">
        <v>4.2</v>
      </c>
      <c r="O2632">
        <v>0</v>
      </c>
      <c r="P2632" t="s">
        <v>41</v>
      </c>
      <c r="Q2632" t="s">
        <v>155</v>
      </c>
      <c r="R2632" t="s">
        <v>155</v>
      </c>
      <c r="S2632">
        <v>20</v>
      </c>
      <c r="T2632" t="s">
        <v>36</v>
      </c>
      <c r="U2632" t="s">
        <v>61</v>
      </c>
      <c r="V2632" s="1">
        <v>45400</v>
      </c>
      <c r="W2632">
        <f>Table1[[#This Row],[customer_purchase count]]+1</f>
        <v>21</v>
      </c>
      <c r="X2632">
        <f>Table1[[#This Row],[customer_purchase count]]*Rules!$B$3</f>
        <v>1195.2871794871796</v>
      </c>
      <c r="Y2632" t="str">
        <f>IF(Table1[[#This Row],[customer_subscription]]=1,"Subscribed","Not Subscribed")</f>
        <v>Not Subscribed</v>
      </c>
    </row>
    <row r="2633" spans="1:26" x14ac:dyDescent="0.25">
      <c r="A2633">
        <v>2632</v>
      </c>
      <c r="B2633">
        <v>53</v>
      </c>
      <c r="C2633" t="s">
        <v>22</v>
      </c>
      <c r="D2633">
        <v>2632</v>
      </c>
      <c r="E2633" t="s">
        <v>90</v>
      </c>
      <c r="F2633" t="s">
        <v>24</v>
      </c>
      <c r="G2633">
        <v>2632</v>
      </c>
      <c r="H2633">
        <v>3357</v>
      </c>
      <c r="I2633">
        <v>44</v>
      </c>
      <c r="J2633" t="s">
        <v>142</v>
      </c>
      <c r="K2633" t="s">
        <v>39</v>
      </c>
      <c r="L2633" t="s">
        <v>86</v>
      </c>
      <c r="M2633" t="s">
        <v>56</v>
      </c>
      <c r="N2633">
        <v>2.7</v>
      </c>
      <c r="O2633">
        <v>0</v>
      </c>
      <c r="P2633" t="s">
        <v>29</v>
      </c>
      <c r="Q2633" t="s">
        <v>155</v>
      </c>
      <c r="R2633" t="s">
        <v>155</v>
      </c>
      <c r="S2633">
        <v>3</v>
      </c>
      <c r="T2633" t="s">
        <v>36</v>
      </c>
      <c r="U2633" t="s">
        <v>43</v>
      </c>
      <c r="V2633" s="1">
        <v>45478</v>
      </c>
      <c r="W2633">
        <f>Table1[[#This Row],[customer_purchase count]]+1</f>
        <v>4</v>
      </c>
      <c r="X2633">
        <f>Table1[[#This Row],[customer_purchase count]]*Rules!$B$3</f>
        <v>179.29307692307694</v>
      </c>
      <c r="Y2633" t="str">
        <f>IF(Table1[[#This Row],[customer_subscription]]=1,"Subscribed","Not Subscribed")</f>
        <v>Not Subscribed</v>
      </c>
      <c r="Z2633" t="s">
        <v>194</v>
      </c>
    </row>
    <row r="2634" spans="1:26" x14ac:dyDescent="0.25">
      <c r="A2634">
        <v>2633</v>
      </c>
      <c r="B2634">
        <v>24</v>
      </c>
      <c r="C2634" t="s">
        <v>22</v>
      </c>
      <c r="D2634">
        <v>2633</v>
      </c>
      <c r="E2634" t="s">
        <v>122</v>
      </c>
      <c r="F2634" t="s">
        <v>70</v>
      </c>
      <c r="G2634">
        <v>2633</v>
      </c>
      <c r="H2634">
        <v>3358</v>
      </c>
      <c r="I2634">
        <v>27</v>
      </c>
      <c r="J2634" t="s">
        <v>123</v>
      </c>
      <c r="K2634" t="s">
        <v>47</v>
      </c>
      <c r="L2634" t="s">
        <v>97</v>
      </c>
      <c r="M2634" t="s">
        <v>60</v>
      </c>
      <c r="N2634">
        <v>5</v>
      </c>
      <c r="O2634">
        <v>0</v>
      </c>
      <c r="P2634" t="s">
        <v>48</v>
      </c>
      <c r="Q2634" t="s">
        <v>155</v>
      </c>
      <c r="R2634" t="s">
        <v>155</v>
      </c>
      <c r="S2634">
        <v>14</v>
      </c>
      <c r="T2634" t="s">
        <v>36</v>
      </c>
      <c r="U2634" t="s">
        <v>52</v>
      </c>
      <c r="V2634" s="1">
        <v>45559</v>
      </c>
      <c r="W2634">
        <f>Table1[[#This Row],[customer_purchase count]]+1</f>
        <v>15</v>
      </c>
      <c r="X2634">
        <f>Table1[[#This Row],[customer_purchase count]]*Rules!$B$3</f>
        <v>836.70102564102569</v>
      </c>
      <c r="Y2634" t="str">
        <f>IF(Table1[[#This Row],[customer_subscription]]=1,"Subscribed","Not Subscribed")</f>
        <v>Not Subscribed</v>
      </c>
      <c r="Z2634" t="s">
        <v>187</v>
      </c>
    </row>
    <row r="2635" spans="1:26" x14ac:dyDescent="0.25">
      <c r="A2635">
        <v>2634</v>
      </c>
      <c r="B2635">
        <v>51</v>
      </c>
      <c r="C2635" t="s">
        <v>22</v>
      </c>
      <c r="D2635">
        <v>2634</v>
      </c>
      <c r="E2635" t="s">
        <v>92</v>
      </c>
      <c r="F2635" t="s">
        <v>70</v>
      </c>
      <c r="G2635">
        <v>2634</v>
      </c>
      <c r="H2635">
        <v>3359</v>
      </c>
      <c r="I2635">
        <v>90</v>
      </c>
      <c r="J2635" t="s">
        <v>123</v>
      </c>
      <c r="K2635" t="s">
        <v>47</v>
      </c>
      <c r="L2635" t="s">
        <v>76</v>
      </c>
      <c r="M2635" t="s">
        <v>60</v>
      </c>
      <c r="N2635">
        <v>4.7</v>
      </c>
      <c r="O2635">
        <v>0</v>
      </c>
      <c r="P2635" t="s">
        <v>48</v>
      </c>
      <c r="Q2635" t="s">
        <v>155</v>
      </c>
      <c r="R2635" t="s">
        <v>155</v>
      </c>
      <c r="S2635">
        <v>32</v>
      </c>
      <c r="T2635" t="s">
        <v>42</v>
      </c>
      <c r="U2635" t="s">
        <v>32</v>
      </c>
      <c r="V2635" s="1">
        <v>45609</v>
      </c>
      <c r="W2635">
        <f>Table1[[#This Row],[customer_purchase count]]+1</f>
        <v>33</v>
      </c>
      <c r="X2635">
        <f>Table1[[#This Row],[customer_purchase count]]*Rules!$B$3</f>
        <v>1912.4594871794873</v>
      </c>
      <c r="Y2635" t="str">
        <f>IF(Table1[[#This Row],[customer_subscription]]=1,"Subscribed","Not Subscribed")</f>
        <v>Not Subscribed</v>
      </c>
    </row>
    <row r="2636" spans="1:26" x14ac:dyDescent="0.25">
      <c r="A2636">
        <v>2635</v>
      </c>
      <c r="B2636">
        <v>26</v>
      </c>
      <c r="C2636" t="s">
        <v>22</v>
      </c>
      <c r="D2636">
        <v>2635</v>
      </c>
      <c r="E2636" t="s">
        <v>44</v>
      </c>
      <c r="F2636" t="s">
        <v>45</v>
      </c>
      <c r="G2636">
        <v>2635</v>
      </c>
      <c r="H2636">
        <v>3361</v>
      </c>
      <c r="I2636">
        <v>58</v>
      </c>
      <c r="J2636" t="s">
        <v>101</v>
      </c>
      <c r="K2636" t="s">
        <v>39</v>
      </c>
      <c r="L2636" t="s">
        <v>97</v>
      </c>
      <c r="M2636" t="s">
        <v>56</v>
      </c>
      <c r="N2636">
        <v>3.2</v>
      </c>
      <c r="O2636">
        <v>0</v>
      </c>
      <c r="P2636" t="s">
        <v>77</v>
      </c>
      <c r="Q2636" t="s">
        <v>155</v>
      </c>
      <c r="R2636" t="s">
        <v>155</v>
      </c>
      <c r="S2636">
        <v>20</v>
      </c>
      <c r="T2636" t="s">
        <v>49</v>
      </c>
      <c r="U2636" t="s">
        <v>100</v>
      </c>
      <c r="V2636" s="1">
        <v>45453</v>
      </c>
      <c r="W2636">
        <f>Table1[[#This Row],[customer_purchase count]]+1</f>
        <v>21</v>
      </c>
      <c r="X2636">
        <f>Table1[[#This Row],[customer_purchase count]]*Rules!$B$3</f>
        <v>1195.2871794871796</v>
      </c>
      <c r="Y2636" t="str">
        <f>IF(Table1[[#This Row],[customer_subscription]]=1,"Subscribed","Not Subscribed")</f>
        <v>Not Subscribed</v>
      </c>
    </row>
    <row r="2637" spans="1:26" x14ac:dyDescent="0.25">
      <c r="A2637">
        <v>2636</v>
      </c>
      <c r="B2637">
        <v>59</v>
      </c>
      <c r="C2637" t="s">
        <v>22</v>
      </c>
      <c r="D2637">
        <v>2636</v>
      </c>
      <c r="E2637" t="s">
        <v>107</v>
      </c>
      <c r="F2637" t="s">
        <v>24</v>
      </c>
      <c r="G2637">
        <v>2636</v>
      </c>
      <c r="H2637">
        <v>3362</v>
      </c>
      <c r="I2637">
        <v>80</v>
      </c>
      <c r="J2637" t="s">
        <v>115</v>
      </c>
      <c r="K2637" t="s">
        <v>95</v>
      </c>
      <c r="L2637" t="s">
        <v>103</v>
      </c>
      <c r="M2637" t="s">
        <v>40</v>
      </c>
      <c r="N2637">
        <v>2.9</v>
      </c>
      <c r="O2637">
        <v>0</v>
      </c>
      <c r="P2637" t="s">
        <v>73</v>
      </c>
      <c r="Q2637" t="s">
        <v>155</v>
      </c>
      <c r="R2637" t="s">
        <v>155</v>
      </c>
      <c r="S2637">
        <v>34</v>
      </c>
      <c r="T2637" t="s">
        <v>49</v>
      </c>
      <c r="U2637" t="s">
        <v>32</v>
      </c>
      <c r="V2637" s="1">
        <v>45364</v>
      </c>
      <c r="W2637">
        <f>Table1[[#This Row],[customer_purchase count]]+1</f>
        <v>35</v>
      </c>
      <c r="X2637">
        <f>Table1[[#This Row],[customer_purchase count]]*Rules!$B$3</f>
        <v>2031.9882051282052</v>
      </c>
      <c r="Y2637" t="str">
        <f>IF(Table1[[#This Row],[customer_subscription]]=1,"Subscribed","Not Subscribed")</f>
        <v>Not Subscribed</v>
      </c>
    </row>
    <row r="2638" spans="1:26" x14ac:dyDescent="0.25">
      <c r="A2638">
        <v>2637</v>
      </c>
      <c r="B2638">
        <v>41</v>
      </c>
      <c r="C2638" t="s">
        <v>22</v>
      </c>
      <c r="D2638">
        <v>2637</v>
      </c>
      <c r="E2638" t="s">
        <v>105</v>
      </c>
      <c r="F2638" t="s">
        <v>66</v>
      </c>
      <c r="G2638">
        <v>2637</v>
      </c>
      <c r="H2638">
        <v>3363</v>
      </c>
      <c r="I2638">
        <v>40</v>
      </c>
      <c r="J2638" t="s">
        <v>143</v>
      </c>
      <c r="K2638" t="s">
        <v>39</v>
      </c>
      <c r="L2638" t="s">
        <v>139</v>
      </c>
      <c r="M2638" t="s">
        <v>28</v>
      </c>
      <c r="N2638">
        <v>4.2</v>
      </c>
      <c r="O2638">
        <v>0</v>
      </c>
      <c r="P2638" t="s">
        <v>77</v>
      </c>
      <c r="Q2638" t="s">
        <v>155</v>
      </c>
      <c r="R2638" t="s">
        <v>155</v>
      </c>
      <c r="S2638">
        <v>6</v>
      </c>
      <c r="T2638" t="s">
        <v>31</v>
      </c>
      <c r="U2638" t="s">
        <v>52</v>
      </c>
      <c r="V2638" s="1">
        <v>45298</v>
      </c>
      <c r="W2638">
        <f>Table1[[#This Row],[customer_purchase count]]+1</f>
        <v>7</v>
      </c>
      <c r="X2638">
        <f>Table1[[#This Row],[customer_purchase count]]*Rules!$B$3</f>
        <v>358.58615384615388</v>
      </c>
      <c r="Y2638" t="str">
        <f>IF(Table1[[#This Row],[customer_subscription]]=1,"Subscribed","Not Subscribed")</f>
        <v>Not Subscribed</v>
      </c>
      <c r="Z2638" t="s">
        <v>194</v>
      </c>
    </row>
    <row r="2639" spans="1:26" x14ac:dyDescent="0.25">
      <c r="A2639">
        <v>2638</v>
      </c>
      <c r="B2639">
        <v>20</v>
      </c>
      <c r="C2639" t="s">
        <v>22</v>
      </c>
      <c r="D2639">
        <v>2638</v>
      </c>
      <c r="E2639" t="s">
        <v>98</v>
      </c>
      <c r="F2639" t="s">
        <v>24</v>
      </c>
      <c r="G2639">
        <v>2638</v>
      </c>
      <c r="H2639">
        <v>3364</v>
      </c>
      <c r="I2639">
        <v>23</v>
      </c>
      <c r="J2639" t="s">
        <v>93</v>
      </c>
      <c r="K2639" t="s">
        <v>47</v>
      </c>
      <c r="L2639" t="s">
        <v>139</v>
      </c>
      <c r="M2639" t="s">
        <v>40</v>
      </c>
      <c r="N2639">
        <v>3.7</v>
      </c>
      <c r="O2639">
        <v>0</v>
      </c>
      <c r="P2639" t="s">
        <v>77</v>
      </c>
      <c r="Q2639" t="s">
        <v>155</v>
      </c>
      <c r="R2639" t="s">
        <v>155</v>
      </c>
      <c r="S2639">
        <v>2</v>
      </c>
      <c r="T2639" t="s">
        <v>49</v>
      </c>
      <c r="U2639" t="s">
        <v>52</v>
      </c>
      <c r="V2639" s="1">
        <v>45432</v>
      </c>
      <c r="W2639">
        <f>Table1[[#This Row],[customer_purchase count]]+1</f>
        <v>3</v>
      </c>
      <c r="X2639">
        <f>Table1[[#This Row],[customer_purchase count]]*Rules!$B$3</f>
        <v>119.52871794871795</v>
      </c>
      <c r="Y2639" t="str">
        <f>IF(Table1[[#This Row],[customer_subscription]]=1,"Subscribed","Not Subscribed")</f>
        <v>Not Subscribed</v>
      </c>
      <c r="Z2639" t="s">
        <v>194</v>
      </c>
    </row>
    <row r="2640" spans="1:26" x14ac:dyDescent="0.25">
      <c r="A2640">
        <v>2639</v>
      </c>
      <c r="B2640">
        <v>22</v>
      </c>
      <c r="C2640" t="s">
        <v>22</v>
      </c>
      <c r="D2640">
        <v>2639</v>
      </c>
      <c r="E2640" t="s">
        <v>58</v>
      </c>
      <c r="F2640" t="s">
        <v>24</v>
      </c>
      <c r="G2640">
        <v>2639</v>
      </c>
      <c r="H2640">
        <v>3365</v>
      </c>
      <c r="I2640">
        <v>34</v>
      </c>
      <c r="J2640" t="s">
        <v>80</v>
      </c>
      <c r="K2640" t="s">
        <v>39</v>
      </c>
      <c r="L2640" t="s">
        <v>97</v>
      </c>
      <c r="M2640" t="s">
        <v>40</v>
      </c>
      <c r="N2640">
        <v>4.2</v>
      </c>
      <c r="O2640">
        <v>0</v>
      </c>
      <c r="P2640" t="s">
        <v>77</v>
      </c>
      <c r="Q2640" t="s">
        <v>155</v>
      </c>
      <c r="R2640" t="s">
        <v>155</v>
      </c>
      <c r="S2640">
        <v>35</v>
      </c>
      <c r="T2640" t="s">
        <v>42</v>
      </c>
      <c r="U2640" t="s">
        <v>52</v>
      </c>
      <c r="V2640" s="1">
        <v>45398</v>
      </c>
      <c r="W2640">
        <f>Table1[[#This Row],[customer_purchase count]]+1</f>
        <v>36</v>
      </c>
      <c r="X2640">
        <f>Table1[[#This Row],[customer_purchase count]]*Rules!$B$3</f>
        <v>2091.7525641025641</v>
      </c>
      <c r="Y2640" t="str">
        <f>IF(Table1[[#This Row],[customer_subscription]]=1,"Subscribed","Not Subscribed")</f>
        <v>Not Subscribed</v>
      </c>
    </row>
    <row r="2641" spans="1:26" x14ac:dyDescent="0.25">
      <c r="A2641">
        <v>2640</v>
      </c>
      <c r="B2641">
        <v>18</v>
      </c>
      <c r="C2641" t="s">
        <v>22</v>
      </c>
      <c r="D2641">
        <v>2640</v>
      </c>
      <c r="E2641" t="s">
        <v>23</v>
      </c>
      <c r="F2641" t="s">
        <v>24</v>
      </c>
      <c r="G2641">
        <v>2640</v>
      </c>
      <c r="H2641">
        <v>3367</v>
      </c>
      <c r="I2641">
        <v>35</v>
      </c>
      <c r="J2641" t="s">
        <v>85</v>
      </c>
      <c r="K2641" t="s">
        <v>95</v>
      </c>
      <c r="L2641" t="s">
        <v>72</v>
      </c>
      <c r="M2641" t="s">
        <v>28</v>
      </c>
      <c r="N2641">
        <v>2.6</v>
      </c>
      <c r="O2641">
        <v>0</v>
      </c>
      <c r="P2641" t="s">
        <v>41</v>
      </c>
      <c r="Q2641" t="s">
        <v>155</v>
      </c>
      <c r="R2641" t="s">
        <v>155</v>
      </c>
      <c r="S2641">
        <v>33</v>
      </c>
      <c r="T2641" t="s">
        <v>89</v>
      </c>
      <c r="U2641" t="s">
        <v>61</v>
      </c>
      <c r="V2641" s="1">
        <v>45307</v>
      </c>
      <c r="W2641">
        <f>Table1[[#This Row],[customer_purchase count]]+1</f>
        <v>34</v>
      </c>
      <c r="X2641">
        <f>Table1[[#This Row],[customer_purchase count]]*Rules!$B$3</f>
        <v>1972.2238461538464</v>
      </c>
      <c r="Y2641" t="str">
        <f>IF(Table1[[#This Row],[customer_subscription]]=1,"Subscribed","Not Subscribed")</f>
        <v>Not Subscribed</v>
      </c>
    </row>
    <row r="2642" spans="1:26" x14ac:dyDescent="0.25">
      <c r="A2642">
        <v>2641</v>
      </c>
      <c r="B2642">
        <v>30</v>
      </c>
      <c r="C2642" t="s">
        <v>22</v>
      </c>
      <c r="D2642">
        <v>2641</v>
      </c>
      <c r="E2642" t="s">
        <v>90</v>
      </c>
      <c r="F2642" t="s">
        <v>24</v>
      </c>
      <c r="G2642">
        <v>2641</v>
      </c>
      <c r="H2642">
        <v>3368</v>
      </c>
      <c r="I2642">
        <v>75</v>
      </c>
      <c r="J2642" t="s">
        <v>119</v>
      </c>
      <c r="K2642" t="s">
        <v>26</v>
      </c>
      <c r="L2642" t="s">
        <v>81</v>
      </c>
      <c r="M2642" t="s">
        <v>56</v>
      </c>
      <c r="N2642">
        <v>4</v>
      </c>
      <c r="O2642">
        <v>0</v>
      </c>
      <c r="P2642" t="s">
        <v>77</v>
      </c>
      <c r="Q2642" t="s">
        <v>155</v>
      </c>
      <c r="R2642" t="s">
        <v>155</v>
      </c>
      <c r="S2642">
        <v>45</v>
      </c>
      <c r="T2642" t="s">
        <v>31</v>
      </c>
      <c r="U2642" t="s">
        <v>79</v>
      </c>
      <c r="V2642" s="1">
        <v>45512</v>
      </c>
      <c r="W2642">
        <f>Table1[[#This Row],[customer_purchase count]]+1</f>
        <v>46</v>
      </c>
      <c r="X2642">
        <f>Table1[[#This Row],[customer_purchase count]]*Rules!$B$3</f>
        <v>2689.396153846154</v>
      </c>
      <c r="Y2642" t="str">
        <f>IF(Table1[[#This Row],[customer_subscription]]=1,"Subscribed","Not Subscribed")</f>
        <v>Not Subscribed</v>
      </c>
    </row>
    <row r="2643" spans="1:26" x14ac:dyDescent="0.25">
      <c r="A2643">
        <v>2642</v>
      </c>
      <c r="B2643">
        <v>25</v>
      </c>
      <c r="C2643" t="s">
        <v>22</v>
      </c>
      <c r="D2643">
        <v>2642</v>
      </c>
      <c r="E2643" t="s">
        <v>92</v>
      </c>
      <c r="F2643" t="s">
        <v>70</v>
      </c>
      <c r="G2643">
        <v>2642</v>
      </c>
      <c r="H2643">
        <v>3369</v>
      </c>
      <c r="I2643">
        <v>60</v>
      </c>
      <c r="J2643" t="s">
        <v>132</v>
      </c>
      <c r="K2643" t="s">
        <v>95</v>
      </c>
      <c r="L2643" t="s">
        <v>81</v>
      </c>
      <c r="M2643" t="s">
        <v>28</v>
      </c>
      <c r="N2643">
        <v>2.7</v>
      </c>
      <c r="O2643">
        <v>0</v>
      </c>
      <c r="P2643" t="s">
        <v>48</v>
      </c>
      <c r="Q2643" t="s">
        <v>155</v>
      </c>
      <c r="R2643" t="s">
        <v>155</v>
      </c>
      <c r="S2643">
        <v>20</v>
      </c>
      <c r="T2643" t="s">
        <v>78</v>
      </c>
      <c r="U2643" t="s">
        <v>100</v>
      </c>
      <c r="V2643" s="1">
        <v>45296</v>
      </c>
      <c r="W2643">
        <f>Table1[[#This Row],[customer_purchase count]]+1</f>
        <v>21</v>
      </c>
      <c r="X2643">
        <f>Table1[[#This Row],[customer_purchase count]]*Rules!$B$3</f>
        <v>1195.2871794871796</v>
      </c>
      <c r="Y2643" t="str">
        <f>IF(Table1[[#This Row],[customer_subscription]]=1,"Subscribed","Not Subscribed")</f>
        <v>Not Subscribed</v>
      </c>
    </row>
    <row r="2644" spans="1:26" x14ac:dyDescent="0.25">
      <c r="A2644">
        <v>2643</v>
      </c>
      <c r="B2644">
        <v>39</v>
      </c>
      <c r="C2644" t="s">
        <v>22</v>
      </c>
      <c r="D2644">
        <v>2643</v>
      </c>
      <c r="E2644" t="s">
        <v>136</v>
      </c>
      <c r="F2644" t="s">
        <v>70</v>
      </c>
      <c r="G2644">
        <v>2643</v>
      </c>
      <c r="H2644">
        <v>3370</v>
      </c>
      <c r="I2644">
        <v>87</v>
      </c>
      <c r="J2644" t="s">
        <v>149</v>
      </c>
      <c r="K2644" t="s">
        <v>26</v>
      </c>
      <c r="L2644" t="s">
        <v>103</v>
      </c>
      <c r="M2644" t="s">
        <v>56</v>
      </c>
      <c r="N2644">
        <v>4</v>
      </c>
      <c r="O2644">
        <v>0</v>
      </c>
      <c r="P2644" t="s">
        <v>77</v>
      </c>
      <c r="Q2644" t="s">
        <v>155</v>
      </c>
      <c r="R2644" t="s">
        <v>155</v>
      </c>
      <c r="S2644">
        <v>48</v>
      </c>
      <c r="T2644" t="s">
        <v>78</v>
      </c>
      <c r="U2644" t="s">
        <v>52</v>
      </c>
      <c r="V2644" s="1">
        <v>45474</v>
      </c>
      <c r="W2644">
        <f>Table1[[#This Row],[customer_purchase count]]+1</f>
        <v>49</v>
      </c>
      <c r="X2644">
        <f>Table1[[#This Row],[customer_purchase count]]*Rules!$B$3</f>
        <v>2868.689230769231</v>
      </c>
      <c r="Y2644" t="str">
        <f>IF(Table1[[#This Row],[customer_subscription]]=1,"Subscribed","Not Subscribed")</f>
        <v>Not Subscribed</v>
      </c>
    </row>
    <row r="2645" spans="1:26" x14ac:dyDescent="0.25">
      <c r="A2645">
        <v>2644</v>
      </c>
      <c r="B2645">
        <v>49</v>
      </c>
      <c r="C2645" t="s">
        <v>22</v>
      </c>
      <c r="D2645">
        <v>2644</v>
      </c>
      <c r="E2645" t="s">
        <v>146</v>
      </c>
      <c r="F2645" t="s">
        <v>70</v>
      </c>
      <c r="G2645">
        <v>2644</v>
      </c>
      <c r="H2645">
        <v>3371</v>
      </c>
      <c r="I2645">
        <v>41</v>
      </c>
      <c r="J2645" t="s">
        <v>131</v>
      </c>
      <c r="K2645" t="s">
        <v>39</v>
      </c>
      <c r="L2645" t="s">
        <v>68</v>
      </c>
      <c r="M2645" t="s">
        <v>40</v>
      </c>
      <c r="N2645">
        <v>2.9</v>
      </c>
      <c r="O2645">
        <v>0</v>
      </c>
      <c r="P2645" t="s">
        <v>48</v>
      </c>
      <c r="Q2645" t="s">
        <v>155</v>
      </c>
      <c r="R2645" t="s">
        <v>155</v>
      </c>
      <c r="S2645">
        <v>37</v>
      </c>
      <c r="T2645" t="s">
        <v>36</v>
      </c>
      <c r="U2645" t="s">
        <v>91</v>
      </c>
      <c r="V2645" s="1">
        <v>45377</v>
      </c>
      <c r="W2645">
        <f>Table1[[#This Row],[customer_purchase count]]+1</f>
        <v>38</v>
      </c>
      <c r="X2645">
        <f>Table1[[#This Row],[customer_purchase count]]*Rules!$B$3</f>
        <v>2211.2812820512822</v>
      </c>
      <c r="Y2645" t="str">
        <f>IF(Table1[[#This Row],[customer_subscription]]=1,"Subscribed","Not Subscribed")</f>
        <v>Not Subscribed</v>
      </c>
    </row>
    <row r="2646" spans="1:26" x14ac:dyDescent="0.25">
      <c r="A2646">
        <v>2645</v>
      </c>
      <c r="B2646">
        <v>25</v>
      </c>
      <c r="C2646" t="s">
        <v>22</v>
      </c>
      <c r="D2646">
        <v>2645</v>
      </c>
      <c r="E2646" t="s">
        <v>98</v>
      </c>
      <c r="F2646" t="s">
        <v>24</v>
      </c>
      <c r="G2646">
        <v>2645</v>
      </c>
      <c r="H2646">
        <v>3373</v>
      </c>
      <c r="I2646">
        <v>83</v>
      </c>
      <c r="J2646" t="s">
        <v>133</v>
      </c>
      <c r="K2646" t="s">
        <v>47</v>
      </c>
      <c r="L2646" t="s">
        <v>51</v>
      </c>
      <c r="M2646" t="s">
        <v>40</v>
      </c>
      <c r="N2646">
        <v>3.3</v>
      </c>
      <c r="O2646">
        <v>0</v>
      </c>
      <c r="P2646" t="s">
        <v>57</v>
      </c>
      <c r="Q2646" t="s">
        <v>155</v>
      </c>
      <c r="R2646" t="s">
        <v>155</v>
      </c>
      <c r="S2646">
        <v>4</v>
      </c>
      <c r="T2646" t="s">
        <v>78</v>
      </c>
      <c r="U2646" t="s">
        <v>100</v>
      </c>
      <c r="V2646" s="1">
        <v>45353</v>
      </c>
      <c r="W2646">
        <f>Table1[[#This Row],[customer_purchase count]]+1</f>
        <v>5</v>
      </c>
      <c r="X2646">
        <f>Table1[[#This Row],[customer_purchase count]]*Rules!$B$3</f>
        <v>239.05743589743591</v>
      </c>
      <c r="Y2646" t="str">
        <f>IF(Table1[[#This Row],[customer_subscription]]=1,"Subscribed","Not Subscribed")</f>
        <v>Not Subscribed</v>
      </c>
      <c r="Z2646" t="s">
        <v>194</v>
      </c>
    </row>
    <row r="2647" spans="1:26" x14ac:dyDescent="0.25">
      <c r="A2647">
        <v>2646</v>
      </c>
      <c r="B2647">
        <v>23</v>
      </c>
      <c r="C2647" t="s">
        <v>22</v>
      </c>
      <c r="D2647">
        <v>2646</v>
      </c>
      <c r="E2647" t="s">
        <v>122</v>
      </c>
      <c r="F2647" t="s">
        <v>70</v>
      </c>
      <c r="G2647">
        <v>2646</v>
      </c>
      <c r="H2647">
        <v>3374</v>
      </c>
      <c r="I2647">
        <v>81</v>
      </c>
      <c r="J2647" t="s">
        <v>63</v>
      </c>
      <c r="K2647" t="s">
        <v>26</v>
      </c>
      <c r="L2647" t="s">
        <v>81</v>
      </c>
      <c r="M2647" t="s">
        <v>40</v>
      </c>
      <c r="N2647">
        <v>4</v>
      </c>
      <c r="O2647">
        <v>0</v>
      </c>
      <c r="P2647" t="s">
        <v>77</v>
      </c>
      <c r="Q2647" t="s">
        <v>155</v>
      </c>
      <c r="R2647" t="s">
        <v>155</v>
      </c>
      <c r="S2647">
        <v>24</v>
      </c>
      <c r="T2647" t="s">
        <v>78</v>
      </c>
      <c r="U2647" t="s">
        <v>79</v>
      </c>
      <c r="V2647" s="1">
        <v>45384</v>
      </c>
      <c r="W2647">
        <f>Table1[[#This Row],[customer_purchase count]]+1</f>
        <v>25</v>
      </c>
      <c r="X2647">
        <f>Table1[[#This Row],[customer_purchase count]]*Rules!$B$3</f>
        <v>1434.3446153846155</v>
      </c>
      <c r="Y2647" t="str">
        <f>IF(Table1[[#This Row],[customer_subscription]]=1,"Subscribed","Not Subscribed")</f>
        <v>Not Subscribed</v>
      </c>
    </row>
    <row r="2648" spans="1:26" x14ac:dyDescent="0.25">
      <c r="A2648">
        <v>2647</v>
      </c>
      <c r="B2648">
        <v>33</v>
      </c>
      <c r="C2648" t="s">
        <v>22</v>
      </c>
      <c r="D2648">
        <v>2647</v>
      </c>
      <c r="E2648" t="s">
        <v>116</v>
      </c>
      <c r="F2648" t="s">
        <v>24</v>
      </c>
      <c r="G2648">
        <v>2647</v>
      </c>
      <c r="H2648">
        <v>3375</v>
      </c>
      <c r="I2648">
        <v>56</v>
      </c>
      <c r="J2648" t="s">
        <v>133</v>
      </c>
      <c r="K2648" t="s">
        <v>39</v>
      </c>
      <c r="L2648" t="s">
        <v>96</v>
      </c>
      <c r="M2648" t="s">
        <v>56</v>
      </c>
      <c r="N2648">
        <v>3.9</v>
      </c>
      <c r="O2648">
        <v>0</v>
      </c>
      <c r="P2648" t="s">
        <v>48</v>
      </c>
      <c r="Q2648" t="s">
        <v>155</v>
      </c>
      <c r="R2648" t="s">
        <v>155</v>
      </c>
      <c r="S2648">
        <v>4</v>
      </c>
      <c r="T2648" t="s">
        <v>89</v>
      </c>
      <c r="U2648" t="s">
        <v>100</v>
      </c>
      <c r="V2648" s="1">
        <v>45528</v>
      </c>
      <c r="W2648">
        <f>Table1[[#This Row],[customer_purchase count]]+1</f>
        <v>5</v>
      </c>
      <c r="X2648">
        <f>Table1[[#This Row],[customer_purchase count]]*Rules!$B$3</f>
        <v>239.05743589743591</v>
      </c>
      <c r="Y2648" t="str">
        <f>IF(Table1[[#This Row],[customer_subscription]]=1,"Subscribed","Not Subscribed")</f>
        <v>Not Subscribed</v>
      </c>
      <c r="Z2648" t="s">
        <v>194</v>
      </c>
    </row>
    <row r="2649" spans="1:26" x14ac:dyDescent="0.25">
      <c r="A2649">
        <v>2648</v>
      </c>
      <c r="B2649">
        <v>60</v>
      </c>
      <c r="C2649" t="s">
        <v>22</v>
      </c>
      <c r="D2649">
        <v>2648</v>
      </c>
      <c r="E2649" t="s">
        <v>74</v>
      </c>
      <c r="F2649" t="s">
        <v>45</v>
      </c>
      <c r="G2649">
        <v>2648</v>
      </c>
      <c r="H2649">
        <v>3376</v>
      </c>
      <c r="I2649">
        <v>58</v>
      </c>
      <c r="J2649" t="s">
        <v>134</v>
      </c>
      <c r="K2649" t="s">
        <v>47</v>
      </c>
      <c r="L2649" t="s">
        <v>111</v>
      </c>
      <c r="M2649" t="s">
        <v>56</v>
      </c>
      <c r="N2649">
        <v>3.3</v>
      </c>
      <c r="O2649">
        <v>0</v>
      </c>
      <c r="P2649" t="s">
        <v>73</v>
      </c>
      <c r="Q2649" t="s">
        <v>155</v>
      </c>
      <c r="R2649" t="s">
        <v>155</v>
      </c>
      <c r="S2649">
        <v>25</v>
      </c>
      <c r="T2649" t="s">
        <v>89</v>
      </c>
      <c r="U2649" t="s">
        <v>52</v>
      </c>
      <c r="V2649" s="1">
        <v>45491</v>
      </c>
      <c r="W2649">
        <f>Table1[[#This Row],[customer_purchase count]]+1</f>
        <v>26</v>
      </c>
      <c r="X2649">
        <f>Table1[[#This Row],[customer_purchase count]]*Rules!$B$3</f>
        <v>1494.1089743589744</v>
      </c>
      <c r="Y2649" t="str">
        <f>IF(Table1[[#This Row],[customer_subscription]]=1,"Subscribed","Not Subscribed")</f>
        <v>Not Subscribed</v>
      </c>
    </row>
    <row r="2650" spans="1:26" x14ac:dyDescent="0.25">
      <c r="A2650">
        <v>2649</v>
      </c>
      <c r="B2650">
        <v>51</v>
      </c>
      <c r="C2650" t="s">
        <v>22</v>
      </c>
      <c r="D2650">
        <v>2649</v>
      </c>
      <c r="E2650" t="s">
        <v>98</v>
      </c>
      <c r="F2650" t="s">
        <v>24</v>
      </c>
      <c r="G2650">
        <v>2649</v>
      </c>
      <c r="H2650">
        <v>3377</v>
      </c>
      <c r="I2650">
        <v>84</v>
      </c>
      <c r="J2650" t="s">
        <v>118</v>
      </c>
      <c r="K2650" t="s">
        <v>47</v>
      </c>
      <c r="L2650" t="s">
        <v>27</v>
      </c>
      <c r="M2650" t="s">
        <v>40</v>
      </c>
      <c r="N2650">
        <v>3.9</v>
      </c>
      <c r="O2650">
        <v>0</v>
      </c>
      <c r="P2650" t="s">
        <v>48</v>
      </c>
      <c r="Q2650" t="s">
        <v>155</v>
      </c>
      <c r="R2650" t="s">
        <v>155</v>
      </c>
      <c r="S2650">
        <v>14</v>
      </c>
      <c r="T2650" t="s">
        <v>49</v>
      </c>
      <c r="U2650" t="s">
        <v>79</v>
      </c>
      <c r="V2650" s="1">
        <v>45370</v>
      </c>
      <c r="W2650">
        <f>Table1[[#This Row],[customer_purchase count]]+1</f>
        <v>15</v>
      </c>
      <c r="X2650">
        <f>Table1[[#This Row],[customer_purchase count]]*Rules!$B$3</f>
        <v>836.70102564102569</v>
      </c>
      <c r="Y2650" t="str">
        <f>IF(Table1[[#This Row],[customer_subscription]]=1,"Subscribed","Not Subscribed")</f>
        <v>Not Subscribed</v>
      </c>
      <c r="Z2650" t="s">
        <v>194</v>
      </c>
    </row>
    <row r="2651" spans="1:26" x14ac:dyDescent="0.25">
      <c r="A2651">
        <v>2650</v>
      </c>
      <c r="B2651">
        <v>23</v>
      </c>
      <c r="C2651" t="s">
        <v>22</v>
      </c>
      <c r="D2651">
        <v>2650</v>
      </c>
      <c r="E2651" t="s">
        <v>146</v>
      </c>
      <c r="F2651" t="s">
        <v>70</v>
      </c>
      <c r="G2651">
        <v>2650</v>
      </c>
      <c r="H2651">
        <v>3379</v>
      </c>
      <c r="I2651">
        <v>21</v>
      </c>
      <c r="J2651" t="s">
        <v>151</v>
      </c>
      <c r="K2651" t="s">
        <v>47</v>
      </c>
      <c r="L2651" t="s">
        <v>139</v>
      </c>
      <c r="M2651" t="s">
        <v>60</v>
      </c>
      <c r="N2651">
        <v>3.9</v>
      </c>
      <c r="O2651">
        <v>0</v>
      </c>
      <c r="P2651" t="s">
        <v>77</v>
      </c>
      <c r="Q2651" t="s">
        <v>155</v>
      </c>
      <c r="R2651" t="s">
        <v>155</v>
      </c>
      <c r="S2651">
        <v>14</v>
      </c>
      <c r="T2651" t="s">
        <v>78</v>
      </c>
      <c r="U2651" t="s">
        <v>32</v>
      </c>
      <c r="V2651" s="1">
        <v>45551</v>
      </c>
      <c r="W2651">
        <f>Table1[[#This Row],[customer_purchase count]]+1</f>
        <v>15</v>
      </c>
      <c r="X2651">
        <f>Table1[[#This Row],[customer_purchase count]]*Rules!$B$3</f>
        <v>836.70102564102569</v>
      </c>
      <c r="Y2651" t="str">
        <f>IF(Table1[[#This Row],[customer_subscription]]=1,"Subscribed","Not Subscribed")</f>
        <v>Not Subscribed</v>
      </c>
      <c r="Z2651" t="s">
        <v>187</v>
      </c>
    </row>
    <row r="2652" spans="1:26" x14ac:dyDescent="0.25">
      <c r="A2652">
        <v>2651</v>
      </c>
      <c r="B2652">
        <v>20</v>
      </c>
      <c r="C2652" t="s">
        <v>22</v>
      </c>
      <c r="D2652">
        <v>2651</v>
      </c>
      <c r="E2652" t="s">
        <v>128</v>
      </c>
      <c r="F2652" t="s">
        <v>24</v>
      </c>
      <c r="G2652">
        <v>2651</v>
      </c>
      <c r="H2652">
        <v>3380</v>
      </c>
      <c r="I2652">
        <v>35</v>
      </c>
      <c r="J2652" t="s">
        <v>50</v>
      </c>
      <c r="K2652" t="s">
        <v>26</v>
      </c>
      <c r="L2652" t="s">
        <v>35</v>
      </c>
      <c r="M2652" t="s">
        <v>56</v>
      </c>
      <c r="N2652">
        <v>4.2</v>
      </c>
      <c r="O2652">
        <v>0</v>
      </c>
      <c r="P2652" t="s">
        <v>57</v>
      </c>
      <c r="Q2652" t="s">
        <v>155</v>
      </c>
      <c r="R2652" t="s">
        <v>155</v>
      </c>
      <c r="S2652">
        <v>46</v>
      </c>
      <c r="T2652" t="s">
        <v>42</v>
      </c>
      <c r="U2652" t="s">
        <v>100</v>
      </c>
      <c r="V2652" s="1">
        <v>45522</v>
      </c>
      <c r="W2652">
        <f>Table1[[#This Row],[customer_purchase count]]+1</f>
        <v>47</v>
      </c>
      <c r="X2652">
        <f>Table1[[#This Row],[customer_purchase count]]*Rules!$B$3</f>
        <v>2749.1605128205128</v>
      </c>
      <c r="Y2652" t="str">
        <f>IF(Table1[[#This Row],[customer_subscription]]=1,"Subscribed","Not Subscribed")</f>
        <v>Not Subscribed</v>
      </c>
    </row>
    <row r="2653" spans="1:26" x14ac:dyDescent="0.25">
      <c r="A2653">
        <v>2652</v>
      </c>
      <c r="B2653">
        <v>51</v>
      </c>
      <c r="C2653" t="s">
        <v>22</v>
      </c>
      <c r="D2653">
        <v>2652</v>
      </c>
      <c r="E2653" t="s">
        <v>53</v>
      </c>
      <c r="F2653" t="s">
        <v>45</v>
      </c>
      <c r="G2653">
        <v>2652</v>
      </c>
      <c r="H2653">
        <v>3381</v>
      </c>
      <c r="I2653">
        <v>43</v>
      </c>
      <c r="J2653" t="s">
        <v>125</v>
      </c>
      <c r="K2653" t="s">
        <v>47</v>
      </c>
      <c r="L2653" t="s">
        <v>112</v>
      </c>
      <c r="M2653" t="s">
        <v>56</v>
      </c>
      <c r="N2653">
        <v>4.5999999999999996</v>
      </c>
      <c r="O2653">
        <v>0</v>
      </c>
      <c r="P2653" t="s">
        <v>77</v>
      </c>
      <c r="Q2653" t="s">
        <v>155</v>
      </c>
      <c r="R2653" t="s">
        <v>155</v>
      </c>
      <c r="S2653">
        <v>27</v>
      </c>
      <c r="T2653" t="s">
        <v>49</v>
      </c>
      <c r="U2653" t="s">
        <v>61</v>
      </c>
      <c r="V2653" s="1">
        <v>45474</v>
      </c>
      <c r="W2653">
        <f>Table1[[#This Row],[customer_purchase count]]+1</f>
        <v>28</v>
      </c>
      <c r="X2653">
        <f>Table1[[#This Row],[customer_purchase count]]*Rules!$B$3</f>
        <v>1613.6376923076923</v>
      </c>
      <c r="Y2653" t="str">
        <f>IF(Table1[[#This Row],[customer_subscription]]=1,"Subscribed","Not Subscribed")</f>
        <v>Not Subscribed</v>
      </c>
    </row>
    <row r="2654" spans="1:26" x14ac:dyDescent="0.25">
      <c r="A2654">
        <v>2653</v>
      </c>
      <c r="B2654">
        <v>23</v>
      </c>
      <c r="C2654" t="s">
        <v>156</v>
      </c>
      <c r="D2654">
        <v>2653</v>
      </c>
      <c r="E2654" t="s">
        <v>62</v>
      </c>
      <c r="F2654" t="s">
        <v>24</v>
      </c>
      <c r="G2654">
        <v>2653</v>
      </c>
      <c r="H2654">
        <v>3382</v>
      </c>
      <c r="I2654">
        <v>20</v>
      </c>
      <c r="J2654" t="s">
        <v>131</v>
      </c>
      <c r="K2654" t="s">
        <v>26</v>
      </c>
      <c r="L2654" t="s">
        <v>112</v>
      </c>
      <c r="M2654" t="s">
        <v>56</v>
      </c>
      <c r="N2654">
        <v>3.3</v>
      </c>
      <c r="O2654">
        <v>0</v>
      </c>
      <c r="P2654" t="s">
        <v>73</v>
      </c>
      <c r="Q2654" t="s">
        <v>155</v>
      </c>
      <c r="R2654" t="s">
        <v>155</v>
      </c>
      <c r="S2654">
        <v>46</v>
      </c>
      <c r="T2654" t="s">
        <v>42</v>
      </c>
      <c r="U2654" t="s">
        <v>91</v>
      </c>
      <c r="V2654" s="1">
        <v>45501</v>
      </c>
      <c r="W2654">
        <f>Table1[[#This Row],[customer_purchase count]]+1</f>
        <v>47</v>
      </c>
      <c r="X2654">
        <f>Table1[[#This Row],[customer_purchase count]]*Rules!$B$3</f>
        <v>2749.1605128205128</v>
      </c>
      <c r="Y2654" t="str">
        <f>IF(Table1[[#This Row],[customer_subscription]]=1,"Subscribed","Not Subscribed")</f>
        <v>Not Subscribed</v>
      </c>
    </row>
    <row r="2655" spans="1:26" x14ac:dyDescent="0.25">
      <c r="A2655">
        <v>2654</v>
      </c>
      <c r="B2655">
        <v>67</v>
      </c>
      <c r="C2655" t="s">
        <v>156</v>
      </c>
      <c r="D2655">
        <v>2654</v>
      </c>
      <c r="E2655" t="s">
        <v>23</v>
      </c>
      <c r="F2655" t="s">
        <v>24</v>
      </c>
      <c r="G2655">
        <v>2654</v>
      </c>
      <c r="H2655">
        <v>3383</v>
      </c>
      <c r="I2655">
        <v>36</v>
      </c>
      <c r="J2655" t="s">
        <v>153</v>
      </c>
      <c r="K2655" t="s">
        <v>26</v>
      </c>
      <c r="L2655" t="s">
        <v>96</v>
      </c>
      <c r="M2655" t="s">
        <v>60</v>
      </c>
      <c r="N2655">
        <v>4.8</v>
      </c>
      <c r="O2655">
        <v>0</v>
      </c>
      <c r="P2655" t="s">
        <v>29</v>
      </c>
      <c r="Q2655" t="s">
        <v>155</v>
      </c>
      <c r="R2655" t="s">
        <v>155</v>
      </c>
      <c r="S2655">
        <v>24</v>
      </c>
      <c r="T2655" t="s">
        <v>31</v>
      </c>
      <c r="U2655" t="s">
        <v>100</v>
      </c>
      <c r="V2655" s="1">
        <v>45586</v>
      </c>
      <c r="W2655">
        <f>Table1[[#This Row],[customer_purchase count]]+1</f>
        <v>25</v>
      </c>
      <c r="X2655">
        <f>Table1[[#This Row],[customer_purchase count]]*Rules!$B$3</f>
        <v>1434.3446153846155</v>
      </c>
      <c r="Y2655" t="str">
        <f>IF(Table1[[#This Row],[customer_subscription]]=1,"Subscribed","Not Subscribed")</f>
        <v>Not Subscribed</v>
      </c>
    </row>
    <row r="2656" spans="1:26" x14ac:dyDescent="0.25">
      <c r="A2656">
        <v>2655</v>
      </c>
      <c r="B2656">
        <v>23</v>
      </c>
      <c r="C2656" t="s">
        <v>156</v>
      </c>
      <c r="D2656">
        <v>2655</v>
      </c>
      <c r="E2656" t="s">
        <v>65</v>
      </c>
      <c r="F2656" t="s">
        <v>66</v>
      </c>
      <c r="G2656">
        <v>2655</v>
      </c>
      <c r="H2656">
        <v>3385</v>
      </c>
      <c r="I2656">
        <v>70</v>
      </c>
      <c r="J2656" t="s">
        <v>138</v>
      </c>
      <c r="K2656" t="s">
        <v>39</v>
      </c>
      <c r="L2656" t="s">
        <v>72</v>
      </c>
      <c r="M2656" t="s">
        <v>60</v>
      </c>
      <c r="N2656">
        <v>4.0999999999999996</v>
      </c>
      <c r="O2656">
        <v>0</v>
      </c>
      <c r="P2656" t="s">
        <v>48</v>
      </c>
      <c r="Q2656" t="s">
        <v>155</v>
      </c>
      <c r="R2656" t="s">
        <v>155</v>
      </c>
      <c r="S2656">
        <v>4</v>
      </c>
      <c r="T2656" t="s">
        <v>49</v>
      </c>
      <c r="U2656" t="s">
        <v>52</v>
      </c>
      <c r="V2656" s="1">
        <v>45538</v>
      </c>
      <c r="W2656">
        <f>Table1[[#This Row],[customer_purchase count]]+1</f>
        <v>5</v>
      </c>
      <c r="X2656">
        <f>Table1[[#This Row],[customer_purchase count]]*Rules!$B$3</f>
        <v>239.05743589743591</v>
      </c>
      <c r="Y2656" t="str">
        <f>IF(Table1[[#This Row],[customer_subscription]]=1,"Subscribed","Not Subscribed")</f>
        <v>Not Subscribed</v>
      </c>
      <c r="Z2656" t="s">
        <v>194</v>
      </c>
    </row>
    <row r="2657" spans="1:26" x14ac:dyDescent="0.25">
      <c r="A2657">
        <v>2656</v>
      </c>
      <c r="B2657">
        <v>26</v>
      </c>
      <c r="C2657" t="s">
        <v>156</v>
      </c>
      <c r="D2657">
        <v>2656</v>
      </c>
      <c r="E2657" t="s">
        <v>92</v>
      </c>
      <c r="F2657" t="s">
        <v>70</v>
      </c>
      <c r="G2657">
        <v>2656</v>
      </c>
      <c r="H2657">
        <v>3386</v>
      </c>
      <c r="I2657">
        <v>83</v>
      </c>
      <c r="J2657" t="s">
        <v>54</v>
      </c>
      <c r="K2657" t="s">
        <v>47</v>
      </c>
      <c r="L2657" t="s">
        <v>27</v>
      </c>
      <c r="M2657" t="s">
        <v>56</v>
      </c>
      <c r="N2657">
        <v>3.4</v>
      </c>
      <c r="O2657">
        <v>0</v>
      </c>
      <c r="P2657" t="s">
        <v>57</v>
      </c>
      <c r="Q2657" t="s">
        <v>155</v>
      </c>
      <c r="R2657" t="s">
        <v>155</v>
      </c>
      <c r="S2657">
        <v>2</v>
      </c>
      <c r="T2657" t="s">
        <v>42</v>
      </c>
      <c r="U2657" t="s">
        <v>32</v>
      </c>
      <c r="V2657" s="1">
        <v>45480</v>
      </c>
      <c r="W2657">
        <f>Table1[[#This Row],[customer_purchase count]]+1</f>
        <v>3</v>
      </c>
      <c r="X2657">
        <f>Table1[[#This Row],[customer_purchase count]]*Rules!$B$3</f>
        <v>119.52871794871795</v>
      </c>
      <c r="Y2657" t="str">
        <f>IF(Table1[[#This Row],[customer_subscription]]=1,"Subscribed","Not Subscribed")</f>
        <v>Not Subscribed</v>
      </c>
      <c r="Z2657" t="s">
        <v>194</v>
      </c>
    </row>
    <row r="2658" spans="1:26" x14ac:dyDescent="0.25">
      <c r="A2658">
        <v>2657</v>
      </c>
      <c r="B2658">
        <v>52</v>
      </c>
      <c r="C2658" t="s">
        <v>156</v>
      </c>
      <c r="D2658">
        <v>2657</v>
      </c>
      <c r="E2658" t="s">
        <v>62</v>
      </c>
      <c r="F2658" t="s">
        <v>24</v>
      </c>
      <c r="G2658">
        <v>2657</v>
      </c>
      <c r="H2658">
        <v>3387</v>
      </c>
      <c r="I2658">
        <v>76</v>
      </c>
      <c r="J2658" t="s">
        <v>119</v>
      </c>
      <c r="K2658" t="s">
        <v>26</v>
      </c>
      <c r="L2658" t="s">
        <v>137</v>
      </c>
      <c r="M2658" t="s">
        <v>28</v>
      </c>
      <c r="N2658">
        <v>3.6</v>
      </c>
      <c r="O2658">
        <v>0</v>
      </c>
      <c r="P2658" t="s">
        <v>29</v>
      </c>
      <c r="Q2658" t="s">
        <v>155</v>
      </c>
      <c r="R2658" t="s">
        <v>155</v>
      </c>
      <c r="S2658">
        <v>29</v>
      </c>
      <c r="T2658" t="s">
        <v>78</v>
      </c>
      <c r="U2658" t="s">
        <v>32</v>
      </c>
      <c r="V2658" s="1">
        <v>45343</v>
      </c>
      <c r="W2658">
        <f>Table1[[#This Row],[customer_purchase count]]+1</f>
        <v>30</v>
      </c>
      <c r="X2658">
        <f>Table1[[#This Row],[customer_purchase count]]*Rules!$B$3</f>
        <v>1733.1664102564102</v>
      </c>
      <c r="Y2658" t="str">
        <f>IF(Table1[[#This Row],[customer_subscription]]=1,"Subscribed","Not Subscribed")</f>
        <v>Not Subscribed</v>
      </c>
    </row>
    <row r="2659" spans="1:26" x14ac:dyDescent="0.25">
      <c r="A2659">
        <v>2658</v>
      </c>
      <c r="B2659">
        <v>52</v>
      </c>
      <c r="C2659" t="s">
        <v>156</v>
      </c>
      <c r="D2659">
        <v>2658</v>
      </c>
      <c r="E2659" t="s">
        <v>84</v>
      </c>
      <c r="F2659" t="s">
        <v>24</v>
      </c>
      <c r="G2659">
        <v>2658</v>
      </c>
      <c r="H2659">
        <v>3388</v>
      </c>
      <c r="I2659">
        <v>81</v>
      </c>
      <c r="J2659" t="s">
        <v>108</v>
      </c>
      <c r="K2659" t="s">
        <v>47</v>
      </c>
      <c r="L2659" t="s">
        <v>72</v>
      </c>
      <c r="M2659" t="s">
        <v>56</v>
      </c>
      <c r="N2659">
        <v>2.7</v>
      </c>
      <c r="O2659">
        <v>0</v>
      </c>
      <c r="P2659" t="s">
        <v>29</v>
      </c>
      <c r="Q2659" t="s">
        <v>155</v>
      </c>
      <c r="R2659" t="s">
        <v>155</v>
      </c>
      <c r="S2659">
        <v>7</v>
      </c>
      <c r="T2659" t="s">
        <v>42</v>
      </c>
      <c r="U2659" t="s">
        <v>32</v>
      </c>
      <c r="V2659" s="1">
        <v>45460</v>
      </c>
      <c r="W2659">
        <f>Table1[[#This Row],[customer_purchase count]]+1</f>
        <v>8</v>
      </c>
      <c r="X2659">
        <f>Table1[[#This Row],[customer_purchase count]]*Rules!$B$3</f>
        <v>418.35051282051285</v>
      </c>
      <c r="Y2659" t="str">
        <f>IF(Table1[[#This Row],[customer_subscription]]=1,"Subscribed","Not Subscribed")</f>
        <v>Not Subscribed</v>
      </c>
      <c r="Z2659" t="s">
        <v>194</v>
      </c>
    </row>
    <row r="2660" spans="1:26" x14ac:dyDescent="0.25">
      <c r="A2660">
        <v>2659</v>
      </c>
      <c r="B2660">
        <v>52</v>
      </c>
      <c r="C2660" t="s">
        <v>156</v>
      </c>
      <c r="D2660">
        <v>2659</v>
      </c>
      <c r="E2660" t="s">
        <v>69</v>
      </c>
      <c r="F2660" t="s">
        <v>70</v>
      </c>
      <c r="G2660">
        <v>2659</v>
      </c>
      <c r="H2660">
        <v>3389</v>
      </c>
      <c r="I2660">
        <v>47</v>
      </c>
      <c r="J2660" t="s">
        <v>126</v>
      </c>
      <c r="K2660" t="s">
        <v>95</v>
      </c>
      <c r="L2660" t="s">
        <v>129</v>
      </c>
      <c r="M2660" t="s">
        <v>56</v>
      </c>
      <c r="N2660">
        <v>3.2</v>
      </c>
      <c r="O2660">
        <v>0</v>
      </c>
      <c r="P2660" t="s">
        <v>48</v>
      </c>
      <c r="Q2660" t="s">
        <v>155</v>
      </c>
      <c r="R2660" t="s">
        <v>155</v>
      </c>
      <c r="S2660">
        <v>39</v>
      </c>
      <c r="T2660" t="s">
        <v>49</v>
      </c>
      <c r="U2660" t="s">
        <v>91</v>
      </c>
      <c r="V2660" s="1">
        <v>45476</v>
      </c>
      <c r="W2660">
        <f>Table1[[#This Row],[customer_purchase count]]+1</f>
        <v>40</v>
      </c>
      <c r="X2660">
        <f>Table1[[#This Row],[customer_purchase count]]*Rules!$B$3</f>
        <v>2330.81</v>
      </c>
      <c r="Y2660" t="str">
        <f>IF(Table1[[#This Row],[customer_subscription]]=1,"Subscribed","Not Subscribed")</f>
        <v>Not Subscribed</v>
      </c>
    </row>
    <row r="2661" spans="1:26" x14ac:dyDescent="0.25">
      <c r="A2661">
        <v>2660</v>
      </c>
      <c r="B2661">
        <v>35</v>
      </c>
      <c r="C2661" t="s">
        <v>156</v>
      </c>
      <c r="D2661">
        <v>2660</v>
      </c>
      <c r="E2661" t="s">
        <v>140</v>
      </c>
      <c r="F2661" t="s">
        <v>45</v>
      </c>
      <c r="G2661">
        <v>2660</v>
      </c>
      <c r="H2661">
        <v>3391</v>
      </c>
      <c r="I2661">
        <v>35</v>
      </c>
      <c r="J2661" t="s">
        <v>114</v>
      </c>
      <c r="K2661" t="s">
        <v>26</v>
      </c>
      <c r="L2661" t="s">
        <v>27</v>
      </c>
      <c r="M2661" t="s">
        <v>56</v>
      </c>
      <c r="N2661">
        <v>4.4000000000000004</v>
      </c>
      <c r="O2661">
        <v>0</v>
      </c>
      <c r="P2661" t="s">
        <v>73</v>
      </c>
      <c r="Q2661" t="s">
        <v>155</v>
      </c>
      <c r="R2661" t="s">
        <v>155</v>
      </c>
      <c r="S2661">
        <v>46</v>
      </c>
      <c r="T2661" t="s">
        <v>42</v>
      </c>
      <c r="U2661" t="s">
        <v>32</v>
      </c>
      <c r="V2661" s="1">
        <v>45508</v>
      </c>
      <c r="W2661">
        <f>Table1[[#This Row],[customer_purchase count]]+1</f>
        <v>47</v>
      </c>
      <c r="X2661">
        <f>Table1[[#This Row],[customer_purchase count]]*Rules!$B$3</f>
        <v>2749.1605128205128</v>
      </c>
      <c r="Y2661" t="str">
        <f>IF(Table1[[#This Row],[customer_subscription]]=1,"Subscribed","Not Subscribed")</f>
        <v>Not Subscribed</v>
      </c>
    </row>
    <row r="2662" spans="1:26" x14ac:dyDescent="0.25">
      <c r="A2662">
        <v>2661</v>
      </c>
      <c r="B2662">
        <v>24</v>
      </c>
      <c r="C2662" t="s">
        <v>156</v>
      </c>
      <c r="D2662">
        <v>2661</v>
      </c>
      <c r="E2662" t="s">
        <v>98</v>
      </c>
      <c r="F2662" t="s">
        <v>24</v>
      </c>
      <c r="G2662">
        <v>2661</v>
      </c>
      <c r="H2662">
        <v>3392</v>
      </c>
      <c r="I2662">
        <v>85</v>
      </c>
      <c r="J2662" t="s">
        <v>134</v>
      </c>
      <c r="K2662" t="s">
        <v>26</v>
      </c>
      <c r="L2662" t="s">
        <v>137</v>
      </c>
      <c r="M2662" t="s">
        <v>40</v>
      </c>
      <c r="N2662">
        <v>4.9000000000000004</v>
      </c>
      <c r="O2662">
        <v>0</v>
      </c>
      <c r="P2662" t="s">
        <v>29</v>
      </c>
      <c r="Q2662" t="s">
        <v>155</v>
      </c>
      <c r="R2662" t="s">
        <v>155</v>
      </c>
      <c r="S2662">
        <v>44</v>
      </c>
      <c r="T2662" t="s">
        <v>31</v>
      </c>
      <c r="U2662" t="s">
        <v>52</v>
      </c>
      <c r="V2662" s="1">
        <v>45423</v>
      </c>
      <c r="W2662">
        <f>Table1[[#This Row],[customer_purchase count]]+1</f>
        <v>45</v>
      </c>
      <c r="X2662">
        <f>Table1[[#This Row],[customer_purchase count]]*Rules!$B$3</f>
        <v>2629.6317948717951</v>
      </c>
      <c r="Y2662" t="str">
        <f>IF(Table1[[#This Row],[customer_subscription]]=1,"Subscribed","Not Subscribed")</f>
        <v>Not Subscribed</v>
      </c>
    </row>
    <row r="2663" spans="1:26" x14ac:dyDescent="0.25">
      <c r="A2663">
        <v>2662</v>
      </c>
      <c r="B2663">
        <v>43</v>
      </c>
      <c r="C2663" t="s">
        <v>156</v>
      </c>
      <c r="D2663">
        <v>2662</v>
      </c>
      <c r="E2663" t="s">
        <v>140</v>
      </c>
      <c r="F2663" t="s">
        <v>45</v>
      </c>
      <c r="G2663">
        <v>2662</v>
      </c>
      <c r="H2663">
        <v>3393</v>
      </c>
      <c r="I2663">
        <v>96</v>
      </c>
      <c r="J2663" t="s">
        <v>154</v>
      </c>
      <c r="K2663" t="s">
        <v>95</v>
      </c>
      <c r="L2663" t="s">
        <v>81</v>
      </c>
      <c r="M2663" t="s">
        <v>60</v>
      </c>
      <c r="N2663">
        <v>4.8</v>
      </c>
      <c r="O2663">
        <v>0</v>
      </c>
      <c r="P2663" t="s">
        <v>29</v>
      </c>
      <c r="Q2663" t="s">
        <v>155</v>
      </c>
      <c r="R2663" t="s">
        <v>155</v>
      </c>
      <c r="S2663">
        <v>20</v>
      </c>
      <c r="T2663" t="s">
        <v>78</v>
      </c>
      <c r="U2663" t="s">
        <v>52</v>
      </c>
      <c r="V2663" s="1">
        <v>45610</v>
      </c>
      <c r="W2663">
        <f>Table1[[#This Row],[customer_purchase count]]+1</f>
        <v>21</v>
      </c>
      <c r="X2663">
        <f>Table1[[#This Row],[customer_purchase count]]*Rules!$B$3</f>
        <v>1195.2871794871796</v>
      </c>
      <c r="Y2663" t="str">
        <f>IF(Table1[[#This Row],[customer_subscription]]=1,"Subscribed","Not Subscribed")</f>
        <v>Not Subscribed</v>
      </c>
    </row>
    <row r="2664" spans="1:26" x14ac:dyDescent="0.25">
      <c r="A2664">
        <v>2663</v>
      </c>
      <c r="B2664">
        <v>25</v>
      </c>
      <c r="C2664" t="s">
        <v>156</v>
      </c>
      <c r="D2664">
        <v>2663</v>
      </c>
      <c r="E2664" t="s">
        <v>90</v>
      </c>
      <c r="F2664" t="s">
        <v>24</v>
      </c>
      <c r="G2664">
        <v>2663</v>
      </c>
      <c r="H2664">
        <v>3394</v>
      </c>
      <c r="I2664">
        <v>98</v>
      </c>
      <c r="J2664" t="s">
        <v>148</v>
      </c>
      <c r="K2664" t="s">
        <v>47</v>
      </c>
      <c r="L2664" t="s">
        <v>112</v>
      </c>
      <c r="M2664" t="s">
        <v>56</v>
      </c>
      <c r="N2664">
        <v>2.8</v>
      </c>
      <c r="O2664">
        <v>0</v>
      </c>
      <c r="P2664" t="s">
        <v>73</v>
      </c>
      <c r="Q2664" t="s">
        <v>155</v>
      </c>
      <c r="R2664" t="s">
        <v>155</v>
      </c>
      <c r="S2664">
        <v>44</v>
      </c>
      <c r="T2664" t="s">
        <v>49</v>
      </c>
      <c r="U2664" t="s">
        <v>32</v>
      </c>
      <c r="V2664" s="1">
        <v>45518</v>
      </c>
      <c r="W2664">
        <f>Table1[[#This Row],[customer_purchase count]]+1</f>
        <v>45</v>
      </c>
      <c r="X2664">
        <f>Table1[[#This Row],[customer_purchase count]]*Rules!$B$3</f>
        <v>2629.6317948717951</v>
      </c>
      <c r="Y2664" t="str">
        <f>IF(Table1[[#This Row],[customer_subscription]]=1,"Subscribed","Not Subscribed")</f>
        <v>Not Subscribed</v>
      </c>
    </row>
    <row r="2665" spans="1:26" x14ac:dyDescent="0.25">
      <c r="A2665">
        <v>2664</v>
      </c>
      <c r="B2665">
        <v>46</v>
      </c>
      <c r="C2665" t="s">
        <v>156</v>
      </c>
      <c r="D2665">
        <v>2664</v>
      </c>
      <c r="E2665" t="s">
        <v>53</v>
      </c>
      <c r="F2665" t="s">
        <v>45</v>
      </c>
      <c r="G2665">
        <v>2664</v>
      </c>
      <c r="H2665">
        <v>3395</v>
      </c>
      <c r="I2665">
        <v>52</v>
      </c>
      <c r="J2665" t="s">
        <v>153</v>
      </c>
      <c r="K2665" t="s">
        <v>26</v>
      </c>
      <c r="L2665" t="s">
        <v>68</v>
      </c>
      <c r="M2665" t="s">
        <v>60</v>
      </c>
      <c r="N2665">
        <v>2.9</v>
      </c>
      <c r="O2665">
        <v>0</v>
      </c>
      <c r="P2665" t="s">
        <v>41</v>
      </c>
      <c r="Q2665" t="s">
        <v>155</v>
      </c>
      <c r="R2665" t="s">
        <v>155</v>
      </c>
      <c r="S2665">
        <v>23</v>
      </c>
      <c r="T2665" t="s">
        <v>78</v>
      </c>
      <c r="U2665" t="s">
        <v>52</v>
      </c>
      <c r="V2665" s="1">
        <v>45583</v>
      </c>
      <c r="W2665">
        <f>Table1[[#This Row],[customer_purchase count]]+1</f>
        <v>24</v>
      </c>
      <c r="X2665">
        <f>Table1[[#This Row],[customer_purchase count]]*Rules!$B$3</f>
        <v>1374.5802564102564</v>
      </c>
      <c r="Y2665" t="str">
        <f>IF(Table1[[#This Row],[customer_subscription]]=1,"Subscribed","Not Subscribed")</f>
        <v>Not Subscribed</v>
      </c>
    </row>
    <row r="2666" spans="1:26" x14ac:dyDescent="0.25">
      <c r="A2666">
        <v>2665</v>
      </c>
      <c r="B2666">
        <v>22</v>
      </c>
      <c r="C2666" t="s">
        <v>156</v>
      </c>
      <c r="D2666">
        <v>2665</v>
      </c>
      <c r="E2666" t="s">
        <v>109</v>
      </c>
      <c r="F2666" t="s">
        <v>70</v>
      </c>
      <c r="G2666">
        <v>2665</v>
      </c>
      <c r="H2666">
        <v>3397</v>
      </c>
      <c r="I2666">
        <v>84</v>
      </c>
      <c r="J2666" t="s">
        <v>118</v>
      </c>
      <c r="K2666" t="s">
        <v>26</v>
      </c>
      <c r="L2666" t="s">
        <v>68</v>
      </c>
      <c r="M2666" t="s">
        <v>28</v>
      </c>
      <c r="N2666">
        <v>3.2</v>
      </c>
      <c r="O2666">
        <v>0</v>
      </c>
      <c r="P2666" t="s">
        <v>77</v>
      </c>
      <c r="Q2666" t="s">
        <v>155</v>
      </c>
      <c r="R2666" t="s">
        <v>155</v>
      </c>
      <c r="S2666">
        <v>37</v>
      </c>
      <c r="T2666" t="s">
        <v>49</v>
      </c>
      <c r="U2666" t="s">
        <v>43</v>
      </c>
      <c r="V2666" s="1">
        <v>45302</v>
      </c>
      <c r="W2666">
        <f>Table1[[#This Row],[customer_purchase count]]+1</f>
        <v>38</v>
      </c>
      <c r="X2666">
        <f>Table1[[#This Row],[customer_purchase count]]*Rules!$B$3</f>
        <v>2211.2812820512822</v>
      </c>
      <c r="Y2666" t="str">
        <f>IF(Table1[[#This Row],[customer_subscription]]=1,"Subscribed","Not Subscribed")</f>
        <v>Not Subscribed</v>
      </c>
    </row>
    <row r="2667" spans="1:26" x14ac:dyDescent="0.25">
      <c r="A2667">
        <v>2666</v>
      </c>
      <c r="B2667">
        <v>70</v>
      </c>
      <c r="C2667" t="s">
        <v>156</v>
      </c>
      <c r="D2667">
        <v>2666</v>
      </c>
      <c r="E2667" t="s">
        <v>116</v>
      </c>
      <c r="F2667" t="s">
        <v>24</v>
      </c>
      <c r="G2667">
        <v>2666</v>
      </c>
      <c r="H2667">
        <v>3398</v>
      </c>
      <c r="I2667">
        <v>71</v>
      </c>
      <c r="J2667" t="s">
        <v>63</v>
      </c>
      <c r="K2667" t="s">
        <v>26</v>
      </c>
      <c r="L2667" t="s">
        <v>111</v>
      </c>
      <c r="M2667" t="s">
        <v>28</v>
      </c>
      <c r="N2667">
        <v>3.5</v>
      </c>
      <c r="O2667">
        <v>0</v>
      </c>
      <c r="P2667" t="s">
        <v>77</v>
      </c>
      <c r="Q2667" t="s">
        <v>155</v>
      </c>
      <c r="R2667" t="s">
        <v>155</v>
      </c>
      <c r="S2667">
        <v>4</v>
      </c>
      <c r="T2667" t="s">
        <v>31</v>
      </c>
      <c r="U2667" t="s">
        <v>43</v>
      </c>
      <c r="V2667" s="1">
        <v>45334</v>
      </c>
      <c r="W2667">
        <f>Table1[[#This Row],[customer_purchase count]]+1</f>
        <v>5</v>
      </c>
      <c r="X2667">
        <f>Table1[[#This Row],[customer_purchase count]]*Rules!$B$3</f>
        <v>239.05743589743591</v>
      </c>
      <c r="Y2667" t="str">
        <f>IF(Table1[[#This Row],[customer_subscription]]=1,"Subscribed","Not Subscribed")</f>
        <v>Not Subscribed</v>
      </c>
      <c r="Z2667" t="s">
        <v>194</v>
      </c>
    </row>
    <row r="2668" spans="1:26" x14ac:dyDescent="0.25">
      <c r="A2668">
        <v>2667</v>
      </c>
      <c r="B2668">
        <v>49</v>
      </c>
      <c r="C2668" t="s">
        <v>156</v>
      </c>
      <c r="D2668">
        <v>2667</v>
      </c>
      <c r="E2668" t="s">
        <v>44</v>
      </c>
      <c r="F2668" t="s">
        <v>45</v>
      </c>
      <c r="G2668">
        <v>2667</v>
      </c>
      <c r="H2668">
        <v>3399</v>
      </c>
      <c r="I2668">
        <v>95</v>
      </c>
      <c r="J2668" t="s">
        <v>126</v>
      </c>
      <c r="K2668" t="s">
        <v>39</v>
      </c>
      <c r="L2668" t="s">
        <v>113</v>
      </c>
      <c r="M2668" t="s">
        <v>28</v>
      </c>
      <c r="N2668">
        <v>4.0999999999999996</v>
      </c>
      <c r="O2668">
        <v>0</v>
      </c>
      <c r="P2668" t="s">
        <v>77</v>
      </c>
      <c r="Q2668" t="s">
        <v>155</v>
      </c>
      <c r="R2668" t="s">
        <v>155</v>
      </c>
      <c r="S2668">
        <v>14</v>
      </c>
      <c r="T2668" t="s">
        <v>31</v>
      </c>
      <c r="U2668" t="s">
        <v>32</v>
      </c>
      <c r="V2668" s="1">
        <v>45643</v>
      </c>
      <c r="W2668">
        <f>Table1[[#This Row],[customer_purchase count]]+1</f>
        <v>15</v>
      </c>
      <c r="X2668">
        <f>Table1[[#This Row],[customer_purchase count]]*Rules!$B$3</f>
        <v>836.70102564102569</v>
      </c>
      <c r="Y2668" t="str">
        <f>IF(Table1[[#This Row],[customer_subscription]]=1,"Subscribed","Not Subscribed")</f>
        <v>Not Subscribed</v>
      </c>
      <c r="Z2668" t="s">
        <v>194</v>
      </c>
    </row>
    <row r="2669" spans="1:26" x14ac:dyDescent="0.25">
      <c r="A2669">
        <v>2668</v>
      </c>
      <c r="B2669">
        <v>48</v>
      </c>
      <c r="C2669" t="s">
        <v>156</v>
      </c>
      <c r="D2669">
        <v>2668</v>
      </c>
      <c r="E2669" t="s">
        <v>140</v>
      </c>
      <c r="F2669" t="s">
        <v>45</v>
      </c>
      <c r="G2669">
        <v>2668</v>
      </c>
      <c r="H2669">
        <v>3400</v>
      </c>
      <c r="I2669">
        <v>47</v>
      </c>
      <c r="J2669" t="s">
        <v>131</v>
      </c>
      <c r="K2669" t="s">
        <v>47</v>
      </c>
      <c r="L2669" t="s">
        <v>124</v>
      </c>
      <c r="M2669" t="s">
        <v>56</v>
      </c>
      <c r="N2669">
        <v>4.0999999999999996</v>
      </c>
      <c r="O2669">
        <v>0</v>
      </c>
      <c r="P2669" t="s">
        <v>41</v>
      </c>
      <c r="Q2669" t="s">
        <v>155</v>
      </c>
      <c r="R2669" t="s">
        <v>155</v>
      </c>
      <c r="S2669">
        <v>31</v>
      </c>
      <c r="T2669" t="s">
        <v>36</v>
      </c>
      <c r="U2669" t="s">
        <v>32</v>
      </c>
      <c r="V2669" s="1">
        <v>45490</v>
      </c>
      <c r="W2669">
        <f>Table1[[#This Row],[customer_purchase count]]+1</f>
        <v>32</v>
      </c>
      <c r="X2669">
        <f>Table1[[#This Row],[customer_purchase count]]*Rules!$B$3</f>
        <v>1852.6951282051282</v>
      </c>
      <c r="Y2669" t="str">
        <f>IF(Table1[[#This Row],[customer_subscription]]=1,"Subscribed","Not Subscribed")</f>
        <v>Not Subscribed</v>
      </c>
    </row>
    <row r="2670" spans="1:26" x14ac:dyDescent="0.25">
      <c r="A2670">
        <v>2669</v>
      </c>
      <c r="B2670">
        <v>59</v>
      </c>
      <c r="C2670" t="s">
        <v>156</v>
      </c>
      <c r="D2670">
        <v>2669</v>
      </c>
      <c r="E2670" t="s">
        <v>65</v>
      </c>
      <c r="F2670" t="s">
        <v>66</v>
      </c>
      <c r="G2670">
        <v>2669</v>
      </c>
      <c r="H2670">
        <v>3401</v>
      </c>
      <c r="I2670">
        <v>75</v>
      </c>
      <c r="J2670" t="s">
        <v>108</v>
      </c>
      <c r="K2670" t="s">
        <v>47</v>
      </c>
      <c r="L2670" t="s">
        <v>97</v>
      </c>
      <c r="M2670" t="s">
        <v>56</v>
      </c>
      <c r="N2670">
        <v>4.8</v>
      </c>
      <c r="O2670">
        <v>0</v>
      </c>
      <c r="P2670" t="s">
        <v>48</v>
      </c>
      <c r="Q2670" t="s">
        <v>155</v>
      </c>
      <c r="R2670" t="s">
        <v>155</v>
      </c>
      <c r="S2670">
        <v>9</v>
      </c>
      <c r="T2670" t="s">
        <v>49</v>
      </c>
      <c r="U2670" t="s">
        <v>61</v>
      </c>
      <c r="V2670" s="1">
        <v>45480</v>
      </c>
      <c r="W2670">
        <f>Table1[[#This Row],[customer_purchase count]]+1</f>
        <v>10</v>
      </c>
      <c r="X2670">
        <f>Table1[[#This Row],[customer_purchase count]]*Rules!$B$3</f>
        <v>537.87923076923084</v>
      </c>
      <c r="Y2670" t="str">
        <f>IF(Table1[[#This Row],[customer_subscription]]=1,"Subscribed","Not Subscribed")</f>
        <v>Not Subscribed</v>
      </c>
      <c r="Z2670" t="s">
        <v>194</v>
      </c>
    </row>
    <row r="2671" spans="1:26" x14ac:dyDescent="0.25">
      <c r="A2671">
        <v>2670</v>
      </c>
      <c r="B2671">
        <v>39</v>
      </c>
      <c r="C2671" t="s">
        <v>156</v>
      </c>
      <c r="D2671">
        <v>2670</v>
      </c>
      <c r="E2671" t="s">
        <v>136</v>
      </c>
      <c r="F2671" t="s">
        <v>70</v>
      </c>
      <c r="G2671">
        <v>2670</v>
      </c>
      <c r="H2671">
        <v>3403</v>
      </c>
      <c r="I2671">
        <v>28</v>
      </c>
      <c r="J2671" t="s">
        <v>118</v>
      </c>
      <c r="K2671" t="s">
        <v>26</v>
      </c>
      <c r="L2671" t="s">
        <v>88</v>
      </c>
      <c r="M2671" t="s">
        <v>40</v>
      </c>
      <c r="N2671">
        <v>2.8</v>
      </c>
      <c r="O2671">
        <v>0</v>
      </c>
      <c r="P2671" t="s">
        <v>41</v>
      </c>
      <c r="Q2671" t="s">
        <v>155</v>
      </c>
      <c r="R2671" t="s">
        <v>155</v>
      </c>
      <c r="S2671">
        <v>31</v>
      </c>
      <c r="T2671" t="s">
        <v>42</v>
      </c>
      <c r="U2671" t="s">
        <v>43</v>
      </c>
      <c r="V2671" s="1">
        <v>45391</v>
      </c>
      <c r="W2671">
        <f>Table1[[#This Row],[customer_purchase count]]+1</f>
        <v>32</v>
      </c>
      <c r="X2671">
        <f>Table1[[#This Row],[customer_purchase count]]*Rules!$B$3</f>
        <v>1852.6951282051282</v>
      </c>
      <c r="Y2671" t="str">
        <f>IF(Table1[[#This Row],[customer_subscription]]=1,"Subscribed","Not Subscribed")</f>
        <v>Not Subscribed</v>
      </c>
    </row>
    <row r="2672" spans="1:26" x14ac:dyDescent="0.25">
      <c r="A2672">
        <v>2671</v>
      </c>
      <c r="B2672">
        <v>30</v>
      </c>
      <c r="C2672" t="s">
        <v>156</v>
      </c>
      <c r="D2672">
        <v>2671</v>
      </c>
      <c r="E2672" t="s">
        <v>92</v>
      </c>
      <c r="F2672" t="s">
        <v>70</v>
      </c>
      <c r="G2672">
        <v>2671</v>
      </c>
      <c r="H2672">
        <v>3404</v>
      </c>
      <c r="I2672">
        <v>44</v>
      </c>
      <c r="J2672" t="s">
        <v>141</v>
      </c>
      <c r="K2672" t="s">
        <v>47</v>
      </c>
      <c r="L2672" t="s">
        <v>137</v>
      </c>
      <c r="M2672" t="s">
        <v>60</v>
      </c>
      <c r="N2672">
        <v>4.7</v>
      </c>
      <c r="O2672">
        <v>0</v>
      </c>
      <c r="P2672" t="s">
        <v>29</v>
      </c>
      <c r="Q2672" t="s">
        <v>155</v>
      </c>
      <c r="R2672" t="s">
        <v>155</v>
      </c>
      <c r="S2672">
        <v>26</v>
      </c>
      <c r="T2672" t="s">
        <v>78</v>
      </c>
      <c r="U2672" t="s">
        <v>79</v>
      </c>
      <c r="V2672" s="1">
        <v>45624</v>
      </c>
      <c r="W2672">
        <f>Table1[[#This Row],[customer_purchase count]]+1</f>
        <v>27</v>
      </c>
      <c r="X2672">
        <f>Table1[[#This Row],[customer_purchase count]]*Rules!$B$3</f>
        <v>1553.8733333333334</v>
      </c>
      <c r="Y2672" t="str">
        <f>IF(Table1[[#This Row],[customer_subscription]]=1,"Subscribed","Not Subscribed")</f>
        <v>Not Subscribed</v>
      </c>
    </row>
    <row r="2673" spans="1:26" x14ac:dyDescent="0.25">
      <c r="A2673">
        <v>2672</v>
      </c>
      <c r="B2673">
        <v>37</v>
      </c>
      <c r="C2673" t="s">
        <v>156</v>
      </c>
      <c r="D2673">
        <v>2672</v>
      </c>
      <c r="E2673" t="s">
        <v>44</v>
      </c>
      <c r="F2673" t="s">
        <v>45</v>
      </c>
      <c r="G2673">
        <v>2672</v>
      </c>
      <c r="H2673">
        <v>3405</v>
      </c>
      <c r="I2673">
        <v>64</v>
      </c>
      <c r="J2673" t="s">
        <v>93</v>
      </c>
      <c r="K2673" t="s">
        <v>95</v>
      </c>
      <c r="L2673" t="s">
        <v>27</v>
      </c>
      <c r="M2673" t="s">
        <v>28</v>
      </c>
      <c r="N2673">
        <v>4.8</v>
      </c>
      <c r="O2673">
        <v>0</v>
      </c>
      <c r="P2673" t="s">
        <v>73</v>
      </c>
      <c r="Q2673" t="s">
        <v>155</v>
      </c>
      <c r="R2673" t="s">
        <v>155</v>
      </c>
      <c r="S2673">
        <v>41</v>
      </c>
      <c r="T2673" t="s">
        <v>49</v>
      </c>
      <c r="U2673" t="s">
        <v>100</v>
      </c>
      <c r="V2673" s="1">
        <v>45304</v>
      </c>
      <c r="W2673">
        <f>Table1[[#This Row],[customer_purchase count]]+1</f>
        <v>42</v>
      </c>
      <c r="X2673">
        <f>Table1[[#This Row],[customer_purchase count]]*Rules!$B$3</f>
        <v>2450.3387179487181</v>
      </c>
      <c r="Y2673" t="str">
        <f>IF(Table1[[#This Row],[customer_subscription]]=1,"Subscribed","Not Subscribed")</f>
        <v>Not Subscribed</v>
      </c>
    </row>
    <row r="2674" spans="1:26" x14ac:dyDescent="0.25">
      <c r="A2674">
        <v>2673</v>
      </c>
      <c r="B2674">
        <v>56</v>
      </c>
      <c r="C2674" t="s">
        <v>156</v>
      </c>
      <c r="D2674">
        <v>2673</v>
      </c>
      <c r="E2674" t="s">
        <v>140</v>
      </c>
      <c r="F2674" t="s">
        <v>45</v>
      </c>
      <c r="G2674">
        <v>2673</v>
      </c>
      <c r="H2674">
        <v>3406</v>
      </c>
      <c r="I2674">
        <v>28</v>
      </c>
      <c r="J2674" t="s">
        <v>67</v>
      </c>
      <c r="K2674" t="s">
        <v>47</v>
      </c>
      <c r="L2674" t="s">
        <v>35</v>
      </c>
      <c r="M2674" t="s">
        <v>40</v>
      </c>
      <c r="N2674">
        <v>2.9</v>
      </c>
      <c r="O2674">
        <v>0</v>
      </c>
      <c r="P2674" t="s">
        <v>57</v>
      </c>
      <c r="Q2674" t="s">
        <v>155</v>
      </c>
      <c r="R2674" t="s">
        <v>155</v>
      </c>
      <c r="S2674">
        <v>13</v>
      </c>
      <c r="T2674" t="s">
        <v>36</v>
      </c>
      <c r="U2674" t="s">
        <v>52</v>
      </c>
      <c r="V2674" s="1">
        <v>45375</v>
      </c>
      <c r="W2674">
        <f>Table1[[#This Row],[customer_purchase count]]+1</f>
        <v>14</v>
      </c>
      <c r="X2674">
        <f>Table1[[#This Row],[customer_purchase count]]*Rules!$B$3</f>
        <v>776.93666666666672</v>
      </c>
      <c r="Y2674" t="str">
        <f>IF(Table1[[#This Row],[customer_subscription]]=1,"Subscribed","Not Subscribed")</f>
        <v>Not Subscribed</v>
      </c>
      <c r="Z2674" t="s">
        <v>194</v>
      </c>
    </row>
    <row r="2675" spans="1:26" x14ac:dyDescent="0.25">
      <c r="A2675">
        <v>2674</v>
      </c>
      <c r="B2675">
        <v>67</v>
      </c>
      <c r="C2675" t="s">
        <v>156</v>
      </c>
      <c r="D2675">
        <v>2674</v>
      </c>
      <c r="E2675" t="s">
        <v>107</v>
      </c>
      <c r="F2675" t="s">
        <v>24</v>
      </c>
      <c r="G2675">
        <v>2674</v>
      </c>
      <c r="H2675">
        <v>3407</v>
      </c>
      <c r="I2675">
        <v>21</v>
      </c>
      <c r="J2675" t="s">
        <v>110</v>
      </c>
      <c r="K2675" t="s">
        <v>47</v>
      </c>
      <c r="L2675" t="s">
        <v>81</v>
      </c>
      <c r="M2675" t="s">
        <v>56</v>
      </c>
      <c r="N2675">
        <v>2.6</v>
      </c>
      <c r="O2675">
        <v>0</v>
      </c>
      <c r="P2675" t="s">
        <v>73</v>
      </c>
      <c r="Q2675" t="s">
        <v>155</v>
      </c>
      <c r="R2675" t="s">
        <v>155</v>
      </c>
      <c r="S2675">
        <v>4</v>
      </c>
      <c r="T2675" t="s">
        <v>36</v>
      </c>
      <c r="U2675" t="s">
        <v>91</v>
      </c>
      <c r="V2675" s="1">
        <v>45469</v>
      </c>
      <c r="W2675">
        <f>Table1[[#This Row],[customer_purchase count]]+1</f>
        <v>5</v>
      </c>
      <c r="X2675">
        <f>Table1[[#This Row],[customer_purchase count]]*Rules!$B$3</f>
        <v>239.05743589743591</v>
      </c>
      <c r="Y2675" t="str">
        <f>IF(Table1[[#This Row],[customer_subscription]]=1,"Subscribed","Not Subscribed")</f>
        <v>Not Subscribed</v>
      </c>
      <c r="Z2675" t="s">
        <v>194</v>
      </c>
    </row>
    <row r="2676" spans="1:26" x14ac:dyDescent="0.25">
      <c r="A2676">
        <v>2675</v>
      </c>
      <c r="B2676">
        <v>40</v>
      </c>
      <c r="C2676" t="s">
        <v>156</v>
      </c>
      <c r="D2676">
        <v>2675</v>
      </c>
      <c r="E2676" t="s">
        <v>127</v>
      </c>
      <c r="F2676" t="s">
        <v>70</v>
      </c>
      <c r="G2676">
        <v>2675</v>
      </c>
      <c r="H2676">
        <v>3409</v>
      </c>
      <c r="I2676">
        <v>41</v>
      </c>
      <c r="J2676" t="s">
        <v>106</v>
      </c>
      <c r="K2676" t="s">
        <v>39</v>
      </c>
      <c r="L2676" t="s">
        <v>64</v>
      </c>
      <c r="M2676" t="s">
        <v>60</v>
      </c>
      <c r="N2676">
        <v>3.3</v>
      </c>
      <c r="O2676">
        <v>0</v>
      </c>
      <c r="P2676" t="s">
        <v>29</v>
      </c>
      <c r="Q2676" t="s">
        <v>155</v>
      </c>
      <c r="R2676" t="s">
        <v>155</v>
      </c>
      <c r="S2676">
        <v>15</v>
      </c>
      <c r="T2676" t="s">
        <v>36</v>
      </c>
      <c r="U2676" t="s">
        <v>100</v>
      </c>
      <c r="V2676" s="1">
        <v>45584</v>
      </c>
      <c r="W2676">
        <f>Table1[[#This Row],[customer_purchase count]]+1</f>
        <v>16</v>
      </c>
      <c r="X2676">
        <f>Table1[[#This Row],[customer_purchase count]]*Rules!$B$3</f>
        <v>896.46538461538466</v>
      </c>
      <c r="Y2676" t="str">
        <f>IF(Table1[[#This Row],[customer_subscription]]=1,"Subscribed","Not Subscribed")</f>
        <v>Not Subscribed</v>
      </c>
      <c r="Z2676" t="s">
        <v>194</v>
      </c>
    </row>
    <row r="2677" spans="1:26" x14ac:dyDescent="0.25">
      <c r="A2677">
        <v>2676</v>
      </c>
      <c r="B2677">
        <v>24</v>
      </c>
      <c r="C2677" t="s">
        <v>156</v>
      </c>
      <c r="D2677">
        <v>2676</v>
      </c>
      <c r="E2677" t="s">
        <v>62</v>
      </c>
      <c r="F2677" t="s">
        <v>24</v>
      </c>
      <c r="G2677">
        <v>2676</v>
      </c>
      <c r="H2677">
        <v>3410</v>
      </c>
      <c r="I2677">
        <v>38</v>
      </c>
      <c r="J2677" t="s">
        <v>144</v>
      </c>
      <c r="K2677" t="s">
        <v>47</v>
      </c>
      <c r="L2677" t="s">
        <v>103</v>
      </c>
      <c r="M2677" t="s">
        <v>28</v>
      </c>
      <c r="N2677">
        <v>3.4</v>
      </c>
      <c r="O2677">
        <v>0</v>
      </c>
      <c r="P2677" t="s">
        <v>41</v>
      </c>
      <c r="Q2677" t="s">
        <v>155</v>
      </c>
      <c r="R2677" t="s">
        <v>155</v>
      </c>
      <c r="S2677">
        <v>38</v>
      </c>
      <c r="T2677" t="s">
        <v>36</v>
      </c>
      <c r="U2677" t="s">
        <v>79</v>
      </c>
      <c r="V2677" s="1">
        <v>45334</v>
      </c>
      <c r="W2677">
        <f>Table1[[#This Row],[customer_purchase count]]+1</f>
        <v>39</v>
      </c>
      <c r="X2677">
        <f>Table1[[#This Row],[customer_purchase count]]*Rules!$B$3</f>
        <v>2271.0456410256411</v>
      </c>
      <c r="Y2677" t="str">
        <f>IF(Table1[[#This Row],[customer_subscription]]=1,"Subscribed","Not Subscribed")</f>
        <v>Not Subscribed</v>
      </c>
    </row>
    <row r="2678" spans="1:26" x14ac:dyDescent="0.25">
      <c r="A2678">
        <v>2677</v>
      </c>
      <c r="B2678">
        <v>43</v>
      </c>
      <c r="C2678" t="s">
        <v>156</v>
      </c>
      <c r="D2678">
        <v>2677</v>
      </c>
      <c r="E2678" t="s">
        <v>135</v>
      </c>
      <c r="F2678" t="s">
        <v>70</v>
      </c>
      <c r="G2678">
        <v>2677</v>
      </c>
      <c r="H2678">
        <v>3411</v>
      </c>
      <c r="I2678">
        <v>77</v>
      </c>
      <c r="J2678" t="s">
        <v>25</v>
      </c>
      <c r="K2678" t="s">
        <v>47</v>
      </c>
      <c r="L2678" t="s">
        <v>35</v>
      </c>
      <c r="M2678" t="s">
        <v>40</v>
      </c>
      <c r="N2678">
        <v>3.6</v>
      </c>
      <c r="O2678">
        <v>0</v>
      </c>
      <c r="P2678" t="s">
        <v>41</v>
      </c>
      <c r="Q2678" t="s">
        <v>155</v>
      </c>
      <c r="R2678" t="s">
        <v>155</v>
      </c>
      <c r="S2678">
        <v>3</v>
      </c>
      <c r="T2678" t="s">
        <v>36</v>
      </c>
      <c r="U2678" t="s">
        <v>32</v>
      </c>
      <c r="V2678" s="1">
        <v>45356</v>
      </c>
      <c r="W2678">
        <f>Table1[[#This Row],[customer_purchase count]]+1</f>
        <v>4</v>
      </c>
      <c r="X2678">
        <f>Table1[[#This Row],[customer_purchase count]]*Rules!$B$3</f>
        <v>179.29307692307694</v>
      </c>
      <c r="Y2678" t="str">
        <f>IF(Table1[[#This Row],[customer_subscription]]=1,"Subscribed","Not Subscribed")</f>
        <v>Not Subscribed</v>
      </c>
      <c r="Z2678" t="s">
        <v>194</v>
      </c>
    </row>
    <row r="2679" spans="1:26" x14ac:dyDescent="0.25">
      <c r="A2679">
        <v>2678</v>
      </c>
      <c r="B2679">
        <v>45</v>
      </c>
      <c r="C2679" t="s">
        <v>156</v>
      </c>
      <c r="D2679">
        <v>2678</v>
      </c>
      <c r="E2679" t="s">
        <v>62</v>
      </c>
      <c r="F2679" t="s">
        <v>24</v>
      </c>
      <c r="G2679">
        <v>2678</v>
      </c>
      <c r="H2679">
        <v>3412</v>
      </c>
      <c r="I2679">
        <v>43</v>
      </c>
      <c r="J2679" t="s">
        <v>142</v>
      </c>
      <c r="K2679" t="s">
        <v>26</v>
      </c>
      <c r="L2679" t="s">
        <v>81</v>
      </c>
      <c r="M2679" t="s">
        <v>40</v>
      </c>
      <c r="N2679">
        <v>3.8</v>
      </c>
      <c r="O2679">
        <v>0</v>
      </c>
      <c r="P2679" t="s">
        <v>48</v>
      </c>
      <c r="Q2679" t="s">
        <v>155</v>
      </c>
      <c r="R2679" t="s">
        <v>155</v>
      </c>
      <c r="S2679">
        <v>6</v>
      </c>
      <c r="T2679" t="s">
        <v>49</v>
      </c>
      <c r="U2679" t="s">
        <v>100</v>
      </c>
      <c r="V2679" s="1">
        <v>45393</v>
      </c>
      <c r="W2679">
        <f>Table1[[#This Row],[customer_purchase count]]+1</f>
        <v>7</v>
      </c>
      <c r="X2679">
        <f>Table1[[#This Row],[customer_purchase count]]*Rules!$B$3</f>
        <v>358.58615384615388</v>
      </c>
      <c r="Y2679" t="str">
        <f>IF(Table1[[#This Row],[customer_subscription]]=1,"Subscribed","Not Subscribed")</f>
        <v>Not Subscribed</v>
      </c>
      <c r="Z2679" t="s">
        <v>194</v>
      </c>
    </row>
    <row r="2680" spans="1:26" x14ac:dyDescent="0.25">
      <c r="A2680">
        <v>2679</v>
      </c>
      <c r="B2680">
        <v>33</v>
      </c>
      <c r="C2680" t="s">
        <v>156</v>
      </c>
      <c r="D2680">
        <v>2679</v>
      </c>
      <c r="E2680" t="s">
        <v>136</v>
      </c>
      <c r="F2680" t="s">
        <v>70</v>
      </c>
      <c r="G2680">
        <v>2679</v>
      </c>
      <c r="H2680">
        <v>3413</v>
      </c>
      <c r="I2680">
        <v>91</v>
      </c>
      <c r="J2680" t="s">
        <v>59</v>
      </c>
      <c r="K2680" t="s">
        <v>47</v>
      </c>
      <c r="L2680" t="s">
        <v>139</v>
      </c>
      <c r="M2680" t="s">
        <v>40</v>
      </c>
      <c r="N2680">
        <v>3.4</v>
      </c>
      <c r="O2680">
        <v>0</v>
      </c>
      <c r="P2680" t="s">
        <v>73</v>
      </c>
      <c r="Q2680" t="s">
        <v>155</v>
      </c>
      <c r="R2680" t="s">
        <v>155</v>
      </c>
      <c r="S2680">
        <v>34</v>
      </c>
      <c r="T2680" t="s">
        <v>42</v>
      </c>
      <c r="U2680" t="s">
        <v>79</v>
      </c>
      <c r="V2680" s="1">
        <v>45395</v>
      </c>
      <c r="W2680">
        <f>Table1[[#This Row],[customer_purchase count]]+1</f>
        <v>35</v>
      </c>
      <c r="X2680">
        <f>Table1[[#This Row],[customer_purchase count]]*Rules!$B$3</f>
        <v>2031.9882051282052</v>
      </c>
      <c r="Y2680" t="str">
        <f>IF(Table1[[#This Row],[customer_subscription]]=1,"Subscribed","Not Subscribed")</f>
        <v>Not Subscribed</v>
      </c>
    </row>
    <row r="2681" spans="1:26" x14ac:dyDescent="0.25">
      <c r="A2681">
        <v>2680</v>
      </c>
      <c r="B2681">
        <v>53</v>
      </c>
      <c r="C2681" t="s">
        <v>156</v>
      </c>
      <c r="D2681">
        <v>2680</v>
      </c>
      <c r="E2681" t="s">
        <v>62</v>
      </c>
      <c r="F2681" t="s">
        <v>24</v>
      </c>
      <c r="G2681">
        <v>2680</v>
      </c>
      <c r="H2681">
        <v>3415</v>
      </c>
      <c r="I2681">
        <v>68</v>
      </c>
      <c r="J2681" t="s">
        <v>59</v>
      </c>
      <c r="K2681" t="s">
        <v>39</v>
      </c>
      <c r="L2681" t="s">
        <v>137</v>
      </c>
      <c r="M2681" t="s">
        <v>40</v>
      </c>
      <c r="N2681">
        <v>3.8</v>
      </c>
      <c r="O2681">
        <v>0</v>
      </c>
      <c r="P2681" t="s">
        <v>29</v>
      </c>
      <c r="Q2681" t="s">
        <v>155</v>
      </c>
      <c r="R2681" t="s">
        <v>155</v>
      </c>
      <c r="S2681">
        <v>7</v>
      </c>
      <c r="T2681" t="s">
        <v>89</v>
      </c>
      <c r="U2681" t="s">
        <v>61</v>
      </c>
      <c r="V2681" s="1">
        <v>45416</v>
      </c>
      <c r="W2681">
        <f>Table1[[#This Row],[customer_purchase count]]+1</f>
        <v>8</v>
      </c>
      <c r="X2681">
        <f>Table1[[#This Row],[customer_purchase count]]*Rules!$B$3</f>
        <v>418.35051282051285</v>
      </c>
      <c r="Y2681" t="str">
        <f>IF(Table1[[#This Row],[customer_subscription]]=1,"Subscribed","Not Subscribed")</f>
        <v>Not Subscribed</v>
      </c>
      <c r="Z2681" t="s">
        <v>194</v>
      </c>
    </row>
    <row r="2682" spans="1:26" x14ac:dyDescent="0.25">
      <c r="A2682">
        <v>2681</v>
      </c>
      <c r="B2682">
        <v>44</v>
      </c>
      <c r="C2682" t="s">
        <v>156</v>
      </c>
      <c r="D2682">
        <v>2681</v>
      </c>
      <c r="E2682" t="s">
        <v>128</v>
      </c>
      <c r="F2682" t="s">
        <v>24</v>
      </c>
      <c r="G2682">
        <v>2681</v>
      </c>
      <c r="H2682">
        <v>3416</v>
      </c>
      <c r="I2682">
        <v>37</v>
      </c>
      <c r="J2682" t="s">
        <v>148</v>
      </c>
      <c r="K2682" t="s">
        <v>26</v>
      </c>
      <c r="L2682" t="s">
        <v>129</v>
      </c>
      <c r="M2682" t="s">
        <v>60</v>
      </c>
      <c r="N2682">
        <v>3.3</v>
      </c>
      <c r="O2682">
        <v>0</v>
      </c>
      <c r="P2682" t="s">
        <v>48</v>
      </c>
      <c r="Q2682" t="s">
        <v>155</v>
      </c>
      <c r="R2682" t="s">
        <v>155</v>
      </c>
      <c r="S2682">
        <v>21</v>
      </c>
      <c r="T2682" t="s">
        <v>31</v>
      </c>
      <c r="U2682" t="s">
        <v>52</v>
      </c>
      <c r="V2682" s="1">
        <v>45539</v>
      </c>
      <c r="W2682">
        <f>Table1[[#This Row],[customer_purchase count]]+1</f>
        <v>22</v>
      </c>
      <c r="X2682">
        <f>Table1[[#This Row],[customer_purchase count]]*Rules!$B$3</f>
        <v>1255.0515384615385</v>
      </c>
      <c r="Y2682" t="str">
        <f>IF(Table1[[#This Row],[customer_subscription]]=1,"Subscribed","Not Subscribed")</f>
        <v>Not Subscribed</v>
      </c>
    </row>
    <row r="2683" spans="1:26" x14ac:dyDescent="0.25">
      <c r="A2683">
        <v>2682</v>
      </c>
      <c r="B2683">
        <v>23</v>
      </c>
      <c r="C2683" t="s">
        <v>156</v>
      </c>
      <c r="D2683">
        <v>2682</v>
      </c>
      <c r="E2683" t="s">
        <v>74</v>
      </c>
      <c r="F2683" t="s">
        <v>45</v>
      </c>
      <c r="G2683">
        <v>2682</v>
      </c>
      <c r="H2683">
        <v>3417</v>
      </c>
      <c r="I2683">
        <v>23</v>
      </c>
      <c r="J2683" t="s">
        <v>38</v>
      </c>
      <c r="K2683" t="s">
        <v>26</v>
      </c>
      <c r="L2683" t="s">
        <v>81</v>
      </c>
      <c r="M2683" t="s">
        <v>56</v>
      </c>
      <c r="N2683">
        <v>4.8</v>
      </c>
      <c r="O2683">
        <v>0</v>
      </c>
      <c r="P2683" t="s">
        <v>57</v>
      </c>
      <c r="Q2683" t="s">
        <v>155</v>
      </c>
      <c r="R2683" t="s">
        <v>155</v>
      </c>
      <c r="S2683">
        <v>17</v>
      </c>
      <c r="T2683" t="s">
        <v>89</v>
      </c>
      <c r="U2683" t="s">
        <v>91</v>
      </c>
      <c r="V2683" s="1">
        <v>45510</v>
      </c>
      <c r="W2683">
        <f>Table1[[#This Row],[customer_purchase count]]+1</f>
        <v>18</v>
      </c>
      <c r="X2683">
        <f>Table1[[#This Row],[customer_purchase count]]*Rules!$B$3</f>
        <v>1015.9941025641026</v>
      </c>
      <c r="Y2683" t="str">
        <f>IF(Table1[[#This Row],[customer_subscription]]=1,"Subscribed","Not Subscribed")</f>
        <v>Not Subscribed</v>
      </c>
      <c r="Z2683" t="s">
        <v>187</v>
      </c>
    </row>
    <row r="2684" spans="1:26" x14ac:dyDescent="0.25">
      <c r="A2684">
        <v>2683</v>
      </c>
      <c r="B2684">
        <v>59</v>
      </c>
      <c r="C2684" t="s">
        <v>156</v>
      </c>
      <c r="D2684">
        <v>2683</v>
      </c>
      <c r="E2684" t="s">
        <v>53</v>
      </c>
      <c r="F2684" t="s">
        <v>45</v>
      </c>
      <c r="G2684">
        <v>2683</v>
      </c>
      <c r="H2684">
        <v>3418</v>
      </c>
      <c r="I2684">
        <v>65</v>
      </c>
      <c r="J2684" t="s">
        <v>101</v>
      </c>
      <c r="K2684" t="s">
        <v>26</v>
      </c>
      <c r="L2684" t="s">
        <v>35</v>
      </c>
      <c r="M2684" t="s">
        <v>28</v>
      </c>
      <c r="N2684">
        <v>3.9</v>
      </c>
      <c r="O2684">
        <v>0</v>
      </c>
      <c r="P2684" t="s">
        <v>73</v>
      </c>
      <c r="Q2684" t="s">
        <v>155</v>
      </c>
      <c r="R2684" t="s">
        <v>155</v>
      </c>
      <c r="S2684">
        <v>5</v>
      </c>
      <c r="T2684" t="s">
        <v>31</v>
      </c>
      <c r="U2684" t="s">
        <v>100</v>
      </c>
      <c r="V2684" s="1">
        <v>45635</v>
      </c>
      <c r="W2684">
        <f>Table1[[#This Row],[customer_purchase count]]+1</f>
        <v>6</v>
      </c>
      <c r="X2684">
        <f>Table1[[#This Row],[customer_purchase count]]*Rules!$B$3</f>
        <v>298.82179487179491</v>
      </c>
      <c r="Y2684" t="str">
        <f>IF(Table1[[#This Row],[customer_subscription]]=1,"Subscribed","Not Subscribed")</f>
        <v>Not Subscribed</v>
      </c>
      <c r="Z2684" t="s">
        <v>194</v>
      </c>
    </row>
    <row r="2685" spans="1:26" x14ac:dyDescent="0.25">
      <c r="A2685">
        <v>2684</v>
      </c>
      <c r="B2685">
        <v>68</v>
      </c>
      <c r="C2685" t="s">
        <v>156</v>
      </c>
      <c r="D2685">
        <v>2684</v>
      </c>
      <c r="E2685" t="s">
        <v>135</v>
      </c>
      <c r="F2685" t="s">
        <v>70</v>
      </c>
      <c r="G2685">
        <v>2684</v>
      </c>
      <c r="H2685">
        <v>3419</v>
      </c>
      <c r="I2685">
        <v>30</v>
      </c>
      <c r="J2685" t="s">
        <v>59</v>
      </c>
      <c r="K2685" t="s">
        <v>47</v>
      </c>
      <c r="L2685" t="s">
        <v>129</v>
      </c>
      <c r="M2685" t="s">
        <v>56</v>
      </c>
      <c r="N2685">
        <v>4.2</v>
      </c>
      <c r="O2685">
        <v>0</v>
      </c>
      <c r="P2685" t="s">
        <v>48</v>
      </c>
      <c r="Q2685" t="s">
        <v>155</v>
      </c>
      <c r="R2685" t="s">
        <v>155</v>
      </c>
      <c r="S2685">
        <v>21</v>
      </c>
      <c r="T2685" t="s">
        <v>36</v>
      </c>
      <c r="U2685" t="s">
        <v>32</v>
      </c>
      <c r="V2685" s="1">
        <v>45456</v>
      </c>
      <c r="W2685">
        <f>Table1[[#This Row],[customer_purchase count]]+1</f>
        <v>22</v>
      </c>
      <c r="X2685">
        <f>Table1[[#This Row],[customer_purchase count]]*Rules!$B$3</f>
        <v>1255.0515384615385</v>
      </c>
      <c r="Y2685" t="str">
        <f>IF(Table1[[#This Row],[customer_subscription]]=1,"Subscribed","Not Subscribed")</f>
        <v>Not Subscribed</v>
      </c>
    </row>
    <row r="2686" spans="1:26" x14ac:dyDescent="0.25">
      <c r="A2686">
        <v>2685</v>
      </c>
      <c r="B2686">
        <v>46</v>
      </c>
      <c r="C2686" t="s">
        <v>156</v>
      </c>
      <c r="D2686">
        <v>2685</v>
      </c>
      <c r="E2686" t="s">
        <v>84</v>
      </c>
      <c r="F2686" t="s">
        <v>24</v>
      </c>
      <c r="G2686">
        <v>2685</v>
      </c>
      <c r="H2686">
        <v>3421</v>
      </c>
      <c r="I2686">
        <v>45</v>
      </c>
      <c r="J2686" t="s">
        <v>152</v>
      </c>
      <c r="K2686" t="s">
        <v>47</v>
      </c>
      <c r="L2686" t="s">
        <v>27</v>
      </c>
      <c r="M2686" t="s">
        <v>56</v>
      </c>
      <c r="N2686">
        <v>4.7</v>
      </c>
      <c r="O2686">
        <v>0</v>
      </c>
      <c r="P2686" t="s">
        <v>41</v>
      </c>
      <c r="Q2686" t="s">
        <v>155</v>
      </c>
      <c r="R2686" t="s">
        <v>155</v>
      </c>
      <c r="S2686">
        <v>42</v>
      </c>
      <c r="T2686" t="s">
        <v>42</v>
      </c>
      <c r="U2686" t="s">
        <v>79</v>
      </c>
      <c r="V2686" s="1">
        <v>45520</v>
      </c>
      <c r="W2686">
        <f>Table1[[#This Row],[customer_purchase count]]+1</f>
        <v>43</v>
      </c>
      <c r="X2686">
        <f>Table1[[#This Row],[customer_purchase count]]*Rules!$B$3</f>
        <v>2510.103076923077</v>
      </c>
      <c r="Y2686" t="str">
        <f>IF(Table1[[#This Row],[customer_subscription]]=1,"Subscribed","Not Subscribed")</f>
        <v>Not Subscribed</v>
      </c>
    </row>
    <row r="2687" spans="1:26" x14ac:dyDescent="0.25">
      <c r="A2687">
        <v>2686</v>
      </c>
      <c r="B2687">
        <v>56</v>
      </c>
      <c r="C2687" t="s">
        <v>156</v>
      </c>
      <c r="D2687">
        <v>2686</v>
      </c>
      <c r="E2687" t="s">
        <v>140</v>
      </c>
      <c r="F2687" t="s">
        <v>45</v>
      </c>
      <c r="G2687">
        <v>2686</v>
      </c>
      <c r="H2687">
        <v>3422</v>
      </c>
      <c r="I2687">
        <v>25</v>
      </c>
      <c r="J2687" t="s">
        <v>144</v>
      </c>
      <c r="K2687" t="s">
        <v>47</v>
      </c>
      <c r="L2687" t="s">
        <v>27</v>
      </c>
      <c r="M2687" t="s">
        <v>28</v>
      </c>
      <c r="N2687">
        <v>2.7</v>
      </c>
      <c r="O2687">
        <v>0</v>
      </c>
      <c r="P2687" t="s">
        <v>29</v>
      </c>
      <c r="Q2687" t="s">
        <v>155</v>
      </c>
      <c r="R2687" t="s">
        <v>155</v>
      </c>
      <c r="S2687">
        <v>49</v>
      </c>
      <c r="T2687" t="s">
        <v>42</v>
      </c>
      <c r="U2687" t="s">
        <v>61</v>
      </c>
      <c r="V2687" s="1">
        <v>45627</v>
      </c>
      <c r="W2687">
        <f>Table1[[#This Row],[customer_purchase count]]+1</f>
        <v>50</v>
      </c>
      <c r="X2687">
        <f>Table1[[#This Row],[customer_purchase count]]*Rules!$B$3</f>
        <v>2928.4535897435899</v>
      </c>
      <c r="Y2687" t="str">
        <f>IF(Table1[[#This Row],[customer_subscription]]=1,"Subscribed","Not Subscribed")</f>
        <v>Not Subscribed</v>
      </c>
    </row>
    <row r="2688" spans="1:26" x14ac:dyDescent="0.25">
      <c r="A2688">
        <v>2687</v>
      </c>
      <c r="B2688">
        <v>40</v>
      </c>
      <c r="C2688" t="s">
        <v>156</v>
      </c>
      <c r="D2688">
        <v>2687</v>
      </c>
      <c r="E2688" t="s">
        <v>128</v>
      </c>
      <c r="F2688" t="s">
        <v>24</v>
      </c>
      <c r="G2688">
        <v>2687</v>
      </c>
      <c r="H2688">
        <v>3423</v>
      </c>
      <c r="I2688">
        <v>72</v>
      </c>
      <c r="J2688" t="s">
        <v>145</v>
      </c>
      <c r="K2688" t="s">
        <v>47</v>
      </c>
      <c r="L2688" t="s">
        <v>97</v>
      </c>
      <c r="M2688" t="s">
        <v>28</v>
      </c>
      <c r="N2688">
        <v>3.8</v>
      </c>
      <c r="O2688">
        <v>0</v>
      </c>
      <c r="P2688" t="s">
        <v>73</v>
      </c>
      <c r="Q2688" t="s">
        <v>155</v>
      </c>
      <c r="R2688" t="s">
        <v>155</v>
      </c>
      <c r="S2688">
        <v>33</v>
      </c>
      <c r="T2688" t="s">
        <v>36</v>
      </c>
      <c r="U2688" t="s">
        <v>32</v>
      </c>
      <c r="V2688" s="1">
        <v>45332</v>
      </c>
      <c r="W2688">
        <f>Table1[[#This Row],[customer_purchase count]]+1</f>
        <v>34</v>
      </c>
      <c r="X2688">
        <f>Table1[[#This Row],[customer_purchase count]]*Rules!$B$3</f>
        <v>1972.2238461538464</v>
      </c>
      <c r="Y2688" t="str">
        <f>IF(Table1[[#This Row],[customer_subscription]]=1,"Subscribed","Not Subscribed")</f>
        <v>Not Subscribed</v>
      </c>
    </row>
    <row r="2689" spans="1:26" x14ac:dyDescent="0.25">
      <c r="A2689">
        <v>2688</v>
      </c>
      <c r="B2689">
        <v>61</v>
      </c>
      <c r="C2689" t="s">
        <v>156</v>
      </c>
      <c r="D2689">
        <v>2688</v>
      </c>
      <c r="E2689" t="s">
        <v>84</v>
      </c>
      <c r="F2689" t="s">
        <v>24</v>
      </c>
      <c r="G2689">
        <v>2688</v>
      </c>
      <c r="H2689">
        <v>3424</v>
      </c>
      <c r="I2689">
        <v>75</v>
      </c>
      <c r="J2689" t="s">
        <v>82</v>
      </c>
      <c r="K2689" t="s">
        <v>47</v>
      </c>
      <c r="L2689" t="s">
        <v>55</v>
      </c>
      <c r="M2689" t="s">
        <v>60</v>
      </c>
      <c r="N2689">
        <v>3.6</v>
      </c>
      <c r="O2689">
        <v>0</v>
      </c>
      <c r="P2689" t="s">
        <v>73</v>
      </c>
      <c r="Q2689" t="s">
        <v>155</v>
      </c>
      <c r="R2689" t="s">
        <v>155</v>
      </c>
      <c r="S2689">
        <v>12</v>
      </c>
      <c r="T2689" t="s">
        <v>89</v>
      </c>
      <c r="U2689" t="s">
        <v>79</v>
      </c>
      <c r="V2689" s="1">
        <v>45587</v>
      </c>
      <c r="W2689">
        <f>Table1[[#This Row],[customer_purchase count]]+1</f>
        <v>13</v>
      </c>
      <c r="X2689">
        <f>Table1[[#This Row],[customer_purchase count]]*Rules!$B$3</f>
        <v>717.17230769230775</v>
      </c>
      <c r="Y2689" t="str">
        <f>IF(Table1[[#This Row],[customer_subscription]]=1,"Subscribed","Not Subscribed")</f>
        <v>Not Subscribed</v>
      </c>
      <c r="Z2689" t="s">
        <v>194</v>
      </c>
    </row>
    <row r="2690" spans="1:26" x14ac:dyDescent="0.25">
      <c r="A2690">
        <v>2689</v>
      </c>
      <c r="B2690">
        <v>53</v>
      </c>
      <c r="C2690" t="s">
        <v>156</v>
      </c>
      <c r="D2690">
        <v>2689</v>
      </c>
      <c r="E2690" t="s">
        <v>69</v>
      </c>
      <c r="F2690" t="s">
        <v>70</v>
      </c>
      <c r="G2690">
        <v>2689</v>
      </c>
      <c r="H2690">
        <v>3425</v>
      </c>
      <c r="I2690">
        <v>63</v>
      </c>
      <c r="J2690" t="s">
        <v>67</v>
      </c>
      <c r="K2690" t="s">
        <v>95</v>
      </c>
      <c r="L2690" t="s">
        <v>51</v>
      </c>
      <c r="M2690" t="s">
        <v>40</v>
      </c>
      <c r="N2690">
        <v>2.9</v>
      </c>
      <c r="O2690">
        <v>0</v>
      </c>
      <c r="P2690" t="s">
        <v>73</v>
      </c>
      <c r="Q2690" t="s">
        <v>155</v>
      </c>
      <c r="R2690" t="s">
        <v>155</v>
      </c>
      <c r="S2690">
        <v>18</v>
      </c>
      <c r="T2690" t="s">
        <v>42</v>
      </c>
      <c r="U2690" t="s">
        <v>100</v>
      </c>
      <c r="V2690" s="1">
        <v>45390</v>
      </c>
      <c r="W2690">
        <f>Table1[[#This Row],[customer_purchase count]]+1</f>
        <v>19</v>
      </c>
      <c r="X2690">
        <f>Table1[[#This Row],[customer_purchase count]]*Rules!$B$3</f>
        <v>1075.7584615384617</v>
      </c>
      <c r="Y2690" t="str">
        <f>IF(Table1[[#This Row],[customer_subscription]]=1,"Subscribed","Not Subscribed")</f>
        <v>Not Subscribed</v>
      </c>
    </row>
    <row r="2691" spans="1:26" x14ac:dyDescent="0.25">
      <c r="A2691">
        <v>2690</v>
      </c>
      <c r="B2691">
        <v>29</v>
      </c>
      <c r="C2691" t="s">
        <v>156</v>
      </c>
      <c r="D2691">
        <v>2690</v>
      </c>
      <c r="E2691" t="s">
        <v>23</v>
      </c>
      <c r="F2691" t="s">
        <v>24</v>
      </c>
      <c r="G2691">
        <v>2690</v>
      </c>
      <c r="H2691">
        <v>3427</v>
      </c>
      <c r="I2691">
        <v>35</v>
      </c>
      <c r="J2691" t="s">
        <v>54</v>
      </c>
      <c r="K2691" t="s">
        <v>47</v>
      </c>
      <c r="L2691" t="s">
        <v>124</v>
      </c>
      <c r="M2691" t="s">
        <v>60</v>
      </c>
      <c r="N2691">
        <v>3.9</v>
      </c>
      <c r="O2691">
        <v>0</v>
      </c>
      <c r="P2691" t="s">
        <v>57</v>
      </c>
      <c r="Q2691" t="s">
        <v>155</v>
      </c>
      <c r="R2691" t="s">
        <v>155</v>
      </c>
      <c r="S2691">
        <v>47</v>
      </c>
      <c r="T2691" t="s">
        <v>49</v>
      </c>
      <c r="U2691" t="s">
        <v>61</v>
      </c>
      <c r="V2691" s="1">
        <v>45580</v>
      </c>
      <c r="W2691">
        <f>Table1[[#This Row],[customer_purchase count]]+1</f>
        <v>48</v>
      </c>
      <c r="X2691">
        <f>Table1[[#This Row],[customer_purchase count]]*Rules!$B$3</f>
        <v>2808.9248717948717</v>
      </c>
      <c r="Y2691" t="str">
        <f>IF(Table1[[#This Row],[customer_subscription]]=1,"Subscribed","Not Subscribed")</f>
        <v>Not Subscribed</v>
      </c>
    </row>
    <row r="2692" spans="1:26" x14ac:dyDescent="0.25">
      <c r="A2692">
        <v>2691</v>
      </c>
      <c r="B2692">
        <v>44</v>
      </c>
      <c r="C2692" t="s">
        <v>156</v>
      </c>
      <c r="D2692">
        <v>2691</v>
      </c>
      <c r="E2692" t="s">
        <v>136</v>
      </c>
      <c r="F2692" t="s">
        <v>70</v>
      </c>
      <c r="G2692">
        <v>2691</v>
      </c>
      <c r="H2692">
        <v>3428</v>
      </c>
      <c r="I2692">
        <v>32</v>
      </c>
      <c r="J2692" t="s">
        <v>133</v>
      </c>
      <c r="K2692" t="s">
        <v>26</v>
      </c>
      <c r="L2692" t="s">
        <v>137</v>
      </c>
      <c r="M2692" t="s">
        <v>56</v>
      </c>
      <c r="N2692">
        <v>4.7</v>
      </c>
      <c r="O2692">
        <v>0</v>
      </c>
      <c r="P2692" t="s">
        <v>41</v>
      </c>
      <c r="Q2692" t="s">
        <v>155</v>
      </c>
      <c r="R2692" t="s">
        <v>155</v>
      </c>
      <c r="S2692">
        <v>18</v>
      </c>
      <c r="T2692" t="s">
        <v>78</v>
      </c>
      <c r="U2692" t="s">
        <v>43</v>
      </c>
      <c r="V2692" s="1">
        <v>45524</v>
      </c>
      <c r="W2692">
        <f>Table1[[#This Row],[customer_purchase count]]+1</f>
        <v>19</v>
      </c>
      <c r="X2692">
        <f>Table1[[#This Row],[customer_purchase count]]*Rules!$B$3</f>
        <v>1075.7584615384617</v>
      </c>
      <c r="Y2692" t="str">
        <f>IF(Table1[[#This Row],[customer_subscription]]=1,"Subscribed","Not Subscribed")</f>
        <v>Not Subscribed</v>
      </c>
    </row>
    <row r="2693" spans="1:26" x14ac:dyDescent="0.25">
      <c r="A2693">
        <v>2692</v>
      </c>
      <c r="B2693">
        <v>43</v>
      </c>
      <c r="C2693" t="s">
        <v>156</v>
      </c>
      <c r="D2693">
        <v>2692</v>
      </c>
      <c r="E2693" t="s">
        <v>98</v>
      </c>
      <c r="F2693" t="s">
        <v>24</v>
      </c>
      <c r="G2693">
        <v>2692</v>
      </c>
      <c r="H2693">
        <v>3429</v>
      </c>
      <c r="I2693">
        <v>25</v>
      </c>
      <c r="J2693" t="s">
        <v>148</v>
      </c>
      <c r="K2693" t="s">
        <v>26</v>
      </c>
      <c r="L2693" t="s">
        <v>147</v>
      </c>
      <c r="M2693" t="s">
        <v>28</v>
      </c>
      <c r="N2693">
        <v>3.3</v>
      </c>
      <c r="O2693">
        <v>0</v>
      </c>
      <c r="P2693" t="s">
        <v>73</v>
      </c>
      <c r="Q2693" t="s">
        <v>155</v>
      </c>
      <c r="R2693" t="s">
        <v>155</v>
      </c>
      <c r="S2693">
        <v>48</v>
      </c>
      <c r="T2693" t="s">
        <v>36</v>
      </c>
      <c r="U2693" t="s">
        <v>91</v>
      </c>
      <c r="V2693" s="1">
        <v>45633</v>
      </c>
      <c r="W2693">
        <f>Table1[[#This Row],[customer_purchase count]]+1</f>
        <v>49</v>
      </c>
      <c r="X2693">
        <f>Table1[[#This Row],[customer_purchase count]]*Rules!$B$3</f>
        <v>2868.689230769231</v>
      </c>
      <c r="Y2693" t="str">
        <f>IF(Table1[[#This Row],[customer_subscription]]=1,"Subscribed","Not Subscribed")</f>
        <v>Not Subscribed</v>
      </c>
    </row>
    <row r="2694" spans="1:26" x14ac:dyDescent="0.25">
      <c r="A2694">
        <v>2693</v>
      </c>
      <c r="B2694">
        <v>40</v>
      </c>
      <c r="C2694" t="s">
        <v>156</v>
      </c>
      <c r="D2694">
        <v>2693</v>
      </c>
      <c r="E2694" t="s">
        <v>53</v>
      </c>
      <c r="F2694" t="s">
        <v>45</v>
      </c>
      <c r="G2694">
        <v>2693</v>
      </c>
      <c r="H2694">
        <v>3430</v>
      </c>
      <c r="I2694">
        <v>90</v>
      </c>
      <c r="J2694" t="s">
        <v>152</v>
      </c>
      <c r="K2694" t="s">
        <v>95</v>
      </c>
      <c r="L2694" t="s">
        <v>86</v>
      </c>
      <c r="M2694" t="s">
        <v>40</v>
      </c>
      <c r="N2694">
        <v>4.2</v>
      </c>
      <c r="O2694">
        <v>0</v>
      </c>
      <c r="P2694" t="s">
        <v>41</v>
      </c>
      <c r="Q2694" t="s">
        <v>155</v>
      </c>
      <c r="R2694" t="s">
        <v>155</v>
      </c>
      <c r="S2694">
        <v>18</v>
      </c>
      <c r="T2694" t="s">
        <v>89</v>
      </c>
      <c r="U2694" t="s">
        <v>100</v>
      </c>
      <c r="V2694" s="1">
        <v>45419</v>
      </c>
      <c r="W2694">
        <f>Table1[[#This Row],[customer_purchase count]]+1</f>
        <v>19</v>
      </c>
      <c r="X2694">
        <f>Table1[[#This Row],[customer_purchase count]]*Rules!$B$3</f>
        <v>1075.7584615384617</v>
      </c>
      <c r="Y2694" t="str">
        <f>IF(Table1[[#This Row],[customer_subscription]]=1,"Subscribed","Not Subscribed")</f>
        <v>Not Subscribed</v>
      </c>
    </row>
    <row r="2695" spans="1:26" x14ac:dyDescent="0.25">
      <c r="A2695">
        <v>2694</v>
      </c>
      <c r="B2695">
        <v>55</v>
      </c>
      <c r="C2695" t="s">
        <v>156</v>
      </c>
      <c r="D2695">
        <v>2694</v>
      </c>
      <c r="E2695" t="s">
        <v>140</v>
      </c>
      <c r="F2695" t="s">
        <v>45</v>
      </c>
      <c r="G2695">
        <v>2694</v>
      </c>
      <c r="H2695">
        <v>3431</v>
      </c>
      <c r="I2695">
        <v>70</v>
      </c>
      <c r="J2695" t="s">
        <v>80</v>
      </c>
      <c r="K2695" t="s">
        <v>26</v>
      </c>
      <c r="L2695" t="s">
        <v>96</v>
      </c>
      <c r="M2695" t="s">
        <v>56</v>
      </c>
      <c r="N2695">
        <v>2.6</v>
      </c>
      <c r="O2695">
        <v>0</v>
      </c>
      <c r="P2695" t="s">
        <v>57</v>
      </c>
      <c r="Q2695" t="s">
        <v>155</v>
      </c>
      <c r="R2695" t="s">
        <v>155</v>
      </c>
      <c r="S2695">
        <v>46</v>
      </c>
      <c r="T2695" t="s">
        <v>36</v>
      </c>
      <c r="U2695" t="s">
        <v>61</v>
      </c>
      <c r="V2695" s="1">
        <v>45463</v>
      </c>
      <c r="W2695">
        <f>Table1[[#This Row],[customer_purchase count]]+1</f>
        <v>47</v>
      </c>
      <c r="X2695">
        <f>Table1[[#This Row],[customer_purchase count]]*Rules!$B$3</f>
        <v>2749.1605128205128</v>
      </c>
      <c r="Y2695" t="str">
        <f>IF(Table1[[#This Row],[customer_subscription]]=1,"Subscribed","Not Subscribed")</f>
        <v>Not Subscribed</v>
      </c>
    </row>
    <row r="2696" spans="1:26" x14ac:dyDescent="0.25">
      <c r="A2696">
        <v>2695</v>
      </c>
      <c r="B2696">
        <v>66</v>
      </c>
      <c r="C2696" t="s">
        <v>156</v>
      </c>
      <c r="D2696">
        <v>2695</v>
      </c>
      <c r="E2696" t="s">
        <v>92</v>
      </c>
      <c r="F2696" t="s">
        <v>70</v>
      </c>
      <c r="G2696">
        <v>2695</v>
      </c>
      <c r="H2696">
        <v>3433</v>
      </c>
      <c r="I2696">
        <v>27</v>
      </c>
      <c r="J2696" t="s">
        <v>63</v>
      </c>
      <c r="K2696" t="s">
        <v>47</v>
      </c>
      <c r="L2696" t="s">
        <v>81</v>
      </c>
      <c r="M2696" t="s">
        <v>40</v>
      </c>
      <c r="N2696">
        <v>4.9000000000000004</v>
      </c>
      <c r="O2696">
        <v>0</v>
      </c>
      <c r="P2696" t="s">
        <v>29</v>
      </c>
      <c r="Q2696" t="s">
        <v>155</v>
      </c>
      <c r="R2696" t="s">
        <v>155</v>
      </c>
      <c r="S2696">
        <v>34</v>
      </c>
      <c r="T2696" t="s">
        <v>42</v>
      </c>
      <c r="U2696" t="s">
        <v>100</v>
      </c>
      <c r="V2696" s="1">
        <v>45393</v>
      </c>
      <c r="W2696">
        <f>Table1[[#This Row],[customer_purchase count]]+1</f>
        <v>35</v>
      </c>
      <c r="X2696">
        <f>Table1[[#This Row],[customer_purchase count]]*Rules!$B$3</f>
        <v>2031.9882051282052</v>
      </c>
      <c r="Y2696" t="str">
        <f>IF(Table1[[#This Row],[customer_subscription]]=1,"Subscribed","Not Subscribed")</f>
        <v>Not Subscribed</v>
      </c>
    </row>
    <row r="2697" spans="1:26" x14ac:dyDescent="0.25">
      <c r="A2697">
        <v>2696</v>
      </c>
      <c r="B2697">
        <v>50</v>
      </c>
      <c r="C2697" t="s">
        <v>156</v>
      </c>
      <c r="D2697">
        <v>2696</v>
      </c>
      <c r="E2697" t="s">
        <v>127</v>
      </c>
      <c r="F2697" t="s">
        <v>70</v>
      </c>
      <c r="G2697">
        <v>2696</v>
      </c>
      <c r="H2697">
        <v>3434</v>
      </c>
      <c r="I2697">
        <v>92</v>
      </c>
      <c r="J2697" t="s">
        <v>125</v>
      </c>
      <c r="K2697" t="s">
        <v>47</v>
      </c>
      <c r="L2697" t="s">
        <v>124</v>
      </c>
      <c r="M2697" t="s">
        <v>60</v>
      </c>
      <c r="N2697">
        <v>3.6</v>
      </c>
      <c r="O2697">
        <v>0</v>
      </c>
      <c r="P2697" t="s">
        <v>57</v>
      </c>
      <c r="Q2697" t="s">
        <v>155</v>
      </c>
      <c r="R2697" t="s">
        <v>155</v>
      </c>
      <c r="S2697">
        <v>10</v>
      </c>
      <c r="T2697" t="s">
        <v>49</v>
      </c>
      <c r="U2697" t="s">
        <v>79</v>
      </c>
      <c r="V2697" s="1">
        <v>45617</v>
      </c>
      <c r="W2697">
        <f>Table1[[#This Row],[customer_purchase count]]+1</f>
        <v>11</v>
      </c>
      <c r="X2697">
        <f>Table1[[#This Row],[customer_purchase count]]*Rules!$B$3</f>
        <v>597.64358974358981</v>
      </c>
      <c r="Y2697" t="str">
        <f>IF(Table1[[#This Row],[customer_subscription]]=1,"Subscribed","Not Subscribed")</f>
        <v>Not Subscribed</v>
      </c>
      <c r="Z2697" t="s">
        <v>194</v>
      </c>
    </row>
    <row r="2698" spans="1:26" x14ac:dyDescent="0.25">
      <c r="A2698">
        <v>2697</v>
      </c>
      <c r="B2698">
        <v>57</v>
      </c>
      <c r="C2698" t="s">
        <v>156</v>
      </c>
      <c r="D2698">
        <v>2697</v>
      </c>
      <c r="E2698" t="s">
        <v>65</v>
      </c>
      <c r="F2698" t="s">
        <v>66</v>
      </c>
      <c r="G2698">
        <v>2697</v>
      </c>
      <c r="H2698">
        <v>3435</v>
      </c>
      <c r="I2698">
        <v>20</v>
      </c>
      <c r="J2698" t="s">
        <v>150</v>
      </c>
      <c r="K2698" t="s">
        <v>47</v>
      </c>
      <c r="L2698" t="s">
        <v>55</v>
      </c>
      <c r="M2698" t="s">
        <v>40</v>
      </c>
      <c r="N2698">
        <v>4.7</v>
      </c>
      <c r="O2698">
        <v>0</v>
      </c>
      <c r="P2698" t="s">
        <v>41</v>
      </c>
      <c r="Q2698" t="s">
        <v>155</v>
      </c>
      <c r="R2698" t="s">
        <v>155</v>
      </c>
      <c r="S2698">
        <v>12</v>
      </c>
      <c r="T2698" t="s">
        <v>89</v>
      </c>
      <c r="U2698" t="s">
        <v>91</v>
      </c>
      <c r="V2698" s="1">
        <v>45398</v>
      </c>
      <c r="W2698">
        <f>Table1[[#This Row],[customer_purchase count]]+1</f>
        <v>13</v>
      </c>
      <c r="X2698">
        <f>Table1[[#This Row],[customer_purchase count]]*Rules!$B$3</f>
        <v>717.17230769230775</v>
      </c>
      <c r="Y2698" t="str">
        <f>IF(Table1[[#This Row],[customer_subscription]]=1,"Subscribed","Not Subscribed")</f>
        <v>Not Subscribed</v>
      </c>
      <c r="Z2698" t="s">
        <v>194</v>
      </c>
    </row>
    <row r="2699" spans="1:26" x14ac:dyDescent="0.25">
      <c r="A2699">
        <v>2698</v>
      </c>
      <c r="B2699">
        <v>42</v>
      </c>
      <c r="C2699" t="s">
        <v>156</v>
      </c>
      <c r="D2699">
        <v>2698</v>
      </c>
      <c r="E2699" t="s">
        <v>105</v>
      </c>
      <c r="F2699" t="s">
        <v>66</v>
      </c>
      <c r="G2699">
        <v>2698</v>
      </c>
      <c r="H2699">
        <v>3436</v>
      </c>
      <c r="I2699">
        <v>52</v>
      </c>
      <c r="J2699" t="s">
        <v>82</v>
      </c>
      <c r="K2699" t="s">
        <v>26</v>
      </c>
      <c r="L2699" t="s">
        <v>111</v>
      </c>
      <c r="M2699" t="s">
        <v>28</v>
      </c>
      <c r="N2699">
        <v>3.2</v>
      </c>
      <c r="O2699">
        <v>0</v>
      </c>
      <c r="P2699" t="s">
        <v>57</v>
      </c>
      <c r="Q2699" t="s">
        <v>155</v>
      </c>
      <c r="R2699" t="s">
        <v>155</v>
      </c>
      <c r="S2699">
        <v>36</v>
      </c>
      <c r="T2699" t="s">
        <v>78</v>
      </c>
      <c r="U2699" t="s">
        <v>61</v>
      </c>
      <c r="V2699" s="1">
        <v>45303</v>
      </c>
      <c r="W2699">
        <f>Table1[[#This Row],[customer_purchase count]]+1</f>
        <v>37</v>
      </c>
      <c r="X2699">
        <f>Table1[[#This Row],[customer_purchase count]]*Rules!$B$3</f>
        <v>2151.5169230769234</v>
      </c>
      <c r="Y2699" t="str">
        <f>IF(Table1[[#This Row],[customer_subscription]]=1,"Subscribed","Not Subscribed")</f>
        <v>Not Subscribed</v>
      </c>
    </row>
    <row r="2700" spans="1:26" x14ac:dyDescent="0.25">
      <c r="A2700">
        <v>2699</v>
      </c>
      <c r="B2700">
        <v>55</v>
      </c>
      <c r="C2700" t="s">
        <v>156</v>
      </c>
      <c r="D2700">
        <v>2699</v>
      </c>
      <c r="E2700" t="s">
        <v>107</v>
      </c>
      <c r="F2700" t="s">
        <v>24</v>
      </c>
      <c r="G2700">
        <v>2699</v>
      </c>
      <c r="H2700">
        <v>3437</v>
      </c>
      <c r="I2700">
        <v>57</v>
      </c>
      <c r="J2700" t="s">
        <v>144</v>
      </c>
      <c r="K2700" t="s">
        <v>47</v>
      </c>
      <c r="L2700" t="s">
        <v>139</v>
      </c>
      <c r="M2700" t="s">
        <v>56</v>
      </c>
      <c r="N2700">
        <v>3.6</v>
      </c>
      <c r="O2700">
        <v>0</v>
      </c>
      <c r="P2700" t="s">
        <v>77</v>
      </c>
      <c r="Q2700" t="s">
        <v>155</v>
      </c>
      <c r="R2700" t="s">
        <v>155</v>
      </c>
      <c r="S2700">
        <v>34</v>
      </c>
      <c r="T2700" t="s">
        <v>31</v>
      </c>
      <c r="U2700" t="s">
        <v>61</v>
      </c>
      <c r="V2700" s="1">
        <v>45447</v>
      </c>
      <c r="W2700">
        <f>Table1[[#This Row],[customer_purchase count]]+1</f>
        <v>35</v>
      </c>
      <c r="X2700">
        <f>Table1[[#This Row],[customer_purchase count]]*Rules!$B$3</f>
        <v>2031.9882051282052</v>
      </c>
      <c r="Y2700" t="str">
        <f>IF(Table1[[#This Row],[customer_subscription]]=1,"Subscribed","Not Subscribed")</f>
        <v>Not Subscribed</v>
      </c>
    </row>
    <row r="2701" spans="1:26" x14ac:dyDescent="0.25">
      <c r="A2701">
        <v>2700</v>
      </c>
      <c r="B2701">
        <v>25</v>
      </c>
      <c r="C2701" t="s">
        <v>156</v>
      </c>
      <c r="D2701">
        <v>2700</v>
      </c>
      <c r="E2701" t="s">
        <v>140</v>
      </c>
      <c r="F2701" t="s">
        <v>45</v>
      </c>
      <c r="G2701">
        <v>2700</v>
      </c>
      <c r="H2701">
        <v>3439</v>
      </c>
      <c r="I2701">
        <v>96</v>
      </c>
      <c r="J2701" t="s">
        <v>143</v>
      </c>
      <c r="K2701" t="s">
        <v>47</v>
      </c>
      <c r="L2701" t="s">
        <v>86</v>
      </c>
      <c r="M2701" t="s">
        <v>60</v>
      </c>
      <c r="N2701">
        <v>3.6</v>
      </c>
      <c r="O2701">
        <v>0</v>
      </c>
      <c r="P2701" t="s">
        <v>73</v>
      </c>
      <c r="Q2701" t="s">
        <v>155</v>
      </c>
      <c r="R2701" t="s">
        <v>155</v>
      </c>
      <c r="S2701">
        <v>49</v>
      </c>
      <c r="T2701" t="s">
        <v>89</v>
      </c>
      <c r="U2701" t="s">
        <v>52</v>
      </c>
      <c r="V2701" s="1">
        <v>45588</v>
      </c>
      <c r="W2701">
        <f>Table1[[#This Row],[customer_purchase count]]+1</f>
        <v>50</v>
      </c>
      <c r="X2701">
        <f>Table1[[#This Row],[customer_purchase count]]*Rules!$B$3</f>
        <v>2928.4535897435899</v>
      </c>
      <c r="Y2701" t="str">
        <f>IF(Table1[[#This Row],[customer_subscription]]=1,"Subscribed","Not Subscribed")</f>
        <v>Not Subscribed</v>
      </c>
    </row>
    <row r="2702" spans="1:26" x14ac:dyDescent="0.25">
      <c r="A2702">
        <v>2701</v>
      </c>
      <c r="B2702">
        <v>22</v>
      </c>
      <c r="C2702" t="s">
        <v>156</v>
      </c>
      <c r="D2702">
        <v>2701</v>
      </c>
      <c r="E2702" t="s">
        <v>116</v>
      </c>
      <c r="F2702" t="s">
        <v>24</v>
      </c>
      <c r="G2702">
        <v>2701</v>
      </c>
      <c r="H2702">
        <v>3440</v>
      </c>
      <c r="I2702">
        <v>68</v>
      </c>
      <c r="J2702" t="s">
        <v>102</v>
      </c>
      <c r="K2702" t="s">
        <v>95</v>
      </c>
      <c r="L2702" t="s">
        <v>81</v>
      </c>
      <c r="M2702" t="s">
        <v>28</v>
      </c>
      <c r="N2702">
        <v>3.2</v>
      </c>
      <c r="O2702">
        <v>0</v>
      </c>
      <c r="P2702" t="s">
        <v>57</v>
      </c>
      <c r="Q2702" t="s">
        <v>155</v>
      </c>
      <c r="R2702" t="s">
        <v>155</v>
      </c>
      <c r="S2702">
        <v>36</v>
      </c>
      <c r="T2702" t="s">
        <v>36</v>
      </c>
      <c r="U2702" t="s">
        <v>43</v>
      </c>
      <c r="V2702" s="1">
        <v>45302</v>
      </c>
      <c r="W2702">
        <f>Table1[[#This Row],[customer_purchase count]]+1</f>
        <v>37</v>
      </c>
      <c r="X2702">
        <f>Table1[[#This Row],[customer_purchase count]]*Rules!$B$3</f>
        <v>2151.5169230769234</v>
      </c>
      <c r="Y2702" t="str">
        <f>IF(Table1[[#This Row],[customer_subscription]]=1,"Subscribed","Not Subscribed")</f>
        <v>Not Subscribed</v>
      </c>
    </row>
    <row r="2703" spans="1:26" x14ac:dyDescent="0.25">
      <c r="A2703">
        <v>2702</v>
      </c>
      <c r="B2703">
        <v>49</v>
      </c>
      <c r="C2703" t="s">
        <v>156</v>
      </c>
      <c r="D2703">
        <v>2702</v>
      </c>
      <c r="E2703" t="s">
        <v>33</v>
      </c>
      <c r="F2703" t="s">
        <v>24</v>
      </c>
      <c r="G2703">
        <v>2702</v>
      </c>
      <c r="H2703">
        <v>3441</v>
      </c>
      <c r="I2703">
        <v>30</v>
      </c>
      <c r="J2703" t="s">
        <v>138</v>
      </c>
      <c r="K2703" t="s">
        <v>26</v>
      </c>
      <c r="L2703" t="s">
        <v>68</v>
      </c>
      <c r="M2703" t="s">
        <v>56</v>
      </c>
      <c r="N2703">
        <v>2.8</v>
      </c>
      <c r="O2703">
        <v>0</v>
      </c>
      <c r="P2703" t="s">
        <v>77</v>
      </c>
      <c r="Q2703" t="s">
        <v>155</v>
      </c>
      <c r="R2703" t="s">
        <v>155</v>
      </c>
      <c r="S2703">
        <v>18</v>
      </c>
      <c r="T2703" t="s">
        <v>78</v>
      </c>
      <c r="U2703" t="s">
        <v>32</v>
      </c>
      <c r="V2703" s="1">
        <v>45476</v>
      </c>
      <c r="W2703">
        <f>Table1[[#This Row],[customer_purchase count]]+1</f>
        <v>19</v>
      </c>
      <c r="X2703">
        <f>Table1[[#This Row],[customer_purchase count]]*Rules!$B$3</f>
        <v>1075.7584615384617</v>
      </c>
      <c r="Y2703" t="str">
        <f>IF(Table1[[#This Row],[customer_subscription]]=1,"Subscribed","Not Subscribed")</f>
        <v>Not Subscribed</v>
      </c>
    </row>
    <row r="2704" spans="1:26" x14ac:dyDescent="0.25">
      <c r="A2704">
        <v>2703</v>
      </c>
      <c r="B2704">
        <v>70</v>
      </c>
      <c r="C2704" t="s">
        <v>156</v>
      </c>
      <c r="D2704">
        <v>2703</v>
      </c>
      <c r="E2704" t="s">
        <v>74</v>
      </c>
      <c r="F2704" t="s">
        <v>45</v>
      </c>
      <c r="G2704">
        <v>2703</v>
      </c>
      <c r="H2704">
        <v>3442</v>
      </c>
      <c r="I2704">
        <v>37</v>
      </c>
      <c r="J2704" t="s">
        <v>108</v>
      </c>
      <c r="K2704" t="s">
        <v>26</v>
      </c>
      <c r="L2704" t="s">
        <v>27</v>
      </c>
      <c r="M2704" t="s">
        <v>60</v>
      </c>
      <c r="N2704">
        <v>4</v>
      </c>
      <c r="O2704">
        <v>0</v>
      </c>
      <c r="P2704" t="s">
        <v>48</v>
      </c>
      <c r="Q2704" t="s">
        <v>155</v>
      </c>
      <c r="R2704" t="s">
        <v>155</v>
      </c>
      <c r="S2704">
        <v>39</v>
      </c>
      <c r="T2704" t="s">
        <v>89</v>
      </c>
      <c r="U2704" t="s">
        <v>32</v>
      </c>
      <c r="V2704" s="1">
        <v>45598</v>
      </c>
      <c r="W2704">
        <f>Table1[[#This Row],[customer_purchase count]]+1</f>
        <v>40</v>
      </c>
      <c r="X2704">
        <f>Table1[[#This Row],[customer_purchase count]]*Rules!$B$3</f>
        <v>2330.81</v>
      </c>
      <c r="Y2704" t="str">
        <f>IF(Table1[[#This Row],[customer_subscription]]=1,"Subscribed","Not Subscribed")</f>
        <v>Not Subscribed</v>
      </c>
    </row>
    <row r="2705" spans="1:26" x14ac:dyDescent="0.25">
      <c r="A2705">
        <v>2704</v>
      </c>
      <c r="B2705">
        <v>56</v>
      </c>
      <c r="C2705" t="s">
        <v>156</v>
      </c>
      <c r="D2705">
        <v>2704</v>
      </c>
      <c r="E2705" t="s">
        <v>122</v>
      </c>
      <c r="F2705" t="s">
        <v>70</v>
      </c>
      <c r="G2705">
        <v>2704</v>
      </c>
      <c r="H2705">
        <v>3443</v>
      </c>
      <c r="I2705">
        <v>42</v>
      </c>
      <c r="J2705" t="s">
        <v>125</v>
      </c>
      <c r="K2705" t="s">
        <v>95</v>
      </c>
      <c r="L2705" t="s">
        <v>81</v>
      </c>
      <c r="M2705" t="s">
        <v>28</v>
      </c>
      <c r="N2705">
        <v>4.4000000000000004</v>
      </c>
      <c r="O2705">
        <v>0</v>
      </c>
      <c r="P2705" t="s">
        <v>41</v>
      </c>
      <c r="Q2705" t="s">
        <v>155</v>
      </c>
      <c r="R2705" t="s">
        <v>155</v>
      </c>
      <c r="S2705">
        <v>34</v>
      </c>
      <c r="T2705" t="s">
        <v>49</v>
      </c>
      <c r="U2705" t="s">
        <v>43</v>
      </c>
      <c r="V2705" s="1">
        <v>45633</v>
      </c>
      <c r="W2705">
        <f>Table1[[#This Row],[customer_purchase count]]+1</f>
        <v>35</v>
      </c>
      <c r="X2705">
        <f>Table1[[#This Row],[customer_purchase count]]*Rules!$B$3</f>
        <v>2031.9882051282052</v>
      </c>
      <c r="Y2705" t="str">
        <f>IF(Table1[[#This Row],[customer_subscription]]=1,"Subscribed","Not Subscribed")</f>
        <v>Not Subscribed</v>
      </c>
    </row>
    <row r="2706" spans="1:26" x14ac:dyDescent="0.25">
      <c r="A2706">
        <v>2705</v>
      </c>
      <c r="B2706">
        <v>52</v>
      </c>
      <c r="C2706" t="s">
        <v>156</v>
      </c>
      <c r="D2706">
        <v>2705</v>
      </c>
      <c r="E2706" t="s">
        <v>84</v>
      </c>
      <c r="F2706" t="s">
        <v>24</v>
      </c>
      <c r="G2706">
        <v>2705</v>
      </c>
      <c r="H2706">
        <v>3445</v>
      </c>
      <c r="I2706">
        <v>54</v>
      </c>
      <c r="J2706" t="s">
        <v>125</v>
      </c>
      <c r="K2706" t="s">
        <v>26</v>
      </c>
      <c r="L2706" t="s">
        <v>121</v>
      </c>
      <c r="M2706" t="s">
        <v>40</v>
      </c>
      <c r="N2706">
        <v>3.4</v>
      </c>
      <c r="O2706">
        <v>0</v>
      </c>
      <c r="P2706" t="s">
        <v>48</v>
      </c>
      <c r="Q2706" t="s">
        <v>155</v>
      </c>
      <c r="R2706" t="s">
        <v>155</v>
      </c>
      <c r="S2706">
        <v>35</v>
      </c>
      <c r="T2706" t="s">
        <v>89</v>
      </c>
      <c r="U2706" t="s">
        <v>43</v>
      </c>
      <c r="V2706" s="1">
        <v>45357</v>
      </c>
      <c r="W2706">
        <f>Table1[[#This Row],[customer_purchase count]]+1</f>
        <v>36</v>
      </c>
      <c r="X2706">
        <f>Table1[[#This Row],[customer_purchase count]]*Rules!$B$3</f>
        <v>2091.7525641025641</v>
      </c>
      <c r="Y2706" t="str">
        <f>IF(Table1[[#This Row],[customer_subscription]]=1,"Subscribed","Not Subscribed")</f>
        <v>Not Subscribed</v>
      </c>
    </row>
    <row r="2707" spans="1:26" x14ac:dyDescent="0.25">
      <c r="A2707">
        <v>2706</v>
      </c>
      <c r="B2707">
        <v>65</v>
      </c>
      <c r="C2707" t="s">
        <v>156</v>
      </c>
      <c r="D2707">
        <v>2706</v>
      </c>
      <c r="E2707" t="s">
        <v>105</v>
      </c>
      <c r="F2707" t="s">
        <v>66</v>
      </c>
      <c r="G2707">
        <v>2706</v>
      </c>
      <c r="H2707">
        <v>3446</v>
      </c>
      <c r="I2707">
        <v>81</v>
      </c>
      <c r="J2707" t="s">
        <v>152</v>
      </c>
      <c r="K2707" t="s">
        <v>39</v>
      </c>
      <c r="L2707" t="s">
        <v>51</v>
      </c>
      <c r="M2707" t="s">
        <v>40</v>
      </c>
      <c r="N2707">
        <v>5</v>
      </c>
      <c r="O2707">
        <v>0</v>
      </c>
      <c r="P2707" t="s">
        <v>77</v>
      </c>
      <c r="Q2707" t="s">
        <v>155</v>
      </c>
      <c r="R2707" t="s">
        <v>155</v>
      </c>
      <c r="S2707">
        <v>1</v>
      </c>
      <c r="T2707" t="s">
        <v>42</v>
      </c>
      <c r="U2707" t="s">
        <v>79</v>
      </c>
      <c r="V2707" s="1">
        <v>45410</v>
      </c>
      <c r="W2707">
        <f>Table1[[#This Row],[customer_purchase count]]+1</f>
        <v>2</v>
      </c>
      <c r="X2707">
        <f>Table1[[#This Row],[customer_purchase count]]*Rules!$B$3</f>
        <v>59.764358974358977</v>
      </c>
      <c r="Y2707" t="str">
        <f>IF(Table1[[#This Row],[customer_subscription]]=1,"Subscribed","Not Subscribed")</f>
        <v>Not Subscribed</v>
      </c>
      <c r="Z2707" t="s">
        <v>194</v>
      </c>
    </row>
    <row r="2708" spans="1:26" x14ac:dyDescent="0.25">
      <c r="A2708">
        <v>2707</v>
      </c>
      <c r="B2708">
        <v>24</v>
      </c>
      <c r="C2708" t="s">
        <v>156</v>
      </c>
      <c r="D2708">
        <v>2707</v>
      </c>
      <c r="E2708" t="s">
        <v>74</v>
      </c>
      <c r="F2708" t="s">
        <v>45</v>
      </c>
      <c r="G2708">
        <v>2707</v>
      </c>
      <c r="H2708">
        <v>3447</v>
      </c>
      <c r="I2708">
        <v>40</v>
      </c>
      <c r="J2708" t="s">
        <v>93</v>
      </c>
      <c r="K2708" t="s">
        <v>39</v>
      </c>
      <c r="L2708" t="s">
        <v>147</v>
      </c>
      <c r="M2708" t="s">
        <v>40</v>
      </c>
      <c r="N2708">
        <v>3.1</v>
      </c>
      <c r="O2708">
        <v>0</v>
      </c>
      <c r="P2708" t="s">
        <v>29</v>
      </c>
      <c r="Q2708" t="s">
        <v>155</v>
      </c>
      <c r="R2708" t="s">
        <v>155</v>
      </c>
      <c r="S2708">
        <v>48</v>
      </c>
      <c r="T2708" t="s">
        <v>89</v>
      </c>
      <c r="U2708" t="s">
        <v>61</v>
      </c>
      <c r="V2708" s="1">
        <v>45390</v>
      </c>
      <c r="W2708">
        <f>Table1[[#This Row],[customer_purchase count]]+1</f>
        <v>49</v>
      </c>
      <c r="X2708">
        <f>Table1[[#This Row],[customer_purchase count]]*Rules!$B$3</f>
        <v>2868.689230769231</v>
      </c>
      <c r="Y2708" t="str">
        <f>IF(Table1[[#This Row],[customer_subscription]]=1,"Subscribed","Not Subscribed")</f>
        <v>Not Subscribed</v>
      </c>
    </row>
    <row r="2709" spans="1:26" x14ac:dyDescent="0.25">
      <c r="A2709">
        <v>2708</v>
      </c>
      <c r="B2709">
        <v>32</v>
      </c>
      <c r="C2709" t="s">
        <v>156</v>
      </c>
      <c r="D2709">
        <v>2708</v>
      </c>
      <c r="E2709" t="s">
        <v>135</v>
      </c>
      <c r="F2709" t="s">
        <v>70</v>
      </c>
      <c r="G2709">
        <v>2708</v>
      </c>
      <c r="H2709">
        <v>3448</v>
      </c>
      <c r="I2709">
        <v>88</v>
      </c>
      <c r="J2709" t="s">
        <v>148</v>
      </c>
      <c r="K2709" t="s">
        <v>47</v>
      </c>
      <c r="L2709" t="s">
        <v>72</v>
      </c>
      <c r="M2709" t="s">
        <v>60</v>
      </c>
      <c r="N2709">
        <v>4.2</v>
      </c>
      <c r="O2709">
        <v>0</v>
      </c>
      <c r="P2709" t="s">
        <v>57</v>
      </c>
      <c r="Q2709" t="s">
        <v>155</v>
      </c>
      <c r="R2709" t="s">
        <v>155</v>
      </c>
      <c r="S2709">
        <v>19</v>
      </c>
      <c r="T2709" t="s">
        <v>36</v>
      </c>
      <c r="U2709" t="s">
        <v>43</v>
      </c>
      <c r="V2709" s="1">
        <v>45592</v>
      </c>
      <c r="W2709">
        <f>Table1[[#This Row],[customer_purchase count]]+1</f>
        <v>20</v>
      </c>
      <c r="X2709">
        <f>Table1[[#This Row],[customer_purchase count]]*Rules!$B$3</f>
        <v>1135.5228205128205</v>
      </c>
      <c r="Y2709" t="str">
        <f>IF(Table1[[#This Row],[customer_subscription]]=1,"Subscribed","Not Subscribed")</f>
        <v>Not Subscribed</v>
      </c>
    </row>
    <row r="2710" spans="1:26" x14ac:dyDescent="0.25">
      <c r="A2710">
        <v>2709</v>
      </c>
      <c r="B2710">
        <v>57</v>
      </c>
      <c r="C2710" t="s">
        <v>156</v>
      </c>
      <c r="D2710">
        <v>2709</v>
      </c>
      <c r="E2710" t="s">
        <v>84</v>
      </c>
      <c r="F2710" t="s">
        <v>24</v>
      </c>
      <c r="G2710">
        <v>2709</v>
      </c>
      <c r="H2710">
        <v>3449</v>
      </c>
      <c r="I2710">
        <v>94</v>
      </c>
      <c r="J2710" t="s">
        <v>93</v>
      </c>
      <c r="K2710" t="s">
        <v>47</v>
      </c>
      <c r="L2710" t="s">
        <v>88</v>
      </c>
      <c r="M2710" t="s">
        <v>56</v>
      </c>
      <c r="N2710">
        <v>3.3</v>
      </c>
      <c r="O2710">
        <v>0</v>
      </c>
      <c r="P2710" t="s">
        <v>77</v>
      </c>
      <c r="Q2710" t="s">
        <v>155</v>
      </c>
      <c r="R2710" t="s">
        <v>155</v>
      </c>
      <c r="S2710">
        <v>44</v>
      </c>
      <c r="T2710" t="s">
        <v>89</v>
      </c>
      <c r="U2710" t="s">
        <v>43</v>
      </c>
      <c r="V2710" s="1">
        <v>45483</v>
      </c>
      <c r="W2710">
        <f>Table1[[#This Row],[customer_purchase count]]+1</f>
        <v>45</v>
      </c>
      <c r="X2710">
        <f>Table1[[#This Row],[customer_purchase count]]*Rules!$B$3</f>
        <v>2629.6317948717951</v>
      </c>
      <c r="Y2710" t="str">
        <f>IF(Table1[[#This Row],[customer_subscription]]=1,"Subscribed","Not Subscribed")</f>
        <v>Not Subscribed</v>
      </c>
    </row>
    <row r="2711" spans="1:26" x14ac:dyDescent="0.25">
      <c r="A2711">
        <v>2710</v>
      </c>
      <c r="B2711">
        <v>35</v>
      </c>
      <c r="C2711" t="s">
        <v>156</v>
      </c>
      <c r="D2711">
        <v>2710</v>
      </c>
      <c r="E2711" t="s">
        <v>58</v>
      </c>
      <c r="F2711" t="s">
        <v>24</v>
      </c>
      <c r="G2711">
        <v>2710</v>
      </c>
      <c r="H2711">
        <v>3451</v>
      </c>
      <c r="I2711">
        <v>54</v>
      </c>
      <c r="J2711" t="s">
        <v>118</v>
      </c>
      <c r="K2711" t="s">
        <v>39</v>
      </c>
      <c r="L2711" t="s">
        <v>112</v>
      </c>
      <c r="M2711" t="s">
        <v>28</v>
      </c>
      <c r="N2711">
        <v>2.9</v>
      </c>
      <c r="O2711">
        <v>0</v>
      </c>
      <c r="P2711" t="s">
        <v>57</v>
      </c>
      <c r="Q2711" t="s">
        <v>155</v>
      </c>
      <c r="R2711" t="s">
        <v>155</v>
      </c>
      <c r="S2711">
        <v>9</v>
      </c>
      <c r="T2711" t="s">
        <v>42</v>
      </c>
      <c r="U2711" t="s">
        <v>79</v>
      </c>
      <c r="V2711" s="1">
        <v>45344</v>
      </c>
      <c r="W2711">
        <f>Table1[[#This Row],[customer_purchase count]]+1</f>
        <v>10</v>
      </c>
      <c r="X2711">
        <f>Table1[[#This Row],[customer_purchase count]]*Rules!$B$3</f>
        <v>537.87923076923084</v>
      </c>
      <c r="Y2711" t="str">
        <f>IF(Table1[[#This Row],[customer_subscription]]=1,"Subscribed","Not Subscribed")</f>
        <v>Not Subscribed</v>
      </c>
      <c r="Z2711" t="s">
        <v>194</v>
      </c>
    </row>
    <row r="2712" spans="1:26" x14ac:dyDescent="0.25">
      <c r="A2712">
        <v>2711</v>
      </c>
      <c r="B2712">
        <v>69</v>
      </c>
      <c r="C2712" t="s">
        <v>156</v>
      </c>
      <c r="D2712">
        <v>2711</v>
      </c>
      <c r="E2712" t="s">
        <v>105</v>
      </c>
      <c r="F2712" t="s">
        <v>66</v>
      </c>
      <c r="G2712">
        <v>2711</v>
      </c>
      <c r="H2712">
        <v>3452</v>
      </c>
      <c r="I2712">
        <v>51</v>
      </c>
      <c r="J2712" t="s">
        <v>153</v>
      </c>
      <c r="K2712" t="s">
        <v>26</v>
      </c>
      <c r="L2712" t="s">
        <v>76</v>
      </c>
      <c r="M2712" t="s">
        <v>56</v>
      </c>
      <c r="N2712">
        <v>4.7</v>
      </c>
      <c r="O2712">
        <v>0</v>
      </c>
      <c r="P2712" t="s">
        <v>57</v>
      </c>
      <c r="Q2712" t="s">
        <v>155</v>
      </c>
      <c r="R2712" t="s">
        <v>155</v>
      </c>
      <c r="S2712">
        <v>3</v>
      </c>
      <c r="T2712" t="s">
        <v>78</v>
      </c>
      <c r="U2712" t="s">
        <v>32</v>
      </c>
      <c r="V2712" s="1">
        <v>45492</v>
      </c>
      <c r="W2712">
        <f>Table1[[#This Row],[customer_purchase count]]+1</f>
        <v>4</v>
      </c>
      <c r="X2712">
        <f>Table1[[#This Row],[customer_purchase count]]*Rules!$B$3</f>
        <v>179.29307692307694</v>
      </c>
      <c r="Y2712" t="str">
        <f>IF(Table1[[#This Row],[customer_subscription]]=1,"Subscribed","Not Subscribed")</f>
        <v>Not Subscribed</v>
      </c>
      <c r="Z2712" t="s">
        <v>194</v>
      </c>
    </row>
    <row r="2713" spans="1:26" x14ac:dyDescent="0.25">
      <c r="A2713">
        <v>2712</v>
      </c>
      <c r="B2713">
        <v>30</v>
      </c>
      <c r="C2713" t="s">
        <v>156</v>
      </c>
      <c r="D2713">
        <v>2712</v>
      </c>
      <c r="E2713" t="s">
        <v>92</v>
      </c>
      <c r="F2713" t="s">
        <v>70</v>
      </c>
      <c r="G2713">
        <v>2712</v>
      </c>
      <c r="H2713">
        <v>3453</v>
      </c>
      <c r="I2713">
        <v>22</v>
      </c>
      <c r="J2713" t="s">
        <v>148</v>
      </c>
      <c r="K2713" t="s">
        <v>26</v>
      </c>
      <c r="L2713" t="s">
        <v>111</v>
      </c>
      <c r="M2713" t="s">
        <v>40</v>
      </c>
      <c r="N2713">
        <v>4</v>
      </c>
      <c r="O2713">
        <v>0</v>
      </c>
      <c r="P2713" t="s">
        <v>57</v>
      </c>
      <c r="Q2713" t="s">
        <v>155</v>
      </c>
      <c r="R2713" t="s">
        <v>155</v>
      </c>
      <c r="S2713">
        <v>50</v>
      </c>
      <c r="T2713" t="s">
        <v>31</v>
      </c>
      <c r="U2713" t="s">
        <v>91</v>
      </c>
      <c r="V2713" s="1">
        <v>45422</v>
      </c>
      <c r="W2713">
        <f>Table1[[#This Row],[customer_purchase count]]+1</f>
        <v>51</v>
      </c>
      <c r="X2713">
        <f>Table1[[#This Row],[customer_purchase count]]*Rules!$B$3</f>
        <v>2988.2179487179487</v>
      </c>
      <c r="Y2713" t="str">
        <f>IF(Table1[[#This Row],[customer_subscription]]=1,"Subscribed","Not Subscribed")</f>
        <v>Not Subscribed</v>
      </c>
    </row>
    <row r="2714" spans="1:26" x14ac:dyDescent="0.25">
      <c r="A2714">
        <v>2713</v>
      </c>
      <c r="B2714">
        <v>37</v>
      </c>
      <c r="C2714" t="s">
        <v>156</v>
      </c>
      <c r="D2714">
        <v>2713</v>
      </c>
      <c r="E2714" t="s">
        <v>105</v>
      </c>
      <c r="F2714" t="s">
        <v>66</v>
      </c>
      <c r="G2714">
        <v>2713</v>
      </c>
      <c r="H2714">
        <v>3454</v>
      </c>
      <c r="I2714">
        <v>95</v>
      </c>
      <c r="J2714" t="s">
        <v>117</v>
      </c>
      <c r="K2714" t="s">
        <v>26</v>
      </c>
      <c r="L2714" t="s">
        <v>113</v>
      </c>
      <c r="M2714" t="s">
        <v>60</v>
      </c>
      <c r="N2714">
        <v>4.5999999999999996</v>
      </c>
      <c r="O2714">
        <v>0</v>
      </c>
      <c r="P2714" t="s">
        <v>57</v>
      </c>
      <c r="Q2714" t="s">
        <v>155</v>
      </c>
      <c r="R2714" t="s">
        <v>155</v>
      </c>
      <c r="S2714">
        <v>7</v>
      </c>
      <c r="T2714" t="s">
        <v>89</v>
      </c>
      <c r="U2714" t="s">
        <v>61</v>
      </c>
      <c r="V2714" s="1">
        <v>45568</v>
      </c>
      <c r="W2714">
        <f>Table1[[#This Row],[customer_purchase count]]+1</f>
        <v>8</v>
      </c>
      <c r="X2714">
        <f>Table1[[#This Row],[customer_purchase count]]*Rules!$B$3</f>
        <v>418.35051282051285</v>
      </c>
      <c r="Y2714" t="str">
        <f>IF(Table1[[#This Row],[customer_subscription]]=1,"Subscribed","Not Subscribed")</f>
        <v>Not Subscribed</v>
      </c>
      <c r="Z2714" t="s">
        <v>194</v>
      </c>
    </row>
    <row r="2715" spans="1:26" x14ac:dyDescent="0.25">
      <c r="A2715">
        <v>2714</v>
      </c>
      <c r="B2715">
        <v>19</v>
      </c>
      <c r="C2715" t="s">
        <v>156</v>
      </c>
      <c r="D2715">
        <v>2714</v>
      </c>
      <c r="E2715" t="s">
        <v>65</v>
      </c>
      <c r="F2715" t="s">
        <v>66</v>
      </c>
      <c r="G2715">
        <v>2714</v>
      </c>
      <c r="H2715">
        <v>3455</v>
      </c>
      <c r="I2715">
        <v>57</v>
      </c>
      <c r="J2715" t="s">
        <v>94</v>
      </c>
      <c r="K2715" t="s">
        <v>47</v>
      </c>
      <c r="L2715" t="s">
        <v>139</v>
      </c>
      <c r="M2715" t="s">
        <v>60</v>
      </c>
      <c r="N2715">
        <v>3.8</v>
      </c>
      <c r="O2715">
        <v>0</v>
      </c>
      <c r="P2715" t="s">
        <v>73</v>
      </c>
      <c r="Q2715" t="s">
        <v>155</v>
      </c>
      <c r="R2715" t="s">
        <v>155</v>
      </c>
      <c r="S2715">
        <v>20</v>
      </c>
      <c r="T2715" t="s">
        <v>89</v>
      </c>
      <c r="U2715" t="s">
        <v>52</v>
      </c>
      <c r="V2715" s="1">
        <v>45544</v>
      </c>
      <c r="W2715">
        <f>Table1[[#This Row],[customer_purchase count]]+1</f>
        <v>21</v>
      </c>
      <c r="X2715">
        <f>Table1[[#This Row],[customer_purchase count]]*Rules!$B$3</f>
        <v>1195.2871794871796</v>
      </c>
      <c r="Y2715" t="str">
        <f>IF(Table1[[#This Row],[customer_subscription]]=1,"Subscribed","Not Subscribed")</f>
        <v>Not Subscribed</v>
      </c>
    </row>
    <row r="2716" spans="1:26" x14ac:dyDescent="0.25">
      <c r="A2716">
        <v>2715</v>
      </c>
      <c r="B2716">
        <v>53</v>
      </c>
      <c r="C2716" t="s">
        <v>156</v>
      </c>
      <c r="D2716">
        <v>2715</v>
      </c>
      <c r="E2716" t="s">
        <v>33</v>
      </c>
      <c r="F2716" t="s">
        <v>24</v>
      </c>
      <c r="G2716">
        <v>2715</v>
      </c>
      <c r="H2716">
        <v>3457</v>
      </c>
      <c r="I2716">
        <v>45</v>
      </c>
      <c r="J2716" t="s">
        <v>149</v>
      </c>
      <c r="K2716" t="s">
        <v>39</v>
      </c>
      <c r="L2716" t="s">
        <v>81</v>
      </c>
      <c r="M2716" t="s">
        <v>28</v>
      </c>
      <c r="N2716">
        <v>3.6</v>
      </c>
      <c r="O2716">
        <v>0</v>
      </c>
      <c r="P2716" t="s">
        <v>77</v>
      </c>
      <c r="Q2716" t="s">
        <v>155</v>
      </c>
      <c r="R2716" t="s">
        <v>155</v>
      </c>
      <c r="S2716">
        <v>16</v>
      </c>
      <c r="T2716" t="s">
        <v>42</v>
      </c>
      <c r="U2716" t="s">
        <v>79</v>
      </c>
      <c r="V2716" s="1">
        <v>45317</v>
      </c>
      <c r="W2716">
        <f>Table1[[#This Row],[customer_purchase count]]+1</f>
        <v>17</v>
      </c>
      <c r="X2716">
        <f>Table1[[#This Row],[customer_purchase count]]*Rules!$B$3</f>
        <v>956.22974358974363</v>
      </c>
      <c r="Y2716" t="str">
        <f>IF(Table1[[#This Row],[customer_subscription]]=1,"Subscribed","Not Subscribed")</f>
        <v>Not Subscribed</v>
      </c>
      <c r="Z2716" t="s">
        <v>194</v>
      </c>
    </row>
    <row r="2717" spans="1:26" x14ac:dyDescent="0.25">
      <c r="A2717">
        <v>2716</v>
      </c>
      <c r="B2717">
        <v>25</v>
      </c>
      <c r="C2717" t="s">
        <v>156</v>
      </c>
      <c r="D2717">
        <v>2716</v>
      </c>
      <c r="E2717" t="s">
        <v>53</v>
      </c>
      <c r="F2717" t="s">
        <v>45</v>
      </c>
      <c r="G2717">
        <v>2716</v>
      </c>
      <c r="H2717">
        <v>3458</v>
      </c>
      <c r="I2717">
        <v>92</v>
      </c>
      <c r="J2717" t="s">
        <v>94</v>
      </c>
      <c r="K2717" t="s">
        <v>95</v>
      </c>
      <c r="L2717" t="s">
        <v>72</v>
      </c>
      <c r="M2717" t="s">
        <v>28</v>
      </c>
      <c r="N2717">
        <v>4.0999999999999996</v>
      </c>
      <c r="O2717">
        <v>0</v>
      </c>
      <c r="P2717" t="s">
        <v>29</v>
      </c>
      <c r="Q2717" t="s">
        <v>155</v>
      </c>
      <c r="R2717" t="s">
        <v>155</v>
      </c>
      <c r="S2717">
        <v>29</v>
      </c>
      <c r="T2717" t="s">
        <v>49</v>
      </c>
      <c r="U2717" t="s">
        <v>32</v>
      </c>
      <c r="V2717" s="1">
        <v>45630</v>
      </c>
      <c r="W2717">
        <f>Table1[[#This Row],[customer_purchase count]]+1</f>
        <v>30</v>
      </c>
      <c r="X2717">
        <f>Table1[[#This Row],[customer_purchase count]]*Rules!$B$3</f>
        <v>1733.1664102564102</v>
      </c>
      <c r="Y2717" t="str">
        <f>IF(Table1[[#This Row],[customer_subscription]]=1,"Subscribed","Not Subscribed")</f>
        <v>Not Subscribed</v>
      </c>
    </row>
    <row r="2718" spans="1:26" x14ac:dyDescent="0.25">
      <c r="A2718">
        <v>2717</v>
      </c>
      <c r="B2718">
        <v>47</v>
      </c>
      <c r="C2718" t="s">
        <v>156</v>
      </c>
      <c r="D2718">
        <v>2717</v>
      </c>
      <c r="E2718" t="s">
        <v>74</v>
      </c>
      <c r="F2718" t="s">
        <v>45</v>
      </c>
      <c r="G2718">
        <v>2717</v>
      </c>
      <c r="H2718">
        <v>3459</v>
      </c>
      <c r="I2718">
        <v>40</v>
      </c>
      <c r="J2718" t="s">
        <v>115</v>
      </c>
      <c r="K2718" t="s">
        <v>26</v>
      </c>
      <c r="L2718" t="s">
        <v>97</v>
      </c>
      <c r="M2718" t="s">
        <v>40</v>
      </c>
      <c r="N2718">
        <v>2.7</v>
      </c>
      <c r="O2718">
        <v>0</v>
      </c>
      <c r="P2718" t="s">
        <v>77</v>
      </c>
      <c r="Q2718" t="s">
        <v>155</v>
      </c>
      <c r="R2718" t="s">
        <v>155</v>
      </c>
      <c r="S2718">
        <v>21</v>
      </c>
      <c r="T2718" t="s">
        <v>89</v>
      </c>
      <c r="U2718" t="s">
        <v>43</v>
      </c>
      <c r="V2718" s="1">
        <v>45404</v>
      </c>
      <c r="W2718">
        <f>Table1[[#This Row],[customer_purchase count]]+1</f>
        <v>22</v>
      </c>
      <c r="X2718">
        <f>Table1[[#This Row],[customer_purchase count]]*Rules!$B$3</f>
        <v>1255.0515384615385</v>
      </c>
      <c r="Y2718" t="str">
        <f>IF(Table1[[#This Row],[customer_subscription]]=1,"Subscribed","Not Subscribed")</f>
        <v>Not Subscribed</v>
      </c>
    </row>
    <row r="2719" spans="1:26" x14ac:dyDescent="0.25">
      <c r="A2719">
        <v>2718</v>
      </c>
      <c r="B2719">
        <v>18</v>
      </c>
      <c r="C2719" t="s">
        <v>156</v>
      </c>
      <c r="D2719">
        <v>2718</v>
      </c>
      <c r="E2719" t="s">
        <v>92</v>
      </c>
      <c r="F2719" t="s">
        <v>70</v>
      </c>
      <c r="G2719">
        <v>2718</v>
      </c>
      <c r="H2719">
        <v>3460</v>
      </c>
      <c r="I2719">
        <v>62</v>
      </c>
      <c r="J2719" t="s">
        <v>148</v>
      </c>
      <c r="K2719" t="s">
        <v>95</v>
      </c>
      <c r="L2719" t="s">
        <v>121</v>
      </c>
      <c r="M2719" t="s">
        <v>28</v>
      </c>
      <c r="N2719">
        <v>4.3</v>
      </c>
      <c r="O2719">
        <v>0</v>
      </c>
      <c r="P2719" t="s">
        <v>41</v>
      </c>
      <c r="Q2719" t="s">
        <v>155</v>
      </c>
      <c r="R2719" t="s">
        <v>155</v>
      </c>
      <c r="S2719">
        <v>19</v>
      </c>
      <c r="T2719" t="s">
        <v>42</v>
      </c>
      <c r="U2719" t="s">
        <v>100</v>
      </c>
      <c r="V2719" s="1">
        <v>45643</v>
      </c>
      <c r="W2719">
        <f>Table1[[#This Row],[customer_purchase count]]+1</f>
        <v>20</v>
      </c>
      <c r="X2719">
        <f>Table1[[#This Row],[customer_purchase count]]*Rules!$B$3</f>
        <v>1135.5228205128205</v>
      </c>
      <c r="Y2719" t="str">
        <f>IF(Table1[[#This Row],[customer_subscription]]=1,"Subscribed","Not Subscribed")</f>
        <v>Not Subscribed</v>
      </c>
    </row>
    <row r="2720" spans="1:26" x14ac:dyDescent="0.25">
      <c r="A2720">
        <v>2719</v>
      </c>
      <c r="B2720">
        <v>22</v>
      </c>
      <c r="C2720" t="s">
        <v>156</v>
      </c>
      <c r="D2720">
        <v>2719</v>
      </c>
      <c r="E2720" t="s">
        <v>62</v>
      </c>
      <c r="F2720" t="s">
        <v>24</v>
      </c>
      <c r="G2720">
        <v>2719</v>
      </c>
      <c r="H2720">
        <v>3461</v>
      </c>
      <c r="I2720">
        <v>90</v>
      </c>
      <c r="J2720" t="s">
        <v>144</v>
      </c>
      <c r="K2720" t="s">
        <v>47</v>
      </c>
      <c r="L2720" t="s">
        <v>103</v>
      </c>
      <c r="M2720" t="s">
        <v>28</v>
      </c>
      <c r="N2720">
        <v>4.9000000000000004</v>
      </c>
      <c r="O2720">
        <v>0</v>
      </c>
      <c r="P2720" t="s">
        <v>48</v>
      </c>
      <c r="Q2720" t="s">
        <v>155</v>
      </c>
      <c r="R2720" t="s">
        <v>155</v>
      </c>
      <c r="S2720">
        <v>10</v>
      </c>
      <c r="T2720" t="s">
        <v>31</v>
      </c>
      <c r="U2720" t="s">
        <v>79</v>
      </c>
      <c r="V2720" s="1">
        <v>45641</v>
      </c>
      <c r="W2720">
        <f>Table1[[#This Row],[customer_purchase count]]+1</f>
        <v>11</v>
      </c>
      <c r="X2720">
        <f>Table1[[#This Row],[customer_purchase count]]*Rules!$B$3</f>
        <v>597.64358974358981</v>
      </c>
      <c r="Y2720" t="str">
        <f>IF(Table1[[#This Row],[customer_subscription]]=1,"Subscribed","Not Subscribed")</f>
        <v>Not Subscribed</v>
      </c>
      <c r="Z2720" t="s">
        <v>187</v>
      </c>
    </row>
    <row r="2721" spans="1:26" x14ac:dyDescent="0.25">
      <c r="A2721">
        <v>2720</v>
      </c>
      <c r="B2721">
        <v>69</v>
      </c>
      <c r="C2721" t="s">
        <v>156</v>
      </c>
      <c r="D2721">
        <v>2720</v>
      </c>
      <c r="E2721" t="s">
        <v>107</v>
      </c>
      <c r="F2721" t="s">
        <v>24</v>
      </c>
      <c r="G2721">
        <v>2720</v>
      </c>
      <c r="H2721">
        <v>3463</v>
      </c>
      <c r="I2721">
        <v>82</v>
      </c>
      <c r="J2721" t="s">
        <v>63</v>
      </c>
      <c r="K2721" t="s">
        <v>39</v>
      </c>
      <c r="L2721" t="s">
        <v>103</v>
      </c>
      <c r="M2721" t="s">
        <v>60</v>
      </c>
      <c r="N2721">
        <v>4.2</v>
      </c>
      <c r="O2721">
        <v>0</v>
      </c>
      <c r="P2721" t="s">
        <v>41</v>
      </c>
      <c r="Q2721" t="s">
        <v>155</v>
      </c>
      <c r="R2721" t="s">
        <v>155</v>
      </c>
      <c r="S2721">
        <v>4</v>
      </c>
      <c r="T2721" t="s">
        <v>78</v>
      </c>
      <c r="U2721" t="s">
        <v>91</v>
      </c>
      <c r="V2721" s="1">
        <v>45558</v>
      </c>
      <c r="W2721">
        <f>Table1[[#This Row],[customer_purchase count]]+1</f>
        <v>5</v>
      </c>
      <c r="X2721">
        <f>Table1[[#This Row],[customer_purchase count]]*Rules!$B$3</f>
        <v>239.05743589743591</v>
      </c>
      <c r="Y2721" t="str">
        <f>IF(Table1[[#This Row],[customer_subscription]]=1,"Subscribed","Not Subscribed")</f>
        <v>Not Subscribed</v>
      </c>
      <c r="Z2721" t="s">
        <v>194</v>
      </c>
    </row>
    <row r="2722" spans="1:26" x14ac:dyDescent="0.25">
      <c r="A2722">
        <v>2721</v>
      </c>
      <c r="B2722">
        <v>55</v>
      </c>
      <c r="C2722" t="s">
        <v>156</v>
      </c>
      <c r="D2722">
        <v>2721</v>
      </c>
      <c r="E2722" t="s">
        <v>122</v>
      </c>
      <c r="F2722" t="s">
        <v>70</v>
      </c>
      <c r="G2722">
        <v>2721</v>
      </c>
      <c r="H2722">
        <v>3464</v>
      </c>
      <c r="I2722">
        <v>52</v>
      </c>
      <c r="J2722" t="s">
        <v>131</v>
      </c>
      <c r="K2722" t="s">
        <v>47</v>
      </c>
      <c r="L2722" t="s">
        <v>103</v>
      </c>
      <c r="M2722" t="s">
        <v>40</v>
      </c>
      <c r="N2722">
        <v>2.8</v>
      </c>
      <c r="O2722">
        <v>0</v>
      </c>
      <c r="P2722" t="s">
        <v>77</v>
      </c>
      <c r="Q2722" t="s">
        <v>155</v>
      </c>
      <c r="R2722" t="s">
        <v>155</v>
      </c>
      <c r="S2722">
        <v>45</v>
      </c>
      <c r="T2722" t="s">
        <v>78</v>
      </c>
      <c r="U2722" t="s">
        <v>61</v>
      </c>
      <c r="V2722" s="1">
        <v>45385</v>
      </c>
      <c r="W2722">
        <f>Table1[[#This Row],[customer_purchase count]]+1</f>
        <v>46</v>
      </c>
      <c r="X2722">
        <f>Table1[[#This Row],[customer_purchase count]]*Rules!$B$3</f>
        <v>2689.396153846154</v>
      </c>
      <c r="Y2722" t="str">
        <f>IF(Table1[[#This Row],[customer_subscription]]=1,"Subscribed","Not Subscribed")</f>
        <v>Not Subscribed</v>
      </c>
    </row>
    <row r="2723" spans="1:26" x14ac:dyDescent="0.25">
      <c r="A2723">
        <v>2722</v>
      </c>
      <c r="B2723">
        <v>19</v>
      </c>
      <c r="C2723" t="s">
        <v>156</v>
      </c>
      <c r="D2723">
        <v>2722</v>
      </c>
      <c r="E2723" t="s">
        <v>44</v>
      </c>
      <c r="F2723" t="s">
        <v>45</v>
      </c>
      <c r="G2723">
        <v>2722</v>
      </c>
      <c r="H2723">
        <v>3465</v>
      </c>
      <c r="I2723">
        <v>70</v>
      </c>
      <c r="J2723" t="s">
        <v>151</v>
      </c>
      <c r="K2723" t="s">
        <v>39</v>
      </c>
      <c r="L2723" t="s">
        <v>88</v>
      </c>
      <c r="M2723" t="s">
        <v>40</v>
      </c>
      <c r="N2723">
        <v>4.9000000000000004</v>
      </c>
      <c r="O2723">
        <v>0</v>
      </c>
      <c r="P2723" t="s">
        <v>41</v>
      </c>
      <c r="Q2723" t="s">
        <v>155</v>
      </c>
      <c r="R2723" t="s">
        <v>155</v>
      </c>
      <c r="S2723">
        <v>17</v>
      </c>
      <c r="T2723" t="s">
        <v>49</v>
      </c>
      <c r="U2723" t="s">
        <v>32</v>
      </c>
      <c r="V2723" s="1">
        <v>45374</v>
      </c>
      <c r="W2723">
        <f>Table1[[#This Row],[customer_purchase count]]+1</f>
        <v>18</v>
      </c>
      <c r="X2723">
        <f>Table1[[#This Row],[customer_purchase count]]*Rules!$B$3</f>
        <v>1015.9941025641026</v>
      </c>
      <c r="Y2723" t="str">
        <f>IF(Table1[[#This Row],[customer_subscription]]=1,"Subscribed","Not Subscribed")</f>
        <v>Not Subscribed</v>
      </c>
      <c r="Z2723" t="s">
        <v>187</v>
      </c>
    </row>
    <row r="2724" spans="1:26" x14ac:dyDescent="0.25">
      <c r="A2724">
        <v>2723</v>
      </c>
      <c r="B2724">
        <v>23</v>
      </c>
      <c r="C2724" t="s">
        <v>156</v>
      </c>
      <c r="D2724">
        <v>2723</v>
      </c>
      <c r="E2724" t="s">
        <v>127</v>
      </c>
      <c r="F2724" t="s">
        <v>70</v>
      </c>
      <c r="G2724">
        <v>2723</v>
      </c>
      <c r="H2724">
        <v>3466</v>
      </c>
      <c r="I2724">
        <v>83</v>
      </c>
      <c r="J2724" t="s">
        <v>34</v>
      </c>
      <c r="K2724" t="s">
        <v>47</v>
      </c>
      <c r="L2724" t="s">
        <v>99</v>
      </c>
      <c r="M2724" t="s">
        <v>40</v>
      </c>
      <c r="N2724">
        <v>2.8</v>
      </c>
      <c r="O2724">
        <v>0</v>
      </c>
      <c r="P2724" t="s">
        <v>73</v>
      </c>
      <c r="Q2724" t="s">
        <v>155</v>
      </c>
      <c r="R2724" t="s">
        <v>155</v>
      </c>
      <c r="S2724">
        <v>22</v>
      </c>
      <c r="T2724" t="s">
        <v>49</v>
      </c>
      <c r="U2724" t="s">
        <v>32</v>
      </c>
      <c r="V2724" s="1">
        <v>45388</v>
      </c>
      <c r="W2724">
        <f>Table1[[#This Row],[customer_purchase count]]+1</f>
        <v>23</v>
      </c>
      <c r="X2724">
        <f>Table1[[#This Row],[customer_purchase count]]*Rules!$B$3</f>
        <v>1314.8158974358976</v>
      </c>
      <c r="Y2724" t="str">
        <f>IF(Table1[[#This Row],[customer_subscription]]=1,"Subscribed","Not Subscribed")</f>
        <v>Not Subscribed</v>
      </c>
    </row>
    <row r="2725" spans="1:26" x14ac:dyDescent="0.25">
      <c r="A2725">
        <v>2724</v>
      </c>
      <c r="B2725">
        <v>54</v>
      </c>
      <c r="C2725" t="s">
        <v>156</v>
      </c>
      <c r="D2725">
        <v>2724</v>
      </c>
      <c r="E2725" t="s">
        <v>74</v>
      </c>
      <c r="F2725" t="s">
        <v>45</v>
      </c>
      <c r="G2725">
        <v>2724</v>
      </c>
      <c r="H2725">
        <v>3467</v>
      </c>
      <c r="I2725">
        <v>49</v>
      </c>
      <c r="J2725" t="s">
        <v>108</v>
      </c>
      <c r="K2725" t="s">
        <v>95</v>
      </c>
      <c r="L2725" t="s">
        <v>113</v>
      </c>
      <c r="M2725" t="s">
        <v>56</v>
      </c>
      <c r="N2725">
        <v>2.9</v>
      </c>
      <c r="O2725">
        <v>0</v>
      </c>
      <c r="P2725" t="s">
        <v>77</v>
      </c>
      <c r="Q2725" t="s">
        <v>155</v>
      </c>
      <c r="R2725" t="s">
        <v>155</v>
      </c>
      <c r="S2725">
        <v>3</v>
      </c>
      <c r="T2725" t="s">
        <v>49</v>
      </c>
      <c r="U2725" t="s">
        <v>100</v>
      </c>
      <c r="V2725" s="1">
        <v>45468</v>
      </c>
      <c r="W2725">
        <f>Table1[[#This Row],[customer_purchase count]]+1</f>
        <v>4</v>
      </c>
      <c r="X2725">
        <f>Table1[[#This Row],[customer_purchase count]]*Rules!$B$3</f>
        <v>179.29307692307694</v>
      </c>
      <c r="Y2725" t="str">
        <f>IF(Table1[[#This Row],[customer_subscription]]=1,"Subscribed","Not Subscribed")</f>
        <v>Not Subscribed</v>
      </c>
      <c r="Z2725" t="s">
        <v>194</v>
      </c>
    </row>
    <row r="2726" spans="1:26" x14ac:dyDescent="0.25">
      <c r="A2726">
        <v>2725</v>
      </c>
      <c r="B2726">
        <v>52</v>
      </c>
      <c r="C2726" t="s">
        <v>156</v>
      </c>
      <c r="D2726">
        <v>2725</v>
      </c>
      <c r="E2726" t="s">
        <v>53</v>
      </c>
      <c r="F2726" t="s">
        <v>45</v>
      </c>
      <c r="G2726">
        <v>2725</v>
      </c>
      <c r="H2726">
        <v>3469</v>
      </c>
      <c r="I2726">
        <v>91</v>
      </c>
      <c r="J2726" t="s">
        <v>71</v>
      </c>
      <c r="K2726" t="s">
        <v>47</v>
      </c>
      <c r="L2726" t="s">
        <v>113</v>
      </c>
      <c r="M2726" t="s">
        <v>40</v>
      </c>
      <c r="N2726">
        <v>2.5</v>
      </c>
      <c r="O2726">
        <v>0</v>
      </c>
      <c r="P2726" t="s">
        <v>48</v>
      </c>
      <c r="Q2726" t="s">
        <v>155</v>
      </c>
      <c r="R2726" t="s">
        <v>155</v>
      </c>
      <c r="S2726">
        <v>11</v>
      </c>
      <c r="T2726" t="s">
        <v>89</v>
      </c>
      <c r="U2726" t="s">
        <v>32</v>
      </c>
      <c r="V2726" s="1">
        <v>45367</v>
      </c>
      <c r="W2726">
        <f>Table1[[#This Row],[customer_purchase count]]+1</f>
        <v>12</v>
      </c>
      <c r="X2726">
        <f>Table1[[#This Row],[customer_purchase count]]*Rules!$B$3</f>
        <v>657.40794871794878</v>
      </c>
      <c r="Y2726" t="str">
        <f>IF(Table1[[#This Row],[customer_subscription]]=1,"Subscribed","Not Subscribed")</f>
        <v>Not Subscribed</v>
      </c>
      <c r="Z2726" t="s">
        <v>194</v>
      </c>
    </row>
    <row r="2727" spans="1:26" x14ac:dyDescent="0.25">
      <c r="A2727">
        <v>2726</v>
      </c>
      <c r="B2727">
        <v>64</v>
      </c>
      <c r="C2727" t="s">
        <v>156</v>
      </c>
      <c r="D2727">
        <v>2726</v>
      </c>
      <c r="E2727" t="s">
        <v>135</v>
      </c>
      <c r="F2727" t="s">
        <v>70</v>
      </c>
      <c r="G2727">
        <v>2726</v>
      </c>
      <c r="H2727">
        <v>3470</v>
      </c>
      <c r="I2727">
        <v>99</v>
      </c>
      <c r="J2727" t="s">
        <v>94</v>
      </c>
      <c r="K2727" t="s">
        <v>39</v>
      </c>
      <c r="L2727" t="s">
        <v>86</v>
      </c>
      <c r="M2727" t="s">
        <v>56</v>
      </c>
      <c r="N2727">
        <v>2.7</v>
      </c>
      <c r="O2727">
        <v>0</v>
      </c>
      <c r="P2727" t="s">
        <v>41</v>
      </c>
      <c r="Q2727" t="s">
        <v>155</v>
      </c>
      <c r="R2727" t="s">
        <v>155</v>
      </c>
      <c r="S2727">
        <v>4</v>
      </c>
      <c r="T2727" t="s">
        <v>89</v>
      </c>
      <c r="U2727" t="s">
        <v>52</v>
      </c>
      <c r="V2727" s="1">
        <v>45451</v>
      </c>
      <c r="W2727">
        <f>Table1[[#This Row],[customer_purchase count]]+1</f>
        <v>5</v>
      </c>
      <c r="X2727">
        <f>Table1[[#This Row],[customer_purchase count]]*Rules!$B$3</f>
        <v>239.05743589743591</v>
      </c>
      <c r="Y2727" t="str">
        <f>IF(Table1[[#This Row],[customer_subscription]]=1,"Subscribed","Not Subscribed")</f>
        <v>Not Subscribed</v>
      </c>
      <c r="Z2727" t="s">
        <v>194</v>
      </c>
    </row>
    <row r="2728" spans="1:26" x14ac:dyDescent="0.25">
      <c r="A2728">
        <v>2727</v>
      </c>
      <c r="B2728">
        <v>33</v>
      </c>
      <c r="C2728" t="s">
        <v>156</v>
      </c>
      <c r="D2728">
        <v>2727</v>
      </c>
      <c r="E2728" t="s">
        <v>136</v>
      </c>
      <c r="F2728" t="s">
        <v>70</v>
      </c>
      <c r="G2728">
        <v>2727</v>
      </c>
      <c r="H2728">
        <v>3471</v>
      </c>
      <c r="I2728">
        <v>92</v>
      </c>
      <c r="J2728" t="s">
        <v>154</v>
      </c>
      <c r="K2728" t="s">
        <v>26</v>
      </c>
      <c r="L2728" t="s">
        <v>147</v>
      </c>
      <c r="M2728" t="s">
        <v>28</v>
      </c>
      <c r="N2728">
        <v>3.3</v>
      </c>
      <c r="O2728">
        <v>0</v>
      </c>
      <c r="P2728" t="s">
        <v>41</v>
      </c>
      <c r="Q2728" t="s">
        <v>155</v>
      </c>
      <c r="R2728" t="s">
        <v>155</v>
      </c>
      <c r="S2728">
        <v>11</v>
      </c>
      <c r="T2728" t="s">
        <v>49</v>
      </c>
      <c r="U2728" t="s">
        <v>79</v>
      </c>
      <c r="V2728" s="1">
        <v>45308</v>
      </c>
      <c r="W2728">
        <f>Table1[[#This Row],[customer_purchase count]]+1</f>
        <v>12</v>
      </c>
      <c r="X2728">
        <f>Table1[[#This Row],[customer_purchase count]]*Rules!$B$3</f>
        <v>657.40794871794878</v>
      </c>
      <c r="Y2728" t="str">
        <f>IF(Table1[[#This Row],[customer_subscription]]=1,"Subscribed","Not Subscribed")</f>
        <v>Not Subscribed</v>
      </c>
      <c r="Z2728" t="s">
        <v>194</v>
      </c>
    </row>
    <row r="2729" spans="1:26" x14ac:dyDescent="0.25">
      <c r="A2729">
        <v>2728</v>
      </c>
      <c r="B2729">
        <v>40</v>
      </c>
      <c r="C2729" t="s">
        <v>156</v>
      </c>
      <c r="D2729">
        <v>2728</v>
      </c>
      <c r="E2729" t="s">
        <v>58</v>
      </c>
      <c r="F2729" t="s">
        <v>24</v>
      </c>
      <c r="G2729">
        <v>2728</v>
      </c>
      <c r="H2729">
        <v>3472</v>
      </c>
      <c r="I2729">
        <v>87</v>
      </c>
      <c r="J2729" t="s">
        <v>115</v>
      </c>
      <c r="K2729" t="s">
        <v>26</v>
      </c>
      <c r="L2729" t="s">
        <v>64</v>
      </c>
      <c r="M2729" t="s">
        <v>28</v>
      </c>
      <c r="N2729">
        <v>3.7</v>
      </c>
      <c r="O2729">
        <v>0</v>
      </c>
      <c r="P2729" t="s">
        <v>73</v>
      </c>
      <c r="Q2729" t="s">
        <v>155</v>
      </c>
      <c r="R2729" t="s">
        <v>155</v>
      </c>
      <c r="S2729">
        <v>47</v>
      </c>
      <c r="T2729" t="s">
        <v>42</v>
      </c>
      <c r="U2729" t="s">
        <v>32</v>
      </c>
      <c r="V2729" s="1">
        <v>45297</v>
      </c>
      <c r="W2729">
        <f>Table1[[#This Row],[customer_purchase count]]+1</f>
        <v>48</v>
      </c>
      <c r="X2729">
        <f>Table1[[#This Row],[customer_purchase count]]*Rules!$B$3</f>
        <v>2808.9248717948717</v>
      </c>
      <c r="Y2729" t="str">
        <f>IF(Table1[[#This Row],[customer_subscription]]=1,"Subscribed","Not Subscribed")</f>
        <v>Not Subscribed</v>
      </c>
    </row>
    <row r="2730" spans="1:26" x14ac:dyDescent="0.25">
      <c r="A2730">
        <v>2729</v>
      </c>
      <c r="B2730">
        <v>26</v>
      </c>
      <c r="C2730" t="s">
        <v>156</v>
      </c>
      <c r="D2730">
        <v>2729</v>
      </c>
      <c r="E2730" t="s">
        <v>90</v>
      </c>
      <c r="F2730" t="s">
        <v>24</v>
      </c>
      <c r="G2730">
        <v>2729</v>
      </c>
      <c r="H2730">
        <v>3473</v>
      </c>
      <c r="I2730">
        <v>28</v>
      </c>
      <c r="J2730" t="s">
        <v>106</v>
      </c>
      <c r="K2730" t="s">
        <v>47</v>
      </c>
      <c r="L2730" t="s">
        <v>72</v>
      </c>
      <c r="M2730" t="s">
        <v>28</v>
      </c>
      <c r="N2730">
        <v>4</v>
      </c>
      <c r="O2730">
        <v>0</v>
      </c>
      <c r="P2730" t="s">
        <v>29</v>
      </c>
      <c r="Q2730" t="s">
        <v>155</v>
      </c>
      <c r="R2730" t="s">
        <v>155</v>
      </c>
      <c r="S2730">
        <v>17</v>
      </c>
      <c r="T2730" t="s">
        <v>89</v>
      </c>
      <c r="U2730" t="s">
        <v>43</v>
      </c>
      <c r="V2730" s="1">
        <v>45323</v>
      </c>
      <c r="W2730">
        <f>Table1[[#This Row],[customer_purchase count]]+1</f>
        <v>18</v>
      </c>
      <c r="X2730">
        <f>Table1[[#This Row],[customer_purchase count]]*Rules!$B$3</f>
        <v>1015.9941025641026</v>
      </c>
      <c r="Y2730" t="str">
        <f>IF(Table1[[#This Row],[customer_subscription]]=1,"Subscribed","Not Subscribed")</f>
        <v>Not Subscribed</v>
      </c>
      <c r="Z2730" t="s">
        <v>187</v>
      </c>
    </row>
    <row r="2731" spans="1:26" x14ac:dyDescent="0.25">
      <c r="A2731">
        <v>2730</v>
      </c>
      <c r="B2731">
        <v>31</v>
      </c>
      <c r="C2731" t="s">
        <v>156</v>
      </c>
      <c r="D2731">
        <v>2730</v>
      </c>
      <c r="E2731" t="s">
        <v>146</v>
      </c>
      <c r="F2731" t="s">
        <v>70</v>
      </c>
      <c r="G2731">
        <v>2730</v>
      </c>
      <c r="H2731">
        <v>3475</v>
      </c>
      <c r="I2731">
        <v>71</v>
      </c>
      <c r="J2731" t="s">
        <v>59</v>
      </c>
      <c r="K2731" t="s">
        <v>39</v>
      </c>
      <c r="L2731" t="s">
        <v>86</v>
      </c>
      <c r="M2731" t="s">
        <v>56</v>
      </c>
      <c r="N2731">
        <v>4.0999999999999996</v>
      </c>
      <c r="O2731">
        <v>0</v>
      </c>
      <c r="P2731" t="s">
        <v>41</v>
      </c>
      <c r="Q2731" t="s">
        <v>155</v>
      </c>
      <c r="R2731" t="s">
        <v>155</v>
      </c>
      <c r="S2731">
        <v>32</v>
      </c>
      <c r="T2731" t="s">
        <v>42</v>
      </c>
      <c r="U2731" t="s">
        <v>91</v>
      </c>
      <c r="V2731" s="1">
        <v>45478</v>
      </c>
      <c r="W2731">
        <f>Table1[[#This Row],[customer_purchase count]]+1</f>
        <v>33</v>
      </c>
      <c r="X2731">
        <f>Table1[[#This Row],[customer_purchase count]]*Rules!$B$3</f>
        <v>1912.4594871794873</v>
      </c>
      <c r="Y2731" t="str">
        <f>IF(Table1[[#This Row],[customer_subscription]]=1,"Subscribed","Not Subscribed")</f>
        <v>Not Subscribed</v>
      </c>
    </row>
    <row r="2732" spans="1:26" x14ac:dyDescent="0.25">
      <c r="A2732">
        <v>2731</v>
      </c>
      <c r="B2732">
        <v>23</v>
      </c>
      <c r="C2732" t="s">
        <v>156</v>
      </c>
      <c r="D2732">
        <v>2731</v>
      </c>
      <c r="E2732" t="s">
        <v>146</v>
      </c>
      <c r="F2732" t="s">
        <v>70</v>
      </c>
      <c r="G2732">
        <v>2731</v>
      </c>
      <c r="H2732">
        <v>3476</v>
      </c>
      <c r="I2732">
        <v>32</v>
      </c>
      <c r="J2732" t="s">
        <v>153</v>
      </c>
      <c r="K2732" t="s">
        <v>47</v>
      </c>
      <c r="L2732" t="s">
        <v>88</v>
      </c>
      <c r="M2732" t="s">
        <v>28</v>
      </c>
      <c r="N2732">
        <v>4.0999999999999996</v>
      </c>
      <c r="O2732">
        <v>0</v>
      </c>
      <c r="P2732" t="s">
        <v>77</v>
      </c>
      <c r="Q2732" t="s">
        <v>155</v>
      </c>
      <c r="R2732" t="s">
        <v>155</v>
      </c>
      <c r="S2732">
        <v>37</v>
      </c>
      <c r="T2732" t="s">
        <v>78</v>
      </c>
      <c r="U2732" t="s">
        <v>52</v>
      </c>
      <c r="V2732" s="1">
        <v>45347</v>
      </c>
      <c r="W2732">
        <f>Table1[[#This Row],[customer_purchase count]]+1</f>
        <v>38</v>
      </c>
      <c r="X2732">
        <f>Table1[[#This Row],[customer_purchase count]]*Rules!$B$3</f>
        <v>2211.2812820512822</v>
      </c>
      <c r="Y2732" t="str">
        <f>IF(Table1[[#This Row],[customer_subscription]]=1,"Subscribed","Not Subscribed")</f>
        <v>Not Subscribed</v>
      </c>
    </row>
    <row r="2733" spans="1:26" x14ac:dyDescent="0.25">
      <c r="A2733">
        <v>2732</v>
      </c>
      <c r="B2733">
        <v>52</v>
      </c>
      <c r="C2733" t="s">
        <v>156</v>
      </c>
      <c r="D2733">
        <v>2732</v>
      </c>
      <c r="E2733" t="s">
        <v>69</v>
      </c>
      <c r="F2733" t="s">
        <v>70</v>
      </c>
      <c r="G2733">
        <v>2732</v>
      </c>
      <c r="H2733">
        <v>3477</v>
      </c>
      <c r="I2733">
        <v>33</v>
      </c>
      <c r="J2733" t="s">
        <v>153</v>
      </c>
      <c r="K2733" t="s">
        <v>47</v>
      </c>
      <c r="L2733" t="s">
        <v>111</v>
      </c>
      <c r="M2733" t="s">
        <v>56</v>
      </c>
      <c r="N2733">
        <v>2.5</v>
      </c>
      <c r="O2733">
        <v>0</v>
      </c>
      <c r="P2733" t="s">
        <v>73</v>
      </c>
      <c r="Q2733" t="s">
        <v>155</v>
      </c>
      <c r="R2733" t="s">
        <v>155</v>
      </c>
      <c r="S2733">
        <v>44</v>
      </c>
      <c r="T2733" t="s">
        <v>78</v>
      </c>
      <c r="U2733" t="s">
        <v>61</v>
      </c>
      <c r="V2733" s="1">
        <v>45520</v>
      </c>
      <c r="W2733">
        <f>Table1[[#This Row],[customer_purchase count]]+1</f>
        <v>45</v>
      </c>
      <c r="X2733">
        <f>Table1[[#This Row],[customer_purchase count]]*Rules!$B$3</f>
        <v>2629.6317948717951</v>
      </c>
      <c r="Y2733" t="str">
        <f>IF(Table1[[#This Row],[customer_subscription]]=1,"Subscribed","Not Subscribed")</f>
        <v>Not Subscribed</v>
      </c>
    </row>
    <row r="2734" spans="1:26" x14ac:dyDescent="0.25">
      <c r="A2734">
        <v>2733</v>
      </c>
      <c r="B2734">
        <v>21</v>
      </c>
      <c r="C2734" t="s">
        <v>156</v>
      </c>
      <c r="D2734">
        <v>2733</v>
      </c>
      <c r="E2734" t="s">
        <v>128</v>
      </c>
      <c r="F2734" t="s">
        <v>24</v>
      </c>
      <c r="G2734">
        <v>2733</v>
      </c>
      <c r="H2734">
        <v>3478</v>
      </c>
      <c r="I2734">
        <v>75</v>
      </c>
      <c r="J2734" t="s">
        <v>82</v>
      </c>
      <c r="K2734" t="s">
        <v>26</v>
      </c>
      <c r="L2734" t="s">
        <v>124</v>
      </c>
      <c r="M2734" t="s">
        <v>28</v>
      </c>
      <c r="N2734">
        <v>4.2</v>
      </c>
      <c r="O2734">
        <v>0</v>
      </c>
      <c r="P2734" t="s">
        <v>77</v>
      </c>
      <c r="Q2734" t="s">
        <v>155</v>
      </c>
      <c r="R2734" t="s">
        <v>155</v>
      </c>
      <c r="S2734">
        <v>27</v>
      </c>
      <c r="T2734" t="s">
        <v>89</v>
      </c>
      <c r="U2734" t="s">
        <v>100</v>
      </c>
      <c r="V2734" s="1">
        <v>45639</v>
      </c>
      <c r="W2734">
        <f>Table1[[#This Row],[customer_purchase count]]+1</f>
        <v>28</v>
      </c>
      <c r="X2734">
        <f>Table1[[#This Row],[customer_purchase count]]*Rules!$B$3</f>
        <v>1613.6376923076923</v>
      </c>
      <c r="Y2734" t="str">
        <f>IF(Table1[[#This Row],[customer_subscription]]=1,"Subscribed","Not Subscribed")</f>
        <v>Not Subscribed</v>
      </c>
    </row>
    <row r="2735" spans="1:26" x14ac:dyDescent="0.25">
      <c r="A2735">
        <v>2734</v>
      </c>
      <c r="B2735">
        <v>31</v>
      </c>
      <c r="C2735" t="s">
        <v>156</v>
      </c>
      <c r="D2735">
        <v>2734</v>
      </c>
      <c r="E2735" t="s">
        <v>135</v>
      </c>
      <c r="F2735" t="s">
        <v>70</v>
      </c>
      <c r="G2735">
        <v>2734</v>
      </c>
      <c r="H2735">
        <v>3479</v>
      </c>
      <c r="I2735">
        <v>83</v>
      </c>
      <c r="J2735" t="s">
        <v>101</v>
      </c>
      <c r="K2735" t="s">
        <v>47</v>
      </c>
      <c r="L2735" t="s">
        <v>139</v>
      </c>
      <c r="M2735" t="s">
        <v>56</v>
      </c>
      <c r="N2735">
        <v>4.7</v>
      </c>
      <c r="O2735">
        <v>0</v>
      </c>
      <c r="P2735" t="s">
        <v>29</v>
      </c>
      <c r="Q2735" t="s">
        <v>155</v>
      </c>
      <c r="R2735" t="s">
        <v>155</v>
      </c>
      <c r="S2735">
        <v>46</v>
      </c>
      <c r="T2735" t="s">
        <v>49</v>
      </c>
      <c r="U2735" t="s">
        <v>52</v>
      </c>
      <c r="V2735" s="1">
        <v>45520</v>
      </c>
      <c r="W2735">
        <f>Table1[[#This Row],[customer_purchase count]]+1</f>
        <v>47</v>
      </c>
      <c r="X2735">
        <f>Table1[[#This Row],[customer_purchase count]]*Rules!$B$3</f>
        <v>2749.1605128205128</v>
      </c>
      <c r="Y2735" t="str">
        <f>IF(Table1[[#This Row],[customer_subscription]]=1,"Subscribed","Not Subscribed")</f>
        <v>Not Subscribed</v>
      </c>
    </row>
    <row r="2736" spans="1:26" x14ac:dyDescent="0.25">
      <c r="A2736">
        <v>2735</v>
      </c>
      <c r="B2736">
        <v>63</v>
      </c>
      <c r="C2736" t="s">
        <v>156</v>
      </c>
      <c r="D2736">
        <v>2735</v>
      </c>
      <c r="E2736" t="s">
        <v>37</v>
      </c>
      <c r="F2736" t="s">
        <v>24</v>
      </c>
      <c r="G2736">
        <v>2735</v>
      </c>
      <c r="H2736">
        <v>3481</v>
      </c>
      <c r="I2736">
        <v>93</v>
      </c>
      <c r="J2736" t="s">
        <v>87</v>
      </c>
      <c r="K2736" t="s">
        <v>95</v>
      </c>
      <c r="L2736" t="s">
        <v>137</v>
      </c>
      <c r="M2736" t="s">
        <v>56</v>
      </c>
      <c r="N2736">
        <v>2.7</v>
      </c>
      <c r="O2736">
        <v>0</v>
      </c>
      <c r="P2736" t="s">
        <v>73</v>
      </c>
      <c r="Q2736" t="s">
        <v>155</v>
      </c>
      <c r="R2736" t="s">
        <v>155</v>
      </c>
      <c r="S2736">
        <v>13</v>
      </c>
      <c r="T2736" t="s">
        <v>36</v>
      </c>
      <c r="U2736" t="s">
        <v>79</v>
      </c>
      <c r="V2736" s="1">
        <v>45469</v>
      </c>
      <c r="W2736">
        <f>Table1[[#This Row],[customer_purchase count]]+1</f>
        <v>14</v>
      </c>
      <c r="X2736">
        <f>Table1[[#This Row],[customer_purchase count]]*Rules!$B$3</f>
        <v>776.93666666666672</v>
      </c>
      <c r="Y2736" t="str">
        <f>IF(Table1[[#This Row],[customer_subscription]]=1,"Subscribed","Not Subscribed")</f>
        <v>Not Subscribed</v>
      </c>
      <c r="Z2736" t="s">
        <v>194</v>
      </c>
    </row>
    <row r="2737" spans="1:26" x14ac:dyDescent="0.25">
      <c r="A2737">
        <v>2736</v>
      </c>
      <c r="B2737">
        <v>46</v>
      </c>
      <c r="C2737" t="s">
        <v>156</v>
      </c>
      <c r="D2737">
        <v>2736</v>
      </c>
      <c r="E2737" t="s">
        <v>90</v>
      </c>
      <c r="F2737" t="s">
        <v>24</v>
      </c>
      <c r="G2737">
        <v>2736</v>
      </c>
      <c r="H2737">
        <v>3482</v>
      </c>
      <c r="I2737">
        <v>29</v>
      </c>
      <c r="J2737" t="s">
        <v>102</v>
      </c>
      <c r="K2737" t="s">
        <v>47</v>
      </c>
      <c r="L2737" t="s">
        <v>137</v>
      </c>
      <c r="M2737" t="s">
        <v>40</v>
      </c>
      <c r="N2737">
        <v>3</v>
      </c>
      <c r="O2737">
        <v>0</v>
      </c>
      <c r="P2737" t="s">
        <v>29</v>
      </c>
      <c r="Q2737" t="s">
        <v>155</v>
      </c>
      <c r="R2737" t="s">
        <v>155</v>
      </c>
      <c r="S2737">
        <v>2</v>
      </c>
      <c r="T2737" t="s">
        <v>49</v>
      </c>
      <c r="U2737" t="s">
        <v>79</v>
      </c>
      <c r="V2737" s="1">
        <v>45352</v>
      </c>
      <c r="W2737">
        <f>Table1[[#This Row],[customer_purchase count]]+1</f>
        <v>3</v>
      </c>
      <c r="X2737">
        <f>Table1[[#This Row],[customer_purchase count]]*Rules!$B$3</f>
        <v>119.52871794871795</v>
      </c>
      <c r="Y2737" t="str">
        <f>IF(Table1[[#This Row],[customer_subscription]]=1,"Subscribed","Not Subscribed")</f>
        <v>Not Subscribed</v>
      </c>
      <c r="Z2737" t="s">
        <v>194</v>
      </c>
    </row>
    <row r="2738" spans="1:26" x14ac:dyDescent="0.25">
      <c r="A2738">
        <v>2737</v>
      </c>
      <c r="B2738">
        <v>44</v>
      </c>
      <c r="C2738" t="s">
        <v>156</v>
      </c>
      <c r="D2738">
        <v>2737</v>
      </c>
      <c r="E2738" t="s">
        <v>107</v>
      </c>
      <c r="F2738" t="s">
        <v>24</v>
      </c>
      <c r="G2738">
        <v>2737</v>
      </c>
      <c r="H2738">
        <v>3483</v>
      </c>
      <c r="I2738">
        <v>25</v>
      </c>
      <c r="J2738" t="s">
        <v>59</v>
      </c>
      <c r="K2738" t="s">
        <v>47</v>
      </c>
      <c r="L2738" t="s">
        <v>72</v>
      </c>
      <c r="M2738" t="s">
        <v>40</v>
      </c>
      <c r="N2738">
        <v>4.8</v>
      </c>
      <c r="O2738">
        <v>0</v>
      </c>
      <c r="P2738" t="s">
        <v>77</v>
      </c>
      <c r="Q2738" t="s">
        <v>155</v>
      </c>
      <c r="R2738" t="s">
        <v>155</v>
      </c>
      <c r="S2738">
        <v>45</v>
      </c>
      <c r="T2738" t="s">
        <v>42</v>
      </c>
      <c r="U2738" t="s">
        <v>52</v>
      </c>
      <c r="V2738" s="1">
        <v>45433</v>
      </c>
      <c r="W2738">
        <f>Table1[[#This Row],[customer_purchase count]]+1</f>
        <v>46</v>
      </c>
      <c r="X2738">
        <f>Table1[[#This Row],[customer_purchase count]]*Rules!$B$3</f>
        <v>2689.396153846154</v>
      </c>
      <c r="Y2738" t="str">
        <f>IF(Table1[[#This Row],[customer_subscription]]=1,"Subscribed","Not Subscribed")</f>
        <v>Not Subscribed</v>
      </c>
    </row>
    <row r="2739" spans="1:26" x14ac:dyDescent="0.25">
      <c r="A2739">
        <v>2738</v>
      </c>
      <c r="B2739">
        <v>57</v>
      </c>
      <c r="C2739" t="s">
        <v>156</v>
      </c>
      <c r="D2739">
        <v>2738</v>
      </c>
      <c r="E2739" t="s">
        <v>109</v>
      </c>
      <c r="F2739" t="s">
        <v>70</v>
      </c>
      <c r="G2739">
        <v>2738</v>
      </c>
      <c r="H2739">
        <v>3484</v>
      </c>
      <c r="I2739">
        <v>76</v>
      </c>
      <c r="J2739" t="s">
        <v>101</v>
      </c>
      <c r="K2739" t="s">
        <v>39</v>
      </c>
      <c r="L2739" t="s">
        <v>129</v>
      </c>
      <c r="M2739" t="s">
        <v>40</v>
      </c>
      <c r="N2739">
        <v>4.4000000000000004</v>
      </c>
      <c r="O2739">
        <v>0</v>
      </c>
      <c r="P2739" t="s">
        <v>41</v>
      </c>
      <c r="Q2739" t="s">
        <v>155</v>
      </c>
      <c r="R2739" t="s">
        <v>155</v>
      </c>
      <c r="S2739">
        <v>35</v>
      </c>
      <c r="T2739" t="s">
        <v>36</v>
      </c>
      <c r="U2739" t="s">
        <v>100</v>
      </c>
      <c r="V2739" s="1">
        <v>45393</v>
      </c>
      <c r="W2739">
        <f>Table1[[#This Row],[customer_purchase count]]+1</f>
        <v>36</v>
      </c>
      <c r="X2739">
        <f>Table1[[#This Row],[customer_purchase count]]*Rules!$B$3</f>
        <v>2091.7525641025641</v>
      </c>
      <c r="Y2739" t="str">
        <f>IF(Table1[[#This Row],[customer_subscription]]=1,"Subscribed","Not Subscribed")</f>
        <v>Not Subscribed</v>
      </c>
    </row>
    <row r="2740" spans="1:26" x14ac:dyDescent="0.25">
      <c r="A2740">
        <v>2739</v>
      </c>
      <c r="B2740">
        <v>50</v>
      </c>
      <c r="C2740" t="s">
        <v>156</v>
      </c>
      <c r="D2740">
        <v>2739</v>
      </c>
      <c r="E2740" t="s">
        <v>53</v>
      </c>
      <c r="F2740" t="s">
        <v>45</v>
      </c>
      <c r="G2740">
        <v>2739</v>
      </c>
      <c r="H2740">
        <v>3485</v>
      </c>
      <c r="I2740">
        <v>81</v>
      </c>
      <c r="J2740" t="s">
        <v>126</v>
      </c>
      <c r="K2740" t="s">
        <v>47</v>
      </c>
      <c r="L2740" t="s">
        <v>64</v>
      </c>
      <c r="M2740" t="s">
        <v>56</v>
      </c>
      <c r="N2740">
        <v>4.3</v>
      </c>
      <c r="O2740">
        <v>0</v>
      </c>
      <c r="P2740" t="s">
        <v>73</v>
      </c>
      <c r="Q2740" t="s">
        <v>155</v>
      </c>
      <c r="R2740" t="s">
        <v>155</v>
      </c>
      <c r="S2740">
        <v>39</v>
      </c>
      <c r="T2740" t="s">
        <v>31</v>
      </c>
      <c r="U2740" t="s">
        <v>100</v>
      </c>
      <c r="V2740" s="1">
        <v>45451</v>
      </c>
      <c r="W2740">
        <f>Table1[[#This Row],[customer_purchase count]]+1</f>
        <v>40</v>
      </c>
      <c r="X2740">
        <f>Table1[[#This Row],[customer_purchase count]]*Rules!$B$3</f>
        <v>2330.81</v>
      </c>
      <c r="Y2740" t="str">
        <f>IF(Table1[[#This Row],[customer_subscription]]=1,"Subscribed","Not Subscribed")</f>
        <v>Not Subscribed</v>
      </c>
    </row>
    <row r="2741" spans="1:26" x14ac:dyDescent="0.25">
      <c r="A2741">
        <v>2740</v>
      </c>
      <c r="B2741">
        <v>33</v>
      </c>
      <c r="C2741" t="s">
        <v>156</v>
      </c>
      <c r="D2741">
        <v>2740</v>
      </c>
      <c r="E2741" t="s">
        <v>58</v>
      </c>
      <c r="F2741" t="s">
        <v>24</v>
      </c>
      <c r="G2741">
        <v>2740</v>
      </c>
      <c r="H2741">
        <v>3487</v>
      </c>
      <c r="I2741">
        <v>80</v>
      </c>
      <c r="J2741" t="s">
        <v>123</v>
      </c>
      <c r="K2741" t="s">
        <v>95</v>
      </c>
      <c r="L2741" t="s">
        <v>147</v>
      </c>
      <c r="M2741" t="s">
        <v>28</v>
      </c>
      <c r="N2741">
        <v>2.5</v>
      </c>
      <c r="O2741">
        <v>0</v>
      </c>
      <c r="P2741" t="s">
        <v>77</v>
      </c>
      <c r="Q2741" t="s">
        <v>155</v>
      </c>
      <c r="R2741" t="s">
        <v>155</v>
      </c>
      <c r="S2741">
        <v>39</v>
      </c>
      <c r="T2741" t="s">
        <v>42</v>
      </c>
      <c r="U2741" t="s">
        <v>100</v>
      </c>
      <c r="V2741" s="1">
        <v>45308</v>
      </c>
      <c r="W2741">
        <f>Table1[[#This Row],[customer_purchase count]]+1</f>
        <v>40</v>
      </c>
      <c r="X2741">
        <f>Table1[[#This Row],[customer_purchase count]]*Rules!$B$3</f>
        <v>2330.81</v>
      </c>
      <c r="Y2741" t="str">
        <f>IF(Table1[[#This Row],[customer_subscription]]=1,"Subscribed","Not Subscribed")</f>
        <v>Not Subscribed</v>
      </c>
    </row>
    <row r="2742" spans="1:26" x14ac:dyDescent="0.25">
      <c r="A2742">
        <v>2741</v>
      </c>
      <c r="B2742">
        <v>19</v>
      </c>
      <c r="C2742" t="s">
        <v>156</v>
      </c>
      <c r="D2742">
        <v>2741</v>
      </c>
      <c r="E2742" t="s">
        <v>92</v>
      </c>
      <c r="F2742" t="s">
        <v>70</v>
      </c>
      <c r="G2742">
        <v>2741</v>
      </c>
      <c r="H2742">
        <v>3488</v>
      </c>
      <c r="I2742">
        <v>70</v>
      </c>
      <c r="J2742" t="s">
        <v>141</v>
      </c>
      <c r="K2742" t="s">
        <v>47</v>
      </c>
      <c r="L2742" t="s">
        <v>96</v>
      </c>
      <c r="M2742" t="s">
        <v>56</v>
      </c>
      <c r="N2742">
        <v>4.9000000000000004</v>
      </c>
      <c r="O2742">
        <v>0</v>
      </c>
      <c r="P2742" t="s">
        <v>41</v>
      </c>
      <c r="Q2742" t="s">
        <v>155</v>
      </c>
      <c r="R2742" t="s">
        <v>155</v>
      </c>
      <c r="S2742">
        <v>34</v>
      </c>
      <c r="T2742" t="s">
        <v>78</v>
      </c>
      <c r="U2742" t="s">
        <v>32</v>
      </c>
      <c r="V2742" s="1">
        <v>45484</v>
      </c>
      <c r="W2742">
        <f>Table1[[#This Row],[customer_purchase count]]+1</f>
        <v>35</v>
      </c>
      <c r="X2742">
        <f>Table1[[#This Row],[customer_purchase count]]*Rules!$B$3</f>
        <v>2031.9882051282052</v>
      </c>
      <c r="Y2742" t="str">
        <f>IF(Table1[[#This Row],[customer_subscription]]=1,"Subscribed","Not Subscribed")</f>
        <v>Not Subscribed</v>
      </c>
    </row>
    <row r="2743" spans="1:26" x14ac:dyDescent="0.25">
      <c r="A2743">
        <v>2742</v>
      </c>
      <c r="B2743">
        <v>68</v>
      </c>
      <c r="C2743" t="s">
        <v>156</v>
      </c>
      <c r="D2743">
        <v>2742</v>
      </c>
      <c r="E2743" t="s">
        <v>84</v>
      </c>
      <c r="F2743" t="s">
        <v>24</v>
      </c>
      <c r="G2743">
        <v>2742</v>
      </c>
      <c r="H2743">
        <v>3489</v>
      </c>
      <c r="I2743">
        <v>81</v>
      </c>
      <c r="J2743" t="s">
        <v>34</v>
      </c>
      <c r="K2743" t="s">
        <v>26</v>
      </c>
      <c r="L2743" t="s">
        <v>137</v>
      </c>
      <c r="M2743" t="s">
        <v>60</v>
      </c>
      <c r="N2743">
        <v>4.9000000000000004</v>
      </c>
      <c r="O2743">
        <v>0</v>
      </c>
      <c r="P2743" t="s">
        <v>73</v>
      </c>
      <c r="Q2743" t="s">
        <v>155</v>
      </c>
      <c r="R2743" t="s">
        <v>155</v>
      </c>
      <c r="S2743">
        <v>41</v>
      </c>
      <c r="T2743" t="s">
        <v>31</v>
      </c>
      <c r="U2743" t="s">
        <v>91</v>
      </c>
      <c r="V2743" s="1">
        <v>45581</v>
      </c>
      <c r="W2743">
        <f>Table1[[#This Row],[customer_purchase count]]+1</f>
        <v>42</v>
      </c>
      <c r="X2743">
        <f>Table1[[#This Row],[customer_purchase count]]*Rules!$B$3</f>
        <v>2450.3387179487181</v>
      </c>
      <c r="Y2743" t="str">
        <f>IF(Table1[[#This Row],[customer_subscription]]=1,"Subscribed","Not Subscribed")</f>
        <v>Not Subscribed</v>
      </c>
    </row>
    <row r="2744" spans="1:26" x14ac:dyDescent="0.25">
      <c r="A2744">
        <v>2743</v>
      </c>
      <c r="B2744">
        <v>27</v>
      </c>
      <c r="C2744" t="s">
        <v>156</v>
      </c>
      <c r="D2744">
        <v>2743</v>
      </c>
      <c r="E2744" t="s">
        <v>74</v>
      </c>
      <c r="F2744" t="s">
        <v>45</v>
      </c>
      <c r="G2744">
        <v>2743</v>
      </c>
      <c r="H2744">
        <v>3490</v>
      </c>
      <c r="I2744">
        <v>86</v>
      </c>
      <c r="J2744" t="s">
        <v>108</v>
      </c>
      <c r="K2744" t="s">
        <v>47</v>
      </c>
      <c r="L2744" t="s">
        <v>97</v>
      </c>
      <c r="M2744" t="s">
        <v>40</v>
      </c>
      <c r="N2744">
        <v>3.9</v>
      </c>
      <c r="O2744">
        <v>0</v>
      </c>
      <c r="P2744" t="s">
        <v>41</v>
      </c>
      <c r="Q2744" t="s">
        <v>155</v>
      </c>
      <c r="R2744" t="s">
        <v>155</v>
      </c>
      <c r="S2744">
        <v>47</v>
      </c>
      <c r="T2744" t="s">
        <v>89</v>
      </c>
      <c r="U2744" t="s">
        <v>52</v>
      </c>
      <c r="V2744" s="1">
        <v>45367</v>
      </c>
      <c r="W2744">
        <f>Table1[[#This Row],[customer_purchase count]]+1</f>
        <v>48</v>
      </c>
      <c r="X2744">
        <f>Table1[[#This Row],[customer_purchase count]]*Rules!$B$3</f>
        <v>2808.9248717948717</v>
      </c>
      <c r="Y2744" t="str">
        <f>IF(Table1[[#This Row],[customer_subscription]]=1,"Subscribed","Not Subscribed")</f>
        <v>Not Subscribed</v>
      </c>
    </row>
    <row r="2745" spans="1:26" x14ac:dyDescent="0.25">
      <c r="A2745">
        <v>2744</v>
      </c>
      <c r="B2745">
        <v>61</v>
      </c>
      <c r="C2745" t="s">
        <v>156</v>
      </c>
      <c r="D2745">
        <v>2744</v>
      </c>
      <c r="E2745" t="s">
        <v>136</v>
      </c>
      <c r="F2745" t="s">
        <v>70</v>
      </c>
      <c r="G2745">
        <v>2744</v>
      </c>
      <c r="H2745">
        <v>3491</v>
      </c>
      <c r="I2745">
        <v>94</v>
      </c>
      <c r="J2745" t="s">
        <v>130</v>
      </c>
      <c r="K2745" t="s">
        <v>39</v>
      </c>
      <c r="L2745" t="s">
        <v>121</v>
      </c>
      <c r="M2745" t="s">
        <v>60</v>
      </c>
      <c r="N2745">
        <v>4.0999999999999996</v>
      </c>
      <c r="O2745">
        <v>0</v>
      </c>
      <c r="P2745" t="s">
        <v>73</v>
      </c>
      <c r="Q2745" t="s">
        <v>155</v>
      </c>
      <c r="R2745" t="s">
        <v>155</v>
      </c>
      <c r="S2745">
        <v>17</v>
      </c>
      <c r="T2745" t="s">
        <v>31</v>
      </c>
      <c r="U2745" t="s">
        <v>61</v>
      </c>
      <c r="V2745" s="1">
        <v>45562</v>
      </c>
      <c r="W2745">
        <f>Table1[[#This Row],[customer_purchase count]]+1</f>
        <v>18</v>
      </c>
      <c r="X2745">
        <f>Table1[[#This Row],[customer_purchase count]]*Rules!$B$3</f>
        <v>1015.9941025641026</v>
      </c>
      <c r="Y2745" t="str">
        <f>IF(Table1[[#This Row],[customer_subscription]]=1,"Subscribed","Not Subscribed")</f>
        <v>Not Subscribed</v>
      </c>
      <c r="Z2745" t="s">
        <v>194</v>
      </c>
    </row>
    <row r="2746" spans="1:26" x14ac:dyDescent="0.25">
      <c r="A2746">
        <v>2745</v>
      </c>
      <c r="B2746">
        <v>38</v>
      </c>
      <c r="C2746" t="s">
        <v>156</v>
      </c>
      <c r="D2746">
        <v>2745</v>
      </c>
      <c r="E2746" t="s">
        <v>58</v>
      </c>
      <c r="F2746" t="s">
        <v>24</v>
      </c>
      <c r="G2746">
        <v>2745</v>
      </c>
      <c r="H2746">
        <v>3493</v>
      </c>
      <c r="I2746">
        <v>66</v>
      </c>
      <c r="J2746" t="s">
        <v>54</v>
      </c>
      <c r="K2746" t="s">
        <v>47</v>
      </c>
      <c r="L2746" t="s">
        <v>68</v>
      </c>
      <c r="M2746" t="s">
        <v>28</v>
      </c>
      <c r="N2746">
        <v>3.3</v>
      </c>
      <c r="O2746">
        <v>0</v>
      </c>
      <c r="P2746" t="s">
        <v>77</v>
      </c>
      <c r="Q2746" t="s">
        <v>155</v>
      </c>
      <c r="R2746" t="s">
        <v>155</v>
      </c>
      <c r="S2746">
        <v>40</v>
      </c>
      <c r="T2746" t="s">
        <v>42</v>
      </c>
      <c r="U2746" t="s">
        <v>91</v>
      </c>
      <c r="V2746" s="1">
        <v>45293</v>
      </c>
      <c r="W2746">
        <f>Table1[[#This Row],[customer_purchase count]]+1</f>
        <v>41</v>
      </c>
      <c r="X2746">
        <f>Table1[[#This Row],[customer_purchase count]]*Rules!$B$3</f>
        <v>2390.5743589743593</v>
      </c>
      <c r="Y2746" t="str">
        <f>IF(Table1[[#This Row],[customer_subscription]]=1,"Subscribed","Not Subscribed")</f>
        <v>Not Subscribed</v>
      </c>
    </row>
    <row r="2747" spans="1:26" x14ac:dyDescent="0.25">
      <c r="A2747">
        <v>2746</v>
      </c>
      <c r="B2747">
        <v>28</v>
      </c>
      <c r="C2747" t="s">
        <v>156</v>
      </c>
      <c r="D2747">
        <v>2746</v>
      </c>
      <c r="E2747" t="s">
        <v>140</v>
      </c>
      <c r="F2747" t="s">
        <v>45</v>
      </c>
      <c r="G2747">
        <v>2746</v>
      </c>
      <c r="H2747">
        <v>3494</v>
      </c>
      <c r="I2747">
        <v>98</v>
      </c>
      <c r="J2747" t="s">
        <v>154</v>
      </c>
      <c r="K2747" t="s">
        <v>47</v>
      </c>
      <c r="L2747" t="s">
        <v>139</v>
      </c>
      <c r="M2747" t="s">
        <v>56</v>
      </c>
      <c r="N2747">
        <v>4.0999999999999996</v>
      </c>
      <c r="O2747">
        <v>0</v>
      </c>
      <c r="P2747" t="s">
        <v>57</v>
      </c>
      <c r="Q2747" t="s">
        <v>155</v>
      </c>
      <c r="R2747" t="s">
        <v>155</v>
      </c>
      <c r="S2747">
        <v>44</v>
      </c>
      <c r="T2747" t="s">
        <v>49</v>
      </c>
      <c r="U2747" t="s">
        <v>79</v>
      </c>
      <c r="V2747" s="1">
        <v>45525</v>
      </c>
      <c r="W2747">
        <f>Table1[[#This Row],[customer_purchase count]]+1</f>
        <v>45</v>
      </c>
      <c r="X2747">
        <f>Table1[[#This Row],[customer_purchase count]]*Rules!$B$3</f>
        <v>2629.6317948717951</v>
      </c>
      <c r="Y2747" t="str">
        <f>IF(Table1[[#This Row],[customer_subscription]]=1,"Subscribed","Not Subscribed")</f>
        <v>Not Subscribed</v>
      </c>
    </row>
    <row r="2748" spans="1:26" x14ac:dyDescent="0.25">
      <c r="A2748">
        <v>2747</v>
      </c>
      <c r="B2748">
        <v>39</v>
      </c>
      <c r="C2748" t="s">
        <v>156</v>
      </c>
      <c r="D2748">
        <v>2747</v>
      </c>
      <c r="E2748" t="s">
        <v>107</v>
      </c>
      <c r="F2748" t="s">
        <v>24</v>
      </c>
      <c r="G2748">
        <v>2747</v>
      </c>
      <c r="H2748">
        <v>3495</v>
      </c>
      <c r="I2748">
        <v>25</v>
      </c>
      <c r="J2748" t="s">
        <v>126</v>
      </c>
      <c r="K2748" t="s">
        <v>47</v>
      </c>
      <c r="L2748" t="s">
        <v>124</v>
      </c>
      <c r="M2748" t="s">
        <v>60</v>
      </c>
      <c r="N2748">
        <v>3.7</v>
      </c>
      <c r="O2748">
        <v>0</v>
      </c>
      <c r="P2748" t="s">
        <v>57</v>
      </c>
      <c r="Q2748" t="s">
        <v>155</v>
      </c>
      <c r="R2748" t="s">
        <v>155</v>
      </c>
      <c r="S2748">
        <v>21</v>
      </c>
      <c r="T2748" t="s">
        <v>49</v>
      </c>
      <c r="U2748" t="s">
        <v>100</v>
      </c>
      <c r="V2748" s="1">
        <v>45610</v>
      </c>
      <c r="W2748">
        <f>Table1[[#This Row],[customer_purchase count]]+1</f>
        <v>22</v>
      </c>
      <c r="X2748">
        <f>Table1[[#This Row],[customer_purchase count]]*Rules!$B$3</f>
        <v>1255.0515384615385</v>
      </c>
      <c r="Y2748" t="str">
        <f>IF(Table1[[#This Row],[customer_subscription]]=1,"Subscribed","Not Subscribed")</f>
        <v>Not Subscribed</v>
      </c>
    </row>
    <row r="2749" spans="1:26" x14ac:dyDescent="0.25">
      <c r="A2749">
        <v>2748</v>
      </c>
      <c r="B2749">
        <v>18</v>
      </c>
      <c r="C2749" t="s">
        <v>156</v>
      </c>
      <c r="D2749">
        <v>2748</v>
      </c>
      <c r="E2749" t="s">
        <v>37</v>
      </c>
      <c r="F2749" t="s">
        <v>24</v>
      </c>
      <c r="G2749">
        <v>2748</v>
      </c>
      <c r="H2749">
        <v>3496</v>
      </c>
      <c r="I2749">
        <v>62</v>
      </c>
      <c r="J2749" t="s">
        <v>67</v>
      </c>
      <c r="K2749" t="s">
        <v>47</v>
      </c>
      <c r="L2749" t="s">
        <v>88</v>
      </c>
      <c r="M2749" t="s">
        <v>28</v>
      </c>
      <c r="N2749">
        <v>3.1</v>
      </c>
      <c r="O2749">
        <v>0</v>
      </c>
      <c r="P2749" t="s">
        <v>41</v>
      </c>
      <c r="Q2749" t="s">
        <v>155</v>
      </c>
      <c r="R2749" t="s">
        <v>155</v>
      </c>
      <c r="S2749">
        <v>21</v>
      </c>
      <c r="T2749" t="s">
        <v>42</v>
      </c>
      <c r="U2749" t="s">
        <v>100</v>
      </c>
      <c r="V2749" s="1">
        <v>45635</v>
      </c>
      <c r="W2749">
        <f>Table1[[#This Row],[customer_purchase count]]+1</f>
        <v>22</v>
      </c>
      <c r="X2749">
        <f>Table1[[#This Row],[customer_purchase count]]*Rules!$B$3</f>
        <v>1255.0515384615385</v>
      </c>
      <c r="Y2749" t="str">
        <f>IF(Table1[[#This Row],[customer_subscription]]=1,"Subscribed","Not Subscribed")</f>
        <v>Not Subscribed</v>
      </c>
    </row>
    <row r="2750" spans="1:26" x14ac:dyDescent="0.25">
      <c r="A2750">
        <v>2749</v>
      </c>
      <c r="B2750">
        <v>24</v>
      </c>
      <c r="C2750" t="s">
        <v>156</v>
      </c>
      <c r="D2750">
        <v>2749</v>
      </c>
      <c r="E2750" t="s">
        <v>105</v>
      </c>
      <c r="F2750" t="s">
        <v>66</v>
      </c>
      <c r="G2750">
        <v>2749</v>
      </c>
      <c r="H2750">
        <v>3497</v>
      </c>
      <c r="I2750">
        <v>98</v>
      </c>
      <c r="J2750" t="s">
        <v>144</v>
      </c>
      <c r="K2750" t="s">
        <v>26</v>
      </c>
      <c r="L2750" t="s">
        <v>51</v>
      </c>
      <c r="M2750" t="s">
        <v>40</v>
      </c>
      <c r="N2750">
        <v>3</v>
      </c>
      <c r="O2750">
        <v>0</v>
      </c>
      <c r="P2750" t="s">
        <v>41</v>
      </c>
      <c r="Q2750" t="s">
        <v>155</v>
      </c>
      <c r="R2750" t="s">
        <v>155</v>
      </c>
      <c r="S2750">
        <v>16</v>
      </c>
      <c r="T2750" t="s">
        <v>31</v>
      </c>
      <c r="U2750" t="s">
        <v>52</v>
      </c>
      <c r="V2750" s="1">
        <v>45402</v>
      </c>
      <c r="W2750">
        <f>Table1[[#This Row],[customer_purchase count]]+1</f>
        <v>17</v>
      </c>
      <c r="X2750">
        <f>Table1[[#This Row],[customer_purchase count]]*Rules!$B$3</f>
        <v>956.22974358974363</v>
      </c>
      <c r="Y2750" t="str">
        <f>IF(Table1[[#This Row],[customer_subscription]]=1,"Subscribed","Not Subscribed")</f>
        <v>Not Subscribed</v>
      </c>
      <c r="Z2750" t="s">
        <v>187</v>
      </c>
    </row>
    <row r="2751" spans="1:26" x14ac:dyDescent="0.25">
      <c r="A2751">
        <v>2750</v>
      </c>
      <c r="B2751">
        <v>64</v>
      </c>
      <c r="C2751" t="s">
        <v>156</v>
      </c>
      <c r="D2751">
        <v>2750</v>
      </c>
      <c r="E2751" t="s">
        <v>105</v>
      </c>
      <c r="F2751" t="s">
        <v>66</v>
      </c>
      <c r="G2751">
        <v>2750</v>
      </c>
      <c r="H2751">
        <v>3499</v>
      </c>
      <c r="I2751">
        <v>53</v>
      </c>
      <c r="J2751" t="s">
        <v>132</v>
      </c>
      <c r="K2751" t="s">
        <v>47</v>
      </c>
      <c r="L2751" t="s">
        <v>112</v>
      </c>
      <c r="M2751" t="s">
        <v>40</v>
      </c>
      <c r="N2751">
        <v>3.4</v>
      </c>
      <c r="O2751">
        <v>0</v>
      </c>
      <c r="P2751" t="s">
        <v>57</v>
      </c>
      <c r="Q2751" t="s">
        <v>155</v>
      </c>
      <c r="R2751" t="s">
        <v>155</v>
      </c>
      <c r="S2751">
        <v>15</v>
      </c>
      <c r="T2751" t="s">
        <v>78</v>
      </c>
      <c r="U2751" t="s">
        <v>52</v>
      </c>
      <c r="V2751" s="1">
        <v>45392</v>
      </c>
      <c r="W2751">
        <f>Table1[[#This Row],[customer_purchase count]]+1</f>
        <v>16</v>
      </c>
      <c r="X2751">
        <f>Table1[[#This Row],[customer_purchase count]]*Rules!$B$3</f>
        <v>896.46538461538466</v>
      </c>
      <c r="Y2751" t="str">
        <f>IF(Table1[[#This Row],[customer_subscription]]=1,"Subscribed","Not Subscribed")</f>
        <v>Not Subscribed</v>
      </c>
      <c r="Z2751" t="s">
        <v>194</v>
      </c>
    </row>
    <row r="2752" spans="1:26" x14ac:dyDescent="0.25">
      <c r="A2752">
        <v>2751</v>
      </c>
      <c r="B2752">
        <v>51</v>
      </c>
      <c r="C2752" t="s">
        <v>156</v>
      </c>
      <c r="D2752">
        <v>2751</v>
      </c>
      <c r="E2752" t="s">
        <v>44</v>
      </c>
      <c r="F2752" t="s">
        <v>45</v>
      </c>
      <c r="G2752">
        <v>2751</v>
      </c>
      <c r="H2752">
        <v>3500</v>
      </c>
      <c r="I2752">
        <v>66</v>
      </c>
      <c r="J2752" t="s">
        <v>123</v>
      </c>
      <c r="K2752" t="s">
        <v>26</v>
      </c>
      <c r="L2752" t="s">
        <v>72</v>
      </c>
      <c r="M2752" t="s">
        <v>40</v>
      </c>
      <c r="N2752">
        <v>2.7</v>
      </c>
      <c r="O2752">
        <v>0</v>
      </c>
      <c r="P2752" t="s">
        <v>73</v>
      </c>
      <c r="Q2752" t="s">
        <v>155</v>
      </c>
      <c r="R2752" t="s">
        <v>155</v>
      </c>
      <c r="S2752">
        <v>26</v>
      </c>
      <c r="T2752" t="s">
        <v>49</v>
      </c>
      <c r="U2752" t="s">
        <v>100</v>
      </c>
      <c r="V2752" s="1">
        <v>45390</v>
      </c>
      <c r="W2752">
        <f>Table1[[#This Row],[customer_purchase count]]+1</f>
        <v>27</v>
      </c>
      <c r="X2752">
        <f>Table1[[#This Row],[customer_purchase count]]*Rules!$B$3</f>
        <v>1553.8733333333334</v>
      </c>
      <c r="Y2752" t="str">
        <f>IF(Table1[[#This Row],[customer_subscription]]=1,"Subscribed","Not Subscribed")</f>
        <v>Not Subscribed</v>
      </c>
    </row>
    <row r="2753" spans="1:26" x14ac:dyDescent="0.25">
      <c r="A2753">
        <v>2752</v>
      </c>
      <c r="B2753">
        <v>27</v>
      </c>
      <c r="C2753" t="s">
        <v>156</v>
      </c>
      <c r="D2753">
        <v>2752</v>
      </c>
      <c r="E2753" t="s">
        <v>84</v>
      </c>
      <c r="F2753" t="s">
        <v>24</v>
      </c>
      <c r="G2753">
        <v>2752</v>
      </c>
      <c r="H2753">
        <v>3501</v>
      </c>
      <c r="I2753">
        <v>52</v>
      </c>
      <c r="J2753" t="s">
        <v>151</v>
      </c>
      <c r="K2753" t="s">
        <v>39</v>
      </c>
      <c r="L2753" t="s">
        <v>129</v>
      </c>
      <c r="M2753" t="s">
        <v>60</v>
      </c>
      <c r="N2753">
        <v>3.1</v>
      </c>
      <c r="O2753">
        <v>0</v>
      </c>
      <c r="P2753" t="s">
        <v>41</v>
      </c>
      <c r="Q2753" t="s">
        <v>155</v>
      </c>
      <c r="R2753" t="s">
        <v>155</v>
      </c>
      <c r="S2753">
        <v>50</v>
      </c>
      <c r="T2753" t="s">
        <v>31</v>
      </c>
      <c r="U2753" t="s">
        <v>91</v>
      </c>
      <c r="V2753" s="1">
        <v>45551</v>
      </c>
      <c r="W2753">
        <f>Table1[[#This Row],[customer_purchase count]]+1</f>
        <v>51</v>
      </c>
      <c r="X2753">
        <f>Table1[[#This Row],[customer_purchase count]]*Rules!$B$3</f>
        <v>2988.2179487179487</v>
      </c>
      <c r="Y2753" t="str">
        <f>IF(Table1[[#This Row],[customer_subscription]]=1,"Subscribed","Not Subscribed")</f>
        <v>Not Subscribed</v>
      </c>
    </row>
    <row r="2754" spans="1:26" x14ac:dyDescent="0.25">
      <c r="A2754">
        <v>2753</v>
      </c>
      <c r="B2754">
        <v>48</v>
      </c>
      <c r="C2754" t="s">
        <v>156</v>
      </c>
      <c r="D2754">
        <v>2753</v>
      </c>
      <c r="E2754" t="s">
        <v>33</v>
      </c>
      <c r="F2754" t="s">
        <v>24</v>
      </c>
      <c r="G2754">
        <v>2753</v>
      </c>
      <c r="H2754">
        <v>3502</v>
      </c>
      <c r="I2754">
        <v>64</v>
      </c>
      <c r="J2754" t="s">
        <v>115</v>
      </c>
      <c r="K2754" t="s">
        <v>39</v>
      </c>
      <c r="L2754" t="s">
        <v>103</v>
      </c>
      <c r="M2754" t="s">
        <v>28</v>
      </c>
      <c r="N2754">
        <v>4</v>
      </c>
      <c r="O2754">
        <v>0</v>
      </c>
      <c r="P2754" t="s">
        <v>41</v>
      </c>
      <c r="Q2754" t="s">
        <v>155</v>
      </c>
      <c r="R2754" t="s">
        <v>155</v>
      </c>
      <c r="S2754">
        <v>30</v>
      </c>
      <c r="T2754" t="s">
        <v>31</v>
      </c>
      <c r="U2754" t="s">
        <v>79</v>
      </c>
      <c r="V2754" s="1">
        <v>45644</v>
      </c>
      <c r="W2754">
        <f>Table1[[#This Row],[customer_purchase count]]+1</f>
        <v>31</v>
      </c>
      <c r="X2754">
        <f>Table1[[#This Row],[customer_purchase count]]*Rules!$B$3</f>
        <v>1792.9307692307693</v>
      </c>
      <c r="Y2754" t="str">
        <f>IF(Table1[[#This Row],[customer_subscription]]=1,"Subscribed","Not Subscribed")</f>
        <v>Not Subscribed</v>
      </c>
    </row>
    <row r="2755" spans="1:26" x14ac:dyDescent="0.25">
      <c r="A2755">
        <v>2754</v>
      </c>
      <c r="B2755">
        <v>69</v>
      </c>
      <c r="C2755" t="s">
        <v>156</v>
      </c>
      <c r="D2755">
        <v>2754</v>
      </c>
      <c r="E2755" t="s">
        <v>146</v>
      </c>
      <c r="F2755" t="s">
        <v>70</v>
      </c>
      <c r="G2755">
        <v>2754</v>
      </c>
      <c r="H2755">
        <v>3503</v>
      </c>
      <c r="I2755">
        <v>59</v>
      </c>
      <c r="J2755" t="s">
        <v>46</v>
      </c>
      <c r="K2755" t="s">
        <v>47</v>
      </c>
      <c r="L2755" t="s">
        <v>121</v>
      </c>
      <c r="M2755" t="s">
        <v>40</v>
      </c>
      <c r="N2755">
        <v>3.6</v>
      </c>
      <c r="O2755">
        <v>0</v>
      </c>
      <c r="P2755" t="s">
        <v>48</v>
      </c>
      <c r="Q2755" t="s">
        <v>155</v>
      </c>
      <c r="R2755" t="s">
        <v>155</v>
      </c>
      <c r="S2755">
        <v>48</v>
      </c>
      <c r="T2755" t="s">
        <v>49</v>
      </c>
      <c r="U2755" t="s">
        <v>61</v>
      </c>
      <c r="V2755" s="1">
        <v>45437</v>
      </c>
      <c r="W2755">
        <f>Table1[[#This Row],[customer_purchase count]]+1</f>
        <v>49</v>
      </c>
      <c r="X2755">
        <f>Table1[[#This Row],[customer_purchase count]]*Rules!$B$3</f>
        <v>2868.689230769231</v>
      </c>
      <c r="Y2755" t="str">
        <f>IF(Table1[[#This Row],[customer_subscription]]=1,"Subscribed","Not Subscribed")</f>
        <v>Not Subscribed</v>
      </c>
    </row>
    <row r="2756" spans="1:26" x14ac:dyDescent="0.25">
      <c r="A2756">
        <v>2755</v>
      </c>
      <c r="B2756">
        <v>59</v>
      </c>
      <c r="C2756" t="s">
        <v>156</v>
      </c>
      <c r="D2756">
        <v>2755</v>
      </c>
      <c r="E2756" t="s">
        <v>92</v>
      </c>
      <c r="F2756" t="s">
        <v>70</v>
      </c>
      <c r="G2756">
        <v>2755</v>
      </c>
      <c r="H2756">
        <v>3505</v>
      </c>
      <c r="I2756">
        <v>61</v>
      </c>
      <c r="J2756" t="s">
        <v>130</v>
      </c>
      <c r="K2756" t="s">
        <v>26</v>
      </c>
      <c r="L2756" t="s">
        <v>83</v>
      </c>
      <c r="M2756" t="s">
        <v>56</v>
      </c>
      <c r="N2756">
        <v>3.6</v>
      </c>
      <c r="O2756">
        <v>0</v>
      </c>
      <c r="P2756" t="s">
        <v>41</v>
      </c>
      <c r="Q2756" t="s">
        <v>155</v>
      </c>
      <c r="R2756" t="s">
        <v>155</v>
      </c>
      <c r="S2756">
        <v>21</v>
      </c>
      <c r="T2756" t="s">
        <v>31</v>
      </c>
      <c r="U2756" t="s">
        <v>79</v>
      </c>
      <c r="V2756" s="1">
        <v>45494</v>
      </c>
      <c r="W2756">
        <f>Table1[[#This Row],[customer_purchase count]]+1</f>
        <v>22</v>
      </c>
      <c r="X2756">
        <f>Table1[[#This Row],[customer_purchase count]]*Rules!$B$3</f>
        <v>1255.0515384615385</v>
      </c>
      <c r="Y2756" t="str">
        <f>IF(Table1[[#This Row],[customer_subscription]]=1,"Subscribed","Not Subscribed")</f>
        <v>Not Subscribed</v>
      </c>
    </row>
    <row r="2757" spans="1:26" x14ac:dyDescent="0.25">
      <c r="A2757">
        <v>2756</v>
      </c>
      <c r="B2757">
        <v>59</v>
      </c>
      <c r="C2757" t="s">
        <v>156</v>
      </c>
      <c r="D2757">
        <v>2756</v>
      </c>
      <c r="E2757" t="s">
        <v>136</v>
      </c>
      <c r="F2757" t="s">
        <v>70</v>
      </c>
      <c r="G2757">
        <v>2756</v>
      </c>
      <c r="H2757">
        <v>3506</v>
      </c>
      <c r="I2757">
        <v>97</v>
      </c>
      <c r="J2757" t="s">
        <v>110</v>
      </c>
      <c r="K2757" t="s">
        <v>47</v>
      </c>
      <c r="L2757" t="s">
        <v>129</v>
      </c>
      <c r="M2757" t="s">
        <v>28</v>
      </c>
      <c r="N2757">
        <v>3.3</v>
      </c>
      <c r="O2757">
        <v>0</v>
      </c>
      <c r="P2757" t="s">
        <v>77</v>
      </c>
      <c r="Q2757" t="s">
        <v>155</v>
      </c>
      <c r="R2757" t="s">
        <v>155</v>
      </c>
      <c r="S2757">
        <v>18</v>
      </c>
      <c r="T2757" t="s">
        <v>42</v>
      </c>
      <c r="U2757" t="s">
        <v>52</v>
      </c>
      <c r="V2757" s="1">
        <v>45633</v>
      </c>
      <c r="W2757">
        <f>Table1[[#This Row],[customer_purchase count]]+1</f>
        <v>19</v>
      </c>
      <c r="X2757">
        <f>Table1[[#This Row],[customer_purchase count]]*Rules!$B$3</f>
        <v>1075.7584615384617</v>
      </c>
      <c r="Y2757" t="str">
        <f>IF(Table1[[#This Row],[customer_subscription]]=1,"Subscribed","Not Subscribed")</f>
        <v>Not Subscribed</v>
      </c>
    </row>
    <row r="2758" spans="1:26" x14ac:dyDescent="0.25">
      <c r="A2758">
        <v>2757</v>
      </c>
      <c r="B2758">
        <v>42</v>
      </c>
      <c r="C2758" t="s">
        <v>156</v>
      </c>
      <c r="D2758">
        <v>2757</v>
      </c>
      <c r="E2758" t="s">
        <v>127</v>
      </c>
      <c r="F2758" t="s">
        <v>70</v>
      </c>
      <c r="G2758">
        <v>2757</v>
      </c>
      <c r="H2758">
        <v>3507</v>
      </c>
      <c r="I2758">
        <v>23</v>
      </c>
      <c r="J2758" t="s">
        <v>151</v>
      </c>
      <c r="K2758" t="s">
        <v>26</v>
      </c>
      <c r="L2758" t="s">
        <v>86</v>
      </c>
      <c r="M2758" t="s">
        <v>28</v>
      </c>
      <c r="N2758">
        <v>4.0999999999999996</v>
      </c>
      <c r="O2758">
        <v>0</v>
      </c>
      <c r="P2758" t="s">
        <v>41</v>
      </c>
      <c r="Q2758" t="s">
        <v>155</v>
      </c>
      <c r="R2758" t="s">
        <v>155</v>
      </c>
      <c r="S2758">
        <v>41</v>
      </c>
      <c r="T2758" t="s">
        <v>49</v>
      </c>
      <c r="U2758" t="s">
        <v>91</v>
      </c>
      <c r="V2758" s="1">
        <v>45640</v>
      </c>
      <c r="W2758">
        <f>Table1[[#This Row],[customer_purchase count]]+1</f>
        <v>42</v>
      </c>
      <c r="X2758">
        <f>Table1[[#This Row],[customer_purchase count]]*Rules!$B$3</f>
        <v>2450.3387179487181</v>
      </c>
      <c r="Y2758" t="str">
        <f>IF(Table1[[#This Row],[customer_subscription]]=1,"Subscribed","Not Subscribed")</f>
        <v>Not Subscribed</v>
      </c>
    </row>
    <row r="2759" spans="1:26" x14ac:dyDescent="0.25">
      <c r="A2759">
        <v>2758</v>
      </c>
      <c r="B2759">
        <v>39</v>
      </c>
      <c r="C2759" t="s">
        <v>156</v>
      </c>
      <c r="D2759">
        <v>2758</v>
      </c>
      <c r="E2759" t="s">
        <v>127</v>
      </c>
      <c r="F2759" t="s">
        <v>70</v>
      </c>
      <c r="G2759">
        <v>2758</v>
      </c>
      <c r="H2759">
        <v>3508</v>
      </c>
      <c r="I2759">
        <v>98</v>
      </c>
      <c r="J2759" t="s">
        <v>82</v>
      </c>
      <c r="K2759" t="s">
        <v>95</v>
      </c>
      <c r="L2759" t="s">
        <v>113</v>
      </c>
      <c r="M2759" t="s">
        <v>60</v>
      </c>
      <c r="N2759">
        <v>4.3</v>
      </c>
      <c r="O2759">
        <v>0</v>
      </c>
      <c r="P2759" t="s">
        <v>48</v>
      </c>
      <c r="Q2759" t="s">
        <v>155</v>
      </c>
      <c r="R2759" t="s">
        <v>155</v>
      </c>
      <c r="S2759">
        <v>11</v>
      </c>
      <c r="T2759" t="s">
        <v>31</v>
      </c>
      <c r="U2759" t="s">
        <v>91</v>
      </c>
      <c r="V2759" s="1">
        <v>45559</v>
      </c>
      <c r="W2759">
        <f>Table1[[#This Row],[customer_purchase count]]+1</f>
        <v>12</v>
      </c>
      <c r="X2759">
        <f>Table1[[#This Row],[customer_purchase count]]*Rules!$B$3</f>
        <v>657.40794871794878</v>
      </c>
      <c r="Y2759" t="str">
        <f>IF(Table1[[#This Row],[customer_subscription]]=1,"Subscribed","Not Subscribed")</f>
        <v>Not Subscribed</v>
      </c>
      <c r="Z2759" t="s">
        <v>194</v>
      </c>
    </row>
    <row r="2760" spans="1:26" x14ac:dyDescent="0.25">
      <c r="A2760">
        <v>2759</v>
      </c>
      <c r="B2760">
        <v>32</v>
      </c>
      <c r="C2760" t="s">
        <v>156</v>
      </c>
      <c r="D2760">
        <v>2759</v>
      </c>
      <c r="E2760" t="s">
        <v>23</v>
      </c>
      <c r="F2760" t="s">
        <v>24</v>
      </c>
      <c r="G2760">
        <v>2759</v>
      </c>
      <c r="H2760">
        <v>3509</v>
      </c>
      <c r="I2760">
        <v>98</v>
      </c>
      <c r="J2760" t="s">
        <v>118</v>
      </c>
      <c r="K2760" t="s">
        <v>47</v>
      </c>
      <c r="L2760" t="s">
        <v>76</v>
      </c>
      <c r="M2760" t="s">
        <v>56</v>
      </c>
      <c r="N2760">
        <v>3.2</v>
      </c>
      <c r="O2760">
        <v>0</v>
      </c>
      <c r="P2760" t="s">
        <v>57</v>
      </c>
      <c r="Q2760" t="s">
        <v>155</v>
      </c>
      <c r="R2760" t="s">
        <v>155</v>
      </c>
      <c r="S2760">
        <v>8</v>
      </c>
      <c r="T2760" t="s">
        <v>78</v>
      </c>
      <c r="U2760" t="s">
        <v>79</v>
      </c>
      <c r="V2760" s="1">
        <v>45528</v>
      </c>
      <c r="W2760">
        <f>Table1[[#This Row],[customer_purchase count]]+1</f>
        <v>9</v>
      </c>
      <c r="X2760">
        <f>Table1[[#This Row],[customer_purchase count]]*Rules!$B$3</f>
        <v>478.11487179487182</v>
      </c>
      <c r="Y2760" t="str">
        <f>IF(Table1[[#This Row],[customer_subscription]]=1,"Subscribed","Not Subscribed")</f>
        <v>Not Subscribed</v>
      </c>
      <c r="Z2760" t="s">
        <v>194</v>
      </c>
    </row>
    <row r="2761" spans="1:26" x14ac:dyDescent="0.25">
      <c r="A2761">
        <v>2760</v>
      </c>
      <c r="B2761">
        <v>68</v>
      </c>
      <c r="C2761" t="s">
        <v>156</v>
      </c>
      <c r="D2761">
        <v>2760</v>
      </c>
      <c r="E2761" t="s">
        <v>74</v>
      </c>
      <c r="F2761" t="s">
        <v>45</v>
      </c>
      <c r="G2761">
        <v>2760</v>
      </c>
      <c r="H2761">
        <v>3511</v>
      </c>
      <c r="I2761">
        <v>59</v>
      </c>
      <c r="J2761" t="s">
        <v>152</v>
      </c>
      <c r="K2761" t="s">
        <v>47</v>
      </c>
      <c r="L2761" t="s">
        <v>51</v>
      </c>
      <c r="M2761" t="s">
        <v>56</v>
      </c>
      <c r="N2761">
        <v>3.9</v>
      </c>
      <c r="O2761">
        <v>0</v>
      </c>
      <c r="P2761" t="s">
        <v>41</v>
      </c>
      <c r="Q2761" t="s">
        <v>155</v>
      </c>
      <c r="R2761" t="s">
        <v>155</v>
      </c>
      <c r="S2761">
        <v>42</v>
      </c>
      <c r="T2761" t="s">
        <v>36</v>
      </c>
      <c r="U2761" t="s">
        <v>100</v>
      </c>
      <c r="V2761" s="1">
        <v>45497</v>
      </c>
      <c r="W2761">
        <f>Table1[[#This Row],[customer_purchase count]]+1</f>
        <v>43</v>
      </c>
      <c r="X2761">
        <f>Table1[[#This Row],[customer_purchase count]]*Rules!$B$3</f>
        <v>2510.103076923077</v>
      </c>
      <c r="Y2761" t="str">
        <f>IF(Table1[[#This Row],[customer_subscription]]=1,"Subscribed","Not Subscribed")</f>
        <v>Not Subscribed</v>
      </c>
    </row>
    <row r="2762" spans="1:26" x14ac:dyDescent="0.25">
      <c r="A2762">
        <v>2761</v>
      </c>
      <c r="B2762">
        <v>41</v>
      </c>
      <c r="C2762" t="s">
        <v>156</v>
      </c>
      <c r="D2762">
        <v>2761</v>
      </c>
      <c r="E2762" t="s">
        <v>90</v>
      </c>
      <c r="F2762" t="s">
        <v>24</v>
      </c>
      <c r="G2762">
        <v>2761</v>
      </c>
      <c r="H2762">
        <v>3512</v>
      </c>
      <c r="I2762">
        <v>82</v>
      </c>
      <c r="J2762" t="s">
        <v>123</v>
      </c>
      <c r="K2762" t="s">
        <v>39</v>
      </c>
      <c r="L2762" t="s">
        <v>86</v>
      </c>
      <c r="M2762" t="s">
        <v>60</v>
      </c>
      <c r="N2762">
        <v>5</v>
      </c>
      <c r="O2762">
        <v>0</v>
      </c>
      <c r="P2762" t="s">
        <v>48</v>
      </c>
      <c r="Q2762" t="s">
        <v>155</v>
      </c>
      <c r="R2762" t="s">
        <v>155</v>
      </c>
      <c r="S2762">
        <v>41</v>
      </c>
      <c r="T2762" t="s">
        <v>42</v>
      </c>
      <c r="U2762" t="s">
        <v>79</v>
      </c>
      <c r="V2762" s="1">
        <v>45548</v>
      </c>
      <c r="W2762">
        <f>Table1[[#This Row],[customer_purchase count]]+1</f>
        <v>42</v>
      </c>
      <c r="X2762">
        <f>Table1[[#This Row],[customer_purchase count]]*Rules!$B$3</f>
        <v>2450.3387179487181</v>
      </c>
      <c r="Y2762" t="str">
        <f>IF(Table1[[#This Row],[customer_subscription]]=1,"Subscribed","Not Subscribed")</f>
        <v>Not Subscribed</v>
      </c>
    </row>
    <row r="2763" spans="1:26" x14ac:dyDescent="0.25">
      <c r="A2763">
        <v>2762</v>
      </c>
      <c r="B2763">
        <v>31</v>
      </c>
      <c r="C2763" t="s">
        <v>156</v>
      </c>
      <c r="D2763">
        <v>2762</v>
      </c>
      <c r="E2763" t="s">
        <v>53</v>
      </c>
      <c r="F2763" t="s">
        <v>45</v>
      </c>
      <c r="G2763">
        <v>2762</v>
      </c>
      <c r="H2763">
        <v>3513</v>
      </c>
      <c r="I2763">
        <v>82</v>
      </c>
      <c r="J2763" t="s">
        <v>154</v>
      </c>
      <c r="K2763" t="s">
        <v>47</v>
      </c>
      <c r="L2763" t="s">
        <v>76</v>
      </c>
      <c r="M2763" t="s">
        <v>60</v>
      </c>
      <c r="N2763">
        <v>3.4</v>
      </c>
      <c r="O2763">
        <v>0</v>
      </c>
      <c r="P2763" t="s">
        <v>48</v>
      </c>
      <c r="Q2763" t="s">
        <v>155</v>
      </c>
      <c r="R2763" t="s">
        <v>155</v>
      </c>
      <c r="S2763">
        <v>3</v>
      </c>
      <c r="T2763" t="s">
        <v>42</v>
      </c>
      <c r="U2763" t="s">
        <v>100</v>
      </c>
      <c r="V2763" s="1">
        <v>45548</v>
      </c>
      <c r="W2763">
        <f>Table1[[#This Row],[customer_purchase count]]+1</f>
        <v>4</v>
      </c>
      <c r="X2763">
        <f>Table1[[#This Row],[customer_purchase count]]*Rules!$B$3</f>
        <v>179.29307692307694</v>
      </c>
      <c r="Y2763" t="str">
        <f>IF(Table1[[#This Row],[customer_subscription]]=1,"Subscribed","Not Subscribed")</f>
        <v>Not Subscribed</v>
      </c>
      <c r="Z2763" t="s">
        <v>194</v>
      </c>
    </row>
    <row r="2764" spans="1:26" x14ac:dyDescent="0.25">
      <c r="A2764">
        <v>2763</v>
      </c>
      <c r="B2764">
        <v>58</v>
      </c>
      <c r="C2764" t="s">
        <v>156</v>
      </c>
      <c r="D2764">
        <v>2763</v>
      </c>
      <c r="E2764" t="s">
        <v>116</v>
      </c>
      <c r="F2764" t="s">
        <v>24</v>
      </c>
      <c r="G2764">
        <v>2763</v>
      </c>
      <c r="H2764">
        <v>3514</v>
      </c>
      <c r="I2764">
        <v>41</v>
      </c>
      <c r="J2764" t="s">
        <v>145</v>
      </c>
      <c r="K2764" t="s">
        <v>47</v>
      </c>
      <c r="L2764" t="s">
        <v>64</v>
      </c>
      <c r="M2764" t="s">
        <v>60</v>
      </c>
      <c r="N2764">
        <v>3.8</v>
      </c>
      <c r="O2764">
        <v>0</v>
      </c>
      <c r="P2764" t="s">
        <v>77</v>
      </c>
      <c r="Q2764" t="s">
        <v>155</v>
      </c>
      <c r="R2764" t="s">
        <v>155</v>
      </c>
      <c r="S2764">
        <v>10</v>
      </c>
      <c r="T2764" t="s">
        <v>89</v>
      </c>
      <c r="U2764" t="s">
        <v>100</v>
      </c>
      <c r="V2764" s="1">
        <v>45554</v>
      </c>
      <c r="W2764">
        <f>Table1[[#This Row],[customer_purchase count]]+1</f>
        <v>11</v>
      </c>
      <c r="X2764">
        <f>Table1[[#This Row],[customer_purchase count]]*Rules!$B$3</f>
        <v>597.64358974358981</v>
      </c>
      <c r="Y2764" t="str">
        <f>IF(Table1[[#This Row],[customer_subscription]]=1,"Subscribed","Not Subscribed")</f>
        <v>Not Subscribed</v>
      </c>
      <c r="Z2764" t="s">
        <v>194</v>
      </c>
    </row>
    <row r="2765" spans="1:26" x14ac:dyDescent="0.25">
      <c r="A2765">
        <v>2764</v>
      </c>
      <c r="B2765">
        <v>28</v>
      </c>
      <c r="C2765" t="s">
        <v>156</v>
      </c>
      <c r="D2765">
        <v>2764</v>
      </c>
      <c r="E2765" t="s">
        <v>69</v>
      </c>
      <c r="F2765" t="s">
        <v>70</v>
      </c>
      <c r="G2765">
        <v>2764</v>
      </c>
      <c r="H2765">
        <v>3515</v>
      </c>
      <c r="I2765">
        <v>52</v>
      </c>
      <c r="J2765" t="s">
        <v>67</v>
      </c>
      <c r="K2765" t="s">
        <v>47</v>
      </c>
      <c r="L2765" t="s">
        <v>99</v>
      </c>
      <c r="M2765" t="s">
        <v>60</v>
      </c>
      <c r="N2765">
        <v>2.9</v>
      </c>
      <c r="O2765">
        <v>0</v>
      </c>
      <c r="P2765" t="s">
        <v>73</v>
      </c>
      <c r="Q2765" t="s">
        <v>155</v>
      </c>
      <c r="R2765" t="s">
        <v>155</v>
      </c>
      <c r="S2765">
        <v>35</v>
      </c>
      <c r="T2765" t="s">
        <v>31</v>
      </c>
      <c r="U2765" t="s">
        <v>61</v>
      </c>
      <c r="V2765" s="1">
        <v>45567</v>
      </c>
      <c r="W2765">
        <f>Table1[[#This Row],[customer_purchase count]]+1</f>
        <v>36</v>
      </c>
      <c r="X2765">
        <f>Table1[[#This Row],[customer_purchase count]]*Rules!$B$3</f>
        <v>2091.7525641025641</v>
      </c>
      <c r="Y2765" t="str">
        <f>IF(Table1[[#This Row],[customer_subscription]]=1,"Subscribed","Not Subscribed")</f>
        <v>Not Subscribed</v>
      </c>
    </row>
    <row r="2766" spans="1:26" x14ac:dyDescent="0.25">
      <c r="A2766">
        <v>2765</v>
      </c>
      <c r="B2766">
        <v>63</v>
      </c>
      <c r="C2766" t="s">
        <v>156</v>
      </c>
      <c r="D2766">
        <v>2765</v>
      </c>
      <c r="E2766" t="s">
        <v>33</v>
      </c>
      <c r="F2766" t="s">
        <v>24</v>
      </c>
      <c r="G2766">
        <v>2765</v>
      </c>
      <c r="H2766">
        <v>3517</v>
      </c>
      <c r="I2766">
        <v>41</v>
      </c>
      <c r="J2766" t="s">
        <v>120</v>
      </c>
      <c r="K2766" t="s">
        <v>95</v>
      </c>
      <c r="L2766" t="s">
        <v>55</v>
      </c>
      <c r="M2766" t="s">
        <v>40</v>
      </c>
      <c r="N2766">
        <v>2.6</v>
      </c>
      <c r="O2766">
        <v>0</v>
      </c>
      <c r="P2766" t="s">
        <v>48</v>
      </c>
      <c r="Q2766" t="s">
        <v>155</v>
      </c>
      <c r="R2766" t="s">
        <v>155</v>
      </c>
      <c r="S2766">
        <v>2</v>
      </c>
      <c r="T2766" t="s">
        <v>89</v>
      </c>
      <c r="U2766" t="s">
        <v>43</v>
      </c>
      <c r="V2766" s="1">
        <v>45422</v>
      </c>
      <c r="W2766">
        <f>Table1[[#This Row],[customer_purchase count]]+1</f>
        <v>3</v>
      </c>
      <c r="X2766">
        <f>Table1[[#This Row],[customer_purchase count]]*Rules!$B$3</f>
        <v>119.52871794871795</v>
      </c>
      <c r="Y2766" t="str">
        <f>IF(Table1[[#This Row],[customer_subscription]]=1,"Subscribed","Not Subscribed")</f>
        <v>Not Subscribed</v>
      </c>
      <c r="Z2766" t="s">
        <v>194</v>
      </c>
    </row>
    <row r="2767" spans="1:26" x14ac:dyDescent="0.25">
      <c r="A2767">
        <v>2766</v>
      </c>
      <c r="B2767">
        <v>64</v>
      </c>
      <c r="C2767" t="s">
        <v>156</v>
      </c>
      <c r="D2767">
        <v>2766</v>
      </c>
      <c r="E2767" t="s">
        <v>146</v>
      </c>
      <c r="F2767" t="s">
        <v>70</v>
      </c>
      <c r="G2767">
        <v>2766</v>
      </c>
      <c r="H2767">
        <v>3518</v>
      </c>
      <c r="I2767">
        <v>70</v>
      </c>
      <c r="J2767" t="s">
        <v>115</v>
      </c>
      <c r="K2767" t="s">
        <v>47</v>
      </c>
      <c r="L2767" t="s">
        <v>76</v>
      </c>
      <c r="M2767" t="s">
        <v>56</v>
      </c>
      <c r="N2767">
        <v>4.3</v>
      </c>
      <c r="O2767">
        <v>0</v>
      </c>
      <c r="P2767" t="s">
        <v>73</v>
      </c>
      <c r="Q2767" t="s">
        <v>155</v>
      </c>
      <c r="R2767" t="s">
        <v>155</v>
      </c>
      <c r="S2767">
        <v>24</v>
      </c>
      <c r="T2767" t="s">
        <v>42</v>
      </c>
      <c r="U2767" t="s">
        <v>61</v>
      </c>
      <c r="V2767" s="1">
        <v>45531</v>
      </c>
      <c r="W2767">
        <f>Table1[[#This Row],[customer_purchase count]]+1</f>
        <v>25</v>
      </c>
      <c r="X2767">
        <f>Table1[[#This Row],[customer_purchase count]]*Rules!$B$3</f>
        <v>1434.3446153846155</v>
      </c>
      <c r="Y2767" t="str">
        <f>IF(Table1[[#This Row],[customer_subscription]]=1,"Subscribed","Not Subscribed")</f>
        <v>Not Subscribed</v>
      </c>
    </row>
    <row r="2768" spans="1:26" x14ac:dyDescent="0.25">
      <c r="A2768">
        <v>2767</v>
      </c>
      <c r="B2768">
        <v>66</v>
      </c>
      <c r="C2768" t="s">
        <v>156</v>
      </c>
      <c r="D2768">
        <v>2767</v>
      </c>
      <c r="E2768" t="s">
        <v>84</v>
      </c>
      <c r="F2768" t="s">
        <v>24</v>
      </c>
      <c r="G2768">
        <v>2767</v>
      </c>
      <c r="H2768">
        <v>3519</v>
      </c>
      <c r="I2768">
        <v>91</v>
      </c>
      <c r="J2768" t="s">
        <v>125</v>
      </c>
      <c r="K2768" t="s">
        <v>47</v>
      </c>
      <c r="L2768" t="s">
        <v>112</v>
      </c>
      <c r="M2768" t="s">
        <v>28</v>
      </c>
      <c r="N2768">
        <v>2.8</v>
      </c>
      <c r="O2768">
        <v>0</v>
      </c>
      <c r="P2768" t="s">
        <v>57</v>
      </c>
      <c r="Q2768" t="s">
        <v>155</v>
      </c>
      <c r="R2768" t="s">
        <v>155</v>
      </c>
      <c r="S2768">
        <v>47</v>
      </c>
      <c r="T2768" t="s">
        <v>42</v>
      </c>
      <c r="U2768" t="s">
        <v>91</v>
      </c>
      <c r="V2768" s="1">
        <v>45329</v>
      </c>
      <c r="W2768">
        <f>Table1[[#This Row],[customer_purchase count]]+1</f>
        <v>48</v>
      </c>
      <c r="X2768">
        <f>Table1[[#This Row],[customer_purchase count]]*Rules!$B$3</f>
        <v>2808.9248717948717</v>
      </c>
      <c r="Y2768" t="str">
        <f>IF(Table1[[#This Row],[customer_subscription]]=1,"Subscribed","Not Subscribed")</f>
        <v>Not Subscribed</v>
      </c>
    </row>
    <row r="2769" spans="1:26" x14ac:dyDescent="0.25">
      <c r="A2769">
        <v>2768</v>
      </c>
      <c r="B2769">
        <v>31</v>
      </c>
      <c r="C2769" t="s">
        <v>156</v>
      </c>
      <c r="D2769">
        <v>2768</v>
      </c>
      <c r="E2769" t="s">
        <v>84</v>
      </c>
      <c r="F2769" t="s">
        <v>24</v>
      </c>
      <c r="G2769">
        <v>2768</v>
      </c>
      <c r="H2769">
        <v>3520</v>
      </c>
      <c r="I2769">
        <v>95</v>
      </c>
      <c r="J2769" t="s">
        <v>149</v>
      </c>
      <c r="K2769" t="s">
        <v>47</v>
      </c>
      <c r="L2769" t="s">
        <v>99</v>
      </c>
      <c r="M2769" t="s">
        <v>40</v>
      </c>
      <c r="N2769">
        <v>4.5</v>
      </c>
      <c r="O2769">
        <v>0</v>
      </c>
      <c r="P2769" t="s">
        <v>41</v>
      </c>
      <c r="Q2769" t="s">
        <v>155</v>
      </c>
      <c r="R2769" t="s">
        <v>155</v>
      </c>
      <c r="S2769">
        <v>31</v>
      </c>
      <c r="T2769" t="s">
        <v>36</v>
      </c>
      <c r="U2769" t="s">
        <v>91</v>
      </c>
      <c r="V2769" s="1">
        <v>45408</v>
      </c>
      <c r="W2769">
        <f>Table1[[#This Row],[customer_purchase count]]+1</f>
        <v>32</v>
      </c>
      <c r="X2769">
        <f>Table1[[#This Row],[customer_purchase count]]*Rules!$B$3</f>
        <v>1852.6951282051282</v>
      </c>
      <c r="Y2769" t="str">
        <f>IF(Table1[[#This Row],[customer_subscription]]=1,"Subscribed","Not Subscribed")</f>
        <v>Not Subscribed</v>
      </c>
    </row>
    <row r="2770" spans="1:26" x14ac:dyDescent="0.25">
      <c r="A2770">
        <v>2769</v>
      </c>
      <c r="B2770">
        <v>55</v>
      </c>
      <c r="C2770" t="s">
        <v>156</v>
      </c>
      <c r="D2770">
        <v>2769</v>
      </c>
      <c r="E2770" t="s">
        <v>23</v>
      </c>
      <c r="F2770" t="s">
        <v>24</v>
      </c>
      <c r="G2770">
        <v>2769</v>
      </c>
      <c r="H2770">
        <v>3521</v>
      </c>
      <c r="I2770">
        <v>25</v>
      </c>
      <c r="J2770" t="s">
        <v>114</v>
      </c>
      <c r="K2770" t="s">
        <v>47</v>
      </c>
      <c r="L2770" t="s">
        <v>121</v>
      </c>
      <c r="M2770" t="s">
        <v>40</v>
      </c>
      <c r="N2770">
        <v>3.8</v>
      </c>
      <c r="O2770">
        <v>0</v>
      </c>
      <c r="P2770" t="s">
        <v>73</v>
      </c>
      <c r="Q2770" t="s">
        <v>155</v>
      </c>
      <c r="R2770" t="s">
        <v>155</v>
      </c>
      <c r="S2770">
        <v>28</v>
      </c>
      <c r="T2770" t="s">
        <v>49</v>
      </c>
      <c r="U2770" t="s">
        <v>79</v>
      </c>
      <c r="V2770" s="1">
        <v>45357</v>
      </c>
      <c r="W2770">
        <f>Table1[[#This Row],[customer_purchase count]]+1</f>
        <v>29</v>
      </c>
      <c r="X2770">
        <f>Table1[[#This Row],[customer_purchase count]]*Rules!$B$3</f>
        <v>1673.4020512820514</v>
      </c>
      <c r="Y2770" t="str">
        <f>IF(Table1[[#This Row],[customer_subscription]]=1,"Subscribed","Not Subscribed")</f>
        <v>Not Subscribed</v>
      </c>
    </row>
    <row r="2771" spans="1:26" x14ac:dyDescent="0.25">
      <c r="A2771">
        <v>2770</v>
      </c>
      <c r="B2771">
        <v>32</v>
      </c>
      <c r="C2771" t="s">
        <v>156</v>
      </c>
      <c r="D2771">
        <v>2770</v>
      </c>
      <c r="E2771" t="s">
        <v>58</v>
      </c>
      <c r="F2771" t="s">
        <v>24</v>
      </c>
      <c r="G2771">
        <v>2770</v>
      </c>
      <c r="H2771">
        <v>3523</v>
      </c>
      <c r="I2771">
        <v>89</v>
      </c>
      <c r="J2771" t="s">
        <v>104</v>
      </c>
      <c r="K2771" t="s">
        <v>26</v>
      </c>
      <c r="L2771" t="s">
        <v>96</v>
      </c>
      <c r="M2771" t="s">
        <v>60</v>
      </c>
      <c r="N2771">
        <v>3</v>
      </c>
      <c r="O2771">
        <v>0</v>
      </c>
      <c r="P2771" t="s">
        <v>57</v>
      </c>
      <c r="Q2771" t="s">
        <v>155</v>
      </c>
      <c r="R2771" t="s">
        <v>155</v>
      </c>
      <c r="S2771">
        <v>13</v>
      </c>
      <c r="T2771" t="s">
        <v>36</v>
      </c>
      <c r="U2771" t="s">
        <v>43</v>
      </c>
      <c r="V2771" s="1">
        <v>45577</v>
      </c>
      <c r="W2771">
        <f>Table1[[#This Row],[customer_purchase count]]+1</f>
        <v>14</v>
      </c>
      <c r="X2771">
        <f>Table1[[#This Row],[customer_purchase count]]*Rules!$B$3</f>
        <v>776.93666666666672</v>
      </c>
      <c r="Y2771" t="str">
        <f>IF(Table1[[#This Row],[customer_subscription]]=1,"Subscribed","Not Subscribed")</f>
        <v>Not Subscribed</v>
      </c>
      <c r="Z2771" t="s">
        <v>194</v>
      </c>
    </row>
    <row r="2772" spans="1:26" x14ac:dyDescent="0.25">
      <c r="A2772">
        <v>2771</v>
      </c>
      <c r="B2772">
        <v>50</v>
      </c>
      <c r="C2772" t="s">
        <v>156</v>
      </c>
      <c r="D2772">
        <v>2771</v>
      </c>
      <c r="E2772" t="s">
        <v>140</v>
      </c>
      <c r="F2772" t="s">
        <v>45</v>
      </c>
      <c r="G2772">
        <v>2771</v>
      </c>
      <c r="H2772">
        <v>3524</v>
      </c>
      <c r="I2772">
        <v>44</v>
      </c>
      <c r="J2772" t="s">
        <v>148</v>
      </c>
      <c r="K2772" t="s">
        <v>39</v>
      </c>
      <c r="L2772" t="s">
        <v>147</v>
      </c>
      <c r="M2772" t="s">
        <v>60</v>
      </c>
      <c r="N2772">
        <v>3.3</v>
      </c>
      <c r="O2772">
        <v>0</v>
      </c>
      <c r="P2772" t="s">
        <v>29</v>
      </c>
      <c r="Q2772" t="s">
        <v>155</v>
      </c>
      <c r="R2772" t="s">
        <v>155</v>
      </c>
      <c r="S2772">
        <v>22</v>
      </c>
      <c r="T2772" t="s">
        <v>78</v>
      </c>
      <c r="U2772" t="s">
        <v>61</v>
      </c>
      <c r="V2772" s="1">
        <v>45560</v>
      </c>
      <c r="W2772">
        <f>Table1[[#This Row],[customer_purchase count]]+1</f>
        <v>23</v>
      </c>
      <c r="X2772">
        <f>Table1[[#This Row],[customer_purchase count]]*Rules!$B$3</f>
        <v>1314.8158974358976</v>
      </c>
      <c r="Y2772" t="str">
        <f>IF(Table1[[#This Row],[customer_subscription]]=1,"Subscribed","Not Subscribed")</f>
        <v>Not Subscribed</v>
      </c>
    </row>
    <row r="2773" spans="1:26" x14ac:dyDescent="0.25">
      <c r="A2773">
        <v>2772</v>
      </c>
      <c r="B2773">
        <v>58</v>
      </c>
      <c r="C2773" t="s">
        <v>156</v>
      </c>
      <c r="D2773">
        <v>2772</v>
      </c>
      <c r="E2773" t="s">
        <v>105</v>
      </c>
      <c r="F2773" t="s">
        <v>66</v>
      </c>
      <c r="G2773">
        <v>2772</v>
      </c>
      <c r="H2773">
        <v>3525</v>
      </c>
      <c r="I2773">
        <v>52</v>
      </c>
      <c r="J2773" t="s">
        <v>131</v>
      </c>
      <c r="K2773" t="s">
        <v>39</v>
      </c>
      <c r="L2773" t="s">
        <v>121</v>
      </c>
      <c r="M2773" t="s">
        <v>56</v>
      </c>
      <c r="N2773">
        <v>3.1</v>
      </c>
      <c r="O2773">
        <v>0</v>
      </c>
      <c r="P2773" t="s">
        <v>73</v>
      </c>
      <c r="Q2773" t="s">
        <v>155</v>
      </c>
      <c r="R2773" t="s">
        <v>155</v>
      </c>
      <c r="S2773">
        <v>12</v>
      </c>
      <c r="T2773" t="s">
        <v>78</v>
      </c>
      <c r="U2773" t="s">
        <v>32</v>
      </c>
      <c r="V2773" s="1">
        <v>45514</v>
      </c>
      <c r="W2773">
        <f>Table1[[#This Row],[customer_purchase count]]+1</f>
        <v>13</v>
      </c>
      <c r="X2773">
        <f>Table1[[#This Row],[customer_purchase count]]*Rules!$B$3</f>
        <v>717.17230769230775</v>
      </c>
      <c r="Y2773" t="str">
        <f>IF(Table1[[#This Row],[customer_subscription]]=1,"Subscribed","Not Subscribed")</f>
        <v>Not Subscribed</v>
      </c>
      <c r="Z2773" t="s">
        <v>194</v>
      </c>
    </row>
    <row r="2774" spans="1:26" x14ac:dyDescent="0.25">
      <c r="A2774">
        <v>2773</v>
      </c>
      <c r="B2774">
        <v>18</v>
      </c>
      <c r="C2774" t="s">
        <v>156</v>
      </c>
      <c r="D2774">
        <v>2773</v>
      </c>
      <c r="E2774" t="s">
        <v>135</v>
      </c>
      <c r="F2774" t="s">
        <v>70</v>
      </c>
      <c r="G2774">
        <v>2773</v>
      </c>
      <c r="H2774">
        <v>3526</v>
      </c>
      <c r="I2774">
        <v>94</v>
      </c>
      <c r="J2774" t="s">
        <v>141</v>
      </c>
      <c r="K2774" t="s">
        <v>26</v>
      </c>
      <c r="L2774" t="s">
        <v>147</v>
      </c>
      <c r="M2774" t="s">
        <v>40</v>
      </c>
      <c r="N2774">
        <v>3.5</v>
      </c>
      <c r="O2774">
        <v>0</v>
      </c>
      <c r="P2774" t="s">
        <v>77</v>
      </c>
      <c r="Q2774" t="s">
        <v>155</v>
      </c>
      <c r="R2774" t="s">
        <v>155</v>
      </c>
      <c r="S2774">
        <v>10</v>
      </c>
      <c r="T2774" t="s">
        <v>78</v>
      </c>
      <c r="U2774" t="s">
        <v>100</v>
      </c>
      <c r="V2774" s="1">
        <v>45378</v>
      </c>
      <c r="W2774">
        <f>Table1[[#This Row],[customer_purchase count]]+1</f>
        <v>11</v>
      </c>
      <c r="X2774">
        <f>Table1[[#This Row],[customer_purchase count]]*Rules!$B$3</f>
        <v>597.64358974358981</v>
      </c>
      <c r="Y2774" t="str">
        <f>IF(Table1[[#This Row],[customer_subscription]]=1,"Subscribed","Not Subscribed")</f>
        <v>Not Subscribed</v>
      </c>
      <c r="Z2774" t="s">
        <v>187</v>
      </c>
    </row>
    <row r="2775" spans="1:26" x14ac:dyDescent="0.25">
      <c r="A2775">
        <v>2774</v>
      </c>
      <c r="B2775">
        <v>39</v>
      </c>
      <c r="C2775" t="s">
        <v>156</v>
      </c>
      <c r="D2775">
        <v>2774</v>
      </c>
      <c r="E2775" t="s">
        <v>98</v>
      </c>
      <c r="F2775" t="s">
        <v>24</v>
      </c>
      <c r="G2775">
        <v>2774</v>
      </c>
      <c r="H2775">
        <v>3527</v>
      </c>
      <c r="I2775">
        <v>98</v>
      </c>
      <c r="J2775" t="s">
        <v>120</v>
      </c>
      <c r="K2775" t="s">
        <v>39</v>
      </c>
      <c r="L2775" t="s">
        <v>35</v>
      </c>
      <c r="M2775" t="s">
        <v>40</v>
      </c>
      <c r="N2775">
        <v>4.5999999999999996</v>
      </c>
      <c r="O2775">
        <v>0</v>
      </c>
      <c r="P2775" t="s">
        <v>29</v>
      </c>
      <c r="Q2775" t="s">
        <v>155</v>
      </c>
      <c r="R2775" t="s">
        <v>155</v>
      </c>
      <c r="S2775">
        <v>45</v>
      </c>
      <c r="T2775" t="s">
        <v>78</v>
      </c>
      <c r="U2775" t="s">
        <v>61</v>
      </c>
      <c r="V2775" s="1">
        <v>45393</v>
      </c>
      <c r="W2775">
        <f>Table1[[#This Row],[customer_purchase count]]+1</f>
        <v>46</v>
      </c>
      <c r="X2775">
        <f>Table1[[#This Row],[customer_purchase count]]*Rules!$B$3</f>
        <v>2689.396153846154</v>
      </c>
      <c r="Y2775" t="str">
        <f>IF(Table1[[#This Row],[customer_subscription]]=1,"Subscribed","Not Subscribed")</f>
        <v>Not Subscribed</v>
      </c>
    </row>
    <row r="2776" spans="1:26" x14ac:dyDescent="0.25">
      <c r="A2776">
        <v>2775</v>
      </c>
      <c r="B2776">
        <v>56</v>
      </c>
      <c r="C2776" t="s">
        <v>156</v>
      </c>
      <c r="D2776">
        <v>2775</v>
      </c>
      <c r="E2776" t="s">
        <v>140</v>
      </c>
      <c r="F2776" t="s">
        <v>45</v>
      </c>
      <c r="G2776">
        <v>2775</v>
      </c>
      <c r="H2776">
        <v>3529</v>
      </c>
      <c r="I2776">
        <v>40</v>
      </c>
      <c r="J2776" t="s">
        <v>104</v>
      </c>
      <c r="K2776" t="s">
        <v>26</v>
      </c>
      <c r="L2776" t="s">
        <v>137</v>
      </c>
      <c r="M2776" t="s">
        <v>60</v>
      </c>
      <c r="N2776">
        <v>4.0999999999999996</v>
      </c>
      <c r="O2776">
        <v>0</v>
      </c>
      <c r="P2776" t="s">
        <v>57</v>
      </c>
      <c r="Q2776" t="s">
        <v>155</v>
      </c>
      <c r="R2776" t="s">
        <v>155</v>
      </c>
      <c r="S2776">
        <v>42</v>
      </c>
      <c r="T2776" t="s">
        <v>42</v>
      </c>
      <c r="U2776" t="s">
        <v>61</v>
      </c>
      <c r="V2776" s="1">
        <v>45557</v>
      </c>
      <c r="W2776">
        <f>Table1[[#This Row],[customer_purchase count]]+1</f>
        <v>43</v>
      </c>
      <c r="X2776">
        <f>Table1[[#This Row],[customer_purchase count]]*Rules!$B$3</f>
        <v>2510.103076923077</v>
      </c>
      <c r="Y2776" t="str">
        <f>IF(Table1[[#This Row],[customer_subscription]]=1,"Subscribed","Not Subscribed")</f>
        <v>Not Subscribed</v>
      </c>
    </row>
    <row r="2777" spans="1:26" x14ac:dyDescent="0.25">
      <c r="A2777">
        <v>2776</v>
      </c>
      <c r="B2777">
        <v>37</v>
      </c>
      <c r="C2777" t="s">
        <v>156</v>
      </c>
      <c r="D2777">
        <v>2776</v>
      </c>
      <c r="E2777" t="s">
        <v>128</v>
      </c>
      <c r="F2777" t="s">
        <v>24</v>
      </c>
      <c r="G2777">
        <v>2776</v>
      </c>
      <c r="H2777">
        <v>3530</v>
      </c>
      <c r="I2777">
        <v>25</v>
      </c>
      <c r="J2777" t="s">
        <v>59</v>
      </c>
      <c r="K2777" t="s">
        <v>26</v>
      </c>
      <c r="L2777" t="s">
        <v>111</v>
      </c>
      <c r="M2777" t="s">
        <v>60</v>
      </c>
      <c r="N2777">
        <v>3.6</v>
      </c>
      <c r="O2777">
        <v>0</v>
      </c>
      <c r="P2777" t="s">
        <v>41</v>
      </c>
      <c r="Q2777" t="s">
        <v>155</v>
      </c>
      <c r="R2777" t="s">
        <v>155</v>
      </c>
      <c r="S2777">
        <v>16</v>
      </c>
      <c r="T2777" t="s">
        <v>89</v>
      </c>
      <c r="U2777" t="s">
        <v>43</v>
      </c>
      <c r="V2777" s="1">
        <v>45574</v>
      </c>
      <c r="W2777">
        <f>Table1[[#This Row],[customer_purchase count]]+1</f>
        <v>17</v>
      </c>
      <c r="X2777">
        <f>Table1[[#This Row],[customer_purchase count]]*Rules!$B$3</f>
        <v>956.22974358974363</v>
      </c>
      <c r="Y2777" t="str">
        <f>IF(Table1[[#This Row],[customer_subscription]]=1,"Subscribed","Not Subscribed")</f>
        <v>Not Subscribed</v>
      </c>
      <c r="Z2777" t="s">
        <v>194</v>
      </c>
    </row>
    <row r="2778" spans="1:26" x14ac:dyDescent="0.25">
      <c r="A2778">
        <v>2777</v>
      </c>
      <c r="B2778">
        <v>46</v>
      </c>
      <c r="C2778" t="s">
        <v>156</v>
      </c>
      <c r="D2778">
        <v>2777</v>
      </c>
      <c r="E2778" t="s">
        <v>122</v>
      </c>
      <c r="F2778" t="s">
        <v>70</v>
      </c>
      <c r="G2778">
        <v>2777</v>
      </c>
      <c r="H2778">
        <v>3531</v>
      </c>
      <c r="I2778">
        <v>62</v>
      </c>
      <c r="J2778" t="s">
        <v>54</v>
      </c>
      <c r="K2778" t="s">
        <v>26</v>
      </c>
      <c r="L2778" t="s">
        <v>99</v>
      </c>
      <c r="M2778" t="s">
        <v>60</v>
      </c>
      <c r="N2778">
        <v>2.9</v>
      </c>
      <c r="O2778">
        <v>0</v>
      </c>
      <c r="P2778" t="s">
        <v>41</v>
      </c>
      <c r="Q2778" t="s">
        <v>155</v>
      </c>
      <c r="R2778" t="s">
        <v>155</v>
      </c>
      <c r="S2778">
        <v>6</v>
      </c>
      <c r="T2778" t="s">
        <v>78</v>
      </c>
      <c r="U2778" t="s">
        <v>52</v>
      </c>
      <c r="V2778" s="1">
        <v>45575</v>
      </c>
      <c r="W2778">
        <f>Table1[[#This Row],[customer_purchase count]]+1</f>
        <v>7</v>
      </c>
      <c r="X2778">
        <f>Table1[[#This Row],[customer_purchase count]]*Rules!$B$3</f>
        <v>358.58615384615388</v>
      </c>
      <c r="Y2778" t="str">
        <f>IF(Table1[[#This Row],[customer_subscription]]=1,"Subscribed","Not Subscribed")</f>
        <v>Not Subscribed</v>
      </c>
      <c r="Z2778" t="s">
        <v>194</v>
      </c>
    </row>
    <row r="2779" spans="1:26" x14ac:dyDescent="0.25">
      <c r="A2779">
        <v>2778</v>
      </c>
      <c r="B2779">
        <v>52</v>
      </c>
      <c r="C2779" t="s">
        <v>156</v>
      </c>
      <c r="D2779">
        <v>2778</v>
      </c>
      <c r="E2779" t="s">
        <v>23</v>
      </c>
      <c r="F2779" t="s">
        <v>24</v>
      </c>
      <c r="G2779">
        <v>2778</v>
      </c>
      <c r="H2779">
        <v>3532</v>
      </c>
      <c r="I2779">
        <v>24</v>
      </c>
      <c r="J2779" t="s">
        <v>138</v>
      </c>
      <c r="K2779" t="s">
        <v>47</v>
      </c>
      <c r="L2779" t="s">
        <v>139</v>
      </c>
      <c r="M2779" t="s">
        <v>60</v>
      </c>
      <c r="N2779">
        <v>4.8</v>
      </c>
      <c r="O2779">
        <v>0</v>
      </c>
      <c r="P2779" t="s">
        <v>57</v>
      </c>
      <c r="Q2779" t="s">
        <v>155</v>
      </c>
      <c r="R2779" t="s">
        <v>155</v>
      </c>
      <c r="S2779">
        <v>28</v>
      </c>
      <c r="T2779" t="s">
        <v>42</v>
      </c>
      <c r="U2779" t="s">
        <v>100</v>
      </c>
      <c r="V2779" s="1">
        <v>45611</v>
      </c>
      <c r="W2779">
        <f>Table1[[#This Row],[customer_purchase count]]+1</f>
        <v>29</v>
      </c>
      <c r="X2779">
        <f>Table1[[#This Row],[customer_purchase count]]*Rules!$B$3</f>
        <v>1673.4020512820514</v>
      </c>
      <c r="Y2779" t="str">
        <f>IF(Table1[[#This Row],[customer_subscription]]=1,"Subscribed","Not Subscribed")</f>
        <v>Not Subscribed</v>
      </c>
    </row>
    <row r="2780" spans="1:26" x14ac:dyDescent="0.25">
      <c r="A2780">
        <v>2779</v>
      </c>
      <c r="B2780">
        <v>70</v>
      </c>
      <c r="C2780" t="s">
        <v>156</v>
      </c>
      <c r="D2780">
        <v>2779</v>
      </c>
      <c r="E2780" t="s">
        <v>136</v>
      </c>
      <c r="F2780" t="s">
        <v>70</v>
      </c>
      <c r="G2780">
        <v>2779</v>
      </c>
      <c r="H2780">
        <v>3533</v>
      </c>
      <c r="I2780">
        <v>57</v>
      </c>
      <c r="J2780" t="s">
        <v>141</v>
      </c>
      <c r="K2780" t="s">
        <v>26</v>
      </c>
      <c r="L2780" t="s">
        <v>137</v>
      </c>
      <c r="M2780" t="s">
        <v>40</v>
      </c>
      <c r="N2780">
        <v>3.2</v>
      </c>
      <c r="O2780">
        <v>0</v>
      </c>
      <c r="P2780" t="s">
        <v>57</v>
      </c>
      <c r="Q2780" t="s">
        <v>155</v>
      </c>
      <c r="R2780" t="s">
        <v>155</v>
      </c>
      <c r="S2780">
        <v>24</v>
      </c>
      <c r="T2780" t="s">
        <v>42</v>
      </c>
      <c r="U2780" t="s">
        <v>79</v>
      </c>
      <c r="V2780" s="1">
        <v>45392</v>
      </c>
      <c r="W2780">
        <f>Table1[[#This Row],[customer_purchase count]]+1</f>
        <v>25</v>
      </c>
      <c r="X2780">
        <f>Table1[[#This Row],[customer_purchase count]]*Rules!$B$3</f>
        <v>1434.3446153846155</v>
      </c>
      <c r="Y2780" t="str">
        <f>IF(Table1[[#This Row],[customer_subscription]]=1,"Subscribed","Not Subscribed")</f>
        <v>Not Subscribed</v>
      </c>
    </row>
    <row r="2781" spans="1:26" x14ac:dyDescent="0.25">
      <c r="A2781">
        <v>2780</v>
      </c>
      <c r="B2781">
        <v>61</v>
      </c>
      <c r="C2781" t="s">
        <v>156</v>
      </c>
      <c r="D2781">
        <v>2780</v>
      </c>
      <c r="E2781" t="s">
        <v>92</v>
      </c>
      <c r="F2781" t="s">
        <v>70</v>
      </c>
      <c r="G2781">
        <v>2780</v>
      </c>
      <c r="H2781">
        <v>3535</v>
      </c>
      <c r="I2781">
        <v>66</v>
      </c>
      <c r="J2781" t="s">
        <v>59</v>
      </c>
      <c r="K2781" t="s">
        <v>26</v>
      </c>
      <c r="L2781" t="s">
        <v>147</v>
      </c>
      <c r="M2781" t="s">
        <v>28</v>
      </c>
      <c r="N2781">
        <v>4.3</v>
      </c>
      <c r="O2781">
        <v>0</v>
      </c>
      <c r="P2781" t="s">
        <v>29</v>
      </c>
      <c r="Q2781" t="s">
        <v>155</v>
      </c>
      <c r="R2781" t="s">
        <v>155</v>
      </c>
      <c r="S2781">
        <v>14</v>
      </c>
      <c r="T2781" t="s">
        <v>42</v>
      </c>
      <c r="U2781" t="s">
        <v>32</v>
      </c>
      <c r="V2781" s="1">
        <v>45295</v>
      </c>
      <c r="W2781">
        <f>Table1[[#This Row],[customer_purchase count]]+1</f>
        <v>15</v>
      </c>
      <c r="X2781">
        <f>Table1[[#This Row],[customer_purchase count]]*Rules!$B$3</f>
        <v>836.70102564102569</v>
      </c>
      <c r="Y2781" t="str">
        <f>IF(Table1[[#This Row],[customer_subscription]]=1,"Subscribed","Not Subscribed")</f>
        <v>Not Subscribed</v>
      </c>
      <c r="Z2781" t="s">
        <v>194</v>
      </c>
    </row>
    <row r="2782" spans="1:26" x14ac:dyDescent="0.25">
      <c r="A2782">
        <v>2781</v>
      </c>
      <c r="B2782">
        <v>33</v>
      </c>
      <c r="C2782" t="s">
        <v>156</v>
      </c>
      <c r="D2782">
        <v>2781</v>
      </c>
      <c r="E2782" t="s">
        <v>140</v>
      </c>
      <c r="F2782" t="s">
        <v>45</v>
      </c>
      <c r="G2782">
        <v>2781</v>
      </c>
      <c r="H2782">
        <v>3536</v>
      </c>
      <c r="I2782">
        <v>70</v>
      </c>
      <c r="J2782" t="s">
        <v>126</v>
      </c>
      <c r="K2782" t="s">
        <v>47</v>
      </c>
      <c r="L2782" t="s">
        <v>64</v>
      </c>
      <c r="M2782" t="s">
        <v>28</v>
      </c>
      <c r="N2782">
        <v>4.0999999999999996</v>
      </c>
      <c r="O2782">
        <v>0</v>
      </c>
      <c r="P2782" t="s">
        <v>48</v>
      </c>
      <c r="Q2782" t="s">
        <v>155</v>
      </c>
      <c r="R2782" t="s">
        <v>155</v>
      </c>
      <c r="S2782">
        <v>29</v>
      </c>
      <c r="T2782" t="s">
        <v>49</v>
      </c>
      <c r="U2782" t="s">
        <v>32</v>
      </c>
      <c r="V2782" s="1">
        <v>45630</v>
      </c>
      <c r="W2782">
        <f>Table1[[#This Row],[customer_purchase count]]+1</f>
        <v>30</v>
      </c>
      <c r="X2782">
        <f>Table1[[#This Row],[customer_purchase count]]*Rules!$B$3</f>
        <v>1733.1664102564102</v>
      </c>
      <c r="Y2782" t="str">
        <f>IF(Table1[[#This Row],[customer_subscription]]=1,"Subscribed","Not Subscribed")</f>
        <v>Not Subscribed</v>
      </c>
    </row>
    <row r="2783" spans="1:26" x14ac:dyDescent="0.25">
      <c r="A2783">
        <v>2782</v>
      </c>
      <c r="B2783">
        <v>65</v>
      </c>
      <c r="C2783" t="s">
        <v>156</v>
      </c>
      <c r="D2783">
        <v>2782</v>
      </c>
      <c r="E2783" t="s">
        <v>44</v>
      </c>
      <c r="F2783" t="s">
        <v>45</v>
      </c>
      <c r="G2783">
        <v>2782</v>
      </c>
      <c r="H2783">
        <v>3537</v>
      </c>
      <c r="I2783">
        <v>39</v>
      </c>
      <c r="J2783" t="s">
        <v>94</v>
      </c>
      <c r="K2783" t="s">
        <v>47</v>
      </c>
      <c r="L2783" t="s">
        <v>147</v>
      </c>
      <c r="M2783" t="s">
        <v>40</v>
      </c>
      <c r="N2783">
        <v>4.5999999999999996</v>
      </c>
      <c r="O2783">
        <v>0</v>
      </c>
      <c r="P2783" t="s">
        <v>57</v>
      </c>
      <c r="Q2783" t="s">
        <v>155</v>
      </c>
      <c r="R2783" t="s">
        <v>155</v>
      </c>
      <c r="S2783">
        <v>33</v>
      </c>
      <c r="T2783" t="s">
        <v>49</v>
      </c>
      <c r="U2783" t="s">
        <v>43</v>
      </c>
      <c r="V2783" s="1">
        <v>45424</v>
      </c>
      <c r="W2783">
        <f>Table1[[#This Row],[customer_purchase count]]+1</f>
        <v>34</v>
      </c>
      <c r="X2783">
        <f>Table1[[#This Row],[customer_purchase count]]*Rules!$B$3</f>
        <v>1972.2238461538464</v>
      </c>
      <c r="Y2783" t="str">
        <f>IF(Table1[[#This Row],[customer_subscription]]=1,"Subscribed","Not Subscribed")</f>
        <v>Not Subscribed</v>
      </c>
    </row>
    <row r="2784" spans="1:26" x14ac:dyDescent="0.25">
      <c r="A2784">
        <v>2783</v>
      </c>
      <c r="B2784">
        <v>41</v>
      </c>
      <c r="C2784" t="s">
        <v>156</v>
      </c>
      <c r="D2784">
        <v>2783</v>
      </c>
      <c r="E2784" t="s">
        <v>146</v>
      </c>
      <c r="F2784" t="s">
        <v>70</v>
      </c>
      <c r="G2784">
        <v>2783</v>
      </c>
      <c r="H2784">
        <v>3538</v>
      </c>
      <c r="I2784">
        <v>34</v>
      </c>
      <c r="J2784" t="s">
        <v>138</v>
      </c>
      <c r="K2784" t="s">
        <v>39</v>
      </c>
      <c r="L2784" t="s">
        <v>112</v>
      </c>
      <c r="M2784" t="s">
        <v>40</v>
      </c>
      <c r="N2784">
        <v>3.8</v>
      </c>
      <c r="O2784">
        <v>0</v>
      </c>
      <c r="P2784" t="s">
        <v>41</v>
      </c>
      <c r="Q2784" t="s">
        <v>155</v>
      </c>
      <c r="R2784" t="s">
        <v>155</v>
      </c>
      <c r="S2784">
        <v>30</v>
      </c>
      <c r="T2784" t="s">
        <v>49</v>
      </c>
      <c r="U2784" t="s">
        <v>52</v>
      </c>
      <c r="V2784" s="1">
        <v>45415</v>
      </c>
      <c r="W2784">
        <f>Table1[[#This Row],[customer_purchase count]]+1</f>
        <v>31</v>
      </c>
      <c r="X2784">
        <f>Table1[[#This Row],[customer_purchase count]]*Rules!$B$3</f>
        <v>1792.9307692307693</v>
      </c>
      <c r="Y2784" t="str">
        <f>IF(Table1[[#This Row],[customer_subscription]]=1,"Subscribed","Not Subscribed")</f>
        <v>Not Subscribed</v>
      </c>
    </row>
    <row r="2785" spans="1:26" x14ac:dyDescent="0.25">
      <c r="A2785">
        <v>2784</v>
      </c>
      <c r="B2785">
        <v>19</v>
      </c>
      <c r="C2785" t="s">
        <v>156</v>
      </c>
      <c r="D2785">
        <v>2784</v>
      </c>
      <c r="E2785" t="s">
        <v>90</v>
      </c>
      <c r="F2785" t="s">
        <v>24</v>
      </c>
      <c r="G2785">
        <v>2784</v>
      </c>
      <c r="H2785">
        <v>3539</v>
      </c>
      <c r="I2785">
        <v>38</v>
      </c>
      <c r="J2785" t="s">
        <v>144</v>
      </c>
      <c r="K2785" t="s">
        <v>47</v>
      </c>
      <c r="L2785" t="s">
        <v>68</v>
      </c>
      <c r="M2785" t="s">
        <v>40</v>
      </c>
      <c r="N2785">
        <v>4.5</v>
      </c>
      <c r="O2785">
        <v>0</v>
      </c>
      <c r="P2785" t="s">
        <v>48</v>
      </c>
      <c r="Q2785" t="s">
        <v>155</v>
      </c>
      <c r="R2785" t="s">
        <v>155</v>
      </c>
      <c r="S2785">
        <v>26</v>
      </c>
      <c r="T2785" t="s">
        <v>42</v>
      </c>
      <c r="U2785" t="s">
        <v>61</v>
      </c>
      <c r="V2785" s="1">
        <v>45393</v>
      </c>
      <c r="W2785">
        <f>Table1[[#This Row],[customer_purchase count]]+1</f>
        <v>27</v>
      </c>
      <c r="X2785">
        <f>Table1[[#This Row],[customer_purchase count]]*Rules!$B$3</f>
        <v>1553.8733333333334</v>
      </c>
      <c r="Y2785" t="str">
        <f>IF(Table1[[#This Row],[customer_subscription]]=1,"Subscribed","Not Subscribed")</f>
        <v>Not Subscribed</v>
      </c>
    </row>
    <row r="2786" spans="1:26" x14ac:dyDescent="0.25">
      <c r="A2786">
        <v>2785</v>
      </c>
      <c r="B2786">
        <v>33</v>
      </c>
      <c r="C2786" t="s">
        <v>156</v>
      </c>
      <c r="D2786">
        <v>2785</v>
      </c>
      <c r="E2786" t="s">
        <v>90</v>
      </c>
      <c r="F2786" t="s">
        <v>24</v>
      </c>
      <c r="G2786">
        <v>2785</v>
      </c>
      <c r="H2786">
        <v>3541</v>
      </c>
      <c r="I2786">
        <v>70</v>
      </c>
      <c r="J2786" t="s">
        <v>138</v>
      </c>
      <c r="K2786" t="s">
        <v>47</v>
      </c>
      <c r="L2786" t="s">
        <v>97</v>
      </c>
      <c r="M2786" t="s">
        <v>28</v>
      </c>
      <c r="N2786">
        <v>3.1</v>
      </c>
      <c r="O2786">
        <v>0</v>
      </c>
      <c r="P2786" t="s">
        <v>29</v>
      </c>
      <c r="Q2786" t="s">
        <v>155</v>
      </c>
      <c r="R2786" t="s">
        <v>155</v>
      </c>
      <c r="S2786">
        <v>12</v>
      </c>
      <c r="T2786" t="s">
        <v>49</v>
      </c>
      <c r="U2786" t="s">
        <v>100</v>
      </c>
      <c r="V2786" s="1">
        <v>45336</v>
      </c>
      <c r="W2786">
        <f>Table1[[#This Row],[customer_purchase count]]+1</f>
        <v>13</v>
      </c>
      <c r="X2786">
        <f>Table1[[#This Row],[customer_purchase count]]*Rules!$B$3</f>
        <v>717.17230769230775</v>
      </c>
      <c r="Y2786" t="str">
        <f>IF(Table1[[#This Row],[customer_subscription]]=1,"Subscribed","Not Subscribed")</f>
        <v>Not Subscribed</v>
      </c>
      <c r="Z2786" t="s">
        <v>194</v>
      </c>
    </row>
    <row r="2787" spans="1:26" x14ac:dyDescent="0.25">
      <c r="A2787">
        <v>2786</v>
      </c>
      <c r="B2787">
        <v>53</v>
      </c>
      <c r="C2787" t="s">
        <v>156</v>
      </c>
      <c r="D2787">
        <v>2786</v>
      </c>
      <c r="E2787" t="s">
        <v>23</v>
      </c>
      <c r="F2787" t="s">
        <v>24</v>
      </c>
      <c r="G2787">
        <v>2786</v>
      </c>
      <c r="H2787">
        <v>3542</v>
      </c>
      <c r="I2787">
        <v>80</v>
      </c>
      <c r="J2787" t="s">
        <v>63</v>
      </c>
      <c r="K2787" t="s">
        <v>39</v>
      </c>
      <c r="L2787" t="s">
        <v>99</v>
      </c>
      <c r="M2787" t="s">
        <v>56</v>
      </c>
      <c r="N2787">
        <v>2.9</v>
      </c>
      <c r="O2787">
        <v>0</v>
      </c>
      <c r="P2787" t="s">
        <v>48</v>
      </c>
      <c r="Q2787" t="s">
        <v>155</v>
      </c>
      <c r="R2787" t="s">
        <v>155</v>
      </c>
      <c r="S2787">
        <v>13</v>
      </c>
      <c r="T2787" t="s">
        <v>78</v>
      </c>
      <c r="U2787" t="s">
        <v>91</v>
      </c>
      <c r="V2787" s="1">
        <v>45447</v>
      </c>
      <c r="W2787">
        <f>Table1[[#This Row],[customer_purchase count]]+1</f>
        <v>14</v>
      </c>
      <c r="X2787">
        <f>Table1[[#This Row],[customer_purchase count]]*Rules!$B$3</f>
        <v>776.93666666666672</v>
      </c>
      <c r="Y2787" t="str">
        <f>IF(Table1[[#This Row],[customer_subscription]]=1,"Subscribed","Not Subscribed")</f>
        <v>Not Subscribed</v>
      </c>
      <c r="Z2787" t="s">
        <v>194</v>
      </c>
    </row>
    <row r="2788" spans="1:26" x14ac:dyDescent="0.25">
      <c r="A2788">
        <v>2787</v>
      </c>
      <c r="B2788">
        <v>54</v>
      </c>
      <c r="C2788" t="s">
        <v>156</v>
      </c>
      <c r="D2788">
        <v>2787</v>
      </c>
      <c r="E2788" t="s">
        <v>69</v>
      </c>
      <c r="F2788" t="s">
        <v>70</v>
      </c>
      <c r="G2788">
        <v>2787</v>
      </c>
      <c r="H2788">
        <v>3543</v>
      </c>
      <c r="I2788">
        <v>51</v>
      </c>
      <c r="J2788" t="s">
        <v>115</v>
      </c>
      <c r="K2788" t="s">
        <v>47</v>
      </c>
      <c r="L2788" t="s">
        <v>86</v>
      </c>
      <c r="M2788" t="s">
        <v>40</v>
      </c>
      <c r="N2788">
        <v>3.8</v>
      </c>
      <c r="O2788">
        <v>0</v>
      </c>
      <c r="P2788" t="s">
        <v>48</v>
      </c>
      <c r="Q2788" t="s">
        <v>155</v>
      </c>
      <c r="R2788" t="s">
        <v>155</v>
      </c>
      <c r="S2788">
        <v>41</v>
      </c>
      <c r="T2788" t="s">
        <v>89</v>
      </c>
      <c r="U2788" t="s">
        <v>100</v>
      </c>
      <c r="V2788" s="1">
        <v>45364</v>
      </c>
      <c r="W2788">
        <f>Table1[[#This Row],[customer_purchase count]]+1</f>
        <v>42</v>
      </c>
      <c r="X2788">
        <f>Table1[[#This Row],[customer_purchase count]]*Rules!$B$3</f>
        <v>2450.3387179487181</v>
      </c>
      <c r="Y2788" t="str">
        <f>IF(Table1[[#This Row],[customer_subscription]]=1,"Subscribed","Not Subscribed")</f>
        <v>Not Subscribed</v>
      </c>
    </row>
    <row r="2789" spans="1:26" x14ac:dyDescent="0.25">
      <c r="A2789">
        <v>2788</v>
      </c>
      <c r="B2789">
        <v>36</v>
      </c>
      <c r="C2789" t="s">
        <v>156</v>
      </c>
      <c r="D2789">
        <v>2788</v>
      </c>
      <c r="E2789" t="s">
        <v>140</v>
      </c>
      <c r="F2789" t="s">
        <v>45</v>
      </c>
      <c r="G2789">
        <v>2788</v>
      </c>
      <c r="H2789">
        <v>3544</v>
      </c>
      <c r="I2789">
        <v>79</v>
      </c>
      <c r="J2789" t="s">
        <v>67</v>
      </c>
      <c r="K2789" t="s">
        <v>95</v>
      </c>
      <c r="L2789" t="s">
        <v>72</v>
      </c>
      <c r="M2789" t="s">
        <v>40</v>
      </c>
      <c r="N2789">
        <v>4.0999999999999996</v>
      </c>
      <c r="O2789">
        <v>0</v>
      </c>
      <c r="P2789" t="s">
        <v>48</v>
      </c>
      <c r="Q2789" t="s">
        <v>155</v>
      </c>
      <c r="R2789" t="s">
        <v>155</v>
      </c>
      <c r="S2789">
        <v>4</v>
      </c>
      <c r="T2789" t="s">
        <v>31</v>
      </c>
      <c r="U2789" t="s">
        <v>32</v>
      </c>
      <c r="V2789" s="1">
        <v>45436</v>
      </c>
      <c r="W2789">
        <f>Table1[[#This Row],[customer_purchase count]]+1</f>
        <v>5</v>
      </c>
      <c r="X2789">
        <f>Table1[[#This Row],[customer_purchase count]]*Rules!$B$3</f>
        <v>239.05743589743591</v>
      </c>
      <c r="Y2789" t="str">
        <f>IF(Table1[[#This Row],[customer_subscription]]=1,"Subscribed","Not Subscribed")</f>
        <v>Not Subscribed</v>
      </c>
      <c r="Z2789" t="s">
        <v>194</v>
      </c>
    </row>
    <row r="2790" spans="1:26" x14ac:dyDescent="0.25">
      <c r="A2790">
        <v>2789</v>
      </c>
      <c r="B2790">
        <v>56</v>
      </c>
      <c r="C2790" t="s">
        <v>156</v>
      </c>
      <c r="D2790">
        <v>2789</v>
      </c>
      <c r="E2790" t="s">
        <v>140</v>
      </c>
      <c r="F2790" t="s">
        <v>45</v>
      </c>
      <c r="G2790">
        <v>2789</v>
      </c>
      <c r="H2790">
        <v>3545</v>
      </c>
      <c r="I2790">
        <v>92</v>
      </c>
      <c r="J2790" t="s">
        <v>46</v>
      </c>
      <c r="K2790" t="s">
        <v>47</v>
      </c>
      <c r="L2790" t="s">
        <v>81</v>
      </c>
      <c r="M2790" t="s">
        <v>56</v>
      </c>
      <c r="N2790">
        <v>3.1</v>
      </c>
      <c r="O2790">
        <v>0</v>
      </c>
      <c r="P2790" t="s">
        <v>41</v>
      </c>
      <c r="Q2790" t="s">
        <v>155</v>
      </c>
      <c r="R2790" t="s">
        <v>155</v>
      </c>
      <c r="S2790">
        <v>2</v>
      </c>
      <c r="T2790" t="s">
        <v>42</v>
      </c>
      <c r="U2790" t="s">
        <v>52</v>
      </c>
      <c r="V2790" s="1">
        <v>45514</v>
      </c>
      <c r="W2790">
        <f>Table1[[#This Row],[customer_purchase count]]+1</f>
        <v>3</v>
      </c>
      <c r="X2790">
        <f>Table1[[#This Row],[customer_purchase count]]*Rules!$B$3</f>
        <v>119.52871794871795</v>
      </c>
      <c r="Y2790" t="str">
        <f>IF(Table1[[#This Row],[customer_subscription]]=1,"Subscribed","Not Subscribed")</f>
        <v>Not Subscribed</v>
      </c>
      <c r="Z2790" t="s">
        <v>194</v>
      </c>
    </row>
    <row r="2791" spans="1:26" x14ac:dyDescent="0.25">
      <c r="A2791">
        <v>2790</v>
      </c>
      <c r="B2791">
        <v>28</v>
      </c>
      <c r="C2791" t="s">
        <v>156</v>
      </c>
      <c r="D2791">
        <v>2790</v>
      </c>
      <c r="E2791" t="s">
        <v>33</v>
      </c>
      <c r="F2791" t="s">
        <v>24</v>
      </c>
      <c r="G2791">
        <v>2790</v>
      </c>
      <c r="H2791">
        <v>3547</v>
      </c>
      <c r="I2791">
        <v>85</v>
      </c>
      <c r="J2791" t="s">
        <v>101</v>
      </c>
      <c r="K2791" t="s">
        <v>26</v>
      </c>
      <c r="L2791" t="s">
        <v>124</v>
      </c>
      <c r="M2791" t="s">
        <v>60</v>
      </c>
      <c r="N2791">
        <v>5</v>
      </c>
      <c r="O2791">
        <v>0</v>
      </c>
      <c r="P2791" t="s">
        <v>29</v>
      </c>
      <c r="Q2791" t="s">
        <v>155</v>
      </c>
      <c r="R2791" t="s">
        <v>155</v>
      </c>
      <c r="S2791">
        <v>28</v>
      </c>
      <c r="T2791" t="s">
        <v>42</v>
      </c>
      <c r="U2791" t="s">
        <v>79</v>
      </c>
      <c r="V2791" s="1">
        <v>45586</v>
      </c>
      <c r="W2791">
        <f>Table1[[#This Row],[customer_purchase count]]+1</f>
        <v>29</v>
      </c>
      <c r="X2791">
        <f>Table1[[#This Row],[customer_purchase count]]*Rules!$B$3</f>
        <v>1673.4020512820514</v>
      </c>
      <c r="Y2791" t="str">
        <f>IF(Table1[[#This Row],[customer_subscription]]=1,"Subscribed","Not Subscribed")</f>
        <v>Not Subscribed</v>
      </c>
    </row>
    <row r="2792" spans="1:26" x14ac:dyDescent="0.25">
      <c r="A2792">
        <v>2791</v>
      </c>
      <c r="B2792">
        <v>34</v>
      </c>
      <c r="C2792" t="s">
        <v>156</v>
      </c>
      <c r="D2792">
        <v>2791</v>
      </c>
      <c r="E2792" t="s">
        <v>128</v>
      </c>
      <c r="F2792" t="s">
        <v>24</v>
      </c>
      <c r="G2792">
        <v>2791</v>
      </c>
      <c r="H2792">
        <v>3548</v>
      </c>
      <c r="I2792">
        <v>63</v>
      </c>
      <c r="J2792" t="s">
        <v>34</v>
      </c>
      <c r="K2792" t="s">
        <v>47</v>
      </c>
      <c r="L2792" t="s">
        <v>97</v>
      </c>
      <c r="M2792" t="s">
        <v>40</v>
      </c>
      <c r="N2792">
        <v>4.5</v>
      </c>
      <c r="O2792">
        <v>0</v>
      </c>
      <c r="P2792" t="s">
        <v>41</v>
      </c>
      <c r="Q2792" t="s">
        <v>155</v>
      </c>
      <c r="R2792" t="s">
        <v>155</v>
      </c>
      <c r="S2792">
        <v>24</v>
      </c>
      <c r="T2792" t="s">
        <v>89</v>
      </c>
      <c r="U2792" t="s">
        <v>52</v>
      </c>
      <c r="V2792" s="1">
        <v>45416</v>
      </c>
      <c r="W2792">
        <f>Table1[[#This Row],[customer_purchase count]]+1</f>
        <v>25</v>
      </c>
      <c r="X2792">
        <f>Table1[[#This Row],[customer_purchase count]]*Rules!$B$3</f>
        <v>1434.3446153846155</v>
      </c>
      <c r="Y2792" t="str">
        <f>IF(Table1[[#This Row],[customer_subscription]]=1,"Subscribed","Not Subscribed")</f>
        <v>Not Subscribed</v>
      </c>
    </row>
    <row r="2793" spans="1:26" x14ac:dyDescent="0.25">
      <c r="A2793">
        <v>2792</v>
      </c>
      <c r="B2793">
        <v>43</v>
      </c>
      <c r="C2793" t="s">
        <v>156</v>
      </c>
      <c r="D2793">
        <v>2792</v>
      </c>
      <c r="E2793" t="s">
        <v>146</v>
      </c>
      <c r="F2793" t="s">
        <v>70</v>
      </c>
      <c r="G2793">
        <v>2792</v>
      </c>
      <c r="H2793">
        <v>3549</v>
      </c>
      <c r="I2793">
        <v>60</v>
      </c>
      <c r="J2793" t="s">
        <v>149</v>
      </c>
      <c r="K2793" t="s">
        <v>47</v>
      </c>
      <c r="L2793" t="s">
        <v>137</v>
      </c>
      <c r="M2793" t="s">
        <v>60</v>
      </c>
      <c r="N2793">
        <v>2.8</v>
      </c>
      <c r="O2793">
        <v>0</v>
      </c>
      <c r="P2793" t="s">
        <v>29</v>
      </c>
      <c r="Q2793" t="s">
        <v>155</v>
      </c>
      <c r="R2793" t="s">
        <v>155</v>
      </c>
      <c r="S2793">
        <v>14</v>
      </c>
      <c r="T2793" t="s">
        <v>31</v>
      </c>
      <c r="U2793" t="s">
        <v>32</v>
      </c>
      <c r="V2793" s="1">
        <v>45562</v>
      </c>
      <c r="W2793">
        <f>Table1[[#This Row],[customer_purchase count]]+1</f>
        <v>15</v>
      </c>
      <c r="X2793">
        <f>Table1[[#This Row],[customer_purchase count]]*Rules!$B$3</f>
        <v>836.70102564102569</v>
      </c>
      <c r="Y2793" t="str">
        <f>IF(Table1[[#This Row],[customer_subscription]]=1,"Subscribed","Not Subscribed")</f>
        <v>Not Subscribed</v>
      </c>
      <c r="Z2793" t="s">
        <v>194</v>
      </c>
    </row>
    <row r="2794" spans="1:26" x14ac:dyDescent="0.25">
      <c r="A2794">
        <v>2793</v>
      </c>
      <c r="B2794">
        <v>54</v>
      </c>
      <c r="C2794" t="s">
        <v>156</v>
      </c>
      <c r="D2794">
        <v>2793</v>
      </c>
      <c r="E2794" t="s">
        <v>62</v>
      </c>
      <c r="F2794" t="s">
        <v>24</v>
      </c>
      <c r="G2794">
        <v>2793</v>
      </c>
      <c r="H2794">
        <v>3550</v>
      </c>
      <c r="I2794">
        <v>44</v>
      </c>
      <c r="J2794" t="s">
        <v>25</v>
      </c>
      <c r="K2794" t="s">
        <v>26</v>
      </c>
      <c r="L2794" t="s">
        <v>86</v>
      </c>
      <c r="M2794" t="s">
        <v>28</v>
      </c>
      <c r="N2794">
        <v>3.2</v>
      </c>
      <c r="O2794">
        <v>0</v>
      </c>
      <c r="P2794" t="s">
        <v>29</v>
      </c>
      <c r="Q2794" t="s">
        <v>155</v>
      </c>
      <c r="R2794" t="s">
        <v>155</v>
      </c>
      <c r="S2794">
        <v>11</v>
      </c>
      <c r="T2794" t="s">
        <v>42</v>
      </c>
      <c r="U2794" t="s">
        <v>43</v>
      </c>
      <c r="V2794" s="1">
        <v>45645</v>
      </c>
      <c r="W2794">
        <f>Table1[[#This Row],[customer_purchase count]]+1</f>
        <v>12</v>
      </c>
      <c r="X2794">
        <f>Table1[[#This Row],[customer_purchase count]]*Rules!$B$3</f>
        <v>657.40794871794878</v>
      </c>
      <c r="Y2794" t="str">
        <f>IF(Table1[[#This Row],[customer_subscription]]=1,"Subscribed","Not Subscribed")</f>
        <v>Not Subscribed</v>
      </c>
      <c r="Z2794" t="s">
        <v>194</v>
      </c>
    </row>
    <row r="2795" spans="1:26" x14ac:dyDescent="0.25">
      <c r="A2795">
        <v>2794</v>
      </c>
      <c r="B2795">
        <v>37</v>
      </c>
      <c r="C2795" t="s">
        <v>156</v>
      </c>
      <c r="D2795">
        <v>2794</v>
      </c>
      <c r="E2795" t="s">
        <v>140</v>
      </c>
      <c r="F2795" t="s">
        <v>45</v>
      </c>
      <c r="G2795">
        <v>2794</v>
      </c>
      <c r="H2795">
        <v>3551</v>
      </c>
      <c r="I2795">
        <v>57</v>
      </c>
      <c r="J2795" t="s">
        <v>38</v>
      </c>
      <c r="K2795" t="s">
        <v>47</v>
      </c>
      <c r="L2795" t="s">
        <v>68</v>
      </c>
      <c r="M2795" t="s">
        <v>40</v>
      </c>
      <c r="N2795">
        <v>3.1</v>
      </c>
      <c r="O2795">
        <v>0</v>
      </c>
      <c r="P2795" t="s">
        <v>57</v>
      </c>
      <c r="Q2795" t="s">
        <v>155</v>
      </c>
      <c r="R2795" t="s">
        <v>155</v>
      </c>
      <c r="S2795">
        <v>27</v>
      </c>
      <c r="T2795" t="s">
        <v>89</v>
      </c>
      <c r="U2795" t="s">
        <v>79</v>
      </c>
      <c r="V2795" s="1">
        <v>45431</v>
      </c>
      <c r="W2795">
        <f>Table1[[#This Row],[customer_purchase count]]+1</f>
        <v>28</v>
      </c>
      <c r="X2795">
        <f>Table1[[#This Row],[customer_purchase count]]*Rules!$B$3</f>
        <v>1613.6376923076923</v>
      </c>
      <c r="Y2795" t="str">
        <f>IF(Table1[[#This Row],[customer_subscription]]=1,"Subscribed","Not Subscribed")</f>
        <v>Not Subscribed</v>
      </c>
    </row>
    <row r="2796" spans="1:26" x14ac:dyDescent="0.25">
      <c r="A2796">
        <v>2795</v>
      </c>
      <c r="B2796">
        <v>33</v>
      </c>
      <c r="C2796" t="s">
        <v>156</v>
      </c>
      <c r="D2796">
        <v>2795</v>
      </c>
      <c r="E2796" t="s">
        <v>105</v>
      </c>
      <c r="F2796" t="s">
        <v>66</v>
      </c>
      <c r="G2796">
        <v>2795</v>
      </c>
      <c r="H2796">
        <v>3553</v>
      </c>
      <c r="I2796">
        <v>24</v>
      </c>
      <c r="J2796" t="s">
        <v>87</v>
      </c>
      <c r="K2796" t="s">
        <v>47</v>
      </c>
      <c r="L2796" t="s">
        <v>83</v>
      </c>
      <c r="M2796" t="s">
        <v>60</v>
      </c>
      <c r="N2796">
        <v>3.3</v>
      </c>
      <c r="O2796">
        <v>0</v>
      </c>
      <c r="P2796" t="s">
        <v>57</v>
      </c>
      <c r="Q2796" t="s">
        <v>155</v>
      </c>
      <c r="R2796" t="s">
        <v>155</v>
      </c>
      <c r="S2796">
        <v>7</v>
      </c>
      <c r="T2796" t="s">
        <v>36</v>
      </c>
      <c r="U2796" t="s">
        <v>32</v>
      </c>
      <c r="V2796" s="1">
        <v>45549</v>
      </c>
      <c r="W2796">
        <f>Table1[[#This Row],[customer_purchase count]]+1</f>
        <v>8</v>
      </c>
      <c r="X2796">
        <f>Table1[[#This Row],[customer_purchase count]]*Rules!$B$3</f>
        <v>418.35051282051285</v>
      </c>
      <c r="Y2796" t="str">
        <f>IF(Table1[[#This Row],[customer_subscription]]=1,"Subscribed","Not Subscribed")</f>
        <v>Not Subscribed</v>
      </c>
      <c r="Z2796" t="s">
        <v>194</v>
      </c>
    </row>
    <row r="2797" spans="1:26" x14ac:dyDescent="0.25">
      <c r="A2797">
        <v>2796</v>
      </c>
      <c r="B2797">
        <v>33</v>
      </c>
      <c r="C2797" t="s">
        <v>156</v>
      </c>
      <c r="D2797">
        <v>2796</v>
      </c>
      <c r="E2797" t="s">
        <v>122</v>
      </c>
      <c r="F2797" t="s">
        <v>70</v>
      </c>
      <c r="G2797">
        <v>2796</v>
      </c>
      <c r="H2797">
        <v>3554</v>
      </c>
      <c r="I2797">
        <v>35</v>
      </c>
      <c r="J2797" t="s">
        <v>148</v>
      </c>
      <c r="K2797" t="s">
        <v>47</v>
      </c>
      <c r="L2797" t="s">
        <v>139</v>
      </c>
      <c r="M2797" t="s">
        <v>28</v>
      </c>
      <c r="N2797">
        <v>3.4</v>
      </c>
      <c r="O2797">
        <v>0</v>
      </c>
      <c r="P2797" t="s">
        <v>77</v>
      </c>
      <c r="Q2797" t="s">
        <v>155</v>
      </c>
      <c r="R2797" t="s">
        <v>155</v>
      </c>
      <c r="S2797">
        <v>49</v>
      </c>
      <c r="T2797" t="s">
        <v>49</v>
      </c>
      <c r="U2797" t="s">
        <v>52</v>
      </c>
      <c r="V2797" s="1">
        <v>45634</v>
      </c>
      <c r="W2797">
        <f>Table1[[#This Row],[customer_purchase count]]+1</f>
        <v>50</v>
      </c>
      <c r="X2797">
        <f>Table1[[#This Row],[customer_purchase count]]*Rules!$B$3</f>
        <v>2928.4535897435899</v>
      </c>
      <c r="Y2797" t="str">
        <f>IF(Table1[[#This Row],[customer_subscription]]=1,"Subscribed","Not Subscribed")</f>
        <v>Not Subscribed</v>
      </c>
    </row>
    <row r="2798" spans="1:26" x14ac:dyDescent="0.25">
      <c r="A2798">
        <v>2797</v>
      </c>
      <c r="B2798">
        <v>55</v>
      </c>
      <c r="C2798" t="s">
        <v>156</v>
      </c>
      <c r="D2798">
        <v>2797</v>
      </c>
      <c r="E2798" t="s">
        <v>105</v>
      </c>
      <c r="F2798" t="s">
        <v>66</v>
      </c>
      <c r="G2798">
        <v>2797</v>
      </c>
      <c r="H2798">
        <v>3555</v>
      </c>
      <c r="I2798">
        <v>73</v>
      </c>
      <c r="J2798" t="s">
        <v>104</v>
      </c>
      <c r="K2798" t="s">
        <v>47</v>
      </c>
      <c r="L2798" t="s">
        <v>111</v>
      </c>
      <c r="M2798" t="s">
        <v>28</v>
      </c>
      <c r="N2798">
        <v>3.8</v>
      </c>
      <c r="O2798">
        <v>0</v>
      </c>
      <c r="P2798" t="s">
        <v>77</v>
      </c>
      <c r="Q2798" t="s">
        <v>155</v>
      </c>
      <c r="R2798" t="s">
        <v>155</v>
      </c>
      <c r="S2798">
        <v>21</v>
      </c>
      <c r="T2798" t="s">
        <v>36</v>
      </c>
      <c r="U2798" t="s">
        <v>52</v>
      </c>
      <c r="V2798" s="1">
        <v>45636</v>
      </c>
      <c r="W2798">
        <f>Table1[[#This Row],[customer_purchase count]]+1</f>
        <v>22</v>
      </c>
      <c r="X2798">
        <f>Table1[[#This Row],[customer_purchase count]]*Rules!$B$3</f>
        <v>1255.0515384615385</v>
      </c>
      <c r="Y2798" t="str">
        <f>IF(Table1[[#This Row],[customer_subscription]]=1,"Subscribed","Not Subscribed")</f>
        <v>Not Subscribed</v>
      </c>
    </row>
    <row r="2799" spans="1:26" x14ac:dyDescent="0.25">
      <c r="A2799">
        <v>2798</v>
      </c>
      <c r="B2799">
        <v>63</v>
      </c>
      <c r="C2799" t="s">
        <v>156</v>
      </c>
      <c r="D2799">
        <v>2798</v>
      </c>
      <c r="E2799" t="s">
        <v>109</v>
      </c>
      <c r="F2799" t="s">
        <v>70</v>
      </c>
      <c r="G2799">
        <v>2798</v>
      </c>
      <c r="H2799">
        <v>3556</v>
      </c>
      <c r="I2799">
        <v>42</v>
      </c>
      <c r="J2799" t="s">
        <v>104</v>
      </c>
      <c r="K2799" t="s">
        <v>47</v>
      </c>
      <c r="L2799" t="s">
        <v>99</v>
      </c>
      <c r="M2799" t="s">
        <v>28</v>
      </c>
      <c r="N2799">
        <v>3.5</v>
      </c>
      <c r="O2799">
        <v>0</v>
      </c>
      <c r="P2799" t="s">
        <v>29</v>
      </c>
      <c r="Q2799" t="s">
        <v>155</v>
      </c>
      <c r="R2799" t="s">
        <v>155</v>
      </c>
      <c r="S2799">
        <v>10</v>
      </c>
      <c r="T2799" t="s">
        <v>31</v>
      </c>
      <c r="U2799" t="s">
        <v>100</v>
      </c>
      <c r="V2799" s="1">
        <v>45649</v>
      </c>
      <c r="W2799">
        <f>Table1[[#This Row],[customer_purchase count]]+1</f>
        <v>11</v>
      </c>
      <c r="X2799">
        <f>Table1[[#This Row],[customer_purchase count]]*Rules!$B$3</f>
        <v>597.64358974358981</v>
      </c>
      <c r="Y2799" t="str">
        <f>IF(Table1[[#This Row],[customer_subscription]]=1,"Subscribed","Not Subscribed")</f>
        <v>Not Subscribed</v>
      </c>
      <c r="Z2799" t="s">
        <v>194</v>
      </c>
    </row>
    <row r="2800" spans="1:26" x14ac:dyDescent="0.25">
      <c r="A2800">
        <v>2799</v>
      </c>
      <c r="B2800">
        <v>52</v>
      </c>
      <c r="C2800" t="s">
        <v>156</v>
      </c>
      <c r="D2800">
        <v>2799</v>
      </c>
      <c r="E2800" t="s">
        <v>107</v>
      </c>
      <c r="F2800" t="s">
        <v>24</v>
      </c>
      <c r="G2800">
        <v>2799</v>
      </c>
      <c r="H2800">
        <v>3557</v>
      </c>
      <c r="I2800">
        <v>20</v>
      </c>
      <c r="J2800" t="s">
        <v>46</v>
      </c>
      <c r="K2800" t="s">
        <v>95</v>
      </c>
      <c r="L2800" t="s">
        <v>111</v>
      </c>
      <c r="M2800" t="s">
        <v>28</v>
      </c>
      <c r="N2800">
        <v>4.8</v>
      </c>
      <c r="O2800">
        <v>0</v>
      </c>
      <c r="P2800" t="s">
        <v>77</v>
      </c>
      <c r="Q2800" t="s">
        <v>155</v>
      </c>
      <c r="R2800" t="s">
        <v>155</v>
      </c>
      <c r="S2800">
        <v>37</v>
      </c>
      <c r="T2800" t="s">
        <v>49</v>
      </c>
      <c r="U2800" t="s">
        <v>43</v>
      </c>
      <c r="V2800" s="1">
        <v>45647</v>
      </c>
      <c r="W2800">
        <f>Table1[[#This Row],[customer_purchase count]]+1</f>
        <v>38</v>
      </c>
      <c r="X2800">
        <f>Table1[[#This Row],[customer_purchase count]]*Rules!$B$3</f>
        <v>2211.2812820512822</v>
      </c>
      <c r="Y2800" t="str">
        <f>IF(Table1[[#This Row],[customer_subscription]]=1,"Subscribed","Not Subscribed")</f>
        <v>Not Subscribed</v>
      </c>
    </row>
    <row r="2801" spans="1:26" x14ac:dyDescent="0.25">
      <c r="A2801">
        <v>2800</v>
      </c>
      <c r="B2801">
        <v>23</v>
      </c>
      <c r="C2801" t="s">
        <v>156</v>
      </c>
      <c r="D2801">
        <v>2800</v>
      </c>
      <c r="E2801" t="s">
        <v>116</v>
      </c>
      <c r="F2801" t="s">
        <v>24</v>
      </c>
      <c r="G2801">
        <v>2800</v>
      </c>
      <c r="H2801">
        <v>3559</v>
      </c>
      <c r="I2801">
        <v>89</v>
      </c>
      <c r="J2801" t="s">
        <v>34</v>
      </c>
      <c r="K2801" t="s">
        <v>26</v>
      </c>
      <c r="L2801" t="s">
        <v>72</v>
      </c>
      <c r="M2801" t="s">
        <v>40</v>
      </c>
      <c r="N2801">
        <v>3.9</v>
      </c>
      <c r="O2801">
        <v>0</v>
      </c>
      <c r="P2801" t="s">
        <v>41</v>
      </c>
      <c r="Q2801" t="s">
        <v>155</v>
      </c>
      <c r="R2801" t="s">
        <v>155</v>
      </c>
      <c r="S2801">
        <v>9</v>
      </c>
      <c r="T2801" t="s">
        <v>78</v>
      </c>
      <c r="U2801" t="s">
        <v>100</v>
      </c>
      <c r="V2801" s="1">
        <v>45361</v>
      </c>
      <c r="W2801">
        <f>Table1[[#This Row],[customer_purchase count]]+1</f>
        <v>10</v>
      </c>
      <c r="X2801">
        <f>Table1[[#This Row],[customer_purchase count]]*Rules!$B$3</f>
        <v>537.87923076923084</v>
      </c>
      <c r="Y2801" t="str">
        <f>IF(Table1[[#This Row],[customer_subscription]]=1,"Subscribed","Not Subscribed")</f>
        <v>Not Subscribed</v>
      </c>
      <c r="Z2801" t="s">
        <v>187</v>
      </c>
    </row>
    <row r="2802" spans="1:26" x14ac:dyDescent="0.25">
      <c r="A2802">
        <v>2801</v>
      </c>
      <c r="B2802">
        <v>70</v>
      </c>
      <c r="C2802" t="s">
        <v>156</v>
      </c>
      <c r="D2802">
        <v>2801</v>
      </c>
      <c r="E2802" t="s">
        <v>58</v>
      </c>
      <c r="F2802" t="s">
        <v>24</v>
      </c>
      <c r="G2802">
        <v>2801</v>
      </c>
      <c r="H2802">
        <v>3560</v>
      </c>
      <c r="I2802">
        <v>76</v>
      </c>
      <c r="J2802" t="s">
        <v>75</v>
      </c>
      <c r="K2802" t="s">
        <v>26</v>
      </c>
      <c r="L2802" t="s">
        <v>86</v>
      </c>
      <c r="M2802" t="s">
        <v>60</v>
      </c>
      <c r="N2802">
        <v>3.4</v>
      </c>
      <c r="O2802">
        <v>0</v>
      </c>
      <c r="P2802" t="s">
        <v>41</v>
      </c>
      <c r="Q2802" t="s">
        <v>155</v>
      </c>
      <c r="R2802" t="s">
        <v>155</v>
      </c>
      <c r="S2802">
        <v>14</v>
      </c>
      <c r="T2802" t="s">
        <v>36</v>
      </c>
      <c r="U2802" t="s">
        <v>79</v>
      </c>
      <c r="V2802" s="1">
        <v>45577</v>
      </c>
      <c r="W2802">
        <f>Table1[[#This Row],[customer_purchase count]]+1</f>
        <v>15</v>
      </c>
      <c r="X2802">
        <f>Table1[[#This Row],[customer_purchase count]]*Rules!$B$3</f>
        <v>836.70102564102569</v>
      </c>
      <c r="Y2802" t="str">
        <f>IF(Table1[[#This Row],[customer_subscription]]=1,"Subscribed","Not Subscribed")</f>
        <v>Not Subscribed</v>
      </c>
      <c r="Z2802" t="s">
        <v>194</v>
      </c>
    </row>
    <row r="2803" spans="1:26" x14ac:dyDescent="0.25">
      <c r="A2803">
        <v>2802</v>
      </c>
      <c r="B2803">
        <v>64</v>
      </c>
      <c r="C2803" t="s">
        <v>156</v>
      </c>
      <c r="D2803">
        <v>2802</v>
      </c>
      <c r="E2803" t="s">
        <v>58</v>
      </c>
      <c r="F2803" t="s">
        <v>24</v>
      </c>
      <c r="G2803">
        <v>2802</v>
      </c>
      <c r="H2803">
        <v>3561</v>
      </c>
      <c r="I2803">
        <v>56</v>
      </c>
      <c r="J2803" t="s">
        <v>133</v>
      </c>
      <c r="K2803" t="s">
        <v>47</v>
      </c>
      <c r="L2803" t="s">
        <v>129</v>
      </c>
      <c r="M2803" t="s">
        <v>28</v>
      </c>
      <c r="N2803">
        <v>2.6</v>
      </c>
      <c r="O2803">
        <v>0</v>
      </c>
      <c r="P2803" t="s">
        <v>29</v>
      </c>
      <c r="Q2803" t="s">
        <v>155</v>
      </c>
      <c r="R2803" t="s">
        <v>155</v>
      </c>
      <c r="S2803">
        <v>30</v>
      </c>
      <c r="T2803" t="s">
        <v>49</v>
      </c>
      <c r="U2803" t="s">
        <v>52</v>
      </c>
      <c r="V2803" s="1">
        <v>45296</v>
      </c>
      <c r="W2803">
        <f>Table1[[#This Row],[customer_purchase count]]+1</f>
        <v>31</v>
      </c>
      <c r="X2803">
        <f>Table1[[#This Row],[customer_purchase count]]*Rules!$B$3</f>
        <v>1792.9307692307693</v>
      </c>
      <c r="Y2803" t="str">
        <f>IF(Table1[[#This Row],[customer_subscription]]=1,"Subscribed","Not Subscribed")</f>
        <v>Not Subscribed</v>
      </c>
    </row>
    <row r="2804" spans="1:26" x14ac:dyDescent="0.25">
      <c r="A2804">
        <v>2803</v>
      </c>
      <c r="B2804">
        <v>22</v>
      </c>
      <c r="C2804" t="s">
        <v>156</v>
      </c>
      <c r="D2804">
        <v>2803</v>
      </c>
      <c r="E2804" t="s">
        <v>65</v>
      </c>
      <c r="F2804" t="s">
        <v>66</v>
      </c>
      <c r="G2804">
        <v>2803</v>
      </c>
      <c r="H2804">
        <v>3562</v>
      </c>
      <c r="I2804">
        <v>100</v>
      </c>
      <c r="J2804" t="s">
        <v>80</v>
      </c>
      <c r="K2804" t="s">
        <v>26</v>
      </c>
      <c r="L2804" t="s">
        <v>111</v>
      </c>
      <c r="M2804" t="s">
        <v>60</v>
      </c>
      <c r="N2804">
        <v>3.1</v>
      </c>
      <c r="O2804">
        <v>0</v>
      </c>
      <c r="P2804" t="s">
        <v>77</v>
      </c>
      <c r="Q2804" t="s">
        <v>155</v>
      </c>
      <c r="R2804" t="s">
        <v>155</v>
      </c>
      <c r="S2804">
        <v>42</v>
      </c>
      <c r="T2804" t="s">
        <v>42</v>
      </c>
      <c r="U2804" t="s">
        <v>32</v>
      </c>
      <c r="V2804" s="1">
        <v>45537</v>
      </c>
      <c r="W2804">
        <f>Table1[[#This Row],[customer_purchase count]]+1</f>
        <v>43</v>
      </c>
      <c r="X2804">
        <f>Table1[[#This Row],[customer_purchase count]]*Rules!$B$3</f>
        <v>2510.103076923077</v>
      </c>
      <c r="Y2804" t="str">
        <f>IF(Table1[[#This Row],[customer_subscription]]=1,"Subscribed","Not Subscribed")</f>
        <v>Not Subscribed</v>
      </c>
    </row>
    <row r="2805" spans="1:26" x14ac:dyDescent="0.25">
      <c r="A2805">
        <v>2804</v>
      </c>
      <c r="B2805">
        <v>46</v>
      </c>
      <c r="C2805" t="s">
        <v>156</v>
      </c>
      <c r="D2805">
        <v>2804</v>
      </c>
      <c r="E2805" t="s">
        <v>116</v>
      </c>
      <c r="F2805" t="s">
        <v>24</v>
      </c>
      <c r="G2805">
        <v>2804</v>
      </c>
      <c r="H2805">
        <v>3563</v>
      </c>
      <c r="I2805">
        <v>44</v>
      </c>
      <c r="J2805" t="s">
        <v>138</v>
      </c>
      <c r="K2805" t="s">
        <v>47</v>
      </c>
      <c r="L2805" t="s">
        <v>86</v>
      </c>
      <c r="M2805" t="s">
        <v>28</v>
      </c>
      <c r="N2805">
        <v>3.3</v>
      </c>
      <c r="O2805">
        <v>0</v>
      </c>
      <c r="P2805" t="s">
        <v>41</v>
      </c>
      <c r="Q2805" t="s">
        <v>155</v>
      </c>
      <c r="R2805" t="s">
        <v>155</v>
      </c>
      <c r="S2805">
        <v>31</v>
      </c>
      <c r="T2805" t="s">
        <v>78</v>
      </c>
      <c r="U2805" t="s">
        <v>91</v>
      </c>
      <c r="V2805" s="1">
        <v>45338</v>
      </c>
      <c r="W2805">
        <f>Table1[[#This Row],[customer_purchase count]]+1</f>
        <v>32</v>
      </c>
      <c r="X2805">
        <f>Table1[[#This Row],[customer_purchase count]]*Rules!$B$3</f>
        <v>1852.6951282051282</v>
      </c>
      <c r="Y2805" t="str">
        <f>IF(Table1[[#This Row],[customer_subscription]]=1,"Subscribed","Not Subscribed")</f>
        <v>Not Subscribed</v>
      </c>
    </row>
    <row r="2806" spans="1:26" x14ac:dyDescent="0.25">
      <c r="A2806">
        <v>2805</v>
      </c>
      <c r="B2806">
        <v>65</v>
      </c>
      <c r="C2806" t="s">
        <v>156</v>
      </c>
      <c r="D2806">
        <v>2805</v>
      </c>
      <c r="E2806" t="s">
        <v>107</v>
      </c>
      <c r="F2806" t="s">
        <v>24</v>
      </c>
      <c r="G2806">
        <v>2805</v>
      </c>
      <c r="H2806">
        <v>3565</v>
      </c>
      <c r="I2806">
        <v>76</v>
      </c>
      <c r="J2806" t="s">
        <v>134</v>
      </c>
      <c r="K2806" t="s">
        <v>47</v>
      </c>
      <c r="L2806" t="s">
        <v>112</v>
      </c>
      <c r="M2806" t="s">
        <v>40</v>
      </c>
      <c r="N2806">
        <v>2.8</v>
      </c>
      <c r="O2806">
        <v>0</v>
      </c>
      <c r="P2806" t="s">
        <v>57</v>
      </c>
      <c r="Q2806" t="s">
        <v>155</v>
      </c>
      <c r="R2806" t="s">
        <v>155</v>
      </c>
      <c r="S2806">
        <v>48</v>
      </c>
      <c r="T2806" t="s">
        <v>78</v>
      </c>
      <c r="U2806" t="s">
        <v>100</v>
      </c>
      <c r="V2806" s="1">
        <v>45371</v>
      </c>
      <c r="W2806">
        <f>Table1[[#This Row],[customer_purchase count]]+1</f>
        <v>49</v>
      </c>
      <c r="X2806">
        <f>Table1[[#This Row],[customer_purchase count]]*Rules!$B$3</f>
        <v>2868.689230769231</v>
      </c>
      <c r="Y2806" t="str">
        <f>IF(Table1[[#This Row],[customer_subscription]]=1,"Subscribed","Not Subscribed")</f>
        <v>Not Subscribed</v>
      </c>
    </row>
    <row r="2807" spans="1:26" x14ac:dyDescent="0.25">
      <c r="A2807">
        <v>2806</v>
      </c>
      <c r="B2807">
        <v>18</v>
      </c>
      <c r="C2807" t="s">
        <v>156</v>
      </c>
      <c r="D2807">
        <v>2806</v>
      </c>
      <c r="E2807" t="s">
        <v>92</v>
      </c>
      <c r="F2807" t="s">
        <v>70</v>
      </c>
      <c r="G2807">
        <v>2806</v>
      </c>
      <c r="H2807">
        <v>3566</v>
      </c>
      <c r="I2807">
        <v>97</v>
      </c>
      <c r="J2807" t="s">
        <v>110</v>
      </c>
      <c r="K2807" t="s">
        <v>39</v>
      </c>
      <c r="L2807" t="s">
        <v>97</v>
      </c>
      <c r="M2807" t="s">
        <v>60</v>
      </c>
      <c r="N2807">
        <v>4.3</v>
      </c>
      <c r="O2807">
        <v>0</v>
      </c>
      <c r="P2807" t="s">
        <v>57</v>
      </c>
      <c r="Q2807" t="s">
        <v>155</v>
      </c>
      <c r="R2807" t="s">
        <v>155</v>
      </c>
      <c r="S2807">
        <v>48</v>
      </c>
      <c r="T2807" t="s">
        <v>36</v>
      </c>
      <c r="U2807" t="s">
        <v>61</v>
      </c>
      <c r="V2807" s="1">
        <v>45572</v>
      </c>
      <c r="W2807">
        <f>Table1[[#This Row],[customer_purchase count]]+1</f>
        <v>49</v>
      </c>
      <c r="X2807">
        <f>Table1[[#This Row],[customer_purchase count]]*Rules!$B$3</f>
        <v>2868.689230769231</v>
      </c>
      <c r="Y2807" t="str">
        <f>IF(Table1[[#This Row],[customer_subscription]]=1,"Subscribed","Not Subscribed")</f>
        <v>Not Subscribed</v>
      </c>
    </row>
    <row r="2808" spans="1:26" x14ac:dyDescent="0.25">
      <c r="A2808">
        <v>2807</v>
      </c>
      <c r="B2808">
        <v>45</v>
      </c>
      <c r="C2808" t="s">
        <v>156</v>
      </c>
      <c r="D2808">
        <v>2807</v>
      </c>
      <c r="E2808" t="s">
        <v>23</v>
      </c>
      <c r="F2808" t="s">
        <v>24</v>
      </c>
      <c r="G2808">
        <v>2807</v>
      </c>
      <c r="H2808">
        <v>3567</v>
      </c>
      <c r="I2808">
        <v>39</v>
      </c>
      <c r="J2808" t="s">
        <v>134</v>
      </c>
      <c r="K2808" t="s">
        <v>26</v>
      </c>
      <c r="L2808" t="s">
        <v>76</v>
      </c>
      <c r="M2808" t="s">
        <v>40</v>
      </c>
      <c r="N2808">
        <v>2.7</v>
      </c>
      <c r="O2808">
        <v>0</v>
      </c>
      <c r="P2808" t="s">
        <v>57</v>
      </c>
      <c r="Q2808" t="s">
        <v>155</v>
      </c>
      <c r="R2808" t="s">
        <v>155</v>
      </c>
      <c r="S2808">
        <v>50</v>
      </c>
      <c r="T2808" t="s">
        <v>42</v>
      </c>
      <c r="U2808" t="s">
        <v>52</v>
      </c>
      <c r="V2808" s="1">
        <v>45439</v>
      </c>
      <c r="W2808">
        <f>Table1[[#This Row],[customer_purchase count]]+1</f>
        <v>51</v>
      </c>
      <c r="X2808">
        <f>Table1[[#This Row],[customer_purchase count]]*Rules!$B$3</f>
        <v>2988.2179487179487</v>
      </c>
      <c r="Y2808" t="str">
        <f>IF(Table1[[#This Row],[customer_subscription]]=1,"Subscribed","Not Subscribed")</f>
        <v>Not Subscribed</v>
      </c>
    </row>
    <row r="2809" spans="1:26" x14ac:dyDescent="0.25">
      <c r="A2809">
        <v>2808</v>
      </c>
      <c r="B2809">
        <v>56</v>
      </c>
      <c r="C2809" t="s">
        <v>156</v>
      </c>
      <c r="D2809">
        <v>2808</v>
      </c>
      <c r="E2809" t="s">
        <v>107</v>
      </c>
      <c r="F2809" t="s">
        <v>24</v>
      </c>
      <c r="G2809">
        <v>2808</v>
      </c>
      <c r="H2809">
        <v>3568</v>
      </c>
      <c r="I2809">
        <v>100</v>
      </c>
      <c r="J2809" t="s">
        <v>131</v>
      </c>
      <c r="K2809" t="s">
        <v>47</v>
      </c>
      <c r="L2809" t="s">
        <v>64</v>
      </c>
      <c r="M2809" t="s">
        <v>40</v>
      </c>
      <c r="N2809">
        <v>4.4000000000000004</v>
      </c>
      <c r="O2809">
        <v>0</v>
      </c>
      <c r="P2809" t="s">
        <v>73</v>
      </c>
      <c r="Q2809" t="s">
        <v>155</v>
      </c>
      <c r="R2809" t="s">
        <v>155</v>
      </c>
      <c r="S2809">
        <v>10</v>
      </c>
      <c r="T2809" t="s">
        <v>89</v>
      </c>
      <c r="U2809" t="s">
        <v>32</v>
      </c>
      <c r="V2809" s="1">
        <v>45415</v>
      </c>
      <c r="W2809">
        <f>Table1[[#This Row],[customer_purchase count]]+1</f>
        <v>11</v>
      </c>
      <c r="X2809">
        <f>Table1[[#This Row],[customer_purchase count]]*Rules!$B$3</f>
        <v>597.64358974358981</v>
      </c>
      <c r="Y2809" t="str">
        <f>IF(Table1[[#This Row],[customer_subscription]]=1,"Subscribed","Not Subscribed")</f>
        <v>Not Subscribed</v>
      </c>
      <c r="Z2809" t="s">
        <v>194</v>
      </c>
    </row>
    <row r="2810" spans="1:26" x14ac:dyDescent="0.25">
      <c r="A2810">
        <v>2809</v>
      </c>
      <c r="B2810">
        <v>49</v>
      </c>
      <c r="C2810" t="s">
        <v>156</v>
      </c>
      <c r="D2810">
        <v>2809</v>
      </c>
      <c r="E2810" t="s">
        <v>90</v>
      </c>
      <c r="F2810" t="s">
        <v>24</v>
      </c>
      <c r="G2810">
        <v>2809</v>
      </c>
      <c r="H2810">
        <v>3569</v>
      </c>
      <c r="I2810">
        <v>62</v>
      </c>
      <c r="J2810" t="s">
        <v>125</v>
      </c>
      <c r="K2810" t="s">
        <v>47</v>
      </c>
      <c r="L2810" t="s">
        <v>121</v>
      </c>
      <c r="M2810" t="s">
        <v>40</v>
      </c>
      <c r="N2810">
        <v>3.9</v>
      </c>
      <c r="O2810">
        <v>0</v>
      </c>
      <c r="P2810" t="s">
        <v>41</v>
      </c>
      <c r="Q2810" t="s">
        <v>155</v>
      </c>
      <c r="R2810" t="s">
        <v>155</v>
      </c>
      <c r="S2810">
        <v>45</v>
      </c>
      <c r="T2810" t="s">
        <v>49</v>
      </c>
      <c r="U2810" t="s">
        <v>100</v>
      </c>
      <c r="V2810" s="1">
        <v>45388</v>
      </c>
      <c r="W2810">
        <f>Table1[[#This Row],[customer_purchase count]]+1</f>
        <v>46</v>
      </c>
      <c r="X2810">
        <f>Table1[[#This Row],[customer_purchase count]]*Rules!$B$3</f>
        <v>2689.396153846154</v>
      </c>
      <c r="Y2810" t="str">
        <f>IF(Table1[[#This Row],[customer_subscription]]=1,"Subscribed","Not Subscribed")</f>
        <v>Not Subscribed</v>
      </c>
    </row>
    <row r="2811" spans="1:26" x14ac:dyDescent="0.25">
      <c r="A2811">
        <v>2810</v>
      </c>
      <c r="B2811">
        <v>66</v>
      </c>
      <c r="C2811" t="s">
        <v>156</v>
      </c>
      <c r="D2811">
        <v>2810</v>
      </c>
      <c r="E2811" t="s">
        <v>62</v>
      </c>
      <c r="F2811" t="s">
        <v>24</v>
      </c>
      <c r="G2811">
        <v>2810</v>
      </c>
      <c r="H2811">
        <v>3571</v>
      </c>
      <c r="I2811">
        <v>98</v>
      </c>
      <c r="J2811" t="s">
        <v>75</v>
      </c>
      <c r="K2811" t="s">
        <v>95</v>
      </c>
      <c r="L2811" t="s">
        <v>88</v>
      </c>
      <c r="M2811" t="s">
        <v>56</v>
      </c>
      <c r="N2811">
        <v>3</v>
      </c>
      <c r="O2811">
        <v>0</v>
      </c>
      <c r="P2811" t="s">
        <v>57</v>
      </c>
      <c r="Q2811" t="s">
        <v>155</v>
      </c>
      <c r="R2811" t="s">
        <v>155</v>
      </c>
      <c r="S2811">
        <v>27</v>
      </c>
      <c r="T2811" t="s">
        <v>89</v>
      </c>
      <c r="U2811" t="s">
        <v>61</v>
      </c>
      <c r="V2811" s="1">
        <v>45477</v>
      </c>
      <c r="W2811">
        <f>Table1[[#This Row],[customer_purchase count]]+1</f>
        <v>28</v>
      </c>
      <c r="X2811">
        <f>Table1[[#This Row],[customer_purchase count]]*Rules!$B$3</f>
        <v>1613.6376923076923</v>
      </c>
      <c r="Y2811" t="str">
        <f>IF(Table1[[#This Row],[customer_subscription]]=1,"Subscribed","Not Subscribed")</f>
        <v>Not Subscribed</v>
      </c>
    </row>
    <row r="2812" spans="1:26" x14ac:dyDescent="0.25">
      <c r="A2812">
        <v>2811</v>
      </c>
      <c r="B2812">
        <v>27</v>
      </c>
      <c r="C2812" t="s">
        <v>156</v>
      </c>
      <c r="D2812">
        <v>2811</v>
      </c>
      <c r="E2812" t="s">
        <v>37</v>
      </c>
      <c r="F2812" t="s">
        <v>24</v>
      </c>
      <c r="G2812">
        <v>2811</v>
      </c>
      <c r="H2812">
        <v>3572</v>
      </c>
      <c r="I2812">
        <v>31</v>
      </c>
      <c r="J2812" t="s">
        <v>120</v>
      </c>
      <c r="K2812" t="s">
        <v>47</v>
      </c>
      <c r="L2812" t="s">
        <v>76</v>
      </c>
      <c r="M2812" t="s">
        <v>56</v>
      </c>
      <c r="N2812">
        <v>4</v>
      </c>
      <c r="O2812">
        <v>0</v>
      </c>
      <c r="P2812" t="s">
        <v>57</v>
      </c>
      <c r="Q2812" t="s">
        <v>155</v>
      </c>
      <c r="R2812" t="s">
        <v>155</v>
      </c>
      <c r="S2812">
        <v>10</v>
      </c>
      <c r="T2812" t="s">
        <v>89</v>
      </c>
      <c r="U2812" t="s">
        <v>32</v>
      </c>
      <c r="V2812" s="1">
        <v>45483</v>
      </c>
      <c r="W2812">
        <f>Table1[[#This Row],[customer_purchase count]]+1</f>
        <v>11</v>
      </c>
      <c r="X2812">
        <f>Table1[[#This Row],[customer_purchase count]]*Rules!$B$3</f>
        <v>597.64358974358981</v>
      </c>
      <c r="Y2812" t="str">
        <f>IF(Table1[[#This Row],[customer_subscription]]=1,"Subscribed","Not Subscribed")</f>
        <v>Not Subscribed</v>
      </c>
      <c r="Z2812" t="s">
        <v>187</v>
      </c>
    </row>
    <row r="2813" spans="1:26" x14ac:dyDescent="0.25">
      <c r="A2813">
        <v>2812</v>
      </c>
      <c r="B2813">
        <v>69</v>
      </c>
      <c r="C2813" t="s">
        <v>156</v>
      </c>
      <c r="D2813">
        <v>2812</v>
      </c>
      <c r="E2813" t="s">
        <v>105</v>
      </c>
      <c r="F2813" t="s">
        <v>66</v>
      </c>
      <c r="G2813">
        <v>2812</v>
      </c>
      <c r="H2813">
        <v>3573</v>
      </c>
      <c r="I2813">
        <v>89</v>
      </c>
      <c r="J2813" t="s">
        <v>126</v>
      </c>
      <c r="K2813" t="s">
        <v>47</v>
      </c>
      <c r="L2813" t="s">
        <v>147</v>
      </c>
      <c r="M2813" t="s">
        <v>60</v>
      </c>
      <c r="N2813">
        <v>3.7</v>
      </c>
      <c r="O2813">
        <v>0</v>
      </c>
      <c r="P2813" t="s">
        <v>77</v>
      </c>
      <c r="Q2813" t="s">
        <v>155</v>
      </c>
      <c r="R2813" t="s">
        <v>155</v>
      </c>
      <c r="S2813">
        <v>19</v>
      </c>
      <c r="T2813" t="s">
        <v>42</v>
      </c>
      <c r="U2813" t="s">
        <v>61</v>
      </c>
      <c r="V2813" s="1">
        <v>45568</v>
      </c>
      <c r="W2813">
        <f>Table1[[#This Row],[customer_purchase count]]+1</f>
        <v>20</v>
      </c>
      <c r="X2813">
        <f>Table1[[#This Row],[customer_purchase count]]*Rules!$B$3</f>
        <v>1135.5228205128205</v>
      </c>
      <c r="Y2813" t="str">
        <f>IF(Table1[[#This Row],[customer_subscription]]=1,"Subscribed","Not Subscribed")</f>
        <v>Not Subscribed</v>
      </c>
    </row>
    <row r="2814" spans="1:26" x14ac:dyDescent="0.25">
      <c r="A2814">
        <v>2813</v>
      </c>
      <c r="B2814">
        <v>66</v>
      </c>
      <c r="C2814" t="s">
        <v>156</v>
      </c>
      <c r="D2814">
        <v>2813</v>
      </c>
      <c r="E2814" t="s">
        <v>107</v>
      </c>
      <c r="F2814" t="s">
        <v>24</v>
      </c>
      <c r="G2814">
        <v>2813</v>
      </c>
      <c r="H2814">
        <v>3574</v>
      </c>
      <c r="I2814">
        <v>91</v>
      </c>
      <c r="J2814" t="s">
        <v>117</v>
      </c>
      <c r="K2814" t="s">
        <v>95</v>
      </c>
      <c r="L2814" t="s">
        <v>139</v>
      </c>
      <c r="M2814" t="s">
        <v>60</v>
      </c>
      <c r="N2814">
        <v>3.8</v>
      </c>
      <c r="O2814">
        <v>0</v>
      </c>
      <c r="P2814" t="s">
        <v>77</v>
      </c>
      <c r="Q2814" t="s">
        <v>155</v>
      </c>
      <c r="R2814" t="s">
        <v>155</v>
      </c>
      <c r="S2814">
        <v>1</v>
      </c>
      <c r="T2814" t="s">
        <v>42</v>
      </c>
      <c r="U2814" t="s">
        <v>100</v>
      </c>
      <c r="V2814" s="1">
        <v>45568</v>
      </c>
      <c r="W2814">
        <f>Table1[[#This Row],[customer_purchase count]]+1</f>
        <v>2</v>
      </c>
      <c r="X2814">
        <f>Table1[[#This Row],[customer_purchase count]]*Rules!$B$3</f>
        <v>59.764358974358977</v>
      </c>
      <c r="Y2814" t="str">
        <f>IF(Table1[[#This Row],[customer_subscription]]=1,"Subscribed","Not Subscribed")</f>
        <v>Not Subscribed</v>
      </c>
      <c r="Z2814" t="s">
        <v>194</v>
      </c>
    </row>
    <row r="2815" spans="1:26" x14ac:dyDescent="0.25">
      <c r="A2815">
        <v>2814</v>
      </c>
      <c r="B2815">
        <v>45</v>
      </c>
      <c r="C2815" t="s">
        <v>156</v>
      </c>
      <c r="D2815">
        <v>2814</v>
      </c>
      <c r="E2815" t="s">
        <v>58</v>
      </c>
      <c r="F2815" t="s">
        <v>24</v>
      </c>
      <c r="G2815">
        <v>2814</v>
      </c>
      <c r="H2815">
        <v>3575</v>
      </c>
      <c r="I2815">
        <v>50</v>
      </c>
      <c r="J2815" t="s">
        <v>132</v>
      </c>
      <c r="K2815" t="s">
        <v>39</v>
      </c>
      <c r="L2815" t="s">
        <v>35</v>
      </c>
      <c r="M2815" t="s">
        <v>56</v>
      </c>
      <c r="N2815">
        <v>3.3</v>
      </c>
      <c r="O2815">
        <v>0</v>
      </c>
      <c r="P2815" t="s">
        <v>73</v>
      </c>
      <c r="Q2815" t="s">
        <v>155</v>
      </c>
      <c r="R2815" t="s">
        <v>155</v>
      </c>
      <c r="S2815">
        <v>39</v>
      </c>
      <c r="T2815" t="s">
        <v>89</v>
      </c>
      <c r="U2815" t="s">
        <v>61</v>
      </c>
      <c r="V2815" s="1">
        <v>45453</v>
      </c>
      <c r="W2815">
        <f>Table1[[#This Row],[customer_purchase count]]+1</f>
        <v>40</v>
      </c>
      <c r="X2815">
        <f>Table1[[#This Row],[customer_purchase count]]*Rules!$B$3</f>
        <v>2330.81</v>
      </c>
      <c r="Y2815" t="str">
        <f>IF(Table1[[#This Row],[customer_subscription]]=1,"Subscribed","Not Subscribed")</f>
        <v>Not Subscribed</v>
      </c>
    </row>
    <row r="2816" spans="1:26" x14ac:dyDescent="0.25">
      <c r="A2816">
        <v>2815</v>
      </c>
      <c r="B2816">
        <v>31</v>
      </c>
      <c r="C2816" t="s">
        <v>156</v>
      </c>
      <c r="D2816">
        <v>2815</v>
      </c>
      <c r="E2816" t="s">
        <v>116</v>
      </c>
      <c r="F2816" t="s">
        <v>24</v>
      </c>
      <c r="G2816">
        <v>2815</v>
      </c>
      <c r="H2816">
        <v>3577</v>
      </c>
      <c r="I2816">
        <v>32</v>
      </c>
      <c r="J2816" t="s">
        <v>151</v>
      </c>
      <c r="K2816" t="s">
        <v>26</v>
      </c>
      <c r="L2816" t="s">
        <v>83</v>
      </c>
      <c r="M2816" t="s">
        <v>28</v>
      </c>
      <c r="N2816">
        <v>3.6</v>
      </c>
      <c r="O2816">
        <v>0</v>
      </c>
      <c r="P2816" t="s">
        <v>57</v>
      </c>
      <c r="Q2816" t="s">
        <v>155</v>
      </c>
      <c r="R2816" t="s">
        <v>155</v>
      </c>
      <c r="S2816">
        <v>14</v>
      </c>
      <c r="T2816" t="s">
        <v>78</v>
      </c>
      <c r="U2816" t="s">
        <v>91</v>
      </c>
      <c r="V2816" s="1">
        <v>45341</v>
      </c>
      <c r="W2816">
        <f>Table1[[#This Row],[customer_purchase count]]+1</f>
        <v>15</v>
      </c>
      <c r="X2816">
        <f>Table1[[#This Row],[customer_purchase count]]*Rules!$B$3</f>
        <v>836.70102564102569</v>
      </c>
      <c r="Y2816" t="str">
        <f>IF(Table1[[#This Row],[customer_subscription]]=1,"Subscribed","Not Subscribed")</f>
        <v>Not Subscribed</v>
      </c>
      <c r="Z2816" t="s">
        <v>194</v>
      </c>
    </row>
    <row r="2817" spans="1:26" x14ac:dyDescent="0.25">
      <c r="A2817">
        <v>2816</v>
      </c>
      <c r="B2817">
        <v>33</v>
      </c>
      <c r="C2817" t="s">
        <v>156</v>
      </c>
      <c r="D2817">
        <v>2816</v>
      </c>
      <c r="E2817" t="s">
        <v>23</v>
      </c>
      <c r="F2817" t="s">
        <v>24</v>
      </c>
      <c r="G2817">
        <v>2816</v>
      </c>
      <c r="H2817">
        <v>3578</v>
      </c>
      <c r="I2817">
        <v>67</v>
      </c>
      <c r="J2817" t="s">
        <v>138</v>
      </c>
      <c r="K2817" t="s">
        <v>26</v>
      </c>
      <c r="L2817" t="s">
        <v>97</v>
      </c>
      <c r="M2817" t="s">
        <v>60</v>
      </c>
      <c r="N2817">
        <v>3.9</v>
      </c>
      <c r="O2817">
        <v>0</v>
      </c>
      <c r="P2817" t="s">
        <v>41</v>
      </c>
      <c r="Q2817" t="s">
        <v>155</v>
      </c>
      <c r="R2817" t="s">
        <v>155</v>
      </c>
      <c r="S2817">
        <v>40</v>
      </c>
      <c r="T2817" t="s">
        <v>31</v>
      </c>
      <c r="U2817" t="s">
        <v>100</v>
      </c>
      <c r="V2817" s="1">
        <v>45549</v>
      </c>
      <c r="W2817">
        <f>Table1[[#This Row],[customer_purchase count]]+1</f>
        <v>41</v>
      </c>
      <c r="X2817">
        <f>Table1[[#This Row],[customer_purchase count]]*Rules!$B$3</f>
        <v>2390.5743589743593</v>
      </c>
      <c r="Y2817" t="str">
        <f>IF(Table1[[#This Row],[customer_subscription]]=1,"Subscribed","Not Subscribed")</f>
        <v>Not Subscribed</v>
      </c>
    </row>
    <row r="2818" spans="1:26" x14ac:dyDescent="0.25">
      <c r="A2818">
        <v>2817</v>
      </c>
      <c r="B2818">
        <v>43</v>
      </c>
      <c r="C2818" t="s">
        <v>156</v>
      </c>
      <c r="D2818">
        <v>2817</v>
      </c>
      <c r="E2818" t="s">
        <v>90</v>
      </c>
      <c r="F2818" t="s">
        <v>24</v>
      </c>
      <c r="G2818">
        <v>2817</v>
      </c>
      <c r="H2818">
        <v>3579</v>
      </c>
      <c r="I2818">
        <v>28</v>
      </c>
      <c r="J2818" t="s">
        <v>131</v>
      </c>
      <c r="K2818" t="s">
        <v>47</v>
      </c>
      <c r="L2818" t="s">
        <v>97</v>
      </c>
      <c r="M2818" t="s">
        <v>40</v>
      </c>
      <c r="N2818">
        <v>3.5</v>
      </c>
      <c r="O2818">
        <v>0</v>
      </c>
      <c r="P2818" t="s">
        <v>41</v>
      </c>
      <c r="Q2818" t="s">
        <v>155</v>
      </c>
      <c r="R2818" t="s">
        <v>155</v>
      </c>
      <c r="S2818">
        <v>45</v>
      </c>
      <c r="T2818" t="s">
        <v>31</v>
      </c>
      <c r="U2818" t="s">
        <v>43</v>
      </c>
      <c r="V2818" s="1">
        <v>45379</v>
      </c>
      <c r="W2818">
        <f>Table1[[#This Row],[customer_purchase count]]+1</f>
        <v>46</v>
      </c>
      <c r="X2818">
        <f>Table1[[#This Row],[customer_purchase count]]*Rules!$B$3</f>
        <v>2689.396153846154</v>
      </c>
      <c r="Y2818" t="str">
        <f>IF(Table1[[#This Row],[customer_subscription]]=1,"Subscribed","Not Subscribed")</f>
        <v>Not Subscribed</v>
      </c>
    </row>
    <row r="2819" spans="1:26" x14ac:dyDescent="0.25">
      <c r="A2819">
        <v>2818</v>
      </c>
      <c r="B2819">
        <v>25</v>
      </c>
      <c r="C2819" t="s">
        <v>156</v>
      </c>
      <c r="D2819">
        <v>2818</v>
      </c>
      <c r="E2819" t="s">
        <v>135</v>
      </c>
      <c r="F2819" t="s">
        <v>70</v>
      </c>
      <c r="G2819">
        <v>2818</v>
      </c>
      <c r="H2819">
        <v>3580</v>
      </c>
      <c r="I2819">
        <v>65</v>
      </c>
      <c r="J2819" t="s">
        <v>134</v>
      </c>
      <c r="K2819" t="s">
        <v>95</v>
      </c>
      <c r="L2819" t="s">
        <v>137</v>
      </c>
      <c r="M2819" t="s">
        <v>28</v>
      </c>
      <c r="N2819">
        <v>3.4</v>
      </c>
      <c r="O2819">
        <v>0</v>
      </c>
      <c r="P2819" t="s">
        <v>57</v>
      </c>
      <c r="Q2819" t="s">
        <v>155</v>
      </c>
      <c r="R2819" t="s">
        <v>155</v>
      </c>
      <c r="S2819">
        <v>6</v>
      </c>
      <c r="T2819" t="s">
        <v>31</v>
      </c>
      <c r="U2819" t="s">
        <v>43</v>
      </c>
      <c r="V2819" s="1">
        <v>45324</v>
      </c>
      <c r="W2819">
        <f>Table1[[#This Row],[customer_purchase count]]+1</f>
        <v>7</v>
      </c>
      <c r="X2819">
        <f>Table1[[#This Row],[customer_purchase count]]*Rules!$B$3</f>
        <v>358.58615384615388</v>
      </c>
      <c r="Y2819" t="str">
        <f>IF(Table1[[#This Row],[customer_subscription]]=1,"Subscribed","Not Subscribed")</f>
        <v>Not Subscribed</v>
      </c>
      <c r="Z2819" t="s">
        <v>194</v>
      </c>
    </row>
    <row r="2820" spans="1:26" x14ac:dyDescent="0.25">
      <c r="A2820">
        <v>2819</v>
      </c>
      <c r="B2820">
        <v>46</v>
      </c>
      <c r="C2820" t="s">
        <v>156</v>
      </c>
      <c r="D2820">
        <v>2819</v>
      </c>
      <c r="E2820" t="s">
        <v>62</v>
      </c>
      <c r="F2820" t="s">
        <v>24</v>
      </c>
      <c r="G2820">
        <v>2819</v>
      </c>
      <c r="H2820">
        <v>3581</v>
      </c>
      <c r="I2820">
        <v>73</v>
      </c>
      <c r="J2820" t="s">
        <v>102</v>
      </c>
      <c r="K2820" t="s">
        <v>47</v>
      </c>
      <c r="L2820" t="s">
        <v>51</v>
      </c>
      <c r="M2820" t="s">
        <v>60</v>
      </c>
      <c r="N2820">
        <v>4.7</v>
      </c>
      <c r="O2820">
        <v>0</v>
      </c>
      <c r="P2820" t="s">
        <v>48</v>
      </c>
      <c r="Q2820" t="s">
        <v>155</v>
      </c>
      <c r="R2820" t="s">
        <v>155</v>
      </c>
      <c r="S2820">
        <v>12</v>
      </c>
      <c r="T2820" t="s">
        <v>89</v>
      </c>
      <c r="U2820" t="s">
        <v>52</v>
      </c>
      <c r="V2820" s="1">
        <v>45579</v>
      </c>
      <c r="W2820">
        <f>Table1[[#This Row],[customer_purchase count]]+1</f>
        <v>13</v>
      </c>
      <c r="X2820">
        <f>Table1[[#This Row],[customer_purchase count]]*Rules!$B$3</f>
        <v>717.17230769230775</v>
      </c>
      <c r="Y2820" t="str">
        <f>IF(Table1[[#This Row],[customer_subscription]]=1,"Subscribed","Not Subscribed")</f>
        <v>Not Subscribed</v>
      </c>
      <c r="Z2820" t="s">
        <v>194</v>
      </c>
    </row>
    <row r="2821" spans="1:26" x14ac:dyDescent="0.25">
      <c r="A2821">
        <v>2820</v>
      </c>
      <c r="B2821">
        <v>67</v>
      </c>
      <c r="C2821" t="s">
        <v>156</v>
      </c>
      <c r="D2821">
        <v>2820</v>
      </c>
      <c r="E2821" t="s">
        <v>58</v>
      </c>
      <c r="F2821" t="s">
        <v>24</v>
      </c>
      <c r="G2821">
        <v>2820</v>
      </c>
      <c r="H2821">
        <v>3583</v>
      </c>
      <c r="I2821">
        <v>27</v>
      </c>
      <c r="J2821" t="s">
        <v>145</v>
      </c>
      <c r="K2821" t="s">
        <v>26</v>
      </c>
      <c r="L2821" t="s">
        <v>96</v>
      </c>
      <c r="M2821" t="s">
        <v>40</v>
      </c>
      <c r="N2821">
        <v>3</v>
      </c>
      <c r="O2821">
        <v>0</v>
      </c>
      <c r="P2821" t="s">
        <v>41</v>
      </c>
      <c r="Q2821" t="s">
        <v>155</v>
      </c>
      <c r="R2821" t="s">
        <v>155</v>
      </c>
      <c r="S2821">
        <v>19</v>
      </c>
      <c r="T2821" t="s">
        <v>36</v>
      </c>
      <c r="U2821" t="s">
        <v>91</v>
      </c>
      <c r="V2821" s="1">
        <v>45374</v>
      </c>
      <c r="W2821">
        <f>Table1[[#This Row],[customer_purchase count]]+1</f>
        <v>20</v>
      </c>
      <c r="X2821">
        <f>Table1[[#This Row],[customer_purchase count]]*Rules!$B$3</f>
        <v>1135.5228205128205</v>
      </c>
      <c r="Y2821" t="str">
        <f>IF(Table1[[#This Row],[customer_subscription]]=1,"Subscribed","Not Subscribed")</f>
        <v>Not Subscribed</v>
      </c>
    </row>
    <row r="2822" spans="1:26" x14ac:dyDescent="0.25">
      <c r="A2822">
        <v>2821</v>
      </c>
      <c r="B2822">
        <v>26</v>
      </c>
      <c r="C2822" t="s">
        <v>156</v>
      </c>
      <c r="D2822">
        <v>2821</v>
      </c>
      <c r="E2822" t="s">
        <v>135</v>
      </c>
      <c r="F2822" t="s">
        <v>70</v>
      </c>
      <c r="G2822">
        <v>2821</v>
      </c>
      <c r="H2822">
        <v>3584</v>
      </c>
      <c r="I2822">
        <v>89</v>
      </c>
      <c r="J2822" t="s">
        <v>132</v>
      </c>
      <c r="K2822" t="s">
        <v>26</v>
      </c>
      <c r="L2822" t="s">
        <v>137</v>
      </c>
      <c r="M2822" t="s">
        <v>56</v>
      </c>
      <c r="N2822">
        <v>3.9</v>
      </c>
      <c r="O2822">
        <v>0</v>
      </c>
      <c r="P2822" t="s">
        <v>41</v>
      </c>
      <c r="Q2822" t="s">
        <v>155</v>
      </c>
      <c r="R2822" t="s">
        <v>155</v>
      </c>
      <c r="S2822">
        <v>5</v>
      </c>
      <c r="T2822" t="s">
        <v>36</v>
      </c>
      <c r="U2822" t="s">
        <v>79</v>
      </c>
      <c r="V2822" s="1">
        <v>45447</v>
      </c>
      <c r="W2822">
        <f>Table1[[#This Row],[customer_purchase count]]+1</f>
        <v>6</v>
      </c>
      <c r="X2822">
        <f>Table1[[#This Row],[customer_purchase count]]*Rules!$B$3</f>
        <v>298.82179487179491</v>
      </c>
      <c r="Y2822" t="str">
        <f>IF(Table1[[#This Row],[customer_subscription]]=1,"Subscribed","Not Subscribed")</f>
        <v>Not Subscribed</v>
      </c>
      <c r="Z2822" t="s">
        <v>194</v>
      </c>
    </row>
    <row r="2823" spans="1:26" x14ac:dyDescent="0.25">
      <c r="A2823">
        <v>2822</v>
      </c>
      <c r="B2823">
        <v>35</v>
      </c>
      <c r="C2823" t="s">
        <v>156</v>
      </c>
      <c r="D2823">
        <v>2822</v>
      </c>
      <c r="E2823" t="s">
        <v>74</v>
      </c>
      <c r="F2823" t="s">
        <v>45</v>
      </c>
      <c r="G2823">
        <v>2822</v>
      </c>
      <c r="H2823">
        <v>3585</v>
      </c>
      <c r="I2823">
        <v>72</v>
      </c>
      <c r="J2823" t="s">
        <v>145</v>
      </c>
      <c r="K2823" t="s">
        <v>26</v>
      </c>
      <c r="L2823" t="s">
        <v>81</v>
      </c>
      <c r="M2823" t="s">
        <v>56</v>
      </c>
      <c r="N2823">
        <v>4.5</v>
      </c>
      <c r="O2823">
        <v>0</v>
      </c>
      <c r="P2823" t="s">
        <v>57</v>
      </c>
      <c r="Q2823" t="s">
        <v>155</v>
      </c>
      <c r="R2823" t="s">
        <v>155</v>
      </c>
      <c r="S2823">
        <v>37</v>
      </c>
      <c r="T2823" t="s">
        <v>31</v>
      </c>
      <c r="U2823" t="s">
        <v>91</v>
      </c>
      <c r="V2823" s="1">
        <v>45452</v>
      </c>
      <c r="W2823">
        <f>Table1[[#This Row],[customer_purchase count]]+1</f>
        <v>38</v>
      </c>
      <c r="X2823">
        <f>Table1[[#This Row],[customer_purchase count]]*Rules!$B$3</f>
        <v>2211.2812820512822</v>
      </c>
      <c r="Y2823" t="str">
        <f>IF(Table1[[#This Row],[customer_subscription]]=1,"Subscribed","Not Subscribed")</f>
        <v>Not Subscribed</v>
      </c>
    </row>
    <row r="2824" spans="1:26" x14ac:dyDescent="0.25">
      <c r="A2824">
        <v>2823</v>
      </c>
      <c r="B2824">
        <v>61</v>
      </c>
      <c r="C2824" t="s">
        <v>156</v>
      </c>
      <c r="D2824">
        <v>2823</v>
      </c>
      <c r="E2824" t="s">
        <v>90</v>
      </c>
      <c r="F2824" t="s">
        <v>24</v>
      </c>
      <c r="G2824">
        <v>2823</v>
      </c>
      <c r="H2824">
        <v>3586</v>
      </c>
      <c r="I2824">
        <v>37</v>
      </c>
      <c r="J2824" t="s">
        <v>130</v>
      </c>
      <c r="K2824" t="s">
        <v>39</v>
      </c>
      <c r="L2824" t="s">
        <v>113</v>
      </c>
      <c r="M2824" t="s">
        <v>60</v>
      </c>
      <c r="N2824">
        <v>4.0999999999999996</v>
      </c>
      <c r="O2824">
        <v>0</v>
      </c>
      <c r="P2824" t="s">
        <v>57</v>
      </c>
      <c r="Q2824" t="s">
        <v>155</v>
      </c>
      <c r="R2824" t="s">
        <v>155</v>
      </c>
      <c r="S2824">
        <v>33</v>
      </c>
      <c r="T2824" t="s">
        <v>49</v>
      </c>
      <c r="U2824" t="s">
        <v>61</v>
      </c>
      <c r="V2824" s="1">
        <v>45599</v>
      </c>
      <c r="W2824">
        <f>Table1[[#This Row],[customer_purchase count]]+1</f>
        <v>34</v>
      </c>
      <c r="X2824">
        <f>Table1[[#This Row],[customer_purchase count]]*Rules!$B$3</f>
        <v>1972.2238461538464</v>
      </c>
      <c r="Y2824" t="str">
        <f>IF(Table1[[#This Row],[customer_subscription]]=1,"Subscribed","Not Subscribed")</f>
        <v>Not Subscribed</v>
      </c>
    </row>
    <row r="2825" spans="1:26" x14ac:dyDescent="0.25">
      <c r="A2825">
        <v>2824</v>
      </c>
      <c r="B2825">
        <v>26</v>
      </c>
      <c r="C2825" t="s">
        <v>156</v>
      </c>
      <c r="D2825">
        <v>2824</v>
      </c>
      <c r="E2825" t="s">
        <v>84</v>
      </c>
      <c r="F2825" t="s">
        <v>24</v>
      </c>
      <c r="G2825">
        <v>2824</v>
      </c>
      <c r="H2825">
        <v>3587</v>
      </c>
      <c r="I2825">
        <v>63</v>
      </c>
      <c r="J2825" t="s">
        <v>143</v>
      </c>
      <c r="K2825" t="s">
        <v>47</v>
      </c>
      <c r="L2825" t="s">
        <v>81</v>
      </c>
      <c r="M2825" t="s">
        <v>56</v>
      </c>
      <c r="N2825">
        <v>4.5</v>
      </c>
      <c r="O2825">
        <v>0</v>
      </c>
      <c r="P2825" t="s">
        <v>57</v>
      </c>
      <c r="Q2825" t="s">
        <v>155</v>
      </c>
      <c r="R2825" t="s">
        <v>155</v>
      </c>
      <c r="S2825">
        <v>47</v>
      </c>
      <c r="T2825" t="s">
        <v>89</v>
      </c>
      <c r="U2825" t="s">
        <v>79</v>
      </c>
      <c r="V2825" s="1">
        <v>45446</v>
      </c>
      <c r="W2825">
        <f>Table1[[#This Row],[customer_purchase count]]+1</f>
        <v>48</v>
      </c>
      <c r="X2825">
        <f>Table1[[#This Row],[customer_purchase count]]*Rules!$B$3</f>
        <v>2808.9248717948717</v>
      </c>
      <c r="Y2825" t="str">
        <f>IF(Table1[[#This Row],[customer_subscription]]=1,"Subscribed","Not Subscribed")</f>
        <v>Not Subscribed</v>
      </c>
    </row>
    <row r="2826" spans="1:26" x14ac:dyDescent="0.25">
      <c r="A2826">
        <v>2825</v>
      </c>
      <c r="B2826">
        <v>39</v>
      </c>
      <c r="C2826" t="s">
        <v>156</v>
      </c>
      <c r="D2826">
        <v>2825</v>
      </c>
      <c r="E2826" t="s">
        <v>127</v>
      </c>
      <c r="F2826" t="s">
        <v>70</v>
      </c>
      <c r="G2826">
        <v>2825</v>
      </c>
      <c r="H2826">
        <v>3589</v>
      </c>
      <c r="I2826">
        <v>90</v>
      </c>
      <c r="J2826" t="s">
        <v>143</v>
      </c>
      <c r="K2826" t="s">
        <v>47</v>
      </c>
      <c r="L2826" t="s">
        <v>76</v>
      </c>
      <c r="M2826" t="s">
        <v>60</v>
      </c>
      <c r="N2826">
        <v>4</v>
      </c>
      <c r="O2826">
        <v>0</v>
      </c>
      <c r="P2826" t="s">
        <v>41</v>
      </c>
      <c r="Q2826" t="s">
        <v>155</v>
      </c>
      <c r="R2826" t="s">
        <v>155</v>
      </c>
      <c r="S2826">
        <v>49</v>
      </c>
      <c r="T2826" t="s">
        <v>89</v>
      </c>
      <c r="U2826" t="s">
        <v>61</v>
      </c>
      <c r="V2826" s="1">
        <v>45579</v>
      </c>
      <c r="W2826">
        <f>Table1[[#This Row],[customer_purchase count]]+1</f>
        <v>50</v>
      </c>
      <c r="X2826">
        <f>Table1[[#This Row],[customer_purchase count]]*Rules!$B$3</f>
        <v>2928.4535897435899</v>
      </c>
      <c r="Y2826" t="str">
        <f>IF(Table1[[#This Row],[customer_subscription]]=1,"Subscribed","Not Subscribed")</f>
        <v>Not Subscribed</v>
      </c>
    </row>
    <row r="2827" spans="1:26" x14ac:dyDescent="0.25">
      <c r="A2827">
        <v>2826</v>
      </c>
      <c r="B2827">
        <v>69</v>
      </c>
      <c r="C2827" t="s">
        <v>156</v>
      </c>
      <c r="D2827">
        <v>2826</v>
      </c>
      <c r="E2827" t="s">
        <v>69</v>
      </c>
      <c r="F2827" t="s">
        <v>70</v>
      </c>
      <c r="G2827">
        <v>2826</v>
      </c>
      <c r="H2827">
        <v>3590</v>
      </c>
      <c r="I2827">
        <v>62</v>
      </c>
      <c r="J2827" t="s">
        <v>101</v>
      </c>
      <c r="K2827" t="s">
        <v>47</v>
      </c>
      <c r="L2827" t="s">
        <v>137</v>
      </c>
      <c r="M2827" t="s">
        <v>28</v>
      </c>
      <c r="N2827">
        <v>4.3</v>
      </c>
      <c r="O2827">
        <v>0</v>
      </c>
      <c r="P2827" t="s">
        <v>73</v>
      </c>
      <c r="Q2827" t="s">
        <v>155</v>
      </c>
      <c r="R2827" t="s">
        <v>155</v>
      </c>
      <c r="S2827">
        <v>28</v>
      </c>
      <c r="T2827" t="s">
        <v>78</v>
      </c>
      <c r="U2827" t="s">
        <v>52</v>
      </c>
      <c r="V2827" s="1">
        <v>45308</v>
      </c>
      <c r="W2827">
        <f>Table1[[#This Row],[customer_purchase count]]+1</f>
        <v>29</v>
      </c>
      <c r="X2827">
        <f>Table1[[#This Row],[customer_purchase count]]*Rules!$B$3</f>
        <v>1673.4020512820514</v>
      </c>
      <c r="Y2827" t="str">
        <f>IF(Table1[[#This Row],[customer_subscription]]=1,"Subscribed","Not Subscribed")</f>
        <v>Not Subscribed</v>
      </c>
    </row>
    <row r="2828" spans="1:26" x14ac:dyDescent="0.25">
      <c r="A2828">
        <v>2827</v>
      </c>
      <c r="B2828">
        <v>32</v>
      </c>
      <c r="C2828" t="s">
        <v>156</v>
      </c>
      <c r="D2828">
        <v>2827</v>
      </c>
      <c r="E2828" t="s">
        <v>69</v>
      </c>
      <c r="F2828" t="s">
        <v>70</v>
      </c>
      <c r="G2828">
        <v>2827</v>
      </c>
      <c r="H2828">
        <v>3591</v>
      </c>
      <c r="I2828">
        <v>43</v>
      </c>
      <c r="J2828" t="s">
        <v>106</v>
      </c>
      <c r="K2828" t="s">
        <v>26</v>
      </c>
      <c r="L2828" t="s">
        <v>113</v>
      </c>
      <c r="M2828" t="s">
        <v>60</v>
      </c>
      <c r="N2828">
        <v>3.6</v>
      </c>
      <c r="O2828">
        <v>0</v>
      </c>
      <c r="P2828" t="s">
        <v>29</v>
      </c>
      <c r="Q2828" t="s">
        <v>155</v>
      </c>
      <c r="R2828" t="s">
        <v>155</v>
      </c>
      <c r="S2828">
        <v>23</v>
      </c>
      <c r="T2828" t="s">
        <v>31</v>
      </c>
      <c r="U2828" t="s">
        <v>52</v>
      </c>
      <c r="V2828" s="1">
        <v>45606</v>
      </c>
      <c r="W2828">
        <f>Table1[[#This Row],[customer_purchase count]]+1</f>
        <v>24</v>
      </c>
      <c r="X2828">
        <f>Table1[[#This Row],[customer_purchase count]]*Rules!$B$3</f>
        <v>1374.5802564102564</v>
      </c>
      <c r="Y2828" t="str">
        <f>IF(Table1[[#This Row],[customer_subscription]]=1,"Subscribed","Not Subscribed")</f>
        <v>Not Subscribed</v>
      </c>
    </row>
    <row r="2829" spans="1:26" x14ac:dyDescent="0.25">
      <c r="A2829">
        <v>2828</v>
      </c>
      <c r="B2829">
        <v>20</v>
      </c>
      <c r="C2829" t="s">
        <v>156</v>
      </c>
      <c r="D2829">
        <v>2828</v>
      </c>
      <c r="E2829" t="s">
        <v>23</v>
      </c>
      <c r="F2829" t="s">
        <v>24</v>
      </c>
      <c r="G2829">
        <v>2828</v>
      </c>
      <c r="H2829">
        <v>3592</v>
      </c>
      <c r="I2829">
        <v>96</v>
      </c>
      <c r="J2829" t="s">
        <v>153</v>
      </c>
      <c r="K2829" t="s">
        <v>47</v>
      </c>
      <c r="L2829" t="s">
        <v>139</v>
      </c>
      <c r="M2829" t="s">
        <v>60</v>
      </c>
      <c r="N2829">
        <v>3.1</v>
      </c>
      <c r="O2829">
        <v>0</v>
      </c>
      <c r="P2829" t="s">
        <v>48</v>
      </c>
      <c r="Q2829" t="s">
        <v>155</v>
      </c>
      <c r="R2829" t="s">
        <v>155</v>
      </c>
      <c r="S2829">
        <v>11</v>
      </c>
      <c r="T2829" t="s">
        <v>78</v>
      </c>
      <c r="U2829" t="s">
        <v>79</v>
      </c>
      <c r="V2829" s="1">
        <v>45616</v>
      </c>
      <c r="W2829">
        <f>Table1[[#This Row],[customer_purchase count]]+1</f>
        <v>12</v>
      </c>
      <c r="X2829">
        <f>Table1[[#This Row],[customer_purchase count]]*Rules!$B$3</f>
        <v>657.40794871794878</v>
      </c>
      <c r="Y2829" t="str">
        <f>IF(Table1[[#This Row],[customer_subscription]]=1,"Subscribed","Not Subscribed")</f>
        <v>Not Subscribed</v>
      </c>
      <c r="Z2829" t="s">
        <v>187</v>
      </c>
    </row>
    <row r="2830" spans="1:26" x14ac:dyDescent="0.25">
      <c r="A2830">
        <v>2829</v>
      </c>
      <c r="B2830">
        <v>25</v>
      </c>
      <c r="C2830" t="s">
        <v>156</v>
      </c>
      <c r="D2830">
        <v>2829</v>
      </c>
      <c r="E2830" t="s">
        <v>122</v>
      </c>
      <c r="F2830" t="s">
        <v>70</v>
      </c>
      <c r="G2830">
        <v>2829</v>
      </c>
      <c r="H2830">
        <v>3593</v>
      </c>
      <c r="I2830">
        <v>83</v>
      </c>
      <c r="J2830" t="s">
        <v>125</v>
      </c>
      <c r="K2830" t="s">
        <v>26</v>
      </c>
      <c r="L2830" t="s">
        <v>96</v>
      </c>
      <c r="M2830" t="s">
        <v>60</v>
      </c>
      <c r="N2830">
        <v>2.6</v>
      </c>
      <c r="O2830">
        <v>0</v>
      </c>
      <c r="P2830" t="s">
        <v>57</v>
      </c>
      <c r="Q2830" t="s">
        <v>155</v>
      </c>
      <c r="R2830" t="s">
        <v>155</v>
      </c>
      <c r="S2830">
        <v>33</v>
      </c>
      <c r="T2830" t="s">
        <v>49</v>
      </c>
      <c r="U2830" t="s">
        <v>61</v>
      </c>
      <c r="V2830" s="1">
        <v>45548</v>
      </c>
      <c r="W2830">
        <f>Table1[[#This Row],[customer_purchase count]]+1</f>
        <v>34</v>
      </c>
      <c r="X2830">
        <f>Table1[[#This Row],[customer_purchase count]]*Rules!$B$3</f>
        <v>1972.2238461538464</v>
      </c>
      <c r="Y2830" t="str">
        <f>IF(Table1[[#This Row],[customer_subscription]]=1,"Subscribed","Not Subscribed")</f>
        <v>Not Subscribed</v>
      </c>
    </row>
    <row r="2831" spans="1:26" x14ac:dyDescent="0.25">
      <c r="A2831">
        <v>2830</v>
      </c>
      <c r="B2831">
        <v>56</v>
      </c>
      <c r="C2831" t="s">
        <v>156</v>
      </c>
      <c r="D2831">
        <v>2830</v>
      </c>
      <c r="E2831" t="s">
        <v>109</v>
      </c>
      <c r="F2831" t="s">
        <v>70</v>
      </c>
      <c r="G2831">
        <v>2830</v>
      </c>
      <c r="H2831">
        <v>3595</v>
      </c>
      <c r="I2831">
        <v>67</v>
      </c>
      <c r="J2831" t="s">
        <v>120</v>
      </c>
      <c r="K2831" t="s">
        <v>95</v>
      </c>
      <c r="L2831" t="s">
        <v>88</v>
      </c>
      <c r="M2831" t="s">
        <v>60</v>
      </c>
      <c r="N2831">
        <v>3.4</v>
      </c>
      <c r="O2831">
        <v>0</v>
      </c>
      <c r="P2831" t="s">
        <v>48</v>
      </c>
      <c r="Q2831" t="s">
        <v>155</v>
      </c>
      <c r="R2831" t="s">
        <v>155</v>
      </c>
      <c r="S2831">
        <v>47</v>
      </c>
      <c r="T2831" t="s">
        <v>36</v>
      </c>
      <c r="U2831" t="s">
        <v>43</v>
      </c>
      <c r="V2831" s="1">
        <v>45592</v>
      </c>
      <c r="W2831">
        <f>Table1[[#This Row],[customer_purchase count]]+1</f>
        <v>48</v>
      </c>
      <c r="X2831">
        <f>Table1[[#This Row],[customer_purchase count]]*Rules!$B$3</f>
        <v>2808.9248717948717</v>
      </c>
      <c r="Y2831" t="str">
        <f>IF(Table1[[#This Row],[customer_subscription]]=1,"Subscribed","Not Subscribed")</f>
        <v>Not Subscribed</v>
      </c>
    </row>
    <row r="2832" spans="1:26" x14ac:dyDescent="0.25">
      <c r="A2832">
        <v>2831</v>
      </c>
      <c r="B2832">
        <v>63</v>
      </c>
      <c r="C2832" t="s">
        <v>156</v>
      </c>
      <c r="D2832">
        <v>2831</v>
      </c>
      <c r="E2832" t="s">
        <v>90</v>
      </c>
      <c r="F2832" t="s">
        <v>24</v>
      </c>
      <c r="G2832">
        <v>2831</v>
      </c>
      <c r="H2832">
        <v>3596</v>
      </c>
      <c r="I2832">
        <v>90</v>
      </c>
      <c r="J2832" t="s">
        <v>50</v>
      </c>
      <c r="K2832" t="s">
        <v>26</v>
      </c>
      <c r="L2832" t="s">
        <v>112</v>
      </c>
      <c r="M2832" t="s">
        <v>40</v>
      </c>
      <c r="N2832">
        <v>2.9</v>
      </c>
      <c r="O2832">
        <v>0</v>
      </c>
      <c r="P2832" t="s">
        <v>77</v>
      </c>
      <c r="Q2832" t="s">
        <v>155</v>
      </c>
      <c r="R2832" t="s">
        <v>155</v>
      </c>
      <c r="S2832">
        <v>13</v>
      </c>
      <c r="T2832" t="s">
        <v>31</v>
      </c>
      <c r="U2832" t="s">
        <v>100</v>
      </c>
      <c r="V2832" s="1">
        <v>45396</v>
      </c>
      <c r="W2832">
        <f>Table1[[#This Row],[customer_purchase count]]+1</f>
        <v>14</v>
      </c>
      <c r="X2832">
        <f>Table1[[#This Row],[customer_purchase count]]*Rules!$B$3</f>
        <v>776.93666666666672</v>
      </c>
      <c r="Y2832" t="str">
        <f>IF(Table1[[#This Row],[customer_subscription]]=1,"Subscribed","Not Subscribed")</f>
        <v>Not Subscribed</v>
      </c>
      <c r="Z2832" t="s">
        <v>194</v>
      </c>
    </row>
    <row r="2833" spans="1:26" x14ac:dyDescent="0.25">
      <c r="A2833">
        <v>2832</v>
      </c>
      <c r="B2833">
        <v>34</v>
      </c>
      <c r="C2833" t="s">
        <v>156</v>
      </c>
      <c r="D2833">
        <v>2832</v>
      </c>
      <c r="E2833" t="s">
        <v>107</v>
      </c>
      <c r="F2833" t="s">
        <v>24</v>
      </c>
      <c r="G2833">
        <v>2832</v>
      </c>
      <c r="H2833">
        <v>3597</v>
      </c>
      <c r="I2833">
        <v>53</v>
      </c>
      <c r="J2833" t="s">
        <v>144</v>
      </c>
      <c r="K2833" t="s">
        <v>26</v>
      </c>
      <c r="L2833" t="s">
        <v>72</v>
      </c>
      <c r="M2833" t="s">
        <v>28</v>
      </c>
      <c r="N2833">
        <v>5</v>
      </c>
      <c r="O2833">
        <v>0</v>
      </c>
      <c r="P2833" t="s">
        <v>29</v>
      </c>
      <c r="Q2833" t="s">
        <v>155</v>
      </c>
      <c r="R2833" t="s">
        <v>155</v>
      </c>
      <c r="S2833">
        <v>4</v>
      </c>
      <c r="T2833" t="s">
        <v>42</v>
      </c>
      <c r="U2833" t="s">
        <v>43</v>
      </c>
      <c r="V2833" s="1">
        <v>45302</v>
      </c>
      <c r="W2833">
        <f>Table1[[#This Row],[customer_purchase count]]+1</f>
        <v>5</v>
      </c>
      <c r="X2833">
        <f>Table1[[#This Row],[customer_purchase count]]*Rules!$B$3</f>
        <v>239.05743589743591</v>
      </c>
      <c r="Y2833" t="str">
        <f>IF(Table1[[#This Row],[customer_subscription]]=1,"Subscribed","Not Subscribed")</f>
        <v>Not Subscribed</v>
      </c>
      <c r="Z2833" t="s">
        <v>194</v>
      </c>
    </row>
    <row r="2834" spans="1:26" x14ac:dyDescent="0.25">
      <c r="A2834">
        <v>2833</v>
      </c>
      <c r="B2834">
        <v>29</v>
      </c>
      <c r="C2834" t="s">
        <v>156</v>
      </c>
      <c r="D2834">
        <v>2833</v>
      </c>
      <c r="E2834" t="s">
        <v>122</v>
      </c>
      <c r="F2834" t="s">
        <v>70</v>
      </c>
      <c r="G2834">
        <v>2833</v>
      </c>
      <c r="H2834">
        <v>3598</v>
      </c>
      <c r="I2834">
        <v>37</v>
      </c>
      <c r="J2834" t="s">
        <v>131</v>
      </c>
      <c r="K2834" t="s">
        <v>47</v>
      </c>
      <c r="L2834" t="s">
        <v>139</v>
      </c>
      <c r="M2834" t="s">
        <v>56</v>
      </c>
      <c r="N2834">
        <v>4.5999999999999996</v>
      </c>
      <c r="O2834">
        <v>0</v>
      </c>
      <c r="P2834" t="s">
        <v>57</v>
      </c>
      <c r="Q2834" t="s">
        <v>155</v>
      </c>
      <c r="R2834" t="s">
        <v>155</v>
      </c>
      <c r="S2834">
        <v>40</v>
      </c>
      <c r="T2834" t="s">
        <v>49</v>
      </c>
      <c r="U2834" t="s">
        <v>61</v>
      </c>
      <c r="V2834" s="1">
        <v>45515</v>
      </c>
      <c r="W2834">
        <f>Table1[[#This Row],[customer_purchase count]]+1</f>
        <v>41</v>
      </c>
      <c r="X2834">
        <f>Table1[[#This Row],[customer_purchase count]]*Rules!$B$3</f>
        <v>2390.5743589743593</v>
      </c>
      <c r="Y2834" t="str">
        <f>IF(Table1[[#This Row],[customer_subscription]]=1,"Subscribed","Not Subscribed")</f>
        <v>Not Subscribed</v>
      </c>
    </row>
    <row r="2835" spans="1:26" x14ac:dyDescent="0.25">
      <c r="A2835">
        <v>2834</v>
      </c>
      <c r="B2835">
        <v>43</v>
      </c>
      <c r="C2835" t="s">
        <v>156</v>
      </c>
      <c r="D2835">
        <v>2834</v>
      </c>
      <c r="E2835" t="s">
        <v>37</v>
      </c>
      <c r="F2835" t="s">
        <v>24</v>
      </c>
      <c r="G2835">
        <v>2834</v>
      </c>
      <c r="H2835">
        <v>3599</v>
      </c>
      <c r="I2835">
        <v>56</v>
      </c>
      <c r="J2835" t="s">
        <v>75</v>
      </c>
      <c r="K2835" t="s">
        <v>47</v>
      </c>
      <c r="L2835" t="s">
        <v>88</v>
      </c>
      <c r="M2835" t="s">
        <v>60</v>
      </c>
      <c r="N2835">
        <v>3.3</v>
      </c>
      <c r="O2835">
        <v>0</v>
      </c>
      <c r="P2835" t="s">
        <v>41</v>
      </c>
      <c r="Q2835" t="s">
        <v>155</v>
      </c>
      <c r="R2835" t="s">
        <v>155</v>
      </c>
      <c r="S2835">
        <v>19</v>
      </c>
      <c r="T2835" t="s">
        <v>36</v>
      </c>
      <c r="U2835" t="s">
        <v>91</v>
      </c>
      <c r="V2835" s="1">
        <v>45572</v>
      </c>
      <c r="W2835">
        <f>Table1[[#This Row],[customer_purchase count]]+1</f>
        <v>20</v>
      </c>
      <c r="X2835">
        <f>Table1[[#This Row],[customer_purchase count]]*Rules!$B$3</f>
        <v>1135.5228205128205</v>
      </c>
      <c r="Y2835" t="str">
        <f>IF(Table1[[#This Row],[customer_subscription]]=1,"Subscribed","Not Subscribed")</f>
        <v>Not Subscribed</v>
      </c>
    </row>
    <row r="2836" spans="1:26" x14ac:dyDescent="0.25">
      <c r="A2836">
        <v>2835</v>
      </c>
      <c r="B2836">
        <v>39</v>
      </c>
      <c r="C2836" t="s">
        <v>156</v>
      </c>
      <c r="D2836">
        <v>2835</v>
      </c>
      <c r="E2836" t="s">
        <v>105</v>
      </c>
      <c r="F2836" t="s">
        <v>66</v>
      </c>
      <c r="G2836">
        <v>2835</v>
      </c>
      <c r="H2836">
        <v>3601</v>
      </c>
      <c r="I2836">
        <v>43</v>
      </c>
      <c r="J2836" t="s">
        <v>108</v>
      </c>
      <c r="K2836" t="s">
        <v>47</v>
      </c>
      <c r="L2836" t="s">
        <v>129</v>
      </c>
      <c r="M2836" t="s">
        <v>60</v>
      </c>
      <c r="N2836">
        <v>2.9</v>
      </c>
      <c r="O2836">
        <v>0</v>
      </c>
      <c r="P2836" t="s">
        <v>73</v>
      </c>
      <c r="Q2836" t="s">
        <v>155</v>
      </c>
      <c r="R2836" t="s">
        <v>155</v>
      </c>
      <c r="S2836">
        <v>17</v>
      </c>
      <c r="T2836" t="s">
        <v>42</v>
      </c>
      <c r="U2836" t="s">
        <v>43</v>
      </c>
      <c r="V2836" s="1">
        <v>45561</v>
      </c>
      <c r="W2836">
        <f>Table1[[#This Row],[customer_purchase count]]+1</f>
        <v>18</v>
      </c>
      <c r="X2836">
        <f>Table1[[#This Row],[customer_purchase count]]*Rules!$B$3</f>
        <v>1015.9941025641026</v>
      </c>
      <c r="Y2836" t="str">
        <f>IF(Table1[[#This Row],[customer_subscription]]=1,"Subscribed","Not Subscribed")</f>
        <v>Not Subscribed</v>
      </c>
      <c r="Z2836" t="s">
        <v>194</v>
      </c>
    </row>
    <row r="2837" spans="1:26" x14ac:dyDescent="0.25">
      <c r="A2837">
        <v>2836</v>
      </c>
      <c r="B2837">
        <v>33</v>
      </c>
      <c r="C2837" t="s">
        <v>156</v>
      </c>
      <c r="D2837">
        <v>2836</v>
      </c>
      <c r="E2837" t="s">
        <v>116</v>
      </c>
      <c r="F2837" t="s">
        <v>24</v>
      </c>
      <c r="G2837">
        <v>2836</v>
      </c>
      <c r="H2837">
        <v>3602</v>
      </c>
      <c r="I2837">
        <v>84</v>
      </c>
      <c r="J2837" t="s">
        <v>132</v>
      </c>
      <c r="K2837" t="s">
        <v>39</v>
      </c>
      <c r="L2837" t="s">
        <v>72</v>
      </c>
      <c r="M2837" t="s">
        <v>28</v>
      </c>
      <c r="N2837">
        <v>4.9000000000000004</v>
      </c>
      <c r="O2837">
        <v>0</v>
      </c>
      <c r="P2837" t="s">
        <v>41</v>
      </c>
      <c r="Q2837" t="s">
        <v>155</v>
      </c>
      <c r="R2837" t="s">
        <v>155</v>
      </c>
      <c r="S2837">
        <v>7</v>
      </c>
      <c r="T2837" t="s">
        <v>31</v>
      </c>
      <c r="U2837" t="s">
        <v>52</v>
      </c>
      <c r="V2837" s="1">
        <v>45632</v>
      </c>
      <c r="W2837">
        <f>Table1[[#This Row],[customer_purchase count]]+1</f>
        <v>8</v>
      </c>
      <c r="X2837">
        <f>Table1[[#This Row],[customer_purchase count]]*Rules!$B$3</f>
        <v>418.35051282051285</v>
      </c>
      <c r="Y2837" t="str">
        <f>IF(Table1[[#This Row],[customer_subscription]]=1,"Subscribed","Not Subscribed")</f>
        <v>Not Subscribed</v>
      </c>
      <c r="Z2837" t="s">
        <v>194</v>
      </c>
    </row>
    <row r="2838" spans="1:26" x14ac:dyDescent="0.25">
      <c r="A2838">
        <v>2837</v>
      </c>
      <c r="B2838">
        <v>51</v>
      </c>
      <c r="C2838" t="s">
        <v>156</v>
      </c>
      <c r="D2838">
        <v>2837</v>
      </c>
      <c r="E2838" t="s">
        <v>98</v>
      </c>
      <c r="F2838" t="s">
        <v>24</v>
      </c>
      <c r="G2838">
        <v>2837</v>
      </c>
      <c r="H2838">
        <v>3603</v>
      </c>
      <c r="I2838">
        <v>50</v>
      </c>
      <c r="J2838" t="s">
        <v>54</v>
      </c>
      <c r="K2838" t="s">
        <v>47</v>
      </c>
      <c r="L2838" t="s">
        <v>64</v>
      </c>
      <c r="M2838" t="s">
        <v>28</v>
      </c>
      <c r="N2838">
        <v>5</v>
      </c>
      <c r="O2838">
        <v>0</v>
      </c>
      <c r="P2838" t="s">
        <v>73</v>
      </c>
      <c r="Q2838" t="s">
        <v>155</v>
      </c>
      <c r="R2838" t="s">
        <v>155</v>
      </c>
      <c r="S2838">
        <v>21</v>
      </c>
      <c r="T2838" t="s">
        <v>36</v>
      </c>
      <c r="U2838" t="s">
        <v>79</v>
      </c>
      <c r="V2838" s="1">
        <v>45304</v>
      </c>
      <c r="W2838">
        <f>Table1[[#This Row],[customer_purchase count]]+1</f>
        <v>22</v>
      </c>
      <c r="X2838">
        <f>Table1[[#This Row],[customer_purchase count]]*Rules!$B$3</f>
        <v>1255.0515384615385</v>
      </c>
      <c r="Y2838" t="str">
        <f>IF(Table1[[#This Row],[customer_subscription]]=1,"Subscribed","Not Subscribed")</f>
        <v>Not Subscribed</v>
      </c>
    </row>
    <row r="2839" spans="1:26" x14ac:dyDescent="0.25">
      <c r="A2839">
        <v>2838</v>
      </c>
      <c r="B2839">
        <v>65</v>
      </c>
      <c r="C2839" t="s">
        <v>156</v>
      </c>
      <c r="D2839">
        <v>2838</v>
      </c>
      <c r="E2839" t="s">
        <v>74</v>
      </c>
      <c r="F2839" t="s">
        <v>45</v>
      </c>
      <c r="G2839">
        <v>2838</v>
      </c>
      <c r="H2839">
        <v>3604</v>
      </c>
      <c r="I2839">
        <v>88</v>
      </c>
      <c r="J2839" t="s">
        <v>93</v>
      </c>
      <c r="K2839" t="s">
        <v>47</v>
      </c>
      <c r="L2839" t="s">
        <v>113</v>
      </c>
      <c r="M2839" t="s">
        <v>56</v>
      </c>
      <c r="N2839">
        <v>4.5</v>
      </c>
      <c r="O2839">
        <v>0</v>
      </c>
      <c r="P2839" t="s">
        <v>29</v>
      </c>
      <c r="Q2839" t="s">
        <v>155</v>
      </c>
      <c r="R2839" t="s">
        <v>155</v>
      </c>
      <c r="S2839">
        <v>44</v>
      </c>
      <c r="T2839" t="s">
        <v>49</v>
      </c>
      <c r="U2839" t="s">
        <v>43</v>
      </c>
      <c r="V2839" s="1">
        <v>45528</v>
      </c>
      <c r="W2839">
        <f>Table1[[#This Row],[customer_purchase count]]+1</f>
        <v>45</v>
      </c>
      <c r="X2839">
        <f>Table1[[#This Row],[customer_purchase count]]*Rules!$B$3</f>
        <v>2629.6317948717951</v>
      </c>
      <c r="Y2839" t="str">
        <f>IF(Table1[[#This Row],[customer_subscription]]=1,"Subscribed","Not Subscribed")</f>
        <v>Not Subscribed</v>
      </c>
    </row>
    <row r="2840" spans="1:26" x14ac:dyDescent="0.25">
      <c r="A2840">
        <v>2839</v>
      </c>
      <c r="B2840">
        <v>51</v>
      </c>
      <c r="C2840" t="s">
        <v>156</v>
      </c>
      <c r="D2840">
        <v>2839</v>
      </c>
      <c r="E2840" t="s">
        <v>105</v>
      </c>
      <c r="F2840" t="s">
        <v>66</v>
      </c>
      <c r="G2840">
        <v>2839</v>
      </c>
      <c r="H2840">
        <v>3605</v>
      </c>
      <c r="I2840">
        <v>50</v>
      </c>
      <c r="J2840" t="s">
        <v>34</v>
      </c>
      <c r="K2840" t="s">
        <v>47</v>
      </c>
      <c r="L2840" t="s">
        <v>147</v>
      </c>
      <c r="M2840" t="s">
        <v>60</v>
      </c>
      <c r="N2840">
        <v>3.7</v>
      </c>
      <c r="O2840">
        <v>0</v>
      </c>
      <c r="P2840" t="s">
        <v>41</v>
      </c>
      <c r="Q2840" t="s">
        <v>155</v>
      </c>
      <c r="R2840" t="s">
        <v>155</v>
      </c>
      <c r="S2840">
        <v>2</v>
      </c>
      <c r="T2840" t="s">
        <v>78</v>
      </c>
      <c r="U2840" t="s">
        <v>43</v>
      </c>
      <c r="V2840" s="1">
        <v>45602</v>
      </c>
      <c r="W2840">
        <f>Table1[[#This Row],[customer_purchase count]]+1</f>
        <v>3</v>
      </c>
      <c r="X2840">
        <f>Table1[[#This Row],[customer_purchase count]]*Rules!$B$3</f>
        <v>119.52871794871795</v>
      </c>
      <c r="Y2840" t="str">
        <f>IF(Table1[[#This Row],[customer_subscription]]=1,"Subscribed","Not Subscribed")</f>
        <v>Not Subscribed</v>
      </c>
      <c r="Z2840" t="s">
        <v>194</v>
      </c>
    </row>
    <row r="2841" spans="1:26" x14ac:dyDescent="0.25">
      <c r="A2841">
        <v>2840</v>
      </c>
      <c r="B2841">
        <v>70</v>
      </c>
      <c r="C2841" t="s">
        <v>156</v>
      </c>
      <c r="D2841">
        <v>2840</v>
      </c>
      <c r="E2841" t="s">
        <v>122</v>
      </c>
      <c r="F2841" t="s">
        <v>70</v>
      </c>
      <c r="G2841">
        <v>2840</v>
      </c>
      <c r="H2841">
        <v>3607</v>
      </c>
      <c r="I2841">
        <v>80</v>
      </c>
      <c r="J2841" t="s">
        <v>150</v>
      </c>
      <c r="K2841" t="s">
        <v>26</v>
      </c>
      <c r="L2841" t="s">
        <v>88</v>
      </c>
      <c r="M2841" t="s">
        <v>56</v>
      </c>
      <c r="N2841">
        <v>2.8</v>
      </c>
      <c r="O2841">
        <v>0</v>
      </c>
      <c r="P2841" t="s">
        <v>77</v>
      </c>
      <c r="Q2841" t="s">
        <v>155</v>
      </c>
      <c r="R2841" t="s">
        <v>155</v>
      </c>
      <c r="S2841">
        <v>30</v>
      </c>
      <c r="T2841" t="s">
        <v>78</v>
      </c>
      <c r="U2841" t="s">
        <v>91</v>
      </c>
      <c r="V2841" s="1">
        <v>45483</v>
      </c>
      <c r="W2841">
        <f>Table1[[#This Row],[customer_purchase count]]+1</f>
        <v>31</v>
      </c>
      <c r="X2841">
        <f>Table1[[#This Row],[customer_purchase count]]*Rules!$B$3</f>
        <v>1792.9307692307693</v>
      </c>
      <c r="Y2841" t="str">
        <f>IF(Table1[[#This Row],[customer_subscription]]=1,"Subscribed","Not Subscribed")</f>
        <v>Not Subscribed</v>
      </c>
    </row>
    <row r="2842" spans="1:26" x14ac:dyDescent="0.25">
      <c r="A2842">
        <v>2841</v>
      </c>
      <c r="B2842">
        <v>40</v>
      </c>
      <c r="C2842" t="s">
        <v>156</v>
      </c>
      <c r="D2842">
        <v>2841</v>
      </c>
      <c r="E2842" t="s">
        <v>116</v>
      </c>
      <c r="F2842" t="s">
        <v>24</v>
      </c>
      <c r="G2842">
        <v>2841</v>
      </c>
      <c r="H2842">
        <v>3608</v>
      </c>
      <c r="I2842">
        <v>47</v>
      </c>
      <c r="J2842" t="s">
        <v>67</v>
      </c>
      <c r="K2842" t="s">
        <v>26</v>
      </c>
      <c r="L2842" t="s">
        <v>72</v>
      </c>
      <c r="M2842" t="s">
        <v>40</v>
      </c>
      <c r="N2842">
        <v>3.5</v>
      </c>
      <c r="O2842">
        <v>0</v>
      </c>
      <c r="P2842" t="s">
        <v>77</v>
      </c>
      <c r="Q2842" t="s">
        <v>155</v>
      </c>
      <c r="R2842" t="s">
        <v>155</v>
      </c>
      <c r="S2842">
        <v>41</v>
      </c>
      <c r="T2842" t="s">
        <v>36</v>
      </c>
      <c r="U2842" t="s">
        <v>52</v>
      </c>
      <c r="V2842" s="1">
        <v>45433</v>
      </c>
      <c r="W2842">
        <f>Table1[[#This Row],[customer_purchase count]]+1</f>
        <v>42</v>
      </c>
      <c r="X2842">
        <f>Table1[[#This Row],[customer_purchase count]]*Rules!$B$3</f>
        <v>2450.3387179487181</v>
      </c>
      <c r="Y2842" t="str">
        <f>IF(Table1[[#This Row],[customer_subscription]]=1,"Subscribed","Not Subscribed")</f>
        <v>Not Subscribed</v>
      </c>
    </row>
    <row r="2843" spans="1:26" x14ac:dyDescent="0.25">
      <c r="A2843">
        <v>2842</v>
      </c>
      <c r="B2843">
        <v>19</v>
      </c>
      <c r="C2843" t="s">
        <v>156</v>
      </c>
      <c r="D2843">
        <v>2842</v>
      </c>
      <c r="E2843" t="s">
        <v>84</v>
      </c>
      <c r="F2843" t="s">
        <v>24</v>
      </c>
      <c r="G2843">
        <v>2842</v>
      </c>
      <c r="H2843">
        <v>3609</v>
      </c>
      <c r="I2843">
        <v>33</v>
      </c>
      <c r="J2843" t="s">
        <v>126</v>
      </c>
      <c r="K2843" t="s">
        <v>95</v>
      </c>
      <c r="L2843" t="s">
        <v>139</v>
      </c>
      <c r="M2843" t="s">
        <v>28</v>
      </c>
      <c r="N2843">
        <v>3</v>
      </c>
      <c r="O2843">
        <v>0</v>
      </c>
      <c r="P2843" t="s">
        <v>73</v>
      </c>
      <c r="Q2843" t="s">
        <v>155</v>
      </c>
      <c r="R2843" t="s">
        <v>155</v>
      </c>
      <c r="S2843">
        <v>31</v>
      </c>
      <c r="T2843" t="s">
        <v>36</v>
      </c>
      <c r="U2843" t="s">
        <v>43</v>
      </c>
      <c r="V2843" s="1">
        <v>45343</v>
      </c>
      <c r="W2843">
        <f>Table1[[#This Row],[customer_purchase count]]+1</f>
        <v>32</v>
      </c>
      <c r="X2843">
        <f>Table1[[#This Row],[customer_purchase count]]*Rules!$B$3</f>
        <v>1852.6951282051282</v>
      </c>
      <c r="Y2843" t="str">
        <f>IF(Table1[[#This Row],[customer_subscription]]=1,"Subscribed","Not Subscribed")</f>
        <v>Not Subscribed</v>
      </c>
    </row>
    <row r="2844" spans="1:26" x14ac:dyDescent="0.25">
      <c r="A2844">
        <v>2843</v>
      </c>
      <c r="B2844">
        <v>28</v>
      </c>
      <c r="C2844" t="s">
        <v>156</v>
      </c>
      <c r="D2844">
        <v>2843</v>
      </c>
      <c r="E2844" t="s">
        <v>65</v>
      </c>
      <c r="F2844" t="s">
        <v>66</v>
      </c>
      <c r="G2844">
        <v>2843</v>
      </c>
      <c r="H2844">
        <v>3610</v>
      </c>
      <c r="I2844">
        <v>100</v>
      </c>
      <c r="J2844" t="s">
        <v>120</v>
      </c>
      <c r="K2844" t="s">
        <v>26</v>
      </c>
      <c r="L2844" t="s">
        <v>99</v>
      </c>
      <c r="M2844" t="s">
        <v>60</v>
      </c>
      <c r="N2844">
        <v>4.3</v>
      </c>
      <c r="O2844">
        <v>0</v>
      </c>
      <c r="P2844" t="s">
        <v>57</v>
      </c>
      <c r="Q2844" t="s">
        <v>155</v>
      </c>
      <c r="R2844" t="s">
        <v>155</v>
      </c>
      <c r="S2844">
        <v>48</v>
      </c>
      <c r="T2844" t="s">
        <v>89</v>
      </c>
      <c r="U2844" t="s">
        <v>61</v>
      </c>
      <c r="V2844" s="1">
        <v>45577</v>
      </c>
      <c r="W2844">
        <f>Table1[[#This Row],[customer_purchase count]]+1</f>
        <v>49</v>
      </c>
      <c r="X2844">
        <f>Table1[[#This Row],[customer_purchase count]]*Rules!$B$3</f>
        <v>2868.689230769231</v>
      </c>
      <c r="Y2844" t="str">
        <f>IF(Table1[[#This Row],[customer_subscription]]=1,"Subscribed","Not Subscribed")</f>
        <v>Not Subscribed</v>
      </c>
    </row>
    <row r="2845" spans="1:26" x14ac:dyDescent="0.25">
      <c r="A2845">
        <v>2844</v>
      </c>
      <c r="B2845">
        <v>51</v>
      </c>
      <c r="C2845" t="s">
        <v>156</v>
      </c>
      <c r="D2845">
        <v>2844</v>
      </c>
      <c r="E2845" t="s">
        <v>33</v>
      </c>
      <c r="F2845" t="s">
        <v>24</v>
      </c>
      <c r="G2845">
        <v>2844</v>
      </c>
      <c r="H2845">
        <v>3611</v>
      </c>
      <c r="I2845">
        <v>26</v>
      </c>
      <c r="J2845" t="s">
        <v>126</v>
      </c>
      <c r="K2845" t="s">
        <v>47</v>
      </c>
      <c r="L2845" t="s">
        <v>55</v>
      </c>
      <c r="M2845" t="s">
        <v>56</v>
      </c>
      <c r="N2845">
        <v>3.6</v>
      </c>
      <c r="O2845">
        <v>0</v>
      </c>
      <c r="P2845" t="s">
        <v>77</v>
      </c>
      <c r="Q2845" t="s">
        <v>155</v>
      </c>
      <c r="R2845" t="s">
        <v>155</v>
      </c>
      <c r="S2845">
        <v>41</v>
      </c>
      <c r="T2845" t="s">
        <v>31</v>
      </c>
      <c r="U2845" t="s">
        <v>43</v>
      </c>
      <c r="V2845" s="1">
        <v>45493</v>
      </c>
      <c r="W2845">
        <f>Table1[[#This Row],[customer_purchase count]]+1</f>
        <v>42</v>
      </c>
      <c r="X2845">
        <f>Table1[[#This Row],[customer_purchase count]]*Rules!$B$3</f>
        <v>2450.3387179487181</v>
      </c>
      <c r="Y2845" t="str">
        <f>IF(Table1[[#This Row],[customer_subscription]]=1,"Subscribed","Not Subscribed")</f>
        <v>Not Subscribed</v>
      </c>
    </row>
    <row r="2846" spans="1:26" x14ac:dyDescent="0.25">
      <c r="A2846">
        <v>2845</v>
      </c>
      <c r="B2846">
        <v>32</v>
      </c>
      <c r="C2846" t="s">
        <v>156</v>
      </c>
      <c r="D2846">
        <v>2845</v>
      </c>
      <c r="E2846" t="s">
        <v>127</v>
      </c>
      <c r="F2846" t="s">
        <v>70</v>
      </c>
      <c r="G2846">
        <v>2845</v>
      </c>
      <c r="H2846">
        <v>3613</v>
      </c>
      <c r="I2846">
        <v>79</v>
      </c>
      <c r="J2846" t="s">
        <v>133</v>
      </c>
      <c r="K2846" t="s">
        <v>47</v>
      </c>
      <c r="L2846" t="s">
        <v>129</v>
      </c>
      <c r="M2846" t="s">
        <v>56</v>
      </c>
      <c r="N2846">
        <v>4.4000000000000004</v>
      </c>
      <c r="O2846">
        <v>0</v>
      </c>
      <c r="P2846" t="s">
        <v>57</v>
      </c>
      <c r="Q2846" t="s">
        <v>155</v>
      </c>
      <c r="R2846" t="s">
        <v>155</v>
      </c>
      <c r="S2846">
        <v>42</v>
      </c>
      <c r="T2846" t="s">
        <v>31</v>
      </c>
      <c r="U2846" t="s">
        <v>52</v>
      </c>
      <c r="V2846" s="1">
        <v>45515</v>
      </c>
      <c r="W2846">
        <f>Table1[[#This Row],[customer_purchase count]]+1</f>
        <v>43</v>
      </c>
      <c r="X2846">
        <f>Table1[[#This Row],[customer_purchase count]]*Rules!$B$3</f>
        <v>2510.103076923077</v>
      </c>
      <c r="Y2846" t="str">
        <f>IF(Table1[[#This Row],[customer_subscription]]=1,"Subscribed","Not Subscribed")</f>
        <v>Not Subscribed</v>
      </c>
    </row>
    <row r="2847" spans="1:26" x14ac:dyDescent="0.25">
      <c r="A2847">
        <v>2846</v>
      </c>
      <c r="B2847">
        <v>26</v>
      </c>
      <c r="C2847" t="s">
        <v>156</v>
      </c>
      <c r="D2847">
        <v>2846</v>
      </c>
      <c r="E2847" t="s">
        <v>135</v>
      </c>
      <c r="F2847" t="s">
        <v>70</v>
      </c>
      <c r="G2847">
        <v>2846</v>
      </c>
      <c r="H2847">
        <v>3614</v>
      </c>
      <c r="I2847">
        <v>77</v>
      </c>
      <c r="J2847" t="s">
        <v>150</v>
      </c>
      <c r="K2847" t="s">
        <v>26</v>
      </c>
      <c r="L2847" t="s">
        <v>96</v>
      </c>
      <c r="M2847" t="s">
        <v>56</v>
      </c>
      <c r="N2847">
        <v>4.0999999999999996</v>
      </c>
      <c r="O2847">
        <v>0</v>
      </c>
      <c r="P2847" t="s">
        <v>29</v>
      </c>
      <c r="Q2847" t="s">
        <v>155</v>
      </c>
      <c r="R2847" t="s">
        <v>155</v>
      </c>
      <c r="S2847">
        <v>39</v>
      </c>
      <c r="T2847" t="s">
        <v>89</v>
      </c>
      <c r="U2847" t="s">
        <v>100</v>
      </c>
      <c r="V2847" s="1">
        <v>45505</v>
      </c>
      <c r="W2847">
        <f>Table1[[#This Row],[customer_purchase count]]+1</f>
        <v>40</v>
      </c>
      <c r="X2847">
        <f>Table1[[#This Row],[customer_purchase count]]*Rules!$B$3</f>
        <v>2330.81</v>
      </c>
      <c r="Y2847" t="str">
        <f>IF(Table1[[#This Row],[customer_subscription]]=1,"Subscribed","Not Subscribed")</f>
        <v>Not Subscribed</v>
      </c>
    </row>
    <row r="2848" spans="1:26" x14ac:dyDescent="0.25">
      <c r="A2848">
        <v>2847</v>
      </c>
      <c r="B2848">
        <v>50</v>
      </c>
      <c r="C2848" t="s">
        <v>156</v>
      </c>
      <c r="D2848">
        <v>2847</v>
      </c>
      <c r="E2848" t="s">
        <v>128</v>
      </c>
      <c r="F2848" t="s">
        <v>24</v>
      </c>
      <c r="G2848">
        <v>2847</v>
      </c>
      <c r="H2848">
        <v>3615</v>
      </c>
      <c r="I2848">
        <v>36</v>
      </c>
      <c r="J2848" t="s">
        <v>104</v>
      </c>
      <c r="K2848" t="s">
        <v>95</v>
      </c>
      <c r="L2848" t="s">
        <v>97</v>
      </c>
      <c r="M2848" t="s">
        <v>60</v>
      </c>
      <c r="N2848">
        <v>2.8</v>
      </c>
      <c r="O2848">
        <v>0</v>
      </c>
      <c r="P2848" t="s">
        <v>48</v>
      </c>
      <c r="Q2848" t="s">
        <v>155</v>
      </c>
      <c r="R2848" t="s">
        <v>155</v>
      </c>
      <c r="S2848">
        <v>15</v>
      </c>
      <c r="T2848" t="s">
        <v>49</v>
      </c>
      <c r="U2848" t="s">
        <v>79</v>
      </c>
      <c r="V2848" s="1">
        <v>45549</v>
      </c>
      <c r="W2848">
        <f>Table1[[#This Row],[customer_purchase count]]+1</f>
        <v>16</v>
      </c>
      <c r="X2848">
        <f>Table1[[#This Row],[customer_purchase count]]*Rules!$B$3</f>
        <v>896.46538461538466</v>
      </c>
      <c r="Y2848" t="str">
        <f>IF(Table1[[#This Row],[customer_subscription]]=1,"Subscribed","Not Subscribed")</f>
        <v>Not Subscribed</v>
      </c>
      <c r="Z2848" t="s">
        <v>194</v>
      </c>
    </row>
    <row r="2849" spans="1:26" x14ac:dyDescent="0.25">
      <c r="A2849">
        <v>2848</v>
      </c>
      <c r="B2849">
        <v>68</v>
      </c>
      <c r="C2849" t="s">
        <v>156</v>
      </c>
      <c r="D2849">
        <v>2848</v>
      </c>
      <c r="E2849" t="s">
        <v>109</v>
      </c>
      <c r="F2849" t="s">
        <v>70</v>
      </c>
      <c r="G2849">
        <v>2848</v>
      </c>
      <c r="H2849">
        <v>3616</v>
      </c>
      <c r="I2849">
        <v>21</v>
      </c>
      <c r="J2849" t="s">
        <v>142</v>
      </c>
      <c r="K2849" t="s">
        <v>26</v>
      </c>
      <c r="L2849" t="s">
        <v>64</v>
      </c>
      <c r="M2849" t="s">
        <v>28</v>
      </c>
      <c r="N2849">
        <v>2.8</v>
      </c>
      <c r="O2849">
        <v>0</v>
      </c>
      <c r="P2849" t="s">
        <v>41</v>
      </c>
      <c r="Q2849" t="s">
        <v>155</v>
      </c>
      <c r="R2849" t="s">
        <v>155</v>
      </c>
      <c r="S2849">
        <v>3</v>
      </c>
      <c r="T2849" t="s">
        <v>49</v>
      </c>
      <c r="U2849" t="s">
        <v>100</v>
      </c>
      <c r="V2849" s="1">
        <v>45316</v>
      </c>
      <c r="W2849">
        <f>Table1[[#This Row],[customer_purchase count]]+1</f>
        <v>4</v>
      </c>
      <c r="X2849">
        <f>Table1[[#This Row],[customer_purchase count]]*Rules!$B$3</f>
        <v>179.29307692307694</v>
      </c>
      <c r="Y2849" t="str">
        <f>IF(Table1[[#This Row],[customer_subscription]]=1,"Subscribed","Not Subscribed")</f>
        <v>Not Subscribed</v>
      </c>
      <c r="Z2849" t="s">
        <v>194</v>
      </c>
    </row>
    <row r="2850" spans="1:26" x14ac:dyDescent="0.25">
      <c r="A2850">
        <v>2849</v>
      </c>
      <c r="B2850">
        <v>33</v>
      </c>
      <c r="C2850" t="s">
        <v>156</v>
      </c>
      <c r="D2850">
        <v>2849</v>
      </c>
      <c r="E2850" t="s">
        <v>140</v>
      </c>
      <c r="F2850" t="s">
        <v>45</v>
      </c>
      <c r="G2850">
        <v>2849</v>
      </c>
      <c r="H2850">
        <v>3617</v>
      </c>
      <c r="I2850">
        <v>72</v>
      </c>
      <c r="J2850" t="s">
        <v>153</v>
      </c>
      <c r="K2850" t="s">
        <v>26</v>
      </c>
      <c r="L2850" t="s">
        <v>27</v>
      </c>
      <c r="M2850" t="s">
        <v>60</v>
      </c>
      <c r="N2850">
        <v>4.9000000000000004</v>
      </c>
      <c r="O2850">
        <v>0</v>
      </c>
      <c r="P2850" t="s">
        <v>77</v>
      </c>
      <c r="Q2850" t="s">
        <v>155</v>
      </c>
      <c r="R2850" t="s">
        <v>155</v>
      </c>
      <c r="S2850">
        <v>28</v>
      </c>
      <c r="T2850" t="s">
        <v>78</v>
      </c>
      <c r="U2850" t="s">
        <v>61</v>
      </c>
      <c r="V2850" s="1">
        <v>45605</v>
      </c>
      <c r="W2850">
        <f>Table1[[#This Row],[customer_purchase count]]+1</f>
        <v>29</v>
      </c>
      <c r="X2850">
        <f>Table1[[#This Row],[customer_purchase count]]*Rules!$B$3</f>
        <v>1673.4020512820514</v>
      </c>
      <c r="Y2850" t="str">
        <f>IF(Table1[[#This Row],[customer_subscription]]=1,"Subscribed","Not Subscribed")</f>
        <v>Not Subscribed</v>
      </c>
    </row>
    <row r="2851" spans="1:26" x14ac:dyDescent="0.25">
      <c r="A2851">
        <v>2850</v>
      </c>
      <c r="B2851">
        <v>56</v>
      </c>
      <c r="C2851" t="s">
        <v>156</v>
      </c>
      <c r="D2851">
        <v>2850</v>
      </c>
      <c r="E2851" t="s">
        <v>65</v>
      </c>
      <c r="F2851" t="s">
        <v>66</v>
      </c>
      <c r="G2851">
        <v>2850</v>
      </c>
      <c r="H2851">
        <v>3619</v>
      </c>
      <c r="I2851">
        <v>25</v>
      </c>
      <c r="J2851" t="s">
        <v>85</v>
      </c>
      <c r="K2851" t="s">
        <v>47</v>
      </c>
      <c r="L2851" t="s">
        <v>83</v>
      </c>
      <c r="M2851" t="s">
        <v>40</v>
      </c>
      <c r="N2851">
        <v>4.0999999999999996</v>
      </c>
      <c r="O2851">
        <v>0</v>
      </c>
      <c r="P2851" t="s">
        <v>29</v>
      </c>
      <c r="Q2851" t="s">
        <v>155</v>
      </c>
      <c r="R2851" t="s">
        <v>155</v>
      </c>
      <c r="S2851">
        <v>27</v>
      </c>
      <c r="T2851" t="s">
        <v>49</v>
      </c>
      <c r="U2851" t="s">
        <v>79</v>
      </c>
      <c r="V2851" s="1">
        <v>45438</v>
      </c>
      <c r="W2851">
        <f>Table1[[#This Row],[customer_purchase count]]+1</f>
        <v>28</v>
      </c>
      <c r="X2851">
        <f>Table1[[#This Row],[customer_purchase count]]*Rules!$B$3</f>
        <v>1613.6376923076923</v>
      </c>
      <c r="Y2851" t="str">
        <f>IF(Table1[[#This Row],[customer_subscription]]=1,"Subscribed","Not Subscribed")</f>
        <v>Not Subscribed</v>
      </c>
    </row>
    <row r="2852" spans="1:26" x14ac:dyDescent="0.25">
      <c r="A2852">
        <v>2851</v>
      </c>
      <c r="B2852">
        <v>57</v>
      </c>
      <c r="C2852" t="s">
        <v>156</v>
      </c>
      <c r="D2852">
        <v>2851</v>
      </c>
      <c r="E2852" t="s">
        <v>33</v>
      </c>
      <c r="F2852" t="s">
        <v>24</v>
      </c>
      <c r="G2852">
        <v>2851</v>
      </c>
      <c r="H2852">
        <v>3620</v>
      </c>
      <c r="I2852">
        <v>79</v>
      </c>
      <c r="J2852" t="s">
        <v>148</v>
      </c>
      <c r="K2852" t="s">
        <v>47</v>
      </c>
      <c r="L2852" t="s">
        <v>68</v>
      </c>
      <c r="M2852" t="s">
        <v>40</v>
      </c>
      <c r="N2852">
        <v>3</v>
      </c>
      <c r="O2852">
        <v>0</v>
      </c>
      <c r="P2852" t="s">
        <v>77</v>
      </c>
      <c r="Q2852" t="s">
        <v>155</v>
      </c>
      <c r="R2852" t="s">
        <v>155</v>
      </c>
      <c r="S2852">
        <v>36</v>
      </c>
      <c r="T2852" t="s">
        <v>89</v>
      </c>
      <c r="U2852" t="s">
        <v>52</v>
      </c>
      <c r="V2852" s="1">
        <v>45419</v>
      </c>
      <c r="W2852">
        <f>Table1[[#This Row],[customer_purchase count]]+1</f>
        <v>37</v>
      </c>
      <c r="X2852">
        <f>Table1[[#This Row],[customer_purchase count]]*Rules!$B$3</f>
        <v>2151.5169230769234</v>
      </c>
      <c r="Y2852" t="str">
        <f>IF(Table1[[#This Row],[customer_subscription]]=1,"Subscribed","Not Subscribed")</f>
        <v>Not Subscribed</v>
      </c>
    </row>
    <row r="2853" spans="1:26" x14ac:dyDescent="0.25">
      <c r="A2853">
        <v>2852</v>
      </c>
      <c r="B2853">
        <v>58</v>
      </c>
      <c r="C2853" t="s">
        <v>156</v>
      </c>
      <c r="D2853">
        <v>2852</v>
      </c>
      <c r="E2853" t="s">
        <v>23</v>
      </c>
      <c r="F2853" t="s">
        <v>24</v>
      </c>
      <c r="G2853">
        <v>2852</v>
      </c>
      <c r="H2853">
        <v>3621</v>
      </c>
      <c r="I2853">
        <v>73</v>
      </c>
      <c r="J2853" t="s">
        <v>110</v>
      </c>
      <c r="K2853" t="s">
        <v>26</v>
      </c>
      <c r="L2853" t="s">
        <v>88</v>
      </c>
      <c r="M2853" t="s">
        <v>56</v>
      </c>
      <c r="N2853">
        <v>3</v>
      </c>
      <c r="O2853">
        <v>0</v>
      </c>
      <c r="P2853" t="s">
        <v>77</v>
      </c>
      <c r="Q2853" t="s">
        <v>155</v>
      </c>
      <c r="R2853" t="s">
        <v>155</v>
      </c>
      <c r="S2853">
        <v>42</v>
      </c>
      <c r="T2853" t="s">
        <v>89</v>
      </c>
      <c r="U2853" t="s">
        <v>91</v>
      </c>
      <c r="V2853" s="1">
        <v>45498</v>
      </c>
      <c r="W2853">
        <f>Table1[[#This Row],[customer_purchase count]]+1</f>
        <v>43</v>
      </c>
      <c r="X2853">
        <f>Table1[[#This Row],[customer_purchase count]]*Rules!$B$3</f>
        <v>2510.103076923077</v>
      </c>
      <c r="Y2853" t="str">
        <f>IF(Table1[[#This Row],[customer_subscription]]=1,"Subscribed","Not Subscribed")</f>
        <v>Not Subscribed</v>
      </c>
    </row>
    <row r="2854" spans="1:26" x14ac:dyDescent="0.25">
      <c r="A2854">
        <v>2853</v>
      </c>
      <c r="B2854">
        <v>40</v>
      </c>
      <c r="C2854" t="s">
        <v>156</v>
      </c>
      <c r="D2854">
        <v>2853</v>
      </c>
      <c r="E2854" t="s">
        <v>136</v>
      </c>
      <c r="F2854" t="s">
        <v>70</v>
      </c>
      <c r="G2854">
        <v>2853</v>
      </c>
      <c r="H2854">
        <v>3622</v>
      </c>
      <c r="I2854">
        <v>71</v>
      </c>
      <c r="J2854" t="s">
        <v>87</v>
      </c>
      <c r="K2854" t="s">
        <v>47</v>
      </c>
      <c r="L2854" t="s">
        <v>139</v>
      </c>
      <c r="M2854" t="s">
        <v>40</v>
      </c>
      <c r="N2854">
        <v>3</v>
      </c>
      <c r="O2854">
        <v>0</v>
      </c>
      <c r="P2854" t="s">
        <v>77</v>
      </c>
      <c r="Q2854" t="s">
        <v>155</v>
      </c>
      <c r="R2854" t="s">
        <v>155</v>
      </c>
      <c r="S2854">
        <v>30</v>
      </c>
      <c r="T2854" t="s">
        <v>31</v>
      </c>
      <c r="U2854" t="s">
        <v>43</v>
      </c>
      <c r="V2854" s="1">
        <v>45406</v>
      </c>
      <c r="W2854">
        <f>Table1[[#This Row],[customer_purchase count]]+1</f>
        <v>31</v>
      </c>
      <c r="X2854">
        <f>Table1[[#This Row],[customer_purchase count]]*Rules!$B$3</f>
        <v>1792.9307692307693</v>
      </c>
      <c r="Y2854" t="str">
        <f>IF(Table1[[#This Row],[customer_subscription]]=1,"Subscribed","Not Subscribed")</f>
        <v>Not Subscribed</v>
      </c>
    </row>
    <row r="2855" spans="1:26" x14ac:dyDescent="0.25">
      <c r="A2855">
        <v>2854</v>
      </c>
      <c r="B2855">
        <v>37</v>
      </c>
      <c r="C2855" t="s">
        <v>156</v>
      </c>
      <c r="D2855">
        <v>2854</v>
      </c>
      <c r="E2855" t="s">
        <v>127</v>
      </c>
      <c r="F2855" t="s">
        <v>70</v>
      </c>
      <c r="G2855">
        <v>2854</v>
      </c>
      <c r="H2855">
        <v>3623</v>
      </c>
      <c r="I2855">
        <v>48</v>
      </c>
      <c r="J2855" t="s">
        <v>141</v>
      </c>
      <c r="K2855" t="s">
        <v>47</v>
      </c>
      <c r="L2855" t="s">
        <v>139</v>
      </c>
      <c r="M2855" t="s">
        <v>28</v>
      </c>
      <c r="N2855">
        <v>3.2</v>
      </c>
      <c r="O2855">
        <v>0</v>
      </c>
      <c r="P2855" t="s">
        <v>48</v>
      </c>
      <c r="Q2855" t="s">
        <v>155</v>
      </c>
      <c r="R2855" t="s">
        <v>155</v>
      </c>
      <c r="S2855">
        <v>9</v>
      </c>
      <c r="T2855" t="s">
        <v>49</v>
      </c>
      <c r="U2855" t="s">
        <v>43</v>
      </c>
      <c r="V2855" s="1">
        <v>45294</v>
      </c>
      <c r="W2855">
        <f>Table1[[#This Row],[customer_purchase count]]+1</f>
        <v>10</v>
      </c>
      <c r="X2855">
        <f>Table1[[#This Row],[customer_purchase count]]*Rules!$B$3</f>
        <v>537.87923076923084</v>
      </c>
      <c r="Y2855" t="str">
        <f>IF(Table1[[#This Row],[customer_subscription]]=1,"Subscribed","Not Subscribed")</f>
        <v>Not Subscribed</v>
      </c>
      <c r="Z2855" t="s">
        <v>194</v>
      </c>
    </row>
    <row r="2856" spans="1:26" x14ac:dyDescent="0.25">
      <c r="A2856">
        <v>2855</v>
      </c>
      <c r="B2856">
        <v>36</v>
      </c>
      <c r="C2856" t="s">
        <v>156</v>
      </c>
      <c r="D2856">
        <v>2855</v>
      </c>
      <c r="E2856" t="s">
        <v>44</v>
      </c>
      <c r="F2856" t="s">
        <v>45</v>
      </c>
      <c r="G2856">
        <v>2855</v>
      </c>
      <c r="H2856">
        <v>3625</v>
      </c>
      <c r="I2856">
        <v>28</v>
      </c>
      <c r="J2856" t="s">
        <v>82</v>
      </c>
      <c r="K2856" t="s">
        <v>47</v>
      </c>
      <c r="L2856" t="s">
        <v>121</v>
      </c>
      <c r="M2856" t="s">
        <v>60</v>
      </c>
      <c r="N2856">
        <v>2.7</v>
      </c>
      <c r="O2856">
        <v>0</v>
      </c>
      <c r="P2856" t="s">
        <v>77</v>
      </c>
      <c r="Q2856" t="s">
        <v>155</v>
      </c>
      <c r="R2856" t="s">
        <v>155</v>
      </c>
      <c r="S2856">
        <v>25</v>
      </c>
      <c r="T2856" t="s">
        <v>31</v>
      </c>
      <c r="U2856" t="s">
        <v>91</v>
      </c>
      <c r="V2856" s="1">
        <v>45588</v>
      </c>
      <c r="W2856">
        <f>Table1[[#This Row],[customer_purchase count]]+1</f>
        <v>26</v>
      </c>
      <c r="X2856">
        <f>Table1[[#This Row],[customer_purchase count]]*Rules!$B$3</f>
        <v>1494.1089743589744</v>
      </c>
      <c r="Y2856" t="str">
        <f>IF(Table1[[#This Row],[customer_subscription]]=1,"Subscribed","Not Subscribed")</f>
        <v>Not Subscribed</v>
      </c>
    </row>
    <row r="2857" spans="1:26" x14ac:dyDescent="0.25">
      <c r="A2857">
        <v>2856</v>
      </c>
      <c r="B2857">
        <v>29</v>
      </c>
      <c r="C2857" t="s">
        <v>156</v>
      </c>
      <c r="D2857">
        <v>2856</v>
      </c>
      <c r="E2857" t="s">
        <v>140</v>
      </c>
      <c r="F2857" t="s">
        <v>45</v>
      </c>
      <c r="G2857">
        <v>2856</v>
      </c>
      <c r="H2857">
        <v>3626</v>
      </c>
      <c r="I2857">
        <v>95</v>
      </c>
      <c r="J2857" t="s">
        <v>94</v>
      </c>
      <c r="K2857" t="s">
        <v>39</v>
      </c>
      <c r="L2857" t="s">
        <v>35</v>
      </c>
      <c r="M2857" t="s">
        <v>28</v>
      </c>
      <c r="N2857">
        <v>3.8</v>
      </c>
      <c r="O2857">
        <v>0</v>
      </c>
      <c r="P2857" t="s">
        <v>73</v>
      </c>
      <c r="Q2857" t="s">
        <v>155</v>
      </c>
      <c r="R2857" t="s">
        <v>155</v>
      </c>
      <c r="S2857">
        <v>33</v>
      </c>
      <c r="T2857" t="s">
        <v>49</v>
      </c>
      <c r="U2857" t="s">
        <v>61</v>
      </c>
      <c r="V2857" s="1">
        <v>45306</v>
      </c>
      <c r="W2857">
        <f>Table1[[#This Row],[customer_purchase count]]+1</f>
        <v>34</v>
      </c>
      <c r="X2857">
        <f>Table1[[#This Row],[customer_purchase count]]*Rules!$B$3</f>
        <v>1972.2238461538464</v>
      </c>
      <c r="Y2857" t="str">
        <f>IF(Table1[[#This Row],[customer_subscription]]=1,"Subscribed","Not Subscribed")</f>
        <v>Not Subscribed</v>
      </c>
    </row>
    <row r="2858" spans="1:26" x14ac:dyDescent="0.25">
      <c r="A2858">
        <v>2857</v>
      </c>
      <c r="B2858">
        <v>65</v>
      </c>
      <c r="C2858" t="s">
        <v>156</v>
      </c>
      <c r="D2858">
        <v>2857</v>
      </c>
      <c r="E2858" t="s">
        <v>105</v>
      </c>
      <c r="F2858" t="s">
        <v>66</v>
      </c>
      <c r="G2858">
        <v>2857</v>
      </c>
      <c r="H2858">
        <v>3627</v>
      </c>
      <c r="I2858">
        <v>48</v>
      </c>
      <c r="J2858" t="s">
        <v>149</v>
      </c>
      <c r="K2858" t="s">
        <v>47</v>
      </c>
      <c r="L2858" t="s">
        <v>129</v>
      </c>
      <c r="M2858" t="s">
        <v>28</v>
      </c>
      <c r="N2858">
        <v>3.5</v>
      </c>
      <c r="O2858">
        <v>0</v>
      </c>
      <c r="P2858" t="s">
        <v>73</v>
      </c>
      <c r="Q2858" t="s">
        <v>155</v>
      </c>
      <c r="R2858" t="s">
        <v>155</v>
      </c>
      <c r="S2858">
        <v>31</v>
      </c>
      <c r="T2858" t="s">
        <v>42</v>
      </c>
      <c r="U2858" t="s">
        <v>91</v>
      </c>
      <c r="V2858" s="1">
        <v>45293</v>
      </c>
      <c r="W2858">
        <f>Table1[[#This Row],[customer_purchase count]]+1</f>
        <v>32</v>
      </c>
      <c r="X2858">
        <f>Table1[[#This Row],[customer_purchase count]]*Rules!$B$3</f>
        <v>1852.6951282051282</v>
      </c>
      <c r="Y2858" t="str">
        <f>IF(Table1[[#This Row],[customer_subscription]]=1,"Subscribed","Not Subscribed")</f>
        <v>Not Subscribed</v>
      </c>
    </row>
    <row r="2859" spans="1:26" x14ac:dyDescent="0.25">
      <c r="A2859">
        <v>2858</v>
      </c>
      <c r="B2859">
        <v>44</v>
      </c>
      <c r="C2859" t="s">
        <v>156</v>
      </c>
      <c r="D2859">
        <v>2858</v>
      </c>
      <c r="E2859" t="s">
        <v>84</v>
      </c>
      <c r="F2859" t="s">
        <v>24</v>
      </c>
      <c r="G2859">
        <v>2858</v>
      </c>
      <c r="H2859">
        <v>3628</v>
      </c>
      <c r="I2859">
        <v>93</v>
      </c>
      <c r="J2859" t="s">
        <v>143</v>
      </c>
      <c r="K2859" t="s">
        <v>39</v>
      </c>
      <c r="L2859" t="s">
        <v>35</v>
      </c>
      <c r="M2859" t="s">
        <v>40</v>
      </c>
      <c r="N2859">
        <v>3.8</v>
      </c>
      <c r="O2859">
        <v>0</v>
      </c>
      <c r="P2859" t="s">
        <v>48</v>
      </c>
      <c r="Q2859" t="s">
        <v>155</v>
      </c>
      <c r="R2859" t="s">
        <v>155</v>
      </c>
      <c r="S2859">
        <v>35</v>
      </c>
      <c r="T2859" t="s">
        <v>89</v>
      </c>
      <c r="U2859" t="s">
        <v>91</v>
      </c>
      <c r="V2859" s="1">
        <v>45361</v>
      </c>
      <c r="W2859">
        <f>Table1[[#This Row],[customer_purchase count]]+1</f>
        <v>36</v>
      </c>
      <c r="X2859">
        <f>Table1[[#This Row],[customer_purchase count]]*Rules!$B$3</f>
        <v>2091.7525641025641</v>
      </c>
      <c r="Y2859" t="str">
        <f>IF(Table1[[#This Row],[customer_subscription]]=1,"Subscribed","Not Subscribed")</f>
        <v>Not Subscribed</v>
      </c>
    </row>
    <row r="2860" spans="1:26" x14ac:dyDescent="0.25">
      <c r="A2860">
        <v>2859</v>
      </c>
      <c r="B2860">
        <v>34</v>
      </c>
      <c r="C2860" t="s">
        <v>156</v>
      </c>
      <c r="D2860">
        <v>2859</v>
      </c>
      <c r="E2860" t="s">
        <v>37</v>
      </c>
      <c r="F2860" t="s">
        <v>24</v>
      </c>
      <c r="G2860">
        <v>2859</v>
      </c>
      <c r="H2860">
        <v>3629</v>
      </c>
      <c r="I2860">
        <v>87</v>
      </c>
      <c r="J2860" t="s">
        <v>131</v>
      </c>
      <c r="K2860" t="s">
        <v>26</v>
      </c>
      <c r="L2860" t="s">
        <v>88</v>
      </c>
      <c r="M2860" t="s">
        <v>56</v>
      </c>
      <c r="N2860">
        <v>3.8</v>
      </c>
      <c r="O2860">
        <v>0</v>
      </c>
      <c r="P2860" t="s">
        <v>73</v>
      </c>
      <c r="Q2860" t="s">
        <v>155</v>
      </c>
      <c r="R2860" t="s">
        <v>155</v>
      </c>
      <c r="S2860">
        <v>46</v>
      </c>
      <c r="T2860" t="s">
        <v>78</v>
      </c>
      <c r="U2860" t="s">
        <v>91</v>
      </c>
      <c r="V2860" s="1">
        <v>45474</v>
      </c>
      <c r="W2860">
        <f>Table1[[#This Row],[customer_purchase count]]+1</f>
        <v>47</v>
      </c>
      <c r="X2860">
        <f>Table1[[#This Row],[customer_purchase count]]*Rules!$B$3</f>
        <v>2749.1605128205128</v>
      </c>
      <c r="Y2860" t="str">
        <f>IF(Table1[[#This Row],[customer_subscription]]=1,"Subscribed","Not Subscribed")</f>
        <v>Not Subscribed</v>
      </c>
    </row>
    <row r="2861" spans="1:26" x14ac:dyDescent="0.25">
      <c r="A2861">
        <v>2860</v>
      </c>
      <c r="B2861">
        <v>31</v>
      </c>
      <c r="C2861" t="s">
        <v>156</v>
      </c>
      <c r="D2861">
        <v>2860</v>
      </c>
      <c r="E2861" t="s">
        <v>62</v>
      </c>
      <c r="F2861" t="s">
        <v>24</v>
      </c>
      <c r="G2861">
        <v>2860</v>
      </c>
      <c r="H2861">
        <v>3631</v>
      </c>
      <c r="I2861">
        <v>32</v>
      </c>
      <c r="J2861" t="s">
        <v>143</v>
      </c>
      <c r="K2861" t="s">
        <v>26</v>
      </c>
      <c r="L2861" t="s">
        <v>137</v>
      </c>
      <c r="M2861" t="s">
        <v>60</v>
      </c>
      <c r="N2861">
        <v>3.4</v>
      </c>
      <c r="O2861">
        <v>0</v>
      </c>
      <c r="P2861" t="s">
        <v>29</v>
      </c>
      <c r="Q2861" t="s">
        <v>155</v>
      </c>
      <c r="R2861" t="s">
        <v>155</v>
      </c>
      <c r="S2861">
        <v>29</v>
      </c>
      <c r="T2861" t="s">
        <v>78</v>
      </c>
      <c r="U2861" t="s">
        <v>52</v>
      </c>
      <c r="V2861" s="1">
        <v>45617</v>
      </c>
      <c r="W2861">
        <f>Table1[[#This Row],[customer_purchase count]]+1</f>
        <v>30</v>
      </c>
      <c r="X2861">
        <f>Table1[[#This Row],[customer_purchase count]]*Rules!$B$3</f>
        <v>1733.1664102564102</v>
      </c>
      <c r="Y2861" t="str">
        <f>IF(Table1[[#This Row],[customer_subscription]]=1,"Subscribed","Not Subscribed")</f>
        <v>Not Subscribed</v>
      </c>
    </row>
    <row r="2862" spans="1:26" x14ac:dyDescent="0.25">
      <c r="A2862">
        <v>2861</v>
      </c>
      <c r="B2862">
        <v>28</v>
      </c>
      <c r="C2862" t="s">
        <v>156</v>
      </c>
      <c r="D2862">
        <v>2861</v>
      </c>
      <c r="E2862" t="s">
        <v>58</v>
      </c>
      <c r="F2862" t="s">
        <v>24</v>
      </c>
      <c r="G2862">
        <v>2861</v>
      </c>
      <c r="H2862">
        <v>3632</v>
      </c>
      <c r="I2862">
        <v>38</v>
      </c>
      <c r="J2862" t="s">
        <v>46</v>
      </c>
      <c r="K2862" t="s">
        <v>47</v>
      </c>
      <c r="L2862" t="s">
        <v>83</v>
      </c>
      <c r="M2862" t="s">
        <v>40</v>
      </c>
      <c r="N2862">
        <v>2.9</v>
      </c>
      <c r="O2862">
        <v>0</v>
      </c>
      <c r="P2862" t="s">
        <v>48</v>
      </c>
      <c r="Q2862" t="s">
        <v>155</v>
      </c>
      <c r="R2862" t="s">
        <v>155</v>
      </c>
      <c r="S2862">
        <v>49</v>
      </c>
      <c r="T2862" t="s">
        <v>78</v>
      </c>
      <c r="U2862" t="s">
        <v>43</v>
      </c>
      <c r="V2862" s="1">
        <v>45353</v>
      </c>
      <c r="W2862">
        <f>Table1[[#This Row],[customer_purchase count]]+1</f>
        <v>50</v>
      </c>
      <c r="X2862">
        <f>Table1[[#This Row],[customer_purchase count]]*Rules!$B$3</f>
        <v>2928.4535897435899</v>
      </c>
      <c r="Y2862" t="str">
        <f>IF(Table1[[#This Row],[customer_subscription]]=1,"Subscribed","Not Subscribed")</f>
        <v>Not Subscribed</v>
      </c>
    </row>
    <row r="2863" spans="1:26" x14ac:dyDescent="0.25">
      <c r="A2863">
        <v>2862</v>
      </c>
      <c r="B2863">
        <v>66</v>
      </c>
      <c r="C2863" t="s">
        <v>156</v>
      </c>
      <c r="D2863">
        <v>2862</v>
      </c>
      <c r="E2863" t="s">
        <v>65</v>
      </c>
      <c r="F2863" t="s">
        <v>66</v>
      </c>
      <c r="G2863">
        <v>2862</v>
      </c>
      <c r="H2863">
        <v>3633</v>
      </c>
      <c r="I2863">
        <v>54</v>
      </c>
      <c r="J2863" t="s">
        <v>131</v>
      </c>
      <c r="K2863" t="s">
        <v>47</v>
      </c>
      <c r="L2863" t="s">
        <v>88</v>
      </c>
      <c r="M2863" t="s">
        <v>60</v>
      </c>
      <c r="N2863">
        <v>3.4</v>
      </c>
      <c r="O2863">
        <v>0</v>
      </c>
      <c r="P2863" t="s">
        <v>41</v>
      </c>
      <c r="Q2863" t="s">
        <v>155</v>
      </c>
      <c r="R2863" t="s">
        <v>155</v>
      </c>
      <c r="S2863">
        <v>27</v>
      </c>
      <c r="T2863" t="s">
        <v>42</v>
      </c>
      <c r="U2863" t="s">
        <v>91</v>
      </c>
      <c r="V2863" s="1">
        <v>45579</v>
      </c>
      <c r="W2863">
        <f>Table1[[#This Row],[customer_purchase count]]+1</f>
        <v>28</v>
      </c>
      <c r="X2863">
        <f>Table1[[#This Row],[customer_purchase count]]*Rules!$B$3</f>
        <v>1613.6376923076923</v>
      </c>
      <c r="Y2863" t="str">
        <f>IF(Table1[[#This Row],[customer_subscription]]=1,"Subscribed","Not Subscribed")</f>
        <v>Not Subscribed</v>
      </c>
    </row>
    <row r="2864" spans="1:26" x14ac:dyDescent="0.25">
      <c r="A2864">
        <v>2863</v>
      </c>
      <c r="B2864">
        <v>68</v>
      </c>
      <c r="C2864" t="s">
        <v>156</v>
      </c>
      <c r="D2864">
        <v>2863</v>
      </c>
      <c r="E2864" t="s">
        <v>65</v>
      </c>
      <c r="F2864" t="s">
        <v>66</v>
      </c>
      <c r="G2864">
        <v>2863</v>
      </c>
      <c r="H2864">
        <v>3634</v>
      </c>
      <c r="I2864">
        <v>75</v>
      </c>
      <c r="J2864" t="s">
        <v>80</v>
      </c>
      <c r="K2864" t="s">
        <v>39</v>
      </c>
      <c r="L2864" t="s">
        <v>86</v>
      </c>
      <c r="M2864" t="s">
        <v>56</v>
      </c>
      <c r="N2864">
        <v>4.7</v>
      </c>
      <c r="O2864">
        <v>0</v>
      </c>
      <c r="P2864" t="s">
        <v>77</v>
      </c>
      <c r="Q2864" t="s">
        <v>155</v>
      </c>
      <c r="R2864" t="s">
        <v>155</v>
      </c>
      <c r="S2864">
        <v>5</v>
      </c>
      <c r="T2864" t="s">
        <v>78</v>
      </c>
      <c r="U2864" t="s">
        <v>100</v>
      </c>
      <c r="V2864" s="1">
        <v>45486</v>
      </c>
      <c r="W2864">
        <f>Table1[[#This Row],[customer_purchase count]]+1</f>
        <v>6</v>
      </c>
      <c r="X2864">
        <f>Table1[[#This Row],[customer_purchase count]]*Rules!$B$3</f>
        <v>298.82179487179491</v>
      </c>
      <c r="Y2864" t="str">
        <f>IF(Table1[[#This Row],[customer_subscription]]=1,"Subscribed","Not Subscribed")</f>
        <v>Not Subscribed</v>
      </c>
      <c r="Z2864" t="s">
        <v>194</v>
      </c>
    </row>
    <row r="2865" spans="1:26" x14ac:dyDescent="0.25">
      <c r="A2865">
        <v>2864</v>
      </c>
      <c r="B2865">
        <v>37</v>
      </c>
      <c r="C2865" t="s">
        <v>156</v>
      </c>
      <c r="D2865">
        <v>2864</v>
      </c>
      <c r="E2865" t="s">
        <v>116</v>
      </c>
      <c r="F2865" t="s">
        <v>24</v>
      </c>
      <c r="G2865">
        <v>2864</v>
      </c>
      <c r="H2865">
        <v>3635</v>
      </c>
      <c r="I2865">
        <v>56</v>
      </c>
      <c r="J2865" t="s">
        <v>142</v>
      </c>
      <c r="K2865" t="s">
        <v>47</v>
      </c>
      <c r="L2865" t="s">
        <v>137</v>
      </c>
      <c r="M2865" t="s">
        <v>60</v>
      </c>
      <c r="N2865">
        <v>3.9</v>
      </c>
      <c r="O2865">
        <v>0</v>
      </c>
      <c r="P2865" t="s">
        <v>73</v>
      </c>
      <c r="Q2865" t="s">
        <v>155</v>
      </c>
      <c r="R2865" t="s">
        <v>155</v>
      </c>
      <c r="S2865">
        <v>18</v>
      </c>
      <c r="T2865" t="s">
        <v>31</v>
      </c>
      <c r="U2865" t="s">
        <v>91</v>
      </c>
      <c r="V2865" s="1">
        <v>45614</v>
      </c>
      <c r="W2865">
        <f>Table1[[#This Row],[customer_purchase count]]+1</f>
        <v>19</v>
      </c>
      <c r="X2865">
        <f>Table1[[#This Row],[customer_purchase count]]*Rules!$B$3</f>
        <v>1075.7584615384617</v>
      </c>
      <c r="Y2865" t="str">
        <f>IF(Table1[[#This Row],[customer_subscription]]=1,"Subscribed","Not Subscribed")</f>
        <v>Not Subscribed</v>
      </c>
    </row>
    <row r="2866" spans="1:26" x14ac:dyDescent="0.25">
      <c r="A2866">
        <v>2865</v>
      </c>
      <c r="B2866">
        <v>58</v>
      </c>
      <c r="C2866" t="s">
        <v>156</v>
      </c>
      <c r="D2866">
        <v>2865</v>
      </c>
      <c r="E2866" t="s">
        <v>33</v>
      </c>
      <c r="F2866" t="s">
        <v>24</v>
      </c>
      <c r="G2866">
        <v>2865</v>
      </c>
      <c r="H2866">
        <v>3637</v>
      </c>
      <c r="I2866">
        <v>43</v>
      </c>
      <c r="J2866" t="s">
        <v>118</v>
      </c>
      <c r="K2866" t="s">
        <v>39</v>
      </c>
      <c r="L2866" t="s">
        <v>35</v>
      </c>
      <c r="M2866" t="s">
        <v>60</v>
      </c>
      <c r="N2866">
        <v>3.6</v>
      </c>
      <c r="O2866">
        <v>0</v>
      </c>
      <c r="P2866" t="s">
        <v>77</v>
      </c>
      <c r="Q2866" t="s">
        <v>155</v>
      </c>
      <c r="R2866" t="s">
        <v>155</v>
      </c>
      <c r="S2866">
        <v>31</v>
      </c>
      <c r="T2866" t="s">
        <v>31</v>
      </c>
      <c r="U2866" t="s">
        <v>43</v>
      </c>
      <c r="V2866" s="1">
        <v>45577</v>
      </c>
      <c r="W2866">
        <f>Table1[[#This Row],[customer_purchase count]]+1</f>
        <v>32</v>
      </c>
      <c r="X2866">
        <f>Table1[[#This Row],[customer_purchase count]]*Rules!$B$3</f>
        <v>1852.6951282051282</v>
      </c>
      <c r="Y2866" t="str">
        <f>IF(Table1[[#This Row],[customer_subscription]]=1,"Subscribed","Not Subscribed")</f>
        <v>Not Subscribed</v>
      </c>
    </row>
    <row r="2867" spans="1:26" x14ac:dyDescent="0.25">
      <c r="A2867">
        <v>2866</v>
      </c>
      <c r="B2867">
        <v>28</v>
      </c>
      <c r="C2867" t="s">
        <v>156</v>
      </c>
      <c r="D2867">
        <v>2866</v>
      </c>
      <c r="E2867" t="s">
        <v>90</v>
      </c>
      <c r="F2867" t="s">
        <v>24</v>
      </c>
      <c r="G2867">
        <v>2866</v>
      </c>
      <c r="H2867">
        <v>3638</v>
      </c>
      <c r="I2867">
        <v>97</v>
      </c>
      <c r="J2867" t="s">
        <v>102</v>
      </c>
      <c r="K2867" t="s">
        <v>47</v>
      </c>
      <c r="L2867" t="s">
        <v>68</v>
      </c>
      <c r="M2867" t="s">
        <v>60</v>
      </c>
      <c r="N2867">
        <v>3.7</v>
      </c>
      <c r="O2867">
        <v>0</v>
      </c>
      <c r="P2867" t="s">
        <v>41</v>
      </c>
      <c r="Q2867" t="s">
        <v>155</v>
      </c>
      <c r="R2867" t="s">
        <v>155</v>
      </c>
      <c r="S2867">
        <v>27</v>
      </c>
      <c r="T2867" t="s">
        <v>36</v>
      </c>
      <c r="U2867" t="s">
        <v>32</v>
      </c>
      <c r="V2867" s="1">
        <v>45614</v>
      </c>
      <c r="W2867">
        <f>Table1[[#This Row],[customer_purchase count]]+1</f>
        <v>28</v>
      </c>
      <c r="X2867">
        <f>Table1[[#This Row],[customer_purchase count]]*Rules!$B$3</f>
        <v>1613.6376923076923</v>
      </c>
      <c r="Y2867" t="str">
        <f>IF(Table1[[#This Row],[customer_subscription]]=1,"Subscribed","Not Subscribed")</f>
        <v>Not Subscribed</v>
      </c>
    </row>
    <row r="2868" spans="1:26" x14ac:dyDescent="0.25">
      <c r="A2868">
        <v>2867</v>
      </c>
      <c r="B2868">
        <v>54</v>
      </c>
      <c r="C2868" t="s">
        <v>156</v>
      </c>
      <c r="D2868">
        <v>2867</v>
      </c>
      <c r="E2868" t="s">
        <v>23</v>
      </c>
      <c r="F2868" t="s">
        <v>24</v>
      </c>
      <c r="G2868">
        <v>2867</v>
      </c>
      <c r="H2868">
        <v>3639</v>
      </c>
      <c r="I2868">
        <v>75</v>
      </c>
      <c r="J2868" t="s">
        <v>142</v>
      </c>
      <c r="K2868" t="s">
        <v>39</v>
      </c>
      <c r="L2868" t="s">
        <v>86</v>
      </c>
      <c r="M2868" t="s">
        <v>56</v>
      </c>
      <c r="N2868">
        <v>3.1</v>
      </c>
      <c r="O2868">
        <v>0</v>
      </c>
      <c r="P2868" t="s">
        <v>41</v>
      </c>
      <c r="Q2868" t="s">
        <v>155</v>
      </c>
      <c r="R2868" t="s">
        <v>155</v>
      </c>
      <c r="S2868">
        <v>19</v>
      </c>
      <c r="T2868" t="s">
        <v>36</v>
      </c>
      <c r="U2868" t="s">
        <v>52</v>
      </c>
      <c r="V2868" s="1">
        <v>45524</v>
      </c>
      <c r="W2868">
        <f>Table1[[#This Row],[customer_purchase count]]+1</f>
        <v>20</v>
      </c>
      <c r="X2868">
        <f>Table1[[#This Row],[customer_purchase count]]*Rules!$B$3</f>
        <v>1135.5228205128205</v>
      </c>
      <c r="Y2868" t="str">
        <f>IF(Table1[[#This Row],[customer_subscription]]=1,"Subscribed","Not Subscribed")</f>
        <v>Not Subscribed</v>
      </c>
    </row>
    <row r="2869" spans="1:26" x14ac:dyDescent="0.25">
      <c r="A2869">
        <v>2868</v>
      </c>
      <c r="B2869">
        <v>21</v>
      </c>
      <c r="C2869" t="s">
        <v>156</v>
      </c>
      <c r="D2869">
        <v>2868</v>
      </c>
      <c r="E2869" t="s">
        <v>53</v>
      </c>
      <c r="F2869" t="s">
        <v>45</v>
      </c>
      <c r="G2869">
        <v>2868</v>
      </c>
      <c r="H2869">
        <v>3640</v>
      </c>
      <c r="I2869">
        <v>55</v>
      </c>
      <c r="J2869" t="s">
        <v>115</v>
      </c>
      <c r="K2869" t="s">
        <v>26</v>
      </c>
      <c r="L2869" t="s">
        <v>55</v>
      </c>
      <c r="M2869" t="s">
        <v>56</v>
      </c>
      <c r="N2869">
        <v>4.9000000000000004</v>
      </c>
      <c r="O2869">
        <v>0</v>
      </c>
      <c r="P2869" t="s">
        <v>48</v>
      </c>
      <c r="Q2869" t="s">
        <v>155</v>
      </c>
      <c r="R2869" t="s">
        <v>155</v>
      </c>
      <c r="S2869">
        <v>33</v>
      </c>
      <c r="T2869" t="s">
        <v>36</v>
      </c>
      <c r="U2869" t="s">
        <v>32</v>
      </c>
      <c r="V2869" s="1">
        <v>45527</v>
      </c>
      <c r="W2869">
        <f>Table1[[#This Row],[customer_purchase count]]+1</f>
        <v>34</v>
      </c>
      <c r="X2869">
        <f>Table1[[#This Row],[customer_purchase count]]*Rules!$B$3</f>
        <v>1972.2238461538464</v>
      </c>
      <c r="Y2869" t="str">
        <f>IF(Table1[[#This Row],[customer_subscription]]=1,"Subscribed","Not Subscribed")</f>
        <v>Not Subscribed</v>
      </c>
    </row>
    <row r="2870" spans="1:26" x14ac:dyDescent="0.25">
      <c r="A2870">
        <v>2869</v>
      </c>
      <c r="B2870">
        <v>45</v>
      </c>
      <c r="C2870" t="s">
        <v>156</v>
      </c>
      <c r="D2870">
        <v>2869</v>
      </c>
      <c r="E2870" t="s">
        <v>135</v>
      </c>
      <c r="F2870" t="s">
        <v>70</v>
      </c>
      <c r="G2870">
        <v>2869</v>
      </c>
      <c r="H2870">
        <v>3641</v>
      </c>
      <c r="I2870">
        <v>49</v>
      </c>
      <c r="J2870" t="s">
        <v>115</v>
      </c>
      <c r="K2870" t="s">
        <v>47</v>
      </c>
      <c r="L2870" t="s">
        <v>97</v>
      </c>
      <c r="M2870" t="s">
        <v>28</v>
      </c>
      <c r="N2870">
        <v>2.6</v>
      </c>
      <c r="O2870">
        <v>0</v>
      </c>
      <c r="P2870" t="s">
        <v>48</v>
      </c>
      <c r="Q2870" t="s">
        <v>155</v>
      </c>
      <c r="R2870" t="s">
        <v>155</v>
      </c>
      <c r="S2870">
        <v>42</v>
      </c>
      <c r="T2870" t="s">
        <v>49</v>
      </c>
      <c r="U2870" t="s">
        <v>100</v>
      </c>
      <c r="V2870" s="1">
        <v>45312</v>
      </c>
      <c r="W2870">
        <f>Table1[[#This Row],[customer_purchase count]]+1</f>
        <v>43</v>
      </c>
      <c r="X2870">
        <f>Table1[[#This Row],[customer_purchase count]]*Rules!$B$3</f>
        <v>2510.103076923077</v>
      </c>
      <c r="Y2870" t="str">
        <f>IF(Table1[[#This Row],[customer_subscription]]=1,"Subscribed","Not Subscribed")</f>
        <v>Not Subscribed</v>
      </c>
    </row>
    <row r="2871" spans="1:26" x14ac:dyDescent="0.25">
      <c r="A2871">
        <v>2870</v>
      </c>
      <c r="B2871">
        <v>57</v>
      </c>
      <c r="C2871" t="s">
        <v>156</v>
      </c>
      <c r="D2871">
        <v>2870</v>
      </c>
      <c r="E2871" t="s">
        <v>128</v>
      </c>
      <c r="F2871" t="s">
        <v>24</v>
      </c>
      <c r="G2871">
        <v>2870</v>
      </c>
      <c r="H2871">
        <v>3643</v>
      </c>
      <c r="I2871">
        <v>58</v>
      </c>
      <c r="J2871" t="s">
        <v>145</v>
      </c>
      <c r="K2871" t="s">
        <v>47</v>
      </c>
      <c r="L2871" t="s">
        <v>55</v>
      </c>
      <c r="M2871" t="s">
        <v>56</v>
      </c>
      <c r="N2871">
        <v>4.2</v>
      </c>
      <c r="O2871">
        <v>0</v>
      </c>
      <c r="P2871" t="s">
        <v>57</v>
      </c>
      <c r="Q2871" t="s">
        <v>155</v>
      </c>
      <c r="R2871" t="s">
        <v>155</v>
      </c>
      <c r="S2871">
        <v>16</v>
      </c>
      <c r="T2871" t="s">
        <v>78</v>
      </c>
      <c r="U2871" t="s">
        <v>43</v>
      </c>
      <c r="V2871" s="1">
        <v>45445</v>
      </c>
      <c r="W2871">
        <f>Table1[[#This Row],[customer_purchase count]]+1</f>
        <v>17</v>
      </c>
      <c r="X2871">
        <f>Table1[[#This Row],[customer_purchase count]]*Rules!$B$3</f>
        <v>956.22974358974363</v>
      </c>
      <c r="Y2871" t="str">
        <f>IF(Table1[[#This Row],[customer_subscription]]=1,"Subscribed","Not Subscribed")</f>
        <v>Not Subscribed</v>
      </c>
      <c r="Z2871" t="s">
        <v>194</v>
      </c>
    </row>
    <row r="2872" spans="1:26" x14ac:dyDescent="0.25">
      <c r="A2872">
        <v>2871</v>
      </c>
      <c r="B2872">
        <v>47</v>
      </c>
      <c r="C2872" t="s">
        <v>156</v>
      </c>
      <c r="D2872">
        <v>2871</v>
      </c>
      <c r="E2872" t="s">
        <v>109</v>
      </c>
      <c r="F2872" t="s">
        <v>70</v>
      </c>
      <c r="G2872">
        <v>2871</v>
      </c>
      <c r="H2872">
        <v>3644</v>
      </c>
      <c r="I2872">
        <v>34</v>
      </c>
      <c r="J2872" t="s">
        <v>117</v>
      </c>
      <c r="K2872" t="s">
        <v>47</v>
      </c>
      <c r="L2872" t="s">
        <v>147</v>
      </c>
      <c r="M2872" t="s">
        <v>28</v>
      </c>
      <c r="N2872">
        <v>4.8</v>
      </c>
      <c r="O2872">
        <v>0</v>
      </c>
      <c r="P2872" t="s">
        <v>41</v>
      </c>
      <c r="Q2872" t="s">
        <v>155</v>
      </c>
      <c r="R2872" t="s">
        <v>155</v>
      </c>
      <c r="S2872">
        <v>49</v>
      </c>
      <c r="T2872" t="s">
        <v>89</v>
      </c>
      <c r="U2872" t="s">
        <v>100</v>
      </c>
      <c r="V2872" s="1">
        <v>45633</v>
      </c>
      <c r="W2872">
        <f>Table1[[#This Row],[customer_purchase count]]+1</f>
        <v>50</v>
      </c>
      <c r="X2872">
        <f>Table1[[#This Row],[customer_purchase count]]*Rules!$B$3</f>
        <v>2928.4535897435899</v>
      </c>
      <c r="Y2872" t="str">
        <f>IF(Table1[[#This Row],[customer_subscription]]=1,"Subscribed","Not Subscribed")</f>
        <v>Not Subscribed</v>
      </c>
    </row>
    <row r="2873" spans="1:26" x14ac:dyDescent="0.25">
      <c r="A2873">
        <v>2872</v>
      </c>
      <c r="B2873">
        <v>46</v>
      </c>
      <c r="C2873" t="s">
        <v>156</v>
      </c>
      <c r="D2873">
        <v>2872</v>
      </c>
      <c r="E2873" t="s">
        <v>62</v>
      </c>
      <c r="F2873" t="s">
        <v>24</v>
      </c>
      <c r="G2873">
        <v>2872</v>
      </c>
      <c r="H2873">
        <v>3645</v>
      </c>
      <c r="I2873">
        <v>43</v>
      </c>
      <c r="J2873" t="s">
        <v>138</v>
      </c>
      <c r="K2873" t="s">
        <v>39</v>
      </c>
      <c r="L2873" t="s">
        <v>97</v>
      </c>
      <c r="M2873" t="s">
        <v>56</v>
      </c>
      <c r="N2873">
        <v>2.7</v>
      </c>
      <c r="O2873">
        <v>0</v>
      </c>
      <c r="P2873" t="s">
        <v>73</v>
      </c>
      <c r="Q2873" t="s">
        <v>155</v>
      </c>
      <c r="R2873" t="s">
        <v>155</v>
      </c>
      <c r="S2873">
        <v>40</v>
      </c>
      <c r="T2873" t="s">
        <v>31</v>
      </c>
      <c r="U2873" t="s">
        <v>79</v>
      </c>
      <c r="V2873" s="1">
        <v>45519</v>
      </c>
      <c r="W2873">
        <f>Table1[[#This Row],[customer_purchase count]]+1</f>
        <v>41</v>
      </c>
      <c r="X2873">
        <f>Table1[[#This Row],[customer_purchase count]]*Rules!$B$3</f>
        <v>2390.5743589743593</v>
      </c>
      <c r="Y2873" t="str">
        <f>IF(Table1[[#This Row],[customer_subscription]]=1,"Subscribed","Not Subscribed")</f>
        <v>Not Subscribed</v>
      </c>
    </row>
    <row r="2874" spans="1:26" x14ac:dyDescent="0.25">
      <c r="A2874">
        <v>2873</v>
      </c>
      <c r="B2874">
        <v>63</v>
      </c>
      <c r="C2874" t="s">
        <v>156</v>
      </c>
      <c r="D2874">
        <v>2873</v>
      </c>
      <c r="E2874" t="s">
        <v>109</v>
      </c>
      <c r="F2874" t="s">
        <v>70</v>
      </c>
      <c r="G2874">
        <v>2873</v>
      </c>
      <c r="H2874">
        <v>3646</v>
      </c>
      <c r="I2874">
        <v>48</v>
      </c>
      <c r="J2874" t="s">
        <v>142</v>
      </c>
      <c r="K2874" t="s">
        <v>26</v>
      </c>
      <c r="L2874" t="s">
        <v>81</v>
      </c>
      <c r="M2874" t="s">
        <v>60</v>
      </c>
      <c r="N2874">
        <v>2.6</v>
      </c>
      <c r="O2874">
        <v>0</v>
      </c>
      <c r="P2874" t="s">
        <v>48</v>
      </c>
      <c r="Q2874" t="s">
        <v>155</v>
      </c>
      <c r="R2874" t="s">
        <v>155</v>
      </c>
      <c r="S2874">
        <v>5</v>
      </c>
      <c r="T2874" t="s">
        <v>36</v>
      </c>
      <c r="U2874" t="s">
        <v>52</v>
      </c>
      <c r="V2874" s="1">
        <v>45551</v>
      </c>
      <c r="W2874">
        <f>Table1[[#This Row],[customer_purchase count]]+1</f>
        <v>6</v>
      </c>
      <c r="X2874">
        <f>Table1[[#This Row],[customer_purchase count]]*Rules!$B$3</f>
        <v>298.82179487179491</v>
      </c>
      <c r="Y2874" t="str">
        <f>IF(Table1[[#This Row],[customer_subscription]]=1,"Subscribed","Not Subscribed")</f>
        <v>Not Subscribed</v>
      </c>
      <c r="Z2874" t="s">
        <v>194</v>
      </c>
    </row>
    <row r="2875" spans="1:26" x14ac:dyDescent="0.25">
      <c r="A2875">
        <v>2874</v>
      </c>
      <c r="B2875">
        <v>44</v>
      </c>
      <c r="C2875" t="s">
        <v>156</v>
      </c>
      <c r="D2875">
        <v>2874</v>
      </c>
      <c r="E2875" t="s">
        <v>33</v>
      </c>
      <c r="F2875" t="s">
        <v>24</v>
      </c>
      <c r="G2875">
        <v>2874</v>
      </c>
      <c r="H2875">
        <v>3647</v>
      </c>
      <c r="I2875">
        <v>40</v>
      </c>
      <c r="J2875" t="s">
        <v>59</v>
      </c>
      <c r="K2875" t="s">
        <v>47</v>
      </c>
      <c r="L2875" t="s">
        <v>88</v>
      </c>
      <c r="M2875" t="s">
        <v>40</v>
      </c>
      <c r="N2875">
        <v>2.6</v>
      </c>
      <c r="O2875">
        <v>0</v>
      </c>
      <c r="P2875" t="s">
        <v>41</v>
      </c>
      <c r="Q2875" t="s">
        <v>155</v>
      </c>
      <c r="R2875" t="s">
        <v>155</v>
      </c>
      <c r="S2875">
        <v>8</v>
      </c>
      <c r="T2875" t="s">
        <v>78</v>
      </c>
      <c r="U2875" t="s">
        <v>91</v>
      </c>
      <c r="V2875" s="1">
        <v>45388</v>
      </c>
      <c r="W2875">
        <f>Table1[[#This Row],[customer_purchase count]]+1</f>
        <v>9</v>
      </c>
      <c r="X2875">
        <f>Table1[[#This Row],[customer_purchase count]]*Rules!$B$3</f>
        <v>478.11487179487182</v>
      </c>
      <c r="Y2875" t="str">
        <f>IF(Table1[[#This Row],[customer_subscription]]=1,"Subscribed","Not Subscribed")</f>
        <v>Not Subscribed</v>
      </c>
      <c r="Z2875" t="s">
        <v>194</v>
      </c>
    </row>
    <row r="2876" spans="1:26" x14ac:dyDescent="0.25">
      <c r="A2876">
        <v>2875</v>
      </c>
      <c r="B2876">
        <v>36</v>
      </c>
      <c r="C2876" t="s">
        <v>156</v>
      </c>
      <c r="D2876">
        <v>2875</v>
      </c>
      <c r="E2876" t="s">
        <v>58</v>
      </c>
      <c r="F2876" t="s">
        <v>24</v>
      </c>
      <c r="G2876">
        <v>2875</v>
      </c>
      <c r="H2876">
        <v>3649</v>
      </c>
      <c r="I2876">
        <v>29</v>
      </c>
      <c r="J2876" t="s">
        <v>115</v>
      </c>
      <c r="K2876" t="s">
        <v>26</v>
      </c>
      <c r="L2876" t="s">
        <v>68</v>
      </c>
      <c r="M2876" t="s">
        <v>56</v>
      </c>
      <c r="N2876">
        <v>3.1</v>
      </c>
      <c r="O2876">
        <v>0</v>
      </c>
      <c r="P2876" t="s">
        <v>57</v>
      </c>
      <c r="Q2876" t="s">
        <v>155</v>
      </c>
      <c r="R2876" t="s">
        <v>155</v>
      </c>
      <c r="S2876">
        <v>2</v>
      </c>
      <c r="T2876" t="s">
        <v>89</v>
      </c>
      <c r="U2876" t="s">
        <v>52</v>
      </c>
      <c r="V2876" s="1">
        <v>45493</v>
      </c>
      <c r="W2876">
        <f>Table1[[#This Row],[customer_purchase count]]+1</f>
        <v>3</v>
      </c>
      <c r="X2876">
        <f>Table1[[#This Row],[customer_purchase count]]*Rules!$B$3</f>
        <v>119.52871794871795</v>
      </c>
      <c r="Y2876" t="str">
        <f>IF(Table1[[#This Row],[customer_subscription]]=1,"Subscribed","Not Subscribed")</f>
        <v>Not Subscribed</v>
      </c>
      <c r="Z2876" t="s">
        <v>194</v>
      </c>
    </row>
    <row r="2877" spans="1:26" x14ac:dyDescent="0.25">
      <c r="A2877">
        <v>2876</v>
      </c>
      <c r="B2877">
        <v>24</v>
      </c>
      <c r="C2877" t="s">
        <v>156</v>
      </c>
      <c r="D2877">
        <v>2876</v>
      </c>
      <c r="E2877" t="s">
        <v>98</v>
      </c>
      <c r="F2877" t="s">
        <v>24</v>
      </c>
      <c r="G2877">
        <v>2876</v>
      </c>
      <c r="H2877">
        <v>3650</v>
      </c>
      <c r="I2877">
        <v>81</v>
      </c>
      <c r="J2877" t="s">
        <v>25</v>
      </c>
      <c r="K2877" t="s">
        <v>47</v>
      </c>
      <c r="L2877" t="s">
        <v>72</v>
      </c>
      <c r="M2877" t="s">
        <v>60</v>
      </c>
      <c r="N2877">
        <v>2.6</v>
      </c>
      <c r="O2877">
        <v>0</v>
      </c>
      <c r="P2877" t="s">
        <v>41</v>
      </c>
      <c r="Q2877" t="s">
        <v>155</v>
      </c>
      <c r="R2877" t="s">
        <v>155</v>
      </c>
      <c r="S2877">
        <v>14</v>
      </c>
      <c r="T2877" t="s">
        <v>89</v>
      </c>
      <c r="U2877" t="s">
        <v>43</v>
      </c>
      <c r="V2877" s="1">
        <v>45606</v>
      </c>
      <c r="W2877">
        <f>Table1[[#This Row],[customer_purchase count]]+1</f>
        <v>15</v>
      </c>
      <c r="X2877">
        <f>Table1[[#This Row],[customer_purchase count]]*Rules!$B$3</f>
        <v>836.70102564102569</v>
      </c>
      <c r="Y2877" t="str">
        <f>IF(Table1[[#This Row],[customer_subscription]]=1,"Subscribed","Not Subscribed")</f>
        <v>Not Subscribed</v>
      </c>
      <c r="Z2877" t="s">
        <v>187</v>
      </c>
    </row>
    <row r="2878" spans="1:26" x14ac:dyDescent="0.25">
      <c r="A2878">
        <v>2877</v>
      </c>
      <c r="B2878">
        <v>65</v>
      </c>
      <c r="C2878" t="s">
        <v>156</v>
      </c>
      <c r="D2878">
        <v>2877</v>
      </c>
      <c r="E2878" t="s">
        <v>107</v>
      </c>
      <c r="F2878" t="s">
        <v>24</v>
      </c>
      <c r="G2878">
        <v>2877</v>
      </c>
      <c r="H2878">
        <v>3651</v>
      </c>
      <c r="I2878">
        <v>84</v>
      </c>
      <c r="J2878" t="s">
        <v>133</v>
      </c>
      <c r="K2878" t="s">
        <v>47</v>
      </c>
      <c r="L2878" t="s">
        <v>64</v>
      </c>
      <c r="M2878" t="s">
        <v>40</v>
      </c>
      <c r="N2878">
        <v>3.4</v>
      </c>
      <c r="O2878">
        <v>0</v>
      </c>
      <c r="P2878" t="s">
        <v>73</v>
      </c>
      <c r="Q2878" t="s">
        <v>155</v>
      </c>
      <c r="R2878" t="s">
        <v>155</v>
      </c>
      <c r="S2878">
        <v>5</v>
      </c>
      <c r="T2878" t="s">
        <v>78</v>
      </c>
      <c r="U2878" t="s">
        <v>32</v>
      </c>
      <c r="V2878" s="1">
        <v>45385</v>
      </c>
      <c r="W2878">
        <f>Table1[[#This Row],[customer_purchase count]]+1</f>
        <v>6</v>
      </c>
      <c r="X2878">
        <f>Table1[[#This Row],[customer_purchase count]]*Rules!$B$3</f>
        <v>298.82179487179491</v>
      </c>
      <c r="Y2878" t="str">
        <f>IF(Table1[[#This Row],[customer_subscription]]=1,"Subscribed","Not Subscribed")</f>
        <v>Not Subscribed</v>
      </c>
      <c r="Z2878" t="s">
        <v>194</v>
      </c>
    </row>
    <row r="2879" spans="1:26" x14ac:dyDescent="0.25">
      <c r="A2879">
        <v>2878</v>
      </c>
      <c r="B2879">
        <v>32</v>
      </c>
      <c r="C2879" t="s">
        <v>156</v>
      </c>
      <c r="D2879">
        <v>2878</v>
      </c>
      <c r="E2879" t="s">
        <v>128</v>
      </c>
      <c r="F2879" t="s">
        <v>24</v>
      </c>
      <c r="G2879">
        <v>2878</v>
      </c>
      <c r="H2879">
        <v>3652</v>
      </c>
      <c r="I2879">
        <v>46</v>
      </c>
      <c r="J2879" t="s">
        <v>130</v>
      </c>
      <c r="K2879" t="s">
        <v>47</v>
      </c>
      <c r="L2879" t="s">
        <v>68</v>
      </c>
      <c r="M2879" t="s">
        <v>56</v>
      </c>
      <c r="N2879">
        <v>3.6</v>
      </c>
      <c r="O2879">
        <v>0</v>
      </c>
      <c r="P2879" t="s">
        <v>57</v>
      </c>
      <c r="Q2879" t="s">
        <v>155</v>
      </c>
      <c r="R2879" t="s">
        <v>155</v>
      </c>
      <c r="S2879">
        <v>34</v>
      </c>
      <c r="T2879" t="s">
        <v>31</v>
      </c>
      <c r="U2879" t="s">
        <v>91</v>
      </c>
      <c r="V2879" s="1">
        <v>45455</v>
      </c>
      <c r="W2879">
        <f>Table1[[#This Row],[customer_purchase count]]+1</f>
        <v>35</v>
      </c>
      <c r="X2879">
        <f>Table1[[#This Row],[customer_purchase count]]*Rules!$B$3</f>
        <v>2031.9882051282052</v>
      </c>
      <c r="Y2879" t="str">
        <f>IF(Table1[[#This Row],[customer_subscription]]=1,"Subscribed","Not Subscribed")</f>
        <v>Not Subscribed</v>
      </c>
    </row>
    <row r="2880" spans="1:26" x14ac:dyDescent="0.25">
      <c r="A2880">
        <v>2879</v>
      </c>
      <c r="B2880">
        <v>63</v>
      </c>
      <c r="C2880" t="s">
        <v>156</v>
      </c>
      <c r="D2880">
        <v>2879</v>
      </c>
      <c r="E2880" t="s">
        <v>84</v>
      </c>
      <c r="F2880" t="s">
        <v>24</v>
      </c>
      <c r="G2880">
        <v>2879</v>
      </c>
      <c r="H2880">
        <v>3653</v>
      </c>
      <c r="I2880">
        <v>86</v>
      </c>
      <c r="J2880" t="s">
        <v>102</v>
      </c>
      <c r="K2880" t="s">
        <v>26</v>
      </c>
      <c r="L2880" t="s">
        <v>51</v>
      </c>
      <c r="M2880" t="s">
        <v>56</v>
      </c>
      <c r="N2880">
        <v>4.3</v>
      </c>
      <c r="O2880">
        <v>0</v>
      </c>
      <c r="P2880" t="s">
        <v>48</v>
      </c>
      <c r="Q2880" t="s">
        <v>155</v>
      </c>
      <c r="R2880" t="s">
        <v>155</v>
      </c>
      <c r="S2880">
        <v>13</v>
      </c>
      <c r="T2880" t="s">
        <v>78</v>
      </c>
      <c r="U2880" t="s">
        <v>52</v>
      </c>
      <c r="V2880" s="1">
        <v>45492</v>
      </c>
      <c r="W2880">
        <f>Table1[[#This Row],[customer_purchase count]]+1</f>
        <v>14</v>
      </c>
      <c r="X2880">
        <f>Table1[[#This Row],[customer_purchase count]]*Rules!$B$3</f>
        <v>776.93666666666672</v>
      </c>
      <c r="Y2880" t="str">
        <f>IF(Table1[[#This Row],[customer_subscription]]=1,"Subscribed","Not Subscribed")</f>
        <v>Not Subscribed</v>
      </c>
      <c r="Z2880" t="s">
        <v>194</v>
      </c>
    </row>
    <row r="2881" spans="1:26" x14ac:dyDescent="0.25">
      <c r="A2881">
        <v>2880</v>
      </c>
      <c r="B2881">
        <v>62</v>
      </c>
      <c r="C2881" t="s">
        <v>156</v>
      </c>
      <c r="D2881">
        <v>2880</v>
      </c>
      <c r="E2881" t="s">
        <v>23</v>
      </c>
      <c r="F2881" t="s">
        <v>24</v>
      </c>
      <c r="G2881">
        <v>2880</v>
      </c>
      <c r="H2881">
        <v>3655</v>
      </c>
      <c r="I2881">
        <v>57</v>
      </c>
      <c r="J2881" t="s">
        <v>117</v>
      </c>
      <c r="K2881" t="s">
        <v>95</v>
      </c>
      <c r="L2881" t="s">
        <v>51</v>
      </c>
      <c r="M2881" t="s">
        <v>28</v>
      </c>
      <c r="N2881">
        <v>4.9000000000000004</v>
      </c>
      <c r="O2881">
        <v>0</v>
      </c>
      <c r="P2881" t="s">
        <v>41</v>
      </c>
      <c r="Q2881" t="s">
        <v>155</v>
      </c>
      <c r="R2881" t="s">
        <v>155</v>
      </c>
      <c r="S2881">
        <v>31</v>
      </c>
      <c r="T2881" t="s">
        <v>31</v>
      </c>
      <c r="U2881" t="s">
        <v>52</v>
      </c>
      <c r="V2881" s="1">
        <v>45334</v>
      </c>
      <c r="W2881">
        <f>Table1[[#This Row],[customer_purchase count]]+1</f>
        <v>32</v>
      </c>
      <c r="X2881">
        <f>Table1[[#This Row],[customer_purchase count]]*Rules!$B$3</f>
        <v>1852.6951282051282</v>
      </c>
      <c r="Y2881" t="str">
        <f>IF(Table1[[#This Row],[customer_subscription]]=1,"Subscribed","Not Subscribed")</f>
        <v>Not Subscribed</v>
      </c>
    </row>
    <row r="2882" spans="1:26" x14ac:dyDescent="0.25">
      <c r="A2882">
        <v>2881</v>
      </c>
      <c r="B2882">
        <v>19</v>
      </c>
      <c r="C2882" t="s">
        <v>156</v>
      </c>
      <c r="D2882">
        <v>2881</v>
      </c>
      <c r="E2882" t="s">
        <v>90</v>
      </c>
      <c r="F2882" t="s">
        <v>24</v>
      </c>
      <c r="G2882">
        <v>2881</v>
      </c>
      <c r="H2882">
        <v>3656</v>
      </c>
      <c r="I2882">
        <v>61</v>
      </c>
      <c r="J2882" t="s">
        <v>106</v>
      </c>
      <c r="K2882" t="s">
        <v>26</v>
      </c>
      <c r="L2882" t="s">
        <v>121</v>
      </c>
      <c r="M2882" t="s">
        <v>28</v>
      </c>
      <c r="N2882">
        <v>4.8</v>
      </c>
      <c r="O2882">
        <v>0</v>
      </c>
      <c r="P2882" t="s">
        <v>77</v>
      </c>
      <c r="Q2882" t="s">
        <v>155</v>
      </c>
      <c r="R2882" t="s">
        <v>155</v>
      </c>
      <c r="S2882">
        <v>43</v>
      </c>
      <c r="T2882" t="s">
        <v>49</v>
      </c>
      <c r="U2882" t="s">
        <v>61</v>
      </c>
      <c r="V2882" s="1">
        <v>45311</v>
      </c>
      <c r="W2882">
        <f>Table1[[#This Row],[customer_purchase count]]+1</f>
        <v>44</v>
      </c>
      <c r="X2882">
        <f>Table1[[#This Row],[customer_purchase count]]*Rules!$B$3</f>
        <v>2569.8674358974358</v>
      </c>
      <c r="Y2882" t="str">
        <f>IF(Table1[[#This Row],[customer_subscription]]=1,"Subscribed","Not Subscribed")</f>
        <v>Not Subscribed</v>
      </c>
    </row>
    <row r="2883" spans="1:26" x14ac:dyDescent="0.25">
      <c r="A2883">
        <v>2882</v>
      </c>
      <c r="B2883">
        <v>38</v>
      </c>
      <c r="C2883" t="s">
        <v>156</v>
      </c>
      <c r="D2883">
        <v>2882</v>
      </c>
      <c r="E2883" t="s">
        <v>135</v>
      </c>
      <c r="F2883" t="s">
        <v>70</v>
      </c>
      <c r="G2883">
        <v>2882</v>
      </c>
      <c r="H2883">
        <v>3657</v>
      </c>
      <c r="I2883">
        <v>90</v>
      </c>
      <c r="J2883" t="s">
        <v>108</v>
      </c>
      <c r="K2883" t="s">
        <v>47</v>
      </c>
      <c r="L2883" t="s">
        <v>112</v>
      </c>
      <c r="M2883" t="s">
        <v>28</v>
      </c>
      <c r="N2883">
        <v>4.2</v>
      </c>
      <c r="O2883">
        <v>0</v>
      </c>
      <c r="P2883" t="s">
        <v>41</v>
      </c>
      <c r="Q2883" t="s">
        <v>155</v>
      </c>
      <c r="R2883" t="s">
        <v>155</v>
      </c>
      <c r="S2883">
        <v>6</v>
      </c>
      <c r="T2883" t="s">
        <v>78</v>
      </c>
      <c r="U2883" t="s">
        <v>52</v>
      </c>
      <c r="V2883" s="1">
        <v>45636</v>
      </c>
      <c r="W2883">
        <f>Table1[[#This Row],[customer_purchase count]]+1</f>
        <v>7</v>
      </c>
      <c r="X2883">
        <f>Table1[[#This Row],[customer_purchase count]]*Rules!$B$3</f>
        <v>358.58615384615388</v>
      </c>
      <c r="Y2883" t="str">
        <f>IF(Table1[[#This Row],[customer_subscription]]=1,"Subscribed","Not Subscribed")</f>
        <v>Not Subscribed</v>
      </c>
      <c r="Z2883" t="s">
        <v>194</v>
      </c>
    </row>
    <row r="2884" spans="1:26" x14ac:dyDescent="0.25">
      <c r="A2884">
        <v>2883</v>
      </c>
      <c r="B2884">
        <v>59</v>
      </c>
      <c r="C2884" t="s">
        <v>156</v>
      </c>
      <c r="D2884">
        <v>2883</v>
      </c>
      <c r="E2884" t="s">
        <v>23</v>
      </c>
      <c r="F2884" t="s">
        <v>24</v>
      </c>
      <c r="G2884">
        <v>2883</v>
      </c>
      <c r="H2884">
        <v>3658</v>
      </c>
      <c r="I2884">
        <v>51</v>
      </c>
      <c r="J2884" t="s">
        <v>104</v>
      </c>
      <c r="K2884" t="s">
        <v>26</v>
      </c>
      <c r="L2884" t="s">
        <v>83</v>
      </c>
      <c r="M2884" t="s">
        <v>28</v>
      </c>
      <c r="N2884">
        <v>2.6</v>
      </c>
      <c r="O2884">
        <v>0</v>
      </c>
      <c r="P2884" t="s">
        <v>77</v>
      </c>
      <c r="Q2884" t="s">
        <v>155</v>
      </c>
      <c r="R2884" t="s">
        <v>155</v>
      </c>
      <c r="S2884">
        <v>23</v>
      </c>
      <c r="T2884" t="s">
        <v>42</v>
      </c>
      <c r="U2884" t="s">
        <v>79</v>
      </c>
      <c r="V2884" s="1">
        <v>45632</v>
      </c>
      <c r="W2884">
        <f>Table1[[#This Row],[customer_purchase count]]+1</f>
        <v>24</v>
      </c>
      <c r="X2884">
        <f>Table1[[#This Row],[customer_purchase count]]*Rules!$B$3</f>
        <v>1374.5802564102564</v>
      </c>
      <c r="Y2884" t="str">
        <f>IF(Table1[[#This Row],[customer_subscription]]=1,"Subscribed","Not Subscribed")</f>
        <v>Not Subscribed</v>
      </c>
    </row>
    <row r="2885" spans="1:26" x14ac:dyDescent="0.25">
      <c r="A2885">
        <v>2884</v>
      </c>
      <c r="B2885">
        <v>22</v>
      </c>
      <c r="C2885" t="s">
        <v>156</v>
      </c>
      <c r="D2885">
        <v>2884</v>
      </c>
      <c r="E2885" t="s">
        <v>128</v>
      </c>
      <c r="F2885" t="s">
        <v>24</v>
      </c>
      <c r="G2885">
        <v>2884</v>
      </c>
      <c r="H2885">
        <v>3659</v>
      </c>
      <c r="I2885">
        <v>48</v>
      </c>
      <c r="J2885" t="s">
        <v>46</v>
      </c>
      <c r="K2885" t="s">
        <v>95</v>
      </c>
      <c r="L2885" t="s">
        <v>68</v>
      </c>
      <c r="M2885" t="s">
        <v>40</v>
      </c>
      <c r="N2885">
        <v>3.2</v>
      </c>
      <c r="O2885">
        <v>0</v>
      </c>
      <c r="P2885" t="s">
        <v>57</v>
      </c>
      <c r="Q2885" t="s">
        <v>155</v>
      </c>
      <c r="R2885" t="s">
        <v>155</v>
      </c>
      <c r="S2885">
        <v>10</v>
      </c>
      <c r="T2885" t="s">
        <v>49</v>
      </c>
      <c r="U2885" t="s">
        <v>43</v>
      </c>
      <c r="V2885" s="1">
        <v>45356</v>
      </c>
      <c r="W2885">
        <f>Table1[[#This Row],[customer_purchase count]]+1</f>
        <v>11</v>
      </c>
      <c r="X2885">
        <f>Table1[[#This Row],[customer_purchase count]]*Rules!$B$3</f>
        <v>597.64358974358981</v>
      </c>
      <c r="Y2885" t="str">
        <f>IF(Table1[[#This Row],[customer_subscription]]=1,"Subscribed","Not Subscribed")</f>
        <v>Not Subscribed</v>
      </c>
      <c r="Z2885" t="s">
        <v>187</v>
      </c>
    </row>
    <row r="2886" spans="1:26" x14ac:dyDescent="0.25">
      <c r="A2886">
        <v>2885</v>
      </c>
      <c r="B2886">
        <v>55</v>
      </c>
      <c r="C2886" t="s">
        <v>156</v>
      </c>
      <c r="D2886">
        <v>2885</v>
      </c>
      <c r="E2886" t="s">
        <v>140</v>
      </c>
      <c r="F2886" t="s">
        <v>45</v>
      </c>
      <c r="G2886">
        <v>2885</v>
      </c>
      <c r="H2886">
        <v>3661</v>
      </c>
      <c r="I2886">
        <v>50</v>
      </c>
      <c r="J2886" t="s">
        <v>75</v>
      </c>
      <c r="K2886" t="s">
        <v>47</v>
      </c>
      <c r="L2886" t="s">
        <v>76</v>
      </c>
      <c r="M2886" t="s">
        <v>56</v>
      </c>
      <c r="N2886">
        <v>3.4</v>
      </c>
      <c r="O2886">
        <v>0</v>
      </c>
      <c r="P2886" t="s">
        <v>73</v>
      </c>
      <c r="Q2886" t="s">
        <v>155</v>
      </c>
      <c r="R2886" t="s">
        <v>155</v>
      </c>
      <c r="S2886">
        <v>47</v>
      </c>
      <c r="T2886" t="s">
        <v>42</v>
      </c>
      <c r="U2886" t="s">
        <v>100</v>
      </c>
      <c r="V2886" s="1">
        <v>45500</v>
      </c>
      <c r="W2886">
        <f>Table1[[#This Row],[customer_purchase count]]+1</f>
        <v>48</v>
      </c>
      <c r="X2886">
        <f>Table1[[#This Row],[customer_purchase count]]*Rules!$B$3</f>
        <v>2808.9248717948717</v>
      </c>
      <c r="Y2886" t="str">
        <f>IF(Table1[[#This Row],[customer_subscription]]=1,"Subscribed","Not Subscribed")</f>
        <v>Not Subscribed</v>
      </c>
    </row>
    <row r="2887" spans="1:26" x14ac:dyDescent="0.25">
      <c r="A2887">
        <v>2886</v>
      </c>
      <c r="B2887">
        <v>29</v>
      </c>
      <c r="C2887" t="s">
        <v>156</v>
      </c>
      <c r="D2887">
        <v>2886</v>
      </c>
      <c r="E2887" t="s">
        <v>135</v>
      </c>
      <c r="F2887" t="s">
        <v>70</v>
      </c>
      <c r="G2887">
        <v>2886</v>
      </c>
      <c r="H2887">
        <v>3662</v>
      </c>
      <c r="I2887">
        <v>82</v>
      </c>
      <c r="J2887" t="s">
        <v>110</v>
      </c>
      <c r="K2887" t="s">
        <v>47</v>
      </c>
      <c r="L2887" t="s">
        <v>137</v>
      </c>
      <c r="M2887" t="s">
        <v>56</v>
      </c>
      <c r="N2887">
        <v>3.5</v>
      </c>
      <c r="O2887">
        <v>0</v>
      </c>
      <c r="P2887" t="s">
        <v>48</v>
      </c>
      <c r="Q2887" t="s">
        <v>155</v>
      </c>
      <c r="R2887" t="s">
        <v>155</v>
      </c>
      <c r="S2887">
        <v>14</v>
      </c>
      <c r="T2887" t="s">
        <v>42</v>
      </c>
      <c r="U2887" t="s">
        <v>79</v>
      </c>
      <c r="V2887" s="1">
        <v>45453</v>
      </c>
      <c r="W2887">
        <f>Table1[[#This Row],[customer_purchase count]]+1</f>
        <v>15</v>
      </c>
      <c r="X2887">
        <f>Table1[[#This Row],[customer_purchase count]]*Rules!$B$3</f>
        <v>836.70102564102569</v>
      </c>
      <c r="Y2887" t="str">
        <f>IF(Table1[[#This Row],[customer_subscription]]=1,"Subscribed","Not Subscribed")</f>
        <v>Not Subscribed</v>
      </c>
      <c r="Z2887" t="s">
        <v>187</v>
      </c>
    </row>
    <row r="2888" spans="1:26" x14ac:dyDescent="0.25">
      <c r="A2888">
        <v>2887</v>
      </c>
      <c r="B2888">
        <v>42</v>
      </c>
      <c r="C2888" t="s">
        <v>156</v>
      </c>
      <c r="D2888">
        <v>2887</v>
      </c>
      <c r="E2888" t="s">
        <v>127</v>
      </c>
      <c r="F2888" t="s">
        <v>70</v>
      </c>
      <c r="G2888">
        <v>2887</v>
      </c>
      <c r="H2888">
        <v>3663</v>
      </c>
      <c r="I2888">
        <v>33</v>
      </c>
      <c r="J2888" t="s">
        <v>143</v>
      </c>
      <c r="K2888" t="s">
        <v>26</v>
      </c>
      <c r="L2888" t="s">
        <v>147</v>
      </c>
      <c r="M2888" t="s">
        <v>40</v>
      </c>
      <c r="N2888">
        <v>4.2</v>
      </c>
      <c r="O2888">
        <v>0</v>
      </c>
      <c r="P2888" t="s">
        <v>41</v>
      </c>
      <c r="Q2888" t="s">
        <v>155</v>
      </c>
      <c r="R2888" t="s">
        <v>155</v>
      </c>
      <c r="S2888">
        <v>29</v>
      </c>
      <c r="T2888" t="s">
        <v>49</v>
      </c>
      <c r="U2888" t="s">
        <v>43</v>
      </c>
      <c r="V2888" s="1">
        <v>45357</v>
      </c>
      <c r="W2888">
        <f>Table1[[#This Row],[customer_purchase count]]+1</f>
        <v>30</v>
      </c>
      <c r="X2888">
        <f>Table1[[#This Row],[customer_purchase count]]*Rules!$B$3</f>
        <v>1733.1664102564102</v>
      </c>
      <c r="Y2888" t="str">
        <f>IF(Table1[[#This Row],[customer_subscription]]=1,"Subscribed","Not Subscribed")</f>
        <v>Not Subscribed</v>
      </c>
    </row>
    <row r="2889" spans="1:26" x14ac:dyDescent="0.25">
      <c r="A2889">
        <v>2888</v>
      </c>
      <c r="B2889">
        <v>23</v>
      </c>
      <c r="C2889" t="s">
        <v>156</v>
      </c>
      <c r="D2889">
        <v>2888</v>
      </c>
      <c r="E2889" t="s">
        <v>44</v>
      </c>
      <c r="F2889" t="s">
        <v>45</v>
      </c>
      <c r="G2889">
        <v>2888</v>
      </c>
      <c r="H2889">
        <v>3664</v>
      </c>
      <c r="I2889">
        <v>28</v>
      </c>
      <c r="J2889" t="s">
        <v>25</v>
      </c>
      <c r="K2889" t="s">
        <v>26</v>
      </c>
      <c r="L2889" t="s">
        <v>147</v>
      </c>
      <c r="M2889" t="s">
        <v>28</v>
      </c>
      <c r="N2889">
        <v>2.8</v>
      </c>
      <c r="O2889">
        <v>0</v>
      </c>
      <c r="P2889" t="s">
        <v>29</v>
      </c>
      <c r="Q2889" t="s">
        <v>155</v>
      </c>
      <c r="R2889" t="s">
        <v>155</v>
      </c>
      <c r="S2889">
        <v>12</v>
      </c>
      <c r="T2889" t="s">
        <v>36</v>
      </c>
      <c r="U2889" t="s">
        <v>79</v>
      </c>
      <c r="V2889" s="1">
        <v>45654</v>
      </c>
      <c r="W2889">
        <f>Table1[[#This Row],[customer_purchase count]]+1</f>
        <v>13</v>
      </c>
      <c r="X2889">
        <f>Table1[[#This Row],[customer_purchase count]]*Rules!$B$3</f>
        <v>717.17230769230775</v>
      </c>
      <c r="Y2889" t="str">
        <f>IF(Table1[[#This Row],[customer_subscription]]=1,"Subscribed","Not Subscribed")</f>
        <v>Not Subscribed</v>
      </c>
      <c r="Z2889" t="s">
        <v>187</v>
      </c>
    </row>
    <row r="2890" spans="1:26" x14ac:dyDescent="0.25">
      <c r="A2890">
        <v>2889</v>
      </c>
      <c r="B2890">
        <v>70</v>
      </c>
      <c r="C2890" t="s">
        <v>156</v>
      </c>
      <c r="D2890">
        <v>2889</v>
      </c>
      <c r="E2890" t="s">
        <v>107</v>
      </c>
      <c r="F2890" t="s">
        <v>24</v>
      </c>
      <c r="G2890">
        <v>2889</v>
      </c>
      <c r="H2890">
        <v>3665</v>
      </c>
      <c r="I2890">
        <v>42</v>
      </c>
      <c r="J2890" t="s">
        <v>153</v>
      </c>
      <c r="K2890" t="s">
        <v>26</v>
      </c>
      <c r="L2890" t="s">
        <v>99</v>
      </c>
      <c r="M2890" t="s">
        <v>40</v>
      </c>
      <c r="N2890">
        <v>5</v>
      </c>
      <c r="O2890">
        <v>0</v>
      </c>
      <c r="P2890" t="s">
        <v>73</v>
      </c>
      <c r="Q2890" t="s">
        <v>155</v>
      </c>
      <c r="R2890" t="s">
        <v>155</v>
      </c>
      <c r="S2890">
        <v>25</v>
      </c>
      <c r="T2890" t="s">
        <v>89</v>
      </c>
      <c r="U2890" t="s">
        <v>61</v>
      </c>
      <c r="V2890" s="1">
        <v>45425</v>
      </c>
      <c r="W2890">
        <f>Table1[[#This Row],[customer_purchase count]]+1</f>
        <v>26</v>
      </c>
      <c r="X2890">
        <f>Table1[[#This Row],[customer_purchase count]]*Rules!$B$3</f>
        <v>1494.1089743589744</v>
      </c>
      <c r="Y2890" t="str">
        <f>IF(Table1[[#This Row],[customer_subscription]]=1,"Subscribed","Not Subscribed")</f>
        <v>Not Subscribed</v>
      </c>
    </row>
    <row r="2891" spans="1:26" x14ac:dyDescent="0.25">
      <c r="A2891">
        <v>2890</v>
      </c>
      <c r="B2891">
        <v>64</v>
      </c>
      <c r="C2891" t="s">
        <v>156</v>
      </c>
      <c r="D2891">
        <v>2890</v>
      </c>
      <c r="E2891" t="s">
        <v>92</v>
      </c>
      <c r="F2891" t="s">
        <v>70</v>
      </c>
      <c r="G2891">
        <v>2890</v>
      </c>
      <c r="H2891">
        <v>3667</v>
      </c>
      <c r="I2891">
        <v>43</v>
      </c>
      <c r="J2891" t="s">
        <v>151</v>
      </c>
      <c r="K2891" t="s">
        <v>47</v>
      </c>
      <c r="L2891" t="s">
        <v>64</v>
      </c>
      <c r="M2891" t="s">
        <v>60</v>
      </c>
      <c r="N2891">
        <v>3.3</v>
      </c>
      <c r="O2891">
        <v>0</v>
      </c>
      <c r="P2891" t="s">
        <v>77</v>
      </c>
      <c r="Q2891" t="s">
        <v>155</v>
      </c>
      <c r="R2891" t="s">
        <v>155</v>
      </c>
      <c r="S2891">
        <v>21</v>
      </c>
      <c r="T2891" t="s">
        <v>31</v>
      </c>
      <c r="U2891" t="s">
        <v>52</v>
      </c>
      <c r="V2891" s="1">
        <v>45585</v>
      </c>
      <c r="W2891">
        <f>Table1[[#This Row],[customer_purchase count]]+1</f>
        <v>22</v>
      </c>
      <c r="X2891">
        <f>Table1[[#This Row],[customer_purchase count]]*Rules!$B$3</f>
        <v>1255.0515384615385</v>
      </c>
      <c r="Y2891" t="str">
        <f>IF(Table1[[#This Row],[customer_subscription]]=1,"Subscribed","Not Subscribed")</f>
        <v>Not Subscribed</v>
      </c>
    </row>
    <row r="2892" spans="1:26" x14ac:dyDescent="0.25">
      <c r="A2892">
        <v>2891</v>
      </c>
      <c r="B2892">
        <v>39</v>
      </c>
      <c r="C2892" t="s">
        <v>156</v>
      </c>
      <c r="D2892">
        <v>2891</v>
      </c>
      <c r="E2892" t="s">
        <v>37</v>
      </c>
      <c r="F2892" t="s">
        <v>24</v>
      </c>
      <c r="G2892">
        <v>2891</v>
      </c>
      <c r="H2892">
        <v>3668</v>
      </c>
      <c r="I2892">
        <v>55</v>
      </c>
      <c r="J2892" t="s">
        <v>117</v>
      </c>
      <c r="K2892" t="s">
        <v>47</v>
      </c>
      <c r="L2892" t="s">
        <v>86</v>
      </c>
      <c r="M2892" t="s">
        <v>28</v>
      </c>
      <c r="N2892">
        <v>3.7</v>
      </c>
      <c r="O2892">
        <v>0</v>
      </c>
      <c r="P2892" t="s">
        <v>41</v>
      </c>
      <c r="Q2892" t="s">
        <v>155</v>
      </c>
      <c r="R2892" t="s">
        <v>155</v>
      </c>
      <c r="S2892">
        <v>23</v>
      </c>
      <c r="T2892" t="s">
        <v>42</v>
      </c>
      <c r="U2892" t="s">
        <v>91</v>
      </c>
      <c r="V2892" s="1">
        <v>45628</v>
      </c>
      <c r="W2892">
        <f>Table1[[#This Row],[customer_purchase count]]+1</f>
        <v>24</v>
      </c>
      <c r="X2892">
        <f>Table1[[#This Row],[customer_purchase count]]*Rules!$B$3</f>
        <v>1374.5802564102564</v>
      </c>
      <c r="Y2892" t="str">
        <f>IF(Table1[[#This Row],[customer_subscription]]=1,"Subscribed","Not Subscribed")</f>
        <v>Not Subscribed</v>
      </c>
    </row>
    <row r="2893" spans="1:26" x14ac:dyDescent="0.25">
      <c r="A2893">
        <v>2892</v>
      </c>
      <c r="B2893">
        <v>47</v>
      </c>
      <c r="C2893" t="s">
        <v>156</v>
      </c>
      <c r="D2893">
        <v>2892</v>
      </c>
      <c r="E2893" t="s">
        <v>116</v>
      </c>
      <c r="F2893" t="s">
        <v>24</v>
      </c>
      <c r="G2893">
        <v>2892</v>
      </c>
      <c r="H2893">
        <v>3669</v>
      </c>
      <c r="I2893">
        <v>73</v>
      </c>
      <c r="J2893" t="s">
        <v>126</v>
      </c>
      <c r="K2893" t="s">
        <v>95</v>
      </c>
      <c r="L2893" t="s">
        <v>97</v>
      </c>
      <c r="M2893" t="s">
        <v>28</v>
      </c>
      <c r="N2893">
        <v>2.5</v>
      </c>
      <c r="O2893">
        <v>0</v>
      </c>
      <c r="P2893" t="s">
        <v>41</v>
      </c>
      <c r="Q2893" t="s">
        <v>155</v>
      </c>
      <c r="R2893" t="s">
        <v>155</v>
      </c>
      <c r="S2893">
        <v>10</v>
      </c>
      <c r="T2893" t="s">
        <v>49</v>
      </c>
      <c r="U2893" t="s">
        <v>91</v>
      </c>
      <c r="V2893" s="1">
        <v>45329</v>
      </c>
      <c r="W2893">
        <f>Table1[[#This Row],[customer_purchase count]]+1</f>
        <v>11</v>
      </c>
      <c r="X2893">
        <f>Table1[[#This Row],[customer_purchase count]]*Rules!$B$3</f>
        <v>597.64358974358981</v>
      </c>
      <c r="Y2893" t="str">
        <f>IF(Table1[[#This Row],[customer_subscription]]=1,"Subscribed","Not Subscribed")</f>
        <v>Not Subscribed</v>
      </c>
      <c r="Z2893" t="s">
        <v>194</v>
      </c>
    </row>
    <row r="2894" spans="1:26" x14ac:dyDescent="0.25">
      <c r="A2894">
        <v>2893</v>
      </c>
      <c r="B2894">
        <v>22</v>
      </c>
      <c r="C2894" t="s">
        <v>156</v>
      </c>
      <c r="D2894">
        <v>2893</v>
      </c>
      <c r="E2894" t="s">
        <v>84</v>
      </c>
      <c r="F2894" t="s">
        <v>24</v>
      </c>
      <c r="G2894">
        <v>2893</v>
      </c>
      <c r="H2894">
        <v>3670</v>
      </c>
      <c r="I2894">
        <v>39</v>
      </c>
      <c r="J2894" t="s">
        <v>110</v>
      </c>
      <c r="K2894" t="s">
        <v>47</v>
      </c>
      <c r="L2894" t="s">
        <v>88</v>
      </c>
      <c r="M2894" t="s">
        <v>40</v>
      </c>
      <c r="N2894">
        <v>3.2</v>
      </c>
      <c r="O2894">
        <v>0</v>
      </c>
      <c r="P2894" t="s">
        <v>57</v>
      </c>
      <c r="Q2894" t="s">
        <v>155</v>
      </c>
      <c r="R2894" t="s">
        <v>155</v>
      </c>
      <c r="S2894">
        <v>47</v>
      </c>
      <c r="T2894" t="s">
        <v>42</v>
      </c>
      <c r="U2894" t="s">
        <v>91</v>
      </c>
      <c r="V2894" s="1">
        <v>45407</v>
      </c>
      <c r="W2894">
        <f>Table1[[#This Row],[customer_purchase count]]+1</f>
        <v>48</v>
      </c>
      <c r="X2894">
        <f>Table1[[#This Row],[customer_purchase count]]*Rules!$B$3</f>
        <v>2808.9248717948717</v>
      </c>
      <c r="Y2894" t="str">
        <f>IF(Table1[[#This Row],[customer_subscription]]=1,"Subscribed","Not Subscribed")</f>
        <v>Not Subscribed</v>
      </c>
    </row>
    <row r="2895" spans="1:26" x14ac:dyDescent="0.25">
      <c r="A2895">
        <v>2894</v>
      </c>
      <c r="B2895">
        <v>69</v>
      </c>
      <c r="C2895" t="s">
        <v>156</v>
      </c>
      <c r="D2895">
        <v>2894</v>
      </c>
      <c r="E2895" t="s">
        <v>136</v>
      </c>
      <c r="F2895" t="s">
        <v>70</v>
      </c>
      <c r="G2895">
        <v>2894</v>
      </c>
      <c r="H2895">
        <v>3671</v>
      </c>
      <c r="I2895">
        <v>20</v>
      </c>
      <c r="J2895" t="s">
        <v>25</v>
      </c>
      <c r="K2895" t="s">
        <v>39</v>
      </c>
      <c r="L2895" t="s">
        <v>124</v>
      </c>
      <c r="M2895" t="s">
        <v>40</v>
      </c>
      <c r="N2895">
        <v>3.1</v>
      </c>
      <c r="O2895">
        <v>0</v>
      </c>
      <c r="P2895" t="s">
        <v>41</v>
      </c>
      <c r="Q2895" t="s">
        <v>155</v>
      </c>
      <c r="R2895" t="s">
        <v>155</v>
      </c>
      <c r="S2895">
        <v>44</v>
      </c>
      <c r="T2895" t="s">
        <v>89</v>
      </c>
      <c r="U2895" t="s">
        <v>100</v>
      </c>
      <c r="V2895" s="1">
        <v>45386</v>
      </c>
      <c r="W2895">
        <f>Table1[[#This Row],[customer_purchase count]]+1</f>
        <v>45</v>
      </c>
      <c r="X2895">
        <f>Table1[[#This Row],[customer_purchase count]]*Rules!$B$3</f>
        <v>2629.6317948717951</v>
      </c>
      <c r="Y2895" t="str">
        <f>IF(Table1[[#This Row],[customer_subscription]]=1,"Subscribed","Not Subscribed")</f>
        <v>Not Subscribed</v>
      </c>
    </row>
    <row r="2896" spans="1:26" x14ac:dyDescent="0.25">
      <c r="A2896">
        <v>2895</v>
      </c>
      <c r="B2896">
        <v>35</v>
      </c>
      <c r="C2896" t="s">
        <v>156</v>
      </c>
      <c r="D2896">
        <v>2895</v>
      </c>
      <c r="E2896" t="s">
        <v>109</v>
      </c>
      <c r="F2896" t="s">
        <v>70</v>
      </c>
      <c r="G2896">
        <v>2895</v>
      </c>
      <c r="H2896">
        <v>3673</v>
      </c>
      <c r="I2896">
        <v>32</v>
      </c>
      <c r="J2896" t="s">
        <v>25</v>
      </c>
      <c r="K2896" t="s">
        <v>39</v>
      </c>
      <c r="L2896" t="s">
        <v>113</v>
      </c>
      <c r="M2896" t="s">
        <v>40</v>
      </c>
      <c r="N2896">
        <v>3.5</v>
      </c>
      <c r="O2896">
        <v>0</v>
      </c>
      <c r="P2896" t="s">
        <v>57</v>
      </c>
      <c r="Q2896" t="s">
        <v>155</v>
      </c>
      <c r="R2896" t="s">
        <v>155</v>
      </c>
      <c r="S2896">
        <v>41</v>
      </c>
      <c r="T2896" t="s">
        <v>31</v>
      </c>
      <c r="U2896" t="s">
        <v>52</v>
      </c>
      <c r="V2896" s="1">
        <v>45391</v>
      </c>
      <c r="W2896">
        <f>Table1[[#This Row],[customer_purchase count]]+1</f>
        <v>42</v>
      </c>
      <c r="X2896">
        <f>Table1[[#This Row],[customer_purchase count]]*Rules!$B$3</f>
        <v>2450.3387179487181</v>
      </c>
      <c r="Y2896" t="str">
        <f>IF(Table1[[#This Row],[customer_subscription]]=1,"Subscribed","Not Subscribed")</f>
        <v>Not Subscribed</v>
      </c>
    </row>
    <row r="2897" spans="1:26" x14ac:dyDescent="0.25">
      <c r="A2897">
        <v>2896</v>
      </c>
      <c r="B2897">
        <v>56</v>
      </c>
      <c r="C2897" t="s">
        <v>156</v>
      </c>
      <c r="D2897">
        <v>2896</v>
      </c>
      <c r="E2897" t="s">
        <v>107</v>
      </c>
      <c r="F2897" t="s">
        <v>24</v>
      </c>
      <c r="G2897">
        <v>2896</v>
      </c>
      <c r="H2897">
        <v>3674</v>
      </c>
      <c r="I2897">
        <v>86</v>
      </c>
      <c r="J2897" t="s">
        <v>59</v>
      </c>
      <c r="K2897" t="s">
        <v>26</v>
      </c>
      <c r="L2897" t="s">
        <v>99</v>
      </c>
      <c r="M2897" t="s">
        <v>56</v>
      </c>
      <c r="N2897">
        <v>4.5999999999999996</v>
      </c>
      <c r="O2897">
        <v>0</v>
      </c>
      <c r="P2897" t="s">
        <v>57</v>
      </c>
      <c r="Q2897" t="s">
        <v>155</v>
      </c>
      <c r="R2897" t="s">
        <v>155</v>
      </c>
      <c r="S2897">
        <v>29</v>
      </c>
      <c r="T2897" t="s">
        <v>78</v>
      </c>
      <c r="U2897" t="s">
        <v>91</v>
      </c>
      <c r="V2897" s="1">
        <v>45481</v>
      </c>
      <c r="W2897">
        <f>Table1[[#This Row],[customer_purchase count]]+1</f>
        <v>30</v>
      </c>
      <c r="X2897">
        <f>Table1[[#This Row],[customer_purchase count]]*Rules!$B$3</f>
        <v>1733.1664102564102</v>
      </c>
      <c r="Y2897" t="str">
        <f>IF(Table1[[#This Row],[customer_subscription]]=1,"Subscribed","Not Subscribed")</f>
        <v>Not Subscribed</v>
      </c>
    </row>
    <row r="2898" spans="1:26" x14ac:dyDescent="0.25">
      <c r="A2898">
        <v>2897</v>
      </c>
      <c r="B2898">
        <v>30</v>
      </c>
      <c r="C2898" t="s">
        <v>156</v>
      </c>
      <c r="D2898">
        <v>2897</v>
      </c>
      <c r="E2898" t="s">
        <v>23</v>
      </c>
      <c r="F2898" t="s">
        <v>24</v>
      </c>
      <c r="G2898">
        <v>2897</v>
      </c>
      <c r="H2898">
        <v>3675</v>
      </c>
      <c r="I2898">
        <v>91</v>
      </c>
      <c r="J2898" t="s">
        <v>82</v>
      </c>
      <c r="K2898" t="s">
        <v>47</v>
      </c>
      <c r="L2898" t="s">
        <v>68</v>
      </c>
      <c r="M2898" t="s">
        <v>56</v>
      </c>
      <c r="N2898">
        <v>3.3</v>
      </c>
      <c r="O2898">
        <v>0</v>
      </c>
      <c r="P2898" t="s">
        <v>41</v>
      </c>
      <c r="Q2898" t="s">
        <v>155</v>
      </c>
      <c r="R2898" t="s">
        <v>155</v>
      </c>
      <c r="S2898">
        <v>2</v>
      </c>
      <c r="T2898" t="s">
        <v>31</v>
      </c>
      <c r="U2898" t="s">
        <v>100</v>
      </c>
      <c r="V2898" s="1">
        <v>45466</v>
      </c>
      <c r="W2898">
        <f>Table1[[#This Row],[customer_purchase count]]+1</f>
        <v>3</v>
      </c>
      <c r="X2898">
        <f>Table1[[#This Row],[customer_purchase count]]*Rules!$B$3</f>
        <v>119.52871794871795</v>
      </c>
      <c r="Y2898" t="str">
        <f>IF(Table1[[#This Row],[customer_subscription]]=1,"Subscribed","Not Subscribed")</f>
        <v>Not Subscribed</v>
      </c>
      <c r="Z2898" t="s">
        <v>194</v>
      </c>
    </row>
    <row r="2899" spans="1:26" x14ac:dyDescent="0.25">
      <c r="A2899">
        <v>2898</v>
      </c>
      <c r="B2899">
        <v>43</v>
      </c>
      <c r="C2899" t="s">
        <v>156</v>
      </c>
      <c r="D2899">
        <v>2898</v>
      </c>
      <c r="E2899" t="s">
        <v>105</v>
      </c>
      <c r="F2899" t="s">
        <v>66</v>
      </c>
      <c r="G2899">
        <v>2898</v>
      </c>
      <c r="H2899">
        <v>3676</v>
      </c>
      <c r="I2899">
        <v>59</v>
      </c>
      <c r="J2899" t="s">
        <v>59</v>
      </c>
      <c r="K2899" t="s">
        <v>26</v>
      </c>
      <c r="L2899" t="s">
        <v>86</v>
      </c>
      <c r="M2899" t="s">
        <v>60</v>
      </c>
      <c r="N2899">
        <v>2.5</v>
      </c>
      <c r="O2899">
        <v>0</v>
      </c>
      <c r="P2899" t="s">
        <v>41</v>
      </c>
      <c r="Q2899" t="s">
        <v>155</v>
      </c>
      <c r="R2899" t="s">
        <v>155</v>
      </c>
      <c r="S2899">
        <v>2</v>
      </c>
      <c r="T2899" t="s">
        <v>36</v>
      </c>
      <c r="U2899" t="s">
        <v>32</v>
      </c>
      <c r="V2899" s="1">
        <v>45593</v>
      </c>
      <c r="W2899">
        <f>Table1[[#This Row],[customer_purchase count]]+1</f>
        <v>3</v>
      </c>
      <c r="X2899">
        <f>Table1[[#This Row],[customer_purchase count]]*Rules!$B$3</f>
        <v>119.52871794871795</v>
      </c>
      <c r="Y2899" t="str">
        <f>IF(Table1[[#This Row],[customer_subscription]]=1,"Subscribed","Not Subscribed")</f>
        <v>Not Subscribed</v>
      </c>
      <c r="Z2899" t="s">
        <v>194</v>
      </c>
    </row>
    <row r="2900" spans="1:26" x14ac:dyDescent="0.25">
      <c r="A2900">
        <v>2899</v>
      </c>
      <c r="B2900">
        <v>23</v>
      </c>
      <c r="C2900" t="s">
        <v>156</v>
      </c>
      <c r="D2900">
        <v>2899</v>
      </c>
      <c r="E2900" t="s">
        <v>53</v>
      </c>
      <c r="F2900" t="s">
        <v>45</v>
      </c>
      <c r="G2900">
        <v>2899</v>
      </c>
      <c r="H2900">
        <v>3677</v>
      </c>
      <c r="I2900">
        <v>33</v>
      </c>
      <c r="J2900" t="s">
        <v>130</v>
      </c>
      <c r="K2900" t="s">
        <v>95</v>
      </c>
      <c r="L2900" t="s">
        <v>103</v>
      </c>
      <c r="M2900" t="s">
        <v>56</v>
      </c>
      <c r="N2900">
        <v>4.5999999999999996</v>
      </c>
      <c r="O2900">
        <v>0</v>
      </c>
      <c r="P2900" t="s">
        <v>29</v>
      </c>
      <c r="Q2900" t="s">
        <v>155</v>
      </c>
      <c r="R2900" t="s">
        <v>155</v>
      </c>
      <c r="S2900">
        <v>29</v>
      </c>
      <c r="T2900" t="s">
        <v>42</v>
      </c>
      <c r="U2900" t="s">
        <v>52</v>
      </c>
      <c r="V2900" s="1">
        <v>45528</v>
      </c>
      <c r="W2900">
        <f>Table1[[#This Row],[customer_purchase count]]+1</f>
        <v>30</v>
      </c>
      <c r="X2900">
        <f>Table1[[#This Row],[customer_purchase count]]*Rules!$B$3</f>
        <v>1733.1664102564102</v>
      </c>
      <c r="Y2900" t="str">
        <f>IF(Table1[[#This Row],[customer_subscription]]=1,"Subscribed","Not Subscribed")</f>
        <v>Not Subscribed</v>
      </c>
    </row>
    <row r="2901" spans="1:26" x14ac:dyDescent="0.25">
      <c r="A2901">
        <v>2900</v>
      </c>
      <c r="B2901">
        <v>50</v>
      </c>
      <c r="C2901" t="s">
        <v>156</v>
      </c>
      <c r="D2901">
        <v>2900</v>
      </c>
      <c r="E2901" t="s">
        <v>140</v>
      </c>
      <c r="F2901" t="s">
        <v>45</v>
      </c>
      <c r="G2901">
        <v>2900</v>
      </c>
      <c r="H2901">
        <v>3679</v>
      </c>
      <c r="I2901">
        <v>64</v>
      </c>
      <c r="J2901" t="s">
        <v>148</v>
      </c>
      <c r="K2901" t="s">
        <v>47</v>
      </c>
      <c r="L2901" t="s">
        <v>83</v>
      </c>
      <c r="M2901" t="s">
        <v>40</v>
      </c>
      <c r="N2901">
        <v>4.2</v>
      </c>
      <c r="O2901">
        <v>0</v>
      </c>
      <c r="P2901" t="s">
        <v>73</v>
      </c>
      <c r="Q2901" t="s">
        <v>155</v>
      </c>
      <c r="R2901" t="s">
        <v>155</v>
      </c>
      <c r="S2901">
        <v>22</v>
      </c>
      <c r="T2901" t="s">
        <v>78</v>
      </c>
      <c r="U2901" t="s">
        <v>32</v>
      </c>
      <c r="V2901" s="1">
        <v>45433</v>
      </c>
      <c r="W2901">
        <f>Table1[[#This Row],[customer_purchase count]]+1</f>
        <v>23</v>
      </c>
      <c r="X2901">
        <f>Table1[[#This Row],[customer_purchase count]]*Rules!$B$3</f>
        <v>1314.8158974358976</v>
      </c>
      <c r="Y2901" t="str">
        <f>IF(Table1[[#This Row],[customer_subscription]]=1,"Subscribed","Not Subscribed")</f>
        <v>Not Subscribed</v>
      </c>
    </row>
    <row r="2902" spans="1:26" x14ac:dyDescent="0.25">
      <c r="A2902">
        <v>2901</v>
      </c>
      <c r="B2902">
        <v>41</v>
      </c>
      <c r="C2902" t="s">
        <v>156</v>
      </c>
      <c r="D2902">
        <v>2901</v>
      </c>
      <c r="E2902" t="s">
        <v>23</v>
      </c>
      <c r="F2902" t="s">
        <v>24</v>
      </c>
      <c r="G2902">
        <v>2901</v>
      </c>
      <c r="H2902">
        <v>3680</v>
      </c>
      <c r="I2902">
        <v>67</v>
      </c>
      <c r="J2902" t="s">
        <v>131</v>
      </c>
      <c r="K2902" t="s">
        <v>95</v>
      </c>
      <c r="L2902" t="s">
        <v>86</v>
      </c>
      <c r="M2902" t="s">
        <v>28</v>
      </c>
      <c r="N2902">
        <v>4</v>
      </c>
      <c r="O2902">
        <v>0</v>
      </c>
      <c r="P2902" t="s">
        <v>57</v>
      </c>
      <c r="Q2902" t="s">
        <v>155</v>
      </c>
      <c r="R2902" t="s">
        <v>155</v>
      </c>
      <c r="S2902">
        <v>23</v>
      </c>
      <c r="T2902" t="s">
        <v>36</v>
      </c>
      <c r="U2902" t="s">
        <v>79</v>
      </c>
      <c r="V2902" s="1">
        <v>45297</v>
      </c>
      <c r="W2902">
        <f>Table1[[#This Row],[customer_purchase count]]+1</f>
        <v>24</v>
      </c>
      <c r="X2902">
        <f>Table1[[#This Row],[customer_purchase count]]*Rules!$B$3</f>
        <v>1374.5802564102564</v>
      </c>
      <c r="Y2902" t="str">
        <f>IF(Table1[[#This Row],[customer_subscription]]=1,"Subscribed","Not Subscribed")</f>
        <v>Not Subscribed</v>
      </c>
    </row>
    <row r="2903" spans="1:26" x14ac:dyDescent="0.25">
      <c r="A2903">
        <v>2902</v>
      </c>
      <c r="B2903">
        <v>41</v>
      </c>
      <c r="C2903" t="s">
        <v>156</v>
      </c>
      <c r="D2903">
        <v>2902</v>
      </c>
      <c r="E2903" t="s">
        <v>23</v>
      </c>
      <c r="F2903" t="s">
        <v>24</v>
      </c>
      <c r="G2903">
        <v>2902</v>
      </c>
      <c r="H2903">
        <v>3681</v>
      </c>
      <c r="I2903">
        <v>43</v>
      </c>
      <c r="J2903" t="s">
        <v>93</v>
      </c>
      <c r="K2903" t="s">
        <v>26</v>
      </c>
      <c r="L2903" t="s">
        <v>81</v>
      </c>
      <c r="M2903" t="s">
        <v>28</v>
      </c>
      <c r="N2903">
        <v>2.6</v>
      </c>
      <c r="O2903">
        <v>0</v>
      </c>
      <c r="P2903" t="s">
        <v>41</v>
      </c>
      <c r="Q2903" t="s">
        <v>155</v>
      </c>
      <c r="R2903" t="s">
        <v>155</v>
      </c>
      <c r="S2903">
        <v>46</v>
      </c>
      <c r="T2903" t="s">
        <v>42</v>
      </c>
      <c r="U2903" t="s">
        <v>61</v>
      </c>
      <c r="V2903" s="1">
        <v>45305</v>
      </c>
      <c r="W2903">
        <f>Table1[[#This Row],[customer_purchase count]]+1</f>
        <v>47</v>
      </c>
      <c r="X2903">
        <f>Table1[[#This Row],[customer_purchase count]]*Rules!$B$3</f>
        <v>2749.1605128205128</v>
      </c>
      <c r="Y2903" t="str">
        <f>IF(Table1[[#This Row],[customer_subscription]]=1,"Subscribed","Not Subscribed")</f>
        <v>Not Subscribed</v>
      </c>
    </row>
    <row r="2904" spans="1:26" x14ac:dyDescent="0.25">
      <c r="A2904">
        <v>2903</v>
      </c>
      <c r="B2904">
        <v>27</v>
      </c>
      <c r="C2904" t="s">
        <v>156</v>
      </c>
      <c r="D2904">
        <v>2903</v>
      </c>
      <c r="E2904" t="s">
        <v>140</v>
      </c>
      <c r="F2904" t="s">
        <v>45</v>
      </c>
      <c r="G2904">
        <v>2903</v>
      </c>
      <c r="H2904">
        <v>3682</v>
      </c>
      <c r="I2904">
        <v>32</v>
      </c>
      <c r="J2904" t="s">
        <v>101</v>
      </c>
      <c r="K2904" t="s">
        <v>39</v>
      </c>
      <c r="L2904" t="s">
        <v>124</v>
      </c>
      <c r="M2904" t="s">
        <v>40</v>
      </c>
      <c r="N2904">
        <v>4.5999999999999996</v>
      </c>
      <c r="O2904">
        <v>0</v>
      </c>
      <c r="P2904" t="s">
        <v>57</v>
      </c>
      <c r="Q2904" t="s">
        <v>155</v>
      </c>
      <c r="R2904" t="s">
        <v>155</v>
      </c>
      <c r="S2904">
        <v>19</v>
      </c>
      <c r="T2904" t="s">
        <v>49</v>
      </c>
      <c r="U2904" t="s">
        <v>79</v>
      </c>
      <c r="V2904" s="1">
        <v>45386</v>
      </c>
      <c r="W2904">
        <f>Table1[[#This Row],[customer_purchase count]]+1</f>
        <v>20</v>
      </c>
      <c r="X2904">
        <f>Table1[[#This Row],[customer_purchase count]]*Rules!$B$3</f>
        <v>1135.5228205128205</v>
      </c>
      <c r="Y2904" t="str">
        <f>IF(Table1[[#This Row],[customer_subscription]]=1,"Subscribed","Not Subscribed")</f>
        <v>Not Subscribed</v>
      </c>
    </row>
    <row r="2905" spans="1:26" x14ac:dyDescent="0.25">
      <c r="A2905">
        <v>2904</v>
      </c>
      <c r="B2905">
        <v>38</v>
      </c>
      <c r="C2905" t="s">
        <v>156</v>
      </c>
      <c r="D2905">
        <v>2904</v>
      </c>
      <c r="E2905" t="s">
        <v>122</v>
      </c>
      <c r="F2905" t="s">
        <v>70</v>
      </c>
      <c r="G2905">
        <v>2904</v>
      </c>
      <c r="H2905">
        <v>3683</v>
      </c>
      <c r="I2905">
        <v>39</v>
      </c>
      <c r="J2905" t="s">
        <v>82</v>
      </c>
      <c r="K2905" t="s">
        <v>39</v>
      </c>
      <c r="L2905" t="s">
        <v>88</v>
      </c>
      <c r="M2905" t="s">
        <v>40</v>
      </c>
      <c r="N2905">
        <v>3.5</v>
      </c>
      <c r="O2905">
        <v>0</v>
      </c>
      <c r="P2905" t="s">
        <v>73</v>
      </c>
      <c r="Q2905" t="s">
        <v>155</v>
      </c>
      <c r="R2905" t="s">
        <v>155</v>
      </c>
      <c r="S2905">
        <v>24</v>
      </c>
      <c r="T2905" t="s">
        <v>42</v>
      </c>
      <c r="U2905" t="s">
        <v>100</v>
      </c>
      <c r="V2905" s="1">
        <v>45403</v>
      </c>
      <c r="W2905">
        <f>Table1[[#This Row],[customer_purchase count]]+1</f>
        <v>25</v>
      </c>
      <c r="X2905">
        <f>Table1[[#This Row],[customer_purchase count]]*Rules!$B$3</f>
        <v>1434.3446153846155</v>
      </c>
      <c r="Y2905" t="str">
        <f>IF(Table1[[#This Row],[customer_subscription]]=1,"Subscribed","Not Subscribed")</f>
        <v>Not Subscribed</v>
      </c>
    </row>
    <row r="2906" spans="1:26" x14ac:dyDescent="0.25">
      <c r="A2906">
        <v>2905</v>
      </c>
      <c r="B2906">
        <v>41</v>
      </c>
      <c r="C2906" t="s">
        <v>156</v>
      </c>
      <c r="D2906">
        <v>2905</v>
      </c>
      <c r="E2906" t="s">
        <v>44</v>
      </c>
      <c r="F2906" t="s">
        <v>45</v>
      </c>
      <c r="G2906">
        <v>2905</v>
      </c>
      <c r="H2906">
        <v>3685</v>
      </c>
      <c r="I2906">
        <v>41</v>
      </c>
      <c r="J2906" t="s">
        <v>149</v>
      </c>
      <c r="K2906" t="s">
        <v>47</v>
      </c>
      <c r="L2906" t="s">
        <v>27</v>
      </c>
      <c r="M2906" t="s">
        <v>40</v>
      </c>
      <c r="N2906">
        <v>4</v>
      </c>
      <c r="O2906">
        <v>0</v>
      </c>
      <c r="P2906" t="s">
        <v>73</v>
      </c>
      <c r="Q2906" t="s">
        <v>155</v>
      </c>
      <c r="R2906" t="s">
        <v>155</v>
      </c>
      <c r="S2906">
        <v>43</v>
      </c>
      <c r="T2906" t="s">
        <v>31</v>
      </c>
      <c r="U2906" t="s">
        <v>91</v>
      </c>
      <c r="V2906" s="1">
        <v>45376</v>
      </c>
      <c r="W2906">
        <f>Table1[[#This Row],[customer_purchase count]]+1</f>
        <v>44</v>
      </c>
      <c r="X2906">
        <f>Table1[[#This Row],[customer_purchase count]]*Rules!$B$3</f>
        <v>2569.8674358974358</v>
      </c>
      <c r="Y2906" t="str">
        <f>IF(Table1[[#This Row],[customer_subscription]]=1,"Subscribed","Not Subscribed")</f>
        <v>Not Subscribed</v>
      </c>
    </row>
    <row r="2907" spans="1:26" x14ac:dyDescent="0.25">
      <c r="A2907">
        <v>2906</v>
      </c>
      <c r="B2907">
        <v>58</v>
      </c>
      <c r="C2907" t="s">
        <v>156</v>
      </c>
      <c r="D2907">
        <v>2906</v>
      </c>
      <c r="E2907" t="s">
        <v>92</v>
      </c>
      <c r="F2907" t="s">
        <v>70</v>
      </c>
      <c r="G2907">
        <v>2906</v>
      </c>
      <c r="H2907">
        <v>3686</v>
      </c>
      <c r="I2907">
        <v>53</v>
      </c>
      <c r="J2907" t="s">
        <v>87</v>
      </c>
      <c r="K2907" t="s">
        <v>26</v>
      </c>
      <c r="L2907" t="s">
        <v>97</v>
      </c>
      <c r="M2907" t="s">
        <v>28</v>
      </c>
      <c r="N2907">
        <v>4.8</v>
      </c>
      <c r="O2907">
        <v>0</v>
      </c>
      <c r="P2907" t="s">
        <v>57</v>
      </c>
      <c r="Q2907" t="s">
        <v>155</v>
      </c>
      <c r="R2907" t="s">
        <v>155</v>
      </c>
      <c r="S2907">
        <v>14</v>
      </c>
      <c r="T2907" t="s">
        <v>89</v>
      </c>
      <c r="U2907" t="s">
        <v>32</v>
      </c>
      <c r="V2907" s="1">
        <v>45636</v>
      </c>
      <c r="W2907">
        <f>Table1[[#This Row],[customer_purchase count]]+1</f>
        <v>15</v>
      </c>
      <c r="X2907">
        <f>Table1[[#This Row],[customer_purchase count]]*Rules!$B$3</f>
        <v>836.70102564102569</v>
      </c>
      <c r="Y2907" t="str">
        <f>IF(Table1[[#This Row],[customer_subscription]]=1,"Subscribed","Not Subscribed")</f>
        <v>Not Subscribed</v>
      </c>
      <c r="Z2907" t="s">
        <v>194</v>
      </c>
    </row>
    <row r="2908" spans="1:26" x14ac:dyDescent="0.25">
      <c r="A2908">
        <v>2907</v>
      </c>
      <c r="B2908">
        <v>58</v>
      </c>
      <c r="C2908" t="s">
        <v>156</v>
      </c>
      <c r="D2908">
        <v>2907</v>
      </c>
      <c r="E2908" t="s">
        <v>65</v>
      </c>
      <c r="F2908" t="s">
        <v>66</v>
      </c>
      <c r="G2908">
        <v>2907</v>
      </c>
      <c r="H2908">
        <v>3687</v>
      </c>
      <c r="I2908">
        <v>27</v>
      </c>
      <c r="J2908" t="s">
        <v>144</v>
      </c>
      <c r="K2908" t="s">
        <v>47</v>
      </c>
      <c r="L2908" t="s">
        <v>129</v>
      </c>
      <c r="M2908" t="s">
        <v>40</v>
      </c>
      <c r="N2908">
        <v>3.9</v>
      </c>
      <c r="O2908">
        <v>0</v>
      </c>
      <c r="P2908" t="s">
        <v>57</v>
      </c>
      <c r="Q2908" t="s">
        <v>155</v>
      </c>
      <c r="R2908" t="s">
        <v>155</v>
      </c>
      <c r="S2908">
        <v>7</v>
      </c>
      <c r="T2908" t="s">
        <v>31</v>
      </c>
      <c r="U2908" t="s">
        <v>52</v>
      </c>
      <c r="V2908" s="1">
        <v>45387</v>
      </c>
      <c r="W2908">
        <f>Table1[[#This Row],[customer_purchase count]]+1</f>
        <v>8</v>
      </c>
      <c r="X2908">
        <f>Table1[[#This Row],[customer_purchase count]]*Rules!$B$3</f>
        <v>418.35051282051285</v>
      </c>
      <c r="Y2908" t="str">
        <f>IF(Table1[[#This Row],[customer_subscription]]=1,"Subscribed","Not Subscribed")</f>
        <v>Not Subscribed</v>
      </c>
      <c r="Z2908" t="s">
        <v>194</v>
      </c>
    </row>
    <row r="2909" spans="1:26" x14ac:dyDescent="0.25">
      <c r="A2909">
        <v>2908</v>
      </c>
      <c r="B2909">
        <v>19</v>
      </c>
      <c r="C2909" t="s">
        <v>156</v>
      </c>
      <c r="D2909">
        <v>2908</v>
      </c>
      <c r="E2909" t="s">
        <v>92</v>
      </c>
      <c r="F2909" t="s">
        <v>70</v>
      </c>
      <c r="G2909">
        <v>2908</v>
      </c>
      <c r="H2909">
        <v>3688</v>
      </c>
      <c r="I2909">
        <v>82</v>
      </c>
      <c r="J2909" t="s">
        <v>131</v>
      </c>
      <c r="K2909" t="s">
        <v>95</v>
      </c>
      <c r="L2909" t="s">
        <v>96</v>
      </c>
      <c r="M2909" t="s">
        <v>56</v>
      </c>
      <c r="N2909">
        <v>3.7</v>
      </c>
      <c r="O2909">
        <v>0</v>
      </c>
      <c r="P2909" t="s">
        <v>48</v>
      </c>
      <c r="Q2909" t="s">
        <v>155</v>
      </c>
      <c r="R2909" t="s">
        <v>155</v>
      </c>
      <c r="S2909">
        <v>50</v>
      </c>
      <c r="T2909" t="s">
        <v>49</v>
      </c>
      <c r="U2909" t="s">
        <v>79</v>
      </c>
      <c r="V2909" s="1">
        <v>45496</v>
      </c>
      <c r="W2909">
        <f>Table1[[#This Row],[customer_purchase count]]+1</f>
        <v>51</v>
      </c>
      <c r="X2909">
        <f>Table1[[#This Row],[customer_purchase count]]*Rules!$B$3</f>
        <v>2988.2179487179487</v>
      </c>
      <c r="Y2909" t="str">
        <f>IF(Table1[[#This Row],[customer_subscription]]=1,"Subscribed","Not Subscribed")</f>
        <v>Not Subscribed</v>
      </c>
    </row>
    <row r="2910" spans="1:26" x14ac:dyDescent="0.25">
      <c r="A2910">
        <v>2909</v>
      </c>
      <c r="B2910">
        <v>43</v>
      </c>
      <c r="C2910" t="s">
        <v>156</v>
      </c>
      <c r="D2910">
        <v>2909</v>
      </c>
      <c r="E2910" t="s">
        <v>23</v>
      </c>
      <c r="F2910" t="s">
        <v>24</v>
      </c>
      <c r="G2910">
        <v>2909</v>
      </c>
      <c r="H2910">
        <v>3689</v>
      </c>
      <c r="I2910">
        <v>87</v>
      </c>
      <c r="J2910" t="s">
        <v>108</v>
      </c>
      <c r="K2910" t="s">
        <v>47</v>
      </c>
      <c r="L2910" t="s">
        <v>121</v>
      </c>
      <c r="M2910" t="s">
        <v>28</v>
      </c>
      <c r="N2910">
        <v>3.1</v>
      </c>
      <c r="O2910">
        <v>0</v>
      </c>
      <c r="P2910" t="s">
        <v>77</v>
      </c>
      <c r="Q2910" t="s">
        <v>155</v>
      </c>
      <c r="R2910" t="s">
        <v>155</v>
      </c>
      <c r="S2910">
        <v>15</v>
      </c>
      <c r="T2910" t="s">
        <v>89</v>
      </c>
      <c r="U2910" t="s">
        <v>100</v>
      </c>
      <c r="V2910" s="1">
        <v>45647</v>
      </c>
      <c r="W2910">
        <f>Table1[[#This Row],[customer_purchase count]]+1</f>
        <v>16</v>
      </c>
      <c r="X2910">
        <f>Table1[[#This Row],[customer_purchase count]]*Rules!$B$3</f>
        <v>896.46538461538466</v>
      </c>
      <c r="Y2910" t="str">
        <f>IF(Table1[[#This Row],[customer_subscription]]=1,"Subscribed","Not Subscribed")</f>
        <v>Not Subscribed</v>
      </c>
      <c r="Z2910" t="s">
        <v>194</v>
      </c>
    </row>
    <row r="2911" spans="1:26" x14ac:dyDescent="0.25">
      <c r="A2911">
        <v>2910</v>
      </c>
      <c r="B2911">
        <v>27</v>
      </c>
      <c r="C2911" t="s">
        <v>156</v>
      </c>
      <c r="D2911">
        <v>2910</v>
      </c>
      <c r="E2911" t="s">
        <v>135</v>
      </c>
      <c r="F2911" t="s">
        <v>70</v>
      </c>
      <c r="G2911">
        <v>2910</v>
      </c>
      <c r="H2911">
        <v>3691</v>
      </c>
      <c r="I2911">
        <v>78</v>
      </c>
      <c r="J2911" t="s">
        <v>63</v>
      </c>
      <c r="K2911" t="s">
        <v>47</v>
      </c>
      <c r="L2911" t="s">
        <v>129</v>
      </c>
      <c r="M2911" t="s">
        <v>28</v>
      </c>
      <c r="N2911">
        <v>3</v>
      </c>
      <c r="O2911">
        <v>0</v>
      </c>
      <c r="P2911" t="s">
        <v>48</v>
      </c>
      <c r="Q2911" t="s">
        <v>155</v>
      </c>
      <c r="R2911" t="s">
        <v>155</v>
      </c>
      <c r="S2911">
        <v>40</v>
      </c>
      <c r="T2911" t="s">
        <v>42</v>
      </c>
      <c r="U2911" t="s">
        <v>100</v>
      </c>
      <c r="V2911" s="1">
        <v>45328</v>
      </c>
      <c r="W2911">
        <f>Table1[[#This Row],[customer_purchase count]]+1</f>
        <v>41</v>
      </c>
      <c r="X2911">
        <f>Table1[[#This Row],[customer_purchase count]]*Rules!$B$3</f>
        <v>2390.5743589743593</v>
      </c>
      <c r="Y2911" t="str">
        <f>IF(Table1[[#This Row],[customer_subscription]]=1,"Subscribed","Not Subscribed")</f>
        <v>Not Subscribed</v>
      </c>
    </row>
    <row r="2912" spans="1:26" x14ac:dyDescent="0.25">
      <c r="A2912">
        <v>2911</v>
      </c>
      <c r="B2912">
        <v>32</v>
      </c>
      <c r="C2912" t="s">
        <v>156</v>
      </c>
      <c r="D2912">
        <v>2911</v>
      </c>
      <c r="E2912" t="s">
        <v>136</v>
      </c>
      <c r="F2912" t="s">
        <v>70</v>
      </c>
      <c r="G2912">
        <v>2911</v>
      </c>
      <c r="H2912">
        <v>3692</v>
      </c>
      <c r="I2912">
        <v>32</v>
      </c>
      <c r="J2912" t="s">
        <v>94</v>
      </c>
      <c r="K2912" t="s">
        <v>47</v>
      </c>
      <c r="L2912" t="s">
        <v>147</v>
      </c>
      <c r="M2912" t="s">
        <v>56</v>
      </c>
      <c r="N2912">
        <v>2.9</v>
      </c>
      <c r="O2912">
        <v>0</v>
      </c>
      <c r="P2912" t="s">
        <v>77</v>
      </c>
      <c r="Q2912" t="s">
        <v>155</v>
      </c>
      <c r="R2912" t="s">
        <v>155</v>
      </c>
      <c r="S2912">
        <v>41</v>
      </c>
      <c r="T2912" t="s">
        <v>42</v>
      </c>
      <c r="U2912" t="s">
        <v>91</v>
      </c>
      <c r="V2912" s="1">
        <v>45478</v>
      </c>
      <c r="W2912">
        <f>Table1[[#This Row],[customer_purchase count]]+1</f>
        <v>42</v>
      </c>
      <c r="X2912">
        <f>Table1[[#This Row],[customer_purchase count]]*Rules!$B$3</f>
        <v>2450.3387179487181</v>
      </c>
      <c r="Y2912" t="str">
        <f>IF(Table1[[#This Row],[customer_subscription]]=1,"Subscribed","Not Subscribed")</f>
        <v>Not Subscribed</v>
      </c>
    </row>
    <row r="2913" spans="1:26" x14ac:dyDescent="0.25">
      <c r="A2913">
        <v>2912</v>
      </c>
      <c r="B2913">
        <v>28</v>
      </c>
      <c r="C2913" t="s">
        <v>156</v>
      </c>
      <c r="D2913">
        <v>2912</v>
      </c>
      <c r="E2913" t="s">
        <v>128</v>
      </c>
      <c r="F2913" t="s">
        <v>24</v>
      </c>
      <c r="G2913">
        <v>2912</v>
      </c>
      <c r="H2913">
        <v>3693</v>
      </c>
      <c r="I2913">
        <v>38</v>
      </c>
      <c r="J2913" t="s">
        <v>126</v>
      </c>
      <c r="K2913" t="s">
        <v>95</v>
      </c>
      <c r="L2913" t="s">
        <v>124</v>
      </c>
      <c r="M2913" t="s">
        <v>60</v>
      </c>
      <c r="N2913">
        <v>2.9</v>
      </c>
      <c r="O2913">
        <v>0</v>
      </c>
      <c r="P2913" t="s">
        <v>48</v>
      </c>
      <c r="Q2913" t="s">
        <v>155</v>
      </c>
      <c r="R2913" t="s">
        <v>155</v>
      </c>
      <c r="S2913">
        <v>34</v>
      </c>
      <c r="T2913" t="s">
        <v>31</v>
      </c>
      <c r="U2913" t="s">
        <v>61</v>
      </c>
      <c r="V2913" s="1">
        <v>45591</v>
      </c>
      <c r="W2913">
        <f>Table1[[#This Row],[customer_purchase count]]+1</f>
        <v>35</v>
      </c>
      <c r="X2913">
        <f>Table1[[#This Row],[customer_purchase count]]*Rules!$B$3</f>
        <v>2031.9882051282052</v>
      </c>
      <c r="Y2913" t="str">
        <f>IF(Table1[[#This Row],[customer_subscription]]=1,"Subscribed","Not Subscribed")</f>
        <v>Not Subscribed</v>
      </c>
    </row>
    <row r="2914" spans="1:26" x14ac:dyDescent="0.25">
      <c r="A2914">
        <v>2913</v>
      </c>
      <c r="B2914">
        <v>48</v>
      </c>
      <c r="C2914" t="s">
        <v>156</v>
      </c>
      <c r="D2914">
        <v>2913</v>
      </c>
      <c r="E2914" t="s">
        <v>74</v>
      </c>
      <c r="F2914" t="s">
        <v>45</v>
      </c>
      <c r="G2914">
        <v>2913</v>
      </c>
      <c r="H2914">
        <v>3694</v>
      </c>
      <c r="I2914">
        <v>37</v>
      </c>
      <c r="J2914" t="s">
        <v>50</v>
      </c>
      <c r="K2914" t="s">
        <v>47</v>
      </c>
      <c r="L2914" t="s">
        <v>137</v>
      </c>
      <c r="M2914" t="s">
        <v>28</v>
      </c>
      <c r="N2914">
        <v>4</v>
      </c>
      <c r="O2914">
        <v>0</v>
      </c>
      <c r="P2914" t="s">
        <v>57</v>
      </c>
      <c r="Q2914" t="s">
        <v>155</v>
      </c>
      <c r="R2914" t="s">
        <v>155</v>
      </c>
      <c r="S2914">
        <v>27</v>
      </c>
      <c r="T2914" t="s">
        <v>36</v>
      </c>
      <c r="U2914" t="s">
        <v>79</v>
      </c>
      <c r="V2914" s="1">
        <v>45324</v>
      </c>
      <c r="W2914">
        <f>Table1[[#This Row],[customer_purchase count]]+1</f>
        <v>28</v>
      </c>
      <c r="X2914">
        <f>Table1[[#This Row],[customer_purchase count]]*Rules!$B$3</f>
        <v>1613.6376923076923</v>
      </c>
      <c r="Y2914" t="str">
        <f>IF(Table1[[#This Row],[customer_subscription]]=1,"Subscribed","Not Subscribed")</f>
        <v>Not Subscribed</v>
      </c>
    </row>
    <row r="2915" spans="1:26" x14ac:dyDescent="0.25">
      <c r="A2915">
        <v>2914</v>
      </c>
      <c r="B2915">
        <v>43</v>
      </c>
      <c r="C2915" t="s">
        <v>156</v>
      </c>
      <c r="D2915">
        <v>2914</v>
      </c>
      <c r="E2915" t="s">
        <v>65</v>
      </c>
      <c r="F2915" t="s">
        <v>66</v>
      </c>
      <c r="G2915">
        <v>2914</v>
      </c>
      <c r="H2915">
        <v>3695</v>
      </c>
      <c r="I2915">
        <v>83</v>
      </c>
      <c r="J2915" t="s">
        <v>54</v>
      </c>
      <c r="K2915" t="s">
        <v>26</v>
      </c>
      <c r="L2915" t="s">
        <v>112</v>
      </c>
      <c r="M2915" t="s">
        <v>28</v>
      </c>
      <c r="N2915">
        <v>3.5</v>
      </c>
      <c r="O2915">
        <v>0</v>
      </c>
      <c r="P2915" t="s">
        <v>29</v>
      </c>
      <c r="Q2915" t="s">
        <v>155</v>
      </c>
      <c r="R2915" t="s">
        <v>155</v>
      </c>
      <c r="S2915">
        <v>12</v>
      </c>
      <c r="T2915" t="s">
        <v>36</v>
      </c>
      <c r="U2915" t="s">
        <v>100</v>
      </c>
      <c r="V2915" s="1">
        <v>45628</v>
      </c>
      <c r="W2915">
        <f>Table1[[#This Row],[customer_purchase count]]+1</f>
        <v>13</v>
      </c>
      <c r="X2915">
        <f>Table1[[#This Row],[customer_purchase count]]*Rules!$B$3</f>
        <v>717.17230769230775</v>
      </c>
      <c r="Y2915" t="str">
        <f>IF(Table1[[#This Row],[customer_subscription]]=1,"Subscribed","Not Subscribed")</f>
        <v>Not Subscribed</v>
      </c>
      <c r="Z2915" t="s">
        <v>194</v>
      </c>
    </row>
    <row r="2916" spans="1:26" x14ac:dyDescent="0.25">
      <c r="A2916">
        <v>2915</v>
      </c>
      <c r="B2916">
        <v>45</v>
      </c>
      <c r="C2916" t="s">
        <v>156</v>
      </c>
      <c r="D2916">
        <v>2915</v>
      </c>
      <c r="E2916" t="s">
        <v>33</v>
      </c>
      <c r="F2916" t="s">
        <v>24</v>
      </c>
      <c r="G2916">
        <v>2915</v>
      </c>
      <c r="H2916">
        <v>3697</v>
      </c>
      <c r="I2916">
        <v>72</v>
      </c>
      <c r="J2916" t="s">
        <v>141</v>
      </c>
      <c r="K2916" t="s">
        <v>47</v>
      </c>
      <c r="L2916" t="s">
        <v>137</v>
      </c>
      <c r="M2916" t="s">
        <v>60</v>
      </c>
      <c r="N2916">
        <v>3.8</v>
      </c>
      <c r="O2916">
        <v>0</v>
      </c>
      <c r="P2916" t="s">
        <v>29</v>
      </c>
      <c r="Q2916" t="s">
        <v>155</v>
      </c>
      <c r="R2916" t="s">
        <v>155</v>
      </c>
      <c r="S2916">
        <v>1</v>
      </c>
      <c r="T2916" t="s">
        <v>89</v>
      </c>
      <c r="U2916" t="s">
        <v>79</v>
      </c>
      <c r="V2916" s="1">
        <v>45545</v>
      </c>
      <c r="W2916">
        <f>Table1[[#This Row],[customer_purchase count]]+1</f>
        <v>2</v>
      </c>
      <c r="X2916">
        <f>Table1[[#This Row],[customer_purchase count]]*Rules!$B$3</f>
        <v>59.764358974358977</v>
      </c>
      <c r="Y2916" t="str">
        <f>IF(Table1[[#This Row],[customer_subscription]]=1,"Subscribed","Not Subscribed")</f>
        <v>Not Subscribed</v>
      </c>
      <c r="Z2916" t="s">
        <v>194</v>
      </c>
    </row>
    <row r="2917" spans="1:26" x14ac:dyDescent="0.25">
      <c r="A2917">
        <v>2916</v>
      </c>
      <c r="B2917">
        <v>26</v>
      </c>
      <c r="C2917" t="s">
        <v>156</v>
      </c>
      <c r="D2917">
        <v>2916</v>
      </c>
      <c r="E2917" t="s">
        <v>58</v>
      </c>
      <c r="F2917" t="s">
        <v>24</v>
      </c>
      <c r="G2917">
        <v>2916</v>
      </c>
      <c r="H2917">
        <v>3698</v>
      </c>
      <c r="I2917">
        <v>30</v>
      </c>
      <c r="J2917" t="s">
        <v>50</v>
      </c>
      <c r="K2917" t="s">
        <v>47</v>
      </c>
      <c r="L2917" t="s">
        <v>112</v>
      </c>
      <c r="M2917" t="s">
        <v>60</v>
      </c>
      <c r="N2917">
        <v>4.5</v>
      </c>
      <c r="O2917">
        <v>0</v>
      </c>
      <c r="P2917" t="s">
        <v>29</v>
      </c>
      <c r="Q2917" t="s">
        <v>155</v>
      </c>
      <c r="R2917" t="s">
        <v>155</v>
      </c>
      <c r="S2917">
        <v>39</v>
      </c>
      <c r="T2917" t="s">
        <v>89</v>
      </c>
      <c r="U2917" t="s">
        <v>79</v>
      </c>
      <c r="V2917" s="1">
        <v>45580</v>
      </c>
      <c r="W2917">
        <f>Table1[[#This Row],[customer_purchase count]]+1</f>
        <v>40</v>
      </c>
      <c r="X2917">
        <f>Table1[[#This Row],[customer_purchase count]]*Rules!$B$3</f>
        <v>2330.81</v>
      </c>
      <c r="Y2917" t="str">
        <f>IF(Table1[[#This Row],[customer_subscription]]=1,"Subscribed","Not Subscribed")</f>
        <v>Not Subscribed</v>
      </c>
    </row>
    <row r="2918" spans="1:26" x14ac:dyDescent="0.25">
      <c r="A2918">
        <v>2917</v>
      </c>
      <c r="B2918">
        <v>62</v>
      </c>
      <c r="C2918" t="s">
        <v>156</v>
      </c>
      <c r="D2918">
        <v>2917</v>
      </c>
      <c r="E2918" t="s">
        <v>62</v>
      </c>
      <c r="F2918" t="s">
        <v>24</v>
      </c>
      <c r="G2918">
        <v>2917</v>
      </c>
      <c r="H2918">
        <v>3699</v>
      </c>
      <c r="I2918">
        <v>66</v>
      </c>
      <c r="J2918" t="s">
        <v>104</v>
      </c>
      <c r="K2918" t="s">
        <v>47</v>
      </c>
      <c r="L2918" t="s">
        <v>99</v>
      </c>
      <c r="M2918" t="s">
        <v>28</v>
      </c>
      <c r="N2918">
        <v>2.7</v>
      </c>
      <c r="O2918">
        <v>0</v>
      </c>
      <c r="P2918" t="s">
        <v>29</v>
      </c>
      <c r="Q2918" t="s">
        <v>155</v>
      </c>
      <c r="R2918" t="s">
        <v>155</v>
      </c>
      <c r="S2918">
        <v>13</v>
      </c>
      <c r="T2918" t="s">
        <v>42</v>
      </c>
      <c r="U2918" t="s">
        <v>79</v>
      </c>
      <c r="V2918" s="1">
        <v>45310</v>
      </c>
      <c r="W2918">
        <f>Table1[[#This Row],[customer_purchase count]]+1</f>
        <v>14</v>
      </c>
      <c r="X2918">
        <f>Table1[[#This Row],[customer_purchase count]]*Rules!$B$3</f>
        <v>776.93666666666672</v>
      </c>
      <c r="Y2918" t="str">
        <f>IF(Table1[[#This Row],[customer_subscription]]=1,"Subscribed","Not Subscribed")</f>
        <v>Not Subscribed</v>
      </c>
      <c r="Z2918" t="s">
        <v>194</v>
      </c>
    </row>
    <row r="2919" spans="1:26" x14ac:dyDescent="0.25">
      <c r="A2919">
        <v>2918</v>
      </c>
      <c r="B2919">
        <v>58</v>
      </c>
      <c r="C2919" t="s">
        <v>156</v>
      </c>
      <c r="D2919">
        <v>2918</v>
      </c>
      <c r="E2919" t="s">
        <v>58</v>
      </c>
      <c r="F2919" t="s">
        <v>24</v>
      </c>
      <c r="G2919">
        <v>2918</v>
      </c>
      <c r="H2919">
        <v>3700</v>
      </c>
      <c r="I2919">
        <v>45</v>
      </c>
      <c r="J2919" t="s">
        <v>115</v>
      </c>
      <c r="K2919" t="s">
        <v>95</v>
      </c>
      <c r="L2919" t="s">
        <v>55</v>
      </c>
      <c r="M2919" t="s">
        <v>28</v>
      </c>
      <c r="N2919">
        <v>2.9</v>
      </c>
      <c r="O2919">
        <v>0</v>
      </c>
      <c r="P2919" t="s">
        <v>77</v>
      </c>
      <c r="Q2919" t="s">
        <v>155</v>
      </c>
      <c r="R2919" t="s">
        <v>155</v>
      </c>
      <c r="S2919">
        <v>50</v>
      </c>
      <c r="T2919" t="s">
        <v>31</v>
      </c>
      <c r="U2919" t="s">
        <v>52</v>
      </c>
      <c r="V2919" s="1">
        <v>45632</v>
      </c>
      <c r="W2919">
        <f>Table1[[#This Row],[customer_purchase count]]+1</f>
        <v>51</v>
      </c>
      <c r="X2919">
        <f>Table1[[#This Row],[customer_purchase count]]*Rules!$B$3</f>
        <v>2988.2179487179487</v>
      </c>
      <c r="Y2919" t="str">
        <f>IF(Table1[[#This Row],[customer_subscription]]=1,"Subscribed","Not Subscribed")</f>
        <v>Not Subscribed</v>
      </c>
    </row>
    <row r="2920" spans="1:26" x14ac:dyDescent="0.25">
      <c r="A2920">
        <v>2919</v>
      </c>
      <c r="B2920">
        <v>19</v>
      </c>
      <c r="C2920" t="s">
        <v>156</v>
      </c>
      <c r="D2920">
        <v>2919</v>
      </c>
      <c r="E2920" t="s">
        <v>92</v>
      </c>
      <c r="F2920" t="s">
        <v>70</v>
      </c>
      <c r="G2920">
        <v>2919</v>
      </c>
      <c r="H2920">
        <v>3701</v>
      </c>
      <c r="I2920">
        <v>73</v>
      </c>
      <c r="J2920" t="s">
        <v>87</v>
      </c>
      <c r="K2920" t="s">
        <v>39</v>
      </c>
      <c r="L2920" t="s">
        <v>97</v>
      </c>
      <c r="M2920" t="s">
        <v>60</v>
      </c>
      <c r="N2920">
        <v>4.9000000000000004</v>
      </c>
      <c r="O2920">
        <v>0</v>
      </c>
      <c r="P2920" t="s">
        <v>41</v>
      </c>
      <c r="Q2920" t="s">
        <v>155</v>
      </c>
      <c r="R2920" t="s">
        <v>155</v>
      </c>
      <c r="S2920">
        <v>36</v>
      </c>
      <c r="T2920" t="s">
        <v>36</v>
      </c>
      <c r="U2920" t="s">
        <v>43</v>
      </c>
      <c r="V2920" s="1">
        <v>45584</v>
      </c>
      <c r="W2920">
        <f>Table1[[#This Row],[customer_purchase count]]+1</f>
        <v>37</v>
      </c>
      <c r="X2920">
        <f>Table1[[#This Row],[customer_purchase count]]*Rules!$B$3</f>
        <v>2151.5169230769234</v>
      </c>
      <c r="Y2920" t="str">
        <f>IF(Table1[[#This Row],[customer_subscription]]=1,"Subscribed","Not Subscribed")</f>
        <v>Not Subscribed</v>
      </c>
    </row>
    <row r="2921" spans="1:26" x14ac:dyDescent="0.25">
      <c r="A2921">
        <v>2920</v>
      </c>
      <c r="B2921">
        <v>64</v>
      </c>
      <c r="C2921" t="s">
        <v>156</v>
      </c>
      <c r="D2921">
        <v>2920</v>
      </c>
      <c r="E2921" t="s">
        <v>74</v>
      </c>
      <c r="F2921" t="s">
        <v>45</v>
      </c>
      <c r="G2921">
        <v>2920</v>
      </c>
      <c r="H2921">
        <v>3703</v>
      </c>
      <c r="I2921">
        <v>67</v>
      </c>
      <c r="J2921" t="s">
        <v>151</v>
      </c>
      <c r="K2921" t="s">
        <v>26</v>
      </c>
      <c r="L2921" t="s">
        <v>64</v>
      </c>
      <c r="M2921" t="s">
        <v>28</v>
      </c>
      <c r="N2921">
        <v>3.8</v>
      </c>
      <c r="O2921">
        <v>0</v>
      </c>
      <c r="P2921" t="s">
        <v>57</v>
      </c>
      <c r="Q2921" t="s">
        <v>155</v>
      </c>
      <c r="R2921" t="s">
        <v>155</v>
      </c>
      <c r="S2921">
        <v>31</v>
      </c>
      <c r="T2921" t="s">
        <v>89</v>
      </c>
      <c r="U2921" t="s">
        <v>91</v>
      </c>
      <c r="V2921" s="1">
        <v>45325</v>
      </c>
      <c r="W2921">
        <f>Table1[[#This Row],[customer_purchase count]]+1</f>
        <v>32</v>
      </c>
      <c r="X2921">
        <f>Table1[[#This Row],[customer_purchase count]]*Rules!$B$3</f>
        <v>1852.6951282051282</v>
      </c>
      <c r="Y2921" t="str">
        <f>IF(Table1[[#This Row],[customer_subscription]]=1,"Subscribed","Not Subscribed")</f>
        <v>Not Subscribed</v>
      </c>
    </row>
    <row r="2922" spans="1:26" x14ac:dyDescent="0.25">
      <c r="A2922">
        <v>2921</v>
      </c>
      <c r="B2922">
        <v>33</v>
      </c>
      <c r="C2922" t="s">
        <v>156</v>
      </c>
      <c r="D2922">
        <v>2921</v>
      </c>
      <c r="E2922" t="s">
        <v>92</v>
      </c>
      <c r="F2922" t="s">
        <v>70</v>
      </c>
      <c r="G2922">
        <v>2921</v>
      </c>
      <c r="H2922">
        <v>3704</v>
      </c>
      <c r="I2922">
        <v>72</v>
      </c>
      <c r="J2922" t="s">
        <v>108</v>
      </c>
      <c r="K2922" t="s">
        <v>95</v>
      </c>
      <c r="L2922" t="s">
        <v>113</v>
      </c>
      <c r="M2922" t="s">
        <v>40</v>
      </c>
      <c r="N2922">
        <v>4.9000000000000004</v>
      </c>
      <c r="O2922">
        <v>0</v>
      </c>
      <c r="P2922" t="s">
        <v>41</v>
      </c>
      <c r="Q2922" t="s">
        <v>155</v>
      </c>
      <c r="R2922" t="s">
        <v>155</v>
      </c>
      <c r="S2922">
        <v>3</v>
      </c>
      <c r="T2922" t="s">
        <v>89</v>
      </c>
      <c r="U2922" t="s">
        <v>79</v>
      </c>
      <c r="V2922" s="1">
        <v>45375</v>
      </c>
      <c r="W2922">
        <f>Table1[[#This Row],[customer_purchase count]]+1</f>
        <v>4</v>
      </c>
      <c r="X2922">
        <f>Table1[[#This Row],[customer_purchase count]]*Rules!$B$3</f>
        <v>179.29307692307694</v>
      </c>
      <c r="Y2922" t="str">
        <f>IF(Table1[[#This Row],[customer_subscription]]=1,"Subscribed","Not Subscribed")</f>
        <v>Not Subscribed</v>
      </c>
      <c r="Z2922" t="s">
        <v>194</v>
      </c>
    </row>
    <row r="2923" spans="1:26" x14ac:dyDescent="0.25">
      <c r="A2923">
        <v>2922</v>
      </c>
      <c r="B2923">
        <v>20</v>
      </c>
      <c r="C2923" t="s">
        <v>156</v>
      </c>
      <c r="D2923">
        <v>2922</v>
      </c>
      <c r="E2923" t="s">
        <v>69</v>
      </c>
      <c r="F2923" t="s">
        <v>70</v>
      </c>
      <c r="G2923">
        <v>2922</v>
      </c>
      <c r="H2923">
        <v>3705</v>
      </c>
      <c r="I2923">
        <v>24</v>
      </c>
      <c r="J2923" t="s">
        <v>153</v>
      </c>
      <c r="K2923" t="s">
        <v>47</v>
      </c>
      <c r="L2923" t="s">
        <v>112</v>
      </c>
      <c r="M2923" t="s">
        <v>60</v>
      </c>
      <c r="N2923">
        <v>4.5999999999999996</v>
      </c>
      <c r="O2923">
        <v>0</v>
      </c>
      <c r="P2923" t="s">
        <v>57</v>
      </c>
      <c r="Q2923" t="s">
        <v>155</v>
      </c>
      <c r="R2923" t="s">
        <v>155</v>
      </c>
      <c r="S2923">
        <v>11</v>
      </c>
      <c r="T2923" t="s">
        <v>36</v>
      </c>
      <c r="U2923" t="s">
        <v>32</v>
      </c>
      <c r="V2923" s="1">
        <v>45546</v>
      </c>
      <c r="W2923">
        <f>Table1[[#This Row],[customer_purchase count]]+1</f>
        <v>12</v>
      </c>
      <c r="X2923">
        <f>Table1[[#This Row],[customer_purchase count]]*Rules!$B$3</f>
        <v>657.40794871794878</v>
      </c>
      <c r="Y2923" t="str">
        <f>IF(Table1[[#This Row],[customer_subscription]]=1,"Subscribed","Not Subscribed")</f>
        <v>Not Subscribed</v>
      </c>
      <c r="Z2923" t="s">
        <v>187</v>
      </c>
    </row>
    <row r="2924" spans="1:26" x14ac:dyDescent="0.25">
      <c r="A2924">
        <v>2923</v>
      </c>
      <c r="B2924">
        <v>45</v>
      </c>
      <c r="C2924" t="s">
        <v>156</v>
      </c>
      <c r="D2924">
        <v>2923</v>
      </c>
      <c r="E2924" t="s">
        <v>92</v>
      </c>
      <c r="F2924" t="s">
        <v>70</v>
      </c>
      <c r="G2924">
        <v>2923</v>
      </c>
      <c r="H2924">
        <v>3706</v>
      </c>
      <c r="I2924">
        <v>68</v>
      </c>
      <c r="J2924" t="s">
        <v>25</v>
      </c>
      <c r="K2924" t="s">
        <v>26</v>
      </c>
      <c r="L2924" t="s">
        <v>121</v>
      </c>
      <c r="M2924" t="s">
        <v>28</v>
      </c>
      <c r="N2924">
        <v>3.5</v>
      </c>
      <c r="O2924">
        <v>0</v>
      </c>
      <c r="P2924" t="s">
        <v>29</v>
      </c>
      <c r="Q2924" t="s">
        <v>155</v>
      </c>
      <c r="R2924" t="s">
        <v>155</v>
      </c>
      <c r="S2924">
        <v>16</v>
      </c>
      <c r="T2924" t="s">
        <v>49</v>
      </c>
      <c r="U2924" t="s">
        <v>61</v>
      </c>
      <c r="V2924" s="1">
        <v>45327</v>
      </c>
      <c r="W2924">
        <f>Table1[[#This Row],[customer_purchase count]]+1</f>
        <v>17</v>
      </c>
      <c r="X2924">
        <f>Table1[[#This Row],[customer_purchase count]]*Rules!$B$3</f>
        <v>956.22974358974363</v>
      </c>
      <c r="Y2924" t="str">
        <f>IF(Table1[[#This Row],[customer_subscription]]=1,"Subscribed","Not Subscribed")</f>
        <v>Not Subscribed</v>
      </c>
      <c r="Z2924" t="s">
        <v>194</v>
      </c>
    </row>
    <row r="2925" spans="1:26" x14ac:dyDescent="0.25">
      <c r="A2925">
        <v>2924</v>
      </c>
      <c r="B2925">
        <v>28</v>
      </c>
      <c r="C2925" t="s">
        <v>156</v>
      </c>
      <c r="D2925">
        <v>2924</v>
      </c>
      <c r="E2925" t="s">
        <v>58</v>
      </c>
      <c r="F2925" t="s">
        <v>24</v>
      </c>
      <c r="G2925">
        <v>2924</v>
      </c>
      <c r="H2925">
        <v>3707</v>
      </c>
      <c r="I2925">
        <v>70</v>
      </c>
      <c r="J2925" t="s">
        <v>141</v>
      </c>
      <c r="K2925" t="s">
        <v>47</v>
      </c>
      <c r="L2925" t="s">
        <v>139</v>
      </c>
      <c r="M2925" t="s">
        <v>40</v>
      </c>
      <c r="N2925">
        <v>4.2</v>
      </c>
      <c r="O2925">
        <v>0</v>
      </c>
      <c r="P2925" t="s">
        <v>73</v>
      </c>
      <c r="Q2925" t="s">
        <v>155</v>
      </c>
      <c r="R2925" t="s">
        <v>155</v>
      </c>
      <c r="S2925">
        <v>12</v>
      </c>
      <c r="T2925" t="s">
        <v>36</v>
      </c>
      <c r="U2925" t="s">
        <v>61</v>
      </c>
      <c r="V2925" s="1">
        <v>45438</v>
      </c>
      <c r="W2925">
        <f>Table1[[#This Row],[customer_purchase count]]+1</f>
        <v>13</v>
      </c>
      <c r="X2925">
        <f>Table1[[#This Row],[customer_purchase count]]*Rules!$B$3</f>
        <v>717.17230769230775</v>
      </c>
      <c r="Y2925" t="str">
        <f>IF(Table1[[#This Row],[customer_subscription]]=1,"Subscribed","Not Subscribed")</f>
        <v>Not Subscribed</v>
      </c>
      <c r="Z2925" t="s">
        <v>187</v>
      </c>
    </row>
    <row r="2926" spans="1:26" x14ac:dyDescent="0.25">
      <c r="A2926">
        <v>2925</v>
      </c>
      <c r="B2926">
        <v>47</v>
      </c>
      <c r="C2926" t="s">
        <v>156</v>
      </c>
      <c r="D2926">
        <v>2925</v>
      </c>
      <c r="E2926" t="s">
        <v>58</v>
      </c>
      <c r="F2926" t="s">
        <v>24</v>
      </c>
      <c r="G2926">
        <v>2925</v>
      </c>
      <c r="H2926">
        <v>3709</v>
      </c>
      <c r="I2926">
        <v>64</v>
      </c>
      <c r="J2926" t="s">
        <v>46</v>
      </c>
      <c r="K2926" t="s">
        <v>26</v>
      </c>
      <c r="L2926" t="s">
        <v>129</v>
      </c>
      <c r="M2926" t="s">
        <v>28</v>
      </c>
      <c r="N2926">
        <v>3.7</v>
      </c>
      <c r="O2926">
        <v>0</v>
      </c>
      <c r="P2926" t="s">
        <v>41</v>
      </c>
      <c r="Q2926" t="s">
        <v>155</v>
      </c>
      <c r="R2926" t="s">
        <v>155</v>
      </c>
      <c r="S2926">
        <v>37</v>
      </c>
      <c r="T2926" t="s">
        <v>89</v>
      </c>
      <c r="U2926" t="s">
        <v>100</v>
      </c>
      <c r="V2926" s="1">
        <v>45631</v>
      </c>
      <c r="W2926">
        <f>Table1[[#This Row],[customer_purchase count]]+1</f>
        <v>38</v>
      </c>
      <c r="X2926">
        <f>Table1[[#This Row],[customer_purchase count]]*Rules!$B$3</f>
        <v>2211.2812820512822</v>
      </c>
      <c r="Y2926" t="str">
        <f>IF(Table1[[#This Row],[customer_subscription]]=1,"Subscribed","Not Subscribed")</f>
        <v>Not Subscribed</v>
      </c>
    </row>
    <row r="2927" spans="1:26" x14ac:dyDescent="0.25">
      <c r="A2927">
        <v>2926</v>
      </c>
      <c r="B2927">
        <v>54</v>
      </c>
      <c r="C2927" t="s">
        <v>156</v>
      </c>
      <c r="D2927">
        <v>2926</v>
      </c>
      <c r="E2927" t="s">
        <v>33</v>
      </c>
      <c r="F2927" t="s">
        <v>24</v>
      </c>
      <c r="G2927">
        <v>2926</v>
      </c>
      <c r="H2927">
        <v>3710</v>
      </c>
      <c r="I2927">
        <v>91</v>
      </c>
      <c r="J2927" t="s">
        <v>118</v>
      </c>
      <c r="K2927" t="s">
        <v>47</v>
      </c>
      <c r="L2927" t="s">
        <v>35</v>
      </c>
      <c r="M2927" t="s">
        <v>40</v>
      </c>
      <c r="N2927">
        <v>2.8</v>
      </c>
      <c r="O2927">
        <v>0</v>
      </c>
      <c r="P2927" t="s">
        <v>77</v>
      </c>
      <c r="Q2927" t="s">
        <v>155</v>
      </c>
      <c r="R2927" t="s">
        <v>155</v>
      </c>
      <c r="S2927">
        <v>43</v>
      </c>
      <c r="T2927" t="s">
        <v>42</v>
      </c>
      <c r="U2927" t="s">
        <v>100</v>
      </c>
      <c r="V2927" s="1">
        <v>45416</v>
      </c>
      <c r="W2927">
        <f>Table1[[#This Row],[customer_purchase count]]+1</f>
        <v>44</v>
      </c>
      <c r="X2927">
        <f>Table1[[#This Row],[customer_purchase count]]*Rules!$B$3</f>
        <v>2569.8674358974358</v>
      </c>
      <c r="Y2927" t="str">
        <f>IF(Table1[[#This Row],[customer_subscription]]=1,"Subscribed","Not Subscribed")</f>
        <v>Not Subscribed</v>
      </c>
    </row>
    <row r="2928" spans="1:26" x14ac:dyDescent="0.25">
      <c r="A2928">
        <v>2927</v>
      </c>
      <c r="B2928">
        <v>64</v>
      </c>
      <c r="C2928" t="s">
        <v>156</v>
      </c>
      <c r="D2928">
        <v>2927</v>
      </c>
      <c r="E2928" t="s">
        <v>69</v>
      </c>
      <c r="F2928" t="s">
        <v>70</v>
      </c>
      <c r="G2928">
        <v>2927</v>
      </c>
      <c r="H2928">
        <v>3711</v>
      </c>
      <c r="I2928">
        <v>82</v>
      </c>
      <c r="J2928" t="s">
        <v>131</v>
      </c>
      <c r="K2928" t="s">
        <v>47</v>
      </c>
      <c r="L2928" t="s">
        <v>27</v>
      </c>
      <c r="M2928" t="s">
        <v>28</v>
      </c>
      <c r="N2928">
        <v>4.8</v>
      </c>
      <c r="O2928">
        <v>0</v>
      </c>
      <c r="P2928" t="s">
        <v>73</v>
      </c>
      <c r="Q2928" t="s">
        <v>155</v>
      </c>
      <c r="R2928" t="s">
        <v>155</v>
      </c>
      <c r="S2928">
        <v>9</v>
      </c>
      <c r="T2928" t="s">
        <v>36</v>
      </c>
      <c r="U2928" t="s">
        <v>43</v>
      </c>
      <c r="V2928" s="1">
        <v>45632</v>
      </c>
      <c r="W2928">
        <f>Table1[[#This Row],[customer_purchase count]]+1</f>
        <v>10</v>
      </c>
      <c r="X2928">
        <f>Table1[[#This Row],[customer_purchase count]]*Rules!$B$3</f>
        <v>537.87923076923084</v>
      </c>
      <c r="Y2928" t="str">
        <f>IF(Table1[[#This Row],[customer_subscription]]=1,"Subscribed","Not Subscribed")</f>
        <v>Not Subscribed</v>
      </c>
      <c r="Z2928" t="s">
        <v>194</v>
      </c>
    </row>
    <row r="2929" spans="1:26" x14ac:dyDescent="0.25">
      <c r="A2929">
        <v>2928</v>
      </c>
      <c r="B2929">
        <v>45</v>
      </c>
      <c r="C2929" t="s">
        <v>156</v>
      </c>
      <c r="D2929">
        <v>2928</v>
      </c>
      <c r="E2929" t="s">
        <v>58</v>
      </c>
      <c r="F2929" t="s">
        <v>24</v>
      </c>
      <c r="G2929">
        <v>2928</v>
      </c>
      <c r="H2929">
        <v>3712</v>
      </c>
      <c r="I2929">
        <v>24</v>
      </c>
      <c r="J2929" t="s">
        <v>71</v>
      </c>
      <c r="K2929" t="s">
        <v>47</v>
      </c>
      <c r="L2929" t="s">
        <v>97</v>
      </c>
      <c r="M2929" t="s">
        <v>56</v>
      </c>
      <c r="N2929">
        <v>2.7</v>
      </c>
      <c r="O2929">
        <v>0</v>
      </c>
      <c r="P2929" t="s">
        <v>29</v>
      </c>
      <c r="Q2929" t="s">
        <v>155</v>
      </c>
      <c r="R2929" t="s">
        <v>155</v>
      </c>
      <c r="S2929">
        <v>15</v>
      </c>
      <c r="T2929" t="s">
        <v>31</v>
      </c>
      <c r="U2929" t="s">
        <v>79</v>
      </c>
      <c r="V2929" s="1">
        <v>45531</v>
      </c>
      <c r="W2929">
        <f>Table1[[#This Row],[customer_purchase count]]+1</f>
        <v>16</v>
      </c>
      <c r="X2929">
        <f>Table1[[#This Row],[customer_purchase count]]*Rules!$B$3</f>
        <v>896.46538461538466</v>
      </c>
      <c r="Y2929" t="str">
        <f>IF(Table1[[#This Row],[customer_subscription]]=1,"Subscribed","Not Subscribed")</f>
        <v>Not Subscribed</v>
      </c>
      <c r="Z2929" t="s">
        <v>194</v>
      </c>
    </row>
    <row r="2930" spans="1:26" x14ac:dyDescent="0.25">
      <c r="A2930">
        <v>2929</v>
      </c>
      <c r="B2930">
        <v>40</v>
      </c>
      <c r="C2930" t="s">
        <v>156</v>
      </c>
      <c r="D2930">
        <v>2929</v>
      </c>
      <c r="E2930" t="s">
        <v>109</v>
      </c>
      <c r="F2930" t="s">
        <v>70</v>
      </c>
      <c r="G2930">
        <v>2929</v>
      </c>
      <c r="H2930">
        <v>3713</v>
      </c>
      <c r="I2930">
        <v>80</v>
      </c>
      <c r="J2930" t="s">
        <v>93</v>
      </c>
      <c r="K2930" t="s">
        <v>26</v>
      </c>
      <c r="L2930" t="s">
        <v>137</v>
      </c>
      <c r="M2930" t="s">
        <v>40</v>
      </c>
      <c r="N2930">
        <v>3.6</v>
      </c>
      <c r="O2930">
        <v>0</v>
      </c>
      <c r="P2930" t="s">
        <v>77</v>
      </c>
      <c r="Q2930" t="s">
        <v>155</v>
      </c>
      <c r="R2930" t="s">
        <v>155</v>
      </c>
      <c r="S2930">
        <v>17</v>
      </c>
      <c r="T2930" t="s">
        <v>42</v>
      </c>
      <c r="U2930" t="s">
        <v>43</v>
      </c>
      <c r="V2930" s="1">
        <v>45402</v>
      </c>
      <c r="W2930">
        <f>Table1[[#This Row],[customer_purchase count]]+1</f>
        <v>18</v>
      </c>
      <c r="X2930">
        <f>Table1[[#This Row],[customer_purchase count]]*Rules!$B$3</f>
        <v>1015.9941025641026</v>
      </c>
      <c r="Y2930" t="str">
        <f>IF(Table1[[#This Row],[customer_subscription]]=1,"Subscribed","Not Subscribed")</f>
        <v>Not Subscribed</v>
      </c>
      <c r="Z2930" t="s">
        <v>194</v>
      </c>
    </row>
    <row r="2931" spans="1:26" x14ac:dyDescent="0.25">
      <c r="A2931">
        <v>2930</v>
      </c>
      <c r="B2931">
        <v>31</v>
      </c>
      <c r="C2931" t="s">
        <v>156</v>
      </c>
      <c r="D2931">
        <v>2930</v>
      </c>
      <c r="E2931" t="s">
        <v>128</v>
      </c>
      <c r="F2931" t="s">
        <v>24</v>
      </c>
      <c r="G2931">
        <v>2930</v>
      </c>
      <c r="H2931">
        <v>3715</v>
      </c>
      <c r="I2931">
        <v>53</v>
      </c>
      <c r="J2931" t="s">
        <v>34</v>
      </c>
      <c r="K2931" t="s">
        <v>95</v>
      </c>
      <c r="L2931" t="s">
        <v>55</v>
      </c>
      <c r="M2931" t="s">
        <v>28</v>
      </c>
      <c r="N2931">
        <v>4.5</v>
      </c>
      <c r="O2931">
        <v>0</v>
      </c>
      <c r="P2931" t="s">
        <v>48</v>
      </c>
      <c r="Q2931" t="s">
        <v>155</v>
      </c>
      <c r="R2931" t="s">
        <v>155</v>
      </c>
      <c r="S2931">
        <v>42</v>
      </c>
      <c r="T2931" t="s">
        <v>31</v>
      </c>
      <c r="U2931" t="s">
        <v>32</v>
      </c>
      <c r="V2931" s="1">
        <v>45640</v>
      </c>
      <c r="W2931">
        <f>Table1[[#This Row],[customer_purchase count]]+1</f>
        <v>43</v>
      </c>
      <c r="X2931">
        <f>Table1[[#This Row],[customer_purchase count]]*Rules!$B$3</f>
        <v>2510.103076923077</v>
      </c>
      <c r="Y2931" t="str">
        <f>IF(Table1[[#This Row],[customer_subscription]]=1,"Subscribed","Not Subscribed")</f>
        <v>Not Subscribed</v>
      </c>
    </row>
    <row r="2932" spans="1:26" x14ac:dyDescent="0.25">
      <c r="A2932">
        <v>2931</v>
      </c>
      <c r="B2932">
        <v>38</v>
      </c>
      <c r="C2932" t="s">
        <v>156</v>
      </c>
      <c r="D2932">
        <v>2931</v>
      </c>
      <c r="E2932" t="s">
        <v>116</v>
      </c>
      <c r="F2932" t="s">
        <v>24</v>
      </c>
      <c r="G2932">
        <v>2931</v>
      </c>
      <c r="H2932">
        <v>3716</v>
      </c>
      <c r="I2932">
        <v>50</v>
      </c>
      <c r="J2932" t="s">
        <v>94</v>
      </c>
      <c r="K2932" t="s">
        <v>47</v>
      </c>
      <c r="L2932" t="s">
        <v>124</v>
      </c>
      <c r="M2932" t="s">
        <v>40</v>
      </c>
      <c r="N2932">
        <v>4</v>
      </c>
      <c r="O2932">
        <v>0</v>
      </c>
      <c r="P2932" t="s">
        <v>41</v>
      </c>
      <c r="Q2932" t="s">
        <v>155</v>
      </c>
      <c r="R2932" t="s">
        <v>155</v>
      </c>
      <c r="S2932">
        <v>14</v>
      </c>
      <c r="T2932" t="s">
        <v>31</v>
      </c>
      <c r="U2932" t="s">
        <v>91</v>
      </c>
      <c r="V2932" s="1">
        <v>45356</v>
      </c>
      <c r="W2932">
        <f>Table1[[#This Row],[customer_purchase count]]+1</f>
        <v>15</v>
      </c>
      <c r="X2932">
        <f>Table1[[#This Row],[customer_purchase count]]*Rules!$B$3</f>
        <v>836.70102564102569</v>
      </c>
      <c r="Y2932" t="str">
        <f>IF(Table1[[#This Row],[customer_subscription]]=1,"Subscribed","Not Subscribed")</f>
        <v>Not Subscribed</v>
      </c>
      <c r="Z2932" t="s">
        <v>194</v>
      </c>
    </row>
    <row r="2933" spans="1:26" x14ac:dyDescent="0.25">
      <c r="A2933">
        <v>2932</v>
      </c>
      <c r="B2933">
        <v>36</v>
      </c>
      <c r="C2933" t="s">
        <v>156</v>
      </c>
      <c r="D2933">
        <v>2932</v>
      </c>
      <c r="E2933" t="s">
        <v>109</v>
      </c>
      <c r="F2933" t="s">
        <v>70</v>
      </c>
      <c r="G2933">
        <v>2932</v>
      </c>
      <c r="H2933">
        <v>3717</v>
      </c>
      <c r="I2933">
        <v>31</v>
      </c>
      <c r="J2933" t="s">
        <v>93</v>
      </c>
      <c r="K2933" t="s">
        <v>47</v>
      </c>
      <c r="L2933" t="s">
        <v>139</v>
      </c>
      <c r="M2933" t="s">
        <v>60</v>
      </c>
      <c r="N2933">
        <v>4.5</v>
      </c>
      <c r="O2933">
        <v>0</v>
      </c>
      <c r="P2933" t="s">
        <v>73</v>
      </c>
      <c r="Q2933" t="s">
        <v>155</v>
      </c>
      <c r="R2933" t="s">
        <v>155</v>
      </c>
      <c r="S2933">
        <v>49</v>
      </c>
      <c r="T2933" t="s">
        <v>42</v>
      </c>
      <c r="U2933" t="s">
        <v>79</v>
      </c>
      <c r="V2933" s="1">
        <v>45593</v>
      </c>
      <c r="W2933">
        <f>Table1[[#This Row],[customer_purchase count]]+1</f>
        <v>50</v>
      </c>
      <c r="X2933">
        <f>Table1[[#This Row],[customer_purchase count]]*Rules!$B$3</f>
        <v>2928.4535897435899</v>
      </c>
      <c r="Y2933" t="str">
        <f>IF(Table1[[#This Row],[customer_subscription]]=1,"Subscribed","Not Subscribed")</f>
        <v>Not Subscribed</v>
      </c>
    </row>
    <row r="2934" spans="1:26" x14ac:dyDescent="0.25">
      <c r="A2934">
        <v>2933</v>
      </c>
      <c r="B2934">
        <v>65</v>
      </c>
      <c r="C2934" t="s">
        <v>156</v>
      </c>
      <c r="D2934">
        <v>2933</v>
      </c>
      <c r="E2934" t="s">
        <v>135</v>
      </c>
      <c r="F2934" t="s">
        <v>70</v>
      </c>
      <c r="G2934">
        <v>2933</v>
      </c>
      <c r="H2934">
        <v>3718</v>
      </c>
      <c r="I2934">
        <v>88</v>
      </c>
      <c r="J2934" t="s">
        <v>123</v>
      </c>
      <c r="K2934" t="s">
        <v>26</v>
      </c>
      <c r="L2934" t="s">
        <v>97</v>
      </c>
      <c r="M2934" t="s">
        <v>40</v>
      </c>
      <c r="N2934">
        <v>3.9</v>
      </c>
      <c r="O2934">
        <v>0</v>
      </c>
      <c r="P2934" t="s">
        <v>29</v>
      </c>
      <c r="Q2934" t="s">
        <v>155</v>
      </c>
      <c r="R2934" t="s">
        <v>155</v>
      </c>
      <c r="S2934">
        <v>3</v>
      </c>
      <c r="T2934" t="s">
        <v>49</v>
      </c>
      <c r="U2934" t="s">
        <v>61</v>
      </c>
      <c r="V2934" s="1">
        <v>45379</v>
      </c>
      <c r="W2934">
        <f>Table1[[#This Row],[customer_purchase count]]+1</f>
        <v>4</v>
      </c>
      <c r="X2934">
        <f>Table1[[#This Row],[customer_purchase count]]*Rules!$B$3</f>
        <v>179.29307692307694</v>
      </c>
      <c r="Y2934" t="str">
        <f>IF(Table1[[#This Row],[customer_subscription]]=1,"Subscribed","Not Subscribed")</f>
        <v>Not Subscribed</v>
      </c>
      <c r="Z2934" t="s">
        <v>194</v>
      </c>
    </row>
    <row r="2935" spans="1:26" x14ac:dyDescent="0.25">
      <c r="A2935">
        <v>2934</v>
      </c>
      <c r="B2935">
        <v>27</v>
      </c>
      <c r="C2935" t="s">
        <v>156</v>
      </c>
      <c r="D2935">
        <v>2934</v>
      </c>
      <c r="E2935" t="s">
        <v>127</v>
      </c>
      <c r="F2935" t="s">
        <v>70</v>
      </c>
      <c r="G2935">
        <v>2934</v>
      </c>
      <c r="H2935">
        <v>3719</v>
      </c>
      <c r="I2935">
        <v>52</v>
      </c>
      <c r="J2935" t="s">
        <v>118</v>
      </c>
      <c r="K2935" t="s">
        <v>47</v>
      </c>
      <c r="L2935" t="s">
        <v>113</v>
      </c>
      <c r="M2935" t="s">
        <v>56</v>
      </c>
      <c r="N2935">
        <v>3.8</v>
      </c>
      <c r="O2935">
        <v>0</v>
      </c>
      <c r="P2935" t="s">
        <v>57</v>
      </c>
      <c r="Q2935" t="s">
        <v>155</v>
      </c>
      <c r="R2935" t="s">
        <v>155</v>
      </c>
      <c r="S2935">
        <v>28</v>
      </c>
      <c r="T2935" t="s">
        <v>31</v>
      </c>
      <c r="U2935" t="s">
        <v>91</v>
      </c>
      <c r="V2935" s="1">
        <v>45474</v>
      </c>
      <c r="W2935">
        <f>Table1[[#This Row],[customer_purchase count]]+1</f>
        <v>29</v>
      </c>
      <c r="X2935">
        <f>Table1[[#This Row],[customer_purchase count]]*Rules!$B$3</f>
        <v>1673.4020512820514</v>
      </c>
      <c r="Y2935" t="str">
        <f>IF(Table1[[#This Row],[customer_subscription]]=1,"Subscribed","Not Subscribed")</f>
        <v>Not Subscribed</v>
      </c>
    </row>
    <row r="2936" spans="1:26" x14ac:dyDescent="0.25">
      <c r="A2936">
        <v>2935</v>
      </c>
      <c r="B2936">
        <v>38</v>
      </c>
      <c r="C2936" t="s">
        <v>156</v>
      </c>
      <c r="D2936">
        <v>2935</v>
      </c>
      <c r="E2936" t="s">
        <v>146</v>
      </c>
      <c r="F2936" t="s">
        <v>70</v>
      </c>
      <c r="G2936">
        <v>2935</v>
      </c>
      <c r="H2936">
        <v>3721</v>
      </c>
      <c r="I2936">
        <v>22</v>
      </c>
      <c r="J2936" t="s">
        <v>138</v>
      </c>
      <c r="K2936" t="s">
        <v>47</v>
      </c>
      <c r="L2936" t="s">
        <v>124</v>
      </c>
      <c r="M2936" t="s">
        <v>60</v>
      </c>
      <c r="N2936">
        <v>4.7</v>
      </c>
      <c r="O2936">
        <v>0</v>
      </c>
      <c r="P2936" t="s">
        <v>48</v>
      </c>
      <c r="Q2936" t="s">
        <v>155</v>
      </c>
      <c r="R2936" t="s">
        <v>155</v>
      </c>
      <c r="S2936">
        <v>41</v>
      </c>
      <c r="T2936" t="s">
        <v>78</v>
      </c>
      <c r="U2936" t="s">
        <v>61</v>
      </c>
      <c r="V2936" s="1">
        <v>45610</v>
      </c>
      <c r="W2936">
        <f>Table1[[#This Row],[customer_purchase count]]+1</f>
        <v>42</v>
      </c>
      <c r="X2936">
        <f>Table1[[#This Row],[customer_purchase count]]*Rules!$B$3</f>
        <v>2450.3387179487181</v>
      </c>
      <c r="Y2936" t="str">
        <f>IF(Table1[[#This Row],[customer_subscription]]=1,"Subscribed","Not Subscribed")</f>
        <v>Not Subscribed</v>
      </c>
    </row>
    <row r="2937" spans="1:26" x14ac:dyDescent="0.25">
      <c r="A2937">
        <v>2936</v>
      </c>
      <c r="B2937">
        <v>58</v>
      </c>
      <c r="C2937" t="s">
        <v>156</v>
      </c>
      <c r="D2937">
        <v>2936</v>
      </c>
      <c r="E2937" t="s">
        <v>53</v>
      </c>
      <c r="F2937" t="s">
        <v>45</v>
      </c>
      <c r="G2937">
        <v>2936</v>
      </c>
      <c r="H2937">
        <v>3722</v>
      </c>
      <c r="I2937">
        <v>27</v>
      </c>
      <c r="J2937" t="s">
        <v>101</v>
      </c>
      <c r="K2937" t="s">
        <v>95</v>
      </c>
      <c r="L2937" t="s">
        <v>27</v>
      </c>
      <c r="M2937" t="s">
        <v>40</v>
      </c>
      <c r="N2937">
        <v>4.5999999999999996</v>
      </c>
      <c r="O2937">
        <v>0</v>
      </c>
      <c r="P2937" t="s">
        <v>57</v>
      </c>
      <c r="Q2937" t="s">
        <v>155</v>
      </c>
      <c r="R2937" t="s">
        <v>155</v>
      </c>
      <c r="S2937">
        <v>11</v>
      </c>
      <c r="T2937" t="s">
        <v>31</v>
      </c>
      <c r="U2937" t="s">
        <v>43</v>
      </c>
      <c r="V2937" s="1">
        <v>45418</v>
      </c>
      <c r="W2937">
        <f>Table1[[#This Row],[customer_purchase count]]+1</f>
        <v>12</v>
      </c>
      <c r="X2937">
        <f>Table1[[#This Row],[customer_purchase count]]*Rules!$B$3</f>
        <v>657.40794871794878</v>
      </c>
      <c r="Y2937" t="str">
        <f>IF(Table1[[#This Row],[customer_subscription]]=1,"Subscribed","Not Subscribed")</f>
        <v>Not Subscribed</v>
      </c>
      <c r="Z2937" t="s">
        <v>194</v>
      </c>
    </row>
    <row r="2938" spans="1:26" x14ac:dyDescent="0.25">
      <c r="A2938">
        <v>2937</v>
      </c>
      <c r="B2938">
        <v>31</v>
      </c>
      <c r="C2938" t="s">
        <v>156</v>
      </c>
      <c r="D2938">
        <v>2937</v>
      </c>
      <c r="E2938" t="s">
        <v>90</v>
      </c>
      <c r="F2938" t="s">
        <v>24</v>
      </c>
      <c r="G2938">
        <v>2937</v>
      </c>
      <c r="H2938">
        <v>3723</v>
      </c>
      <c r="I2938">
        <v>34</v>
      </c>
      <c r="J2938" t="s">
        <v>152</v>
      </c>
      <c r="K2938" t="s">
        <v>47</v>
      </c>
      <c r="L2938" t="s">
        <v>55</v>
      </c>
      <c r="M2938" t="s">
        <v>40</v>
      </c>
      <c r="N2938">
        <v>3.6</v>
      </c>
      <c r="O2938">
        <v>0</v>
      </c>
      <c r="P2938" t="s">
        <v>29</v>
      </c>
      <c r="Q2938" t="s">
        <v>155</v>
      </c>
      <c r="R2938" t="s">
        <v>155</v>
      </c>
      <c r="S2938">
        <v>46</v>
      </c>
      <c r="T2938" t="s">
        <v>49</v>
      </c>
      <c r="U2938" t="s">
        <v>43</v>
      </c>
      <c r="V2938" s="1">
        <v>45407</v>
      </c>
      <c r="W2938">
        <f>Table1[[#This Row],[customer_purchase count]]+1</f>
        <v>47</v>
      </c>
      <c r="X2938">
        <f>Table1[[#This Row],[customer_purchase count]]*Rules!$B$3</f>
        <v>2749.1605128205128</v>
      </c>
      <c r="Y2938" t="str">
        <f>IF(Table1[[#This Row],[customer_subscription]]=1,"Subscribed","Not Subscribed")</f>
        <v>Not Subscribed</v>
      </c>
    </row>
    <row r="2939" spans="1:26" x14ac:dyDescent="0.25">
      <c r="A2939">
        <v>2938</v>
      </c>
      <c r="B2939">
        <v>28</v>
      </c>
      <c r="C2939" t="s">
        <v>156</v>
      </c>
      <c r="D2939">
        <v>2938</v>
      </c>
      <c r="E2939" t="s">
        <v>69</v>
      </c>
      <c r="F2939" t="s">
        <v>70</v>
      </c>
      <c r="G2939">
        <v>2938</v>
      </c>
      <c r="H2939">
        <v>3724</v>
      </c>
      <c r="I2939">
        <v>39</v>
      </c>
      <c r="J2939" t="s">
        <v>67</v>
      </c>
      <c r="K2939" t="s">
        <v>47</v>
      </c>
      <c r="L2939" t="s">
        <v>55</v>
      </c>
      <c r="M2939" t="s">
        <v>40</v>
      </c>
      <c r="N2939">
        <v>4.3</v>
      </c>
      <c r="O2939">
        <v>0</v>
      </c>
      <c r="P2939" t="s">
        <v>73</v>
      </c>
      <c r="Q2939" t="s">
        <v>155</v>
      </c>
      <c r="R2939" t="s">
        <v>155</v>
      </c>
      <c r="S2939">
        <v>15</v>
      </c>
      <c r="T2939" t="s">
        <v>42</v>
      </c>
      <c r="U2939" t="s">
        <v>43</v>
      </c>
      <c r="V2939" s="1">
        <v>45421</v>
      </c>
      <c r="W2939">
        <f>Table1[[#This Row],[customer_purchase count]]+1</f>
        <v>16</v>
      </c>
      <c r="X2939">
        <f>Table1[[#This Row],[customer_purchase count]]*Rules!$B$3</f>
        <v>896.46538461538466</v>
      </c>
      <c r="Y2939" t="str">
        <f>IF(Table1[[#This Row],[customer_subscription]]=1,"Subscribed","Not Subscribed")</f>
        <v>Not Subscribed</v>
      </c>
      <c r="Z2939" t="s">
        <v>187</v>
      </c>
    </row>
    <row r="2940" spans="1:26" x14ac:dyDescent="0.25">
      <c r="A2940">
        <v>2939</v>
      </c>
      <c r="B2940">
        <v>28</v>
      </c>
      <c r="C2940" t="s">
        <v>156</v>
      </c>
      <c r="D2940">
        <v>2939</v>
      </c>
      <c r="E2940" t="s">
        <v>92</v>
      </c>
      <c r="F2940" t="s">
        <v>70</v>
      </c>
      <c r="G2940">
        <v>2939</v>
      </c>
      <c r="H2940">
        <v>3725</v>
      </c>
      <c r="I2940">
        <v>53</v>
      </c>
      <c r="J2940" t="s">
        <v>34</v>
      </c>
      <c r="K2940" t="s">
        <v>47</v>
      </c>
      <c r="L2940" t="s">
        <v>86</v>
      </c>
      <c r="M2940" t="s">
        <v>60</v>
      </c>
      <c r="N2940">
        <v>3</v>
      </c>
      <c r="O2940">
        <v>0</v>
      </c>
      <c r="P2940" t="s">
        <v>57</v>
      </c>
      <c r="Q2940" t="s">
        <v>155</v>
      </c>
      <c r="R2940" t="s">
        <v>155</v>
      </c>
      <c r="S2940">
        <v>15</v>
      </c>
      <c r="T2940" t="s">
        <v>36</v>
      </c>
      <c r="U2940" t="s">
        <v>91</v>
      </c>
      <c r="V2940" s="1">
        <v>45547</v>
      </c>
      <c r="W2940">
        <f>Table1[[#This Row],[customer_purchase count]]+1</f>
        <v>16</v>
      </c>
      <c r="X2940">
        <f>Table1[[#This Row],[customer_purchase count]]*Rules!$B$3</f>
        <v>896.46538461538466</v>
      </c>
      <c r="Y2940" t="str">
        <f>IF(Table1[[#This Row],[customer_subscription]]=1,"Subscribed","Not Subscribed")</f>
        <v>Not Subscribed</v>
      </c>
      <c r="Z2940" t="s">
        <v>187</v>
      </c>
    </row>
    <row r="2941" spans="1:26" x14ac:dyDescent="0.25">
      <c r="A2941">
        <v>2940</v>
      </c>
      <c r="B2941">
        <v>32</v>
      </c>
      <c r="C2941" t="s">
        <v>156</v>
      </c>
      <c r="D2941">
        <v>2940</v>
      </c>
      <c r="E2941" t="s">
        <v>33</v>
      </c>
      <c r="F2941" t="s">
        <v>24</v>
      </c>
      <c r="G2941">
        <v>2940</v>
      </c>
      <c r="H2941">
        <v>3727</v>
      </c>
      <c r="I2941">
        <v>46</v>
      </c>
      <c r="J2941" t="s">
        <v>25</v>
      </c>
      <c r="K2941" t="s">
        <v>47</v>
      </c>
      <c r="L2941" t="s">
        <v>121</v>
      </c>
      <c r="M2941" t="s">
        <v>28</v>
      </c>
      <c r="N2941">
        <v>4.3</v>
      </c>
      <c r="O2941">
        <v>0</v>
      </c>
      <c r="P2941" t="s">
        <v>29</v>
      </c>
      <c r="Q2941" t="s">
        <v>155</v>
      </c>
      <c r="R2941" t="s">
        <v>155</v>
      </c>
      <c r="S2941">
        <v>34</v>
      </c>
      <c r="T2941" t="s">
        <v>31</v>
      </c>
      <c r="U2941" t="s">
        <v>43</v>
      </c>
      <c r="V2941" s="1">
        <v>45653</v>
      </c>
      <c r="W2941">
        <f>Table1[[#This Row],[customer_purchase count]]+1</f>
        <v>35</v>
      </c>
      <c r="X2941">
        <f>Table1[[#This Row],[customer_purchase count]]*Rules!$B$3</f>
        <v>2031.9882051282052</v>
      </c>
      <c r="Y2941" t="str">
        <f>IF(Table1[[#This Row],[customer_subscription]]=1,"Subscribed","Not Subscribed")</f>
        <v>Not Subscribed</v>
      </c>
    </row>
    <row r="2942" spans="1:26" x14ac:dyDescent="0.25">
      <c r="A2942">
        <v>2941</v>
      </c>
      <c r="B2942">
        <v>61</v>
      </c>
      <c r="C2942" t="s">
        <v>156</v>
      </c>
      <c r="D2942">
        <v>2941</v>
      </c>
      <c r="E2942" t="s">
        <v>69</v>
      </c>
      <c r="F2942" t="s">
        <v>70</v>
      </c>
      <c r="G2942">
        <v>2941</v>
      </c>
      <c r="H2942">
        <v>3728</v>
      </c>
      <c r="I2942">
        <v>85</v>
      </c>
      <c r="J2942" t="s">
        <v>38</v>
      </c>
      <c r="K2942" t="s">
        <v>26</v>
      </c>
      <c r="L2942" t="s">
        <v>121</v>
      </c>
      <c r="M2942" t="s">
        <v>56</v>
      </c>
      <c r="N2942">
        <v>4.8</v>
      </c>
      <c r="O2942">
        <v>0</v>
      </c>
      <c r="P2942" t="s">
        <v>48</v>
      </c>
      <c r="Q2942" t="s">
        <v>155</v>
      </c>
      <c r="R2942" t="s">
        <v>155</v>
      </c>
      <c r="S2942">
        <v>13</v>
      </c>
      <c r="T2942" t="s">
        <v>36</v>
      </c>
      <c r="U2942" t="s">
        <v>91</v>
      </c>
      <c r="V2942" s="1">
        <v>45448</v>
      </c>
      <c r="W2942">
        <f>Table1[[#This Row],[customer_purchase count]]+1</f>
        <v>14</v>
      </c>
      <c r="X2942">
        <f>Table1[[#This Row],[customer_purchase count]]*Rules!$B$3</f>
        <v>776.93666666666672</v>
      </c>
      <c r="Y2942" t="str">
        <f>IF(Table1[[#This Row],[customer_subscription]]=1,"Subscribed","Not Subscribed")</f>
        <v>Not Subscribed</v>
      </c>
      <c r="Z2942" t="s">
        <v>194</v>
      </c>
    </row>
    <row r="2943" spans="1:26" x14ac:dyDescent="0.25">
      <c r="A2943">
        <v>2942</v>
      </c>
      <c r="B2943">
        <v>38</v>
      </c>
      <c r="C2943" t="s">
        <v>156</v>
      </c>
      <c r="D2943">
        <v>2942</v>
      </c>
      <c r="E2943" t="s">
        <v>90</v>
      </c>
      <c r="F2943" t="s">
        <v>24</v>
      </c>
      <c r="G2943">
        <v>2942</v>
      </c>
      <c r="H2943">
        <v>3729</v>
      </c>
      <c r="I2943">
        <v>86</v>
      </c>
      <c r="J2943" t="s">
        <v>141</v>
      </c>
      <c r="K2943" t="s">
        <v>26</v>
      </c>
      <c r="L2943" t="s">
        <v>76</v>
      </c>
      <c r="M2943" t="s">
        <v>40</v>
      </c>
      <c r="N2943">
        <v>3.7</v>
      </c>
      <c r="O2943">
        <v>0</v>
      </c>
      <c r="P2943" t="s">
        <v>41</v>
      </c>
      <c r="Q2943" t="s">
        <v>155</v>
      </c>
      <c r="R2943" t="s">
        <v>155</v>
      </c>
      <c r="S2943">
        <v>27</v>
      </c>
      <c r="T2943" t="s">
        <v>49</v>
      </c>
      <c r="U2943" t="s">
        <v>91</v>
      </c>
      <c r="V2943" s="1">
        <v>45364</v>
      </c>
      <c r="W2943">
        <f>Table1[[#This Row],[customer_purchase count]]+1</f>
        <v>28</v>
      </c>
      <c r="X2943">
        <f>Table1[[#This Row],[customer_purchase count]]*Rules!$B$3</f>
        <v>1613.6376923076923</v>
      </c>
      <c r="Y2943" t="str">
        <f>IF(Table1[[#This Row],[customer_subscription]]=1,"Subscribed","Not Subscribed")</f>
        <v>Not Subscribed</v>
      </c>
    </row>
    <row r="2944" spans="1:26" x14ac:dyDescent="0.25">
      <c r="A2944">
        <v>2943</v>
      </c>
      <c r="B2944">
        <v>54</v>
      </c>
      <c r="C2944" t="s">
        <v>156</v>
      </c>
      <c r="D2944">
        <v>2943</v>
      </c>
      <c r="E2944" t="s">
        <v>128</v>
      </c>
      <c r="F2944" t="s">
        <v>24</v>
      </c>
      <c r="G2944">
        <v>2943</v>
      </c>
      <c r="H2944">
        <v>3730</v>
      </c>
      <c r="I2944">
        <v>63</v>
      </c>
      <c r="J2944" t="s">
        <v>80</v>
      </c>
      <c r="K2944" t="s">
        <v>47</v>
      </c>
      <c r="L2944" t="s">
        <v>113</v>
      </c>
      <c r="M2944" t="s">
        <v>56</v>
      </c>
      <c r="N2944">
        <v>2.6</v>
      </c>
      <c r="O2944">
        <v>0</v>
      </c>
      <c r="P2944" t="s">
        <v>41</v>
      </c>
      <c r="Q2944" t="s">
        <v>155</v>
      </c>
      <c r="R2944" t="s">
        <v>155</v>
      </c>
      <c r="S2944">
        <v>37</v>
      </c>
      <c r="T2944" t="s">
        <v>78</v>
      </c>
      <c r="U2944" t="s">
        <v>43</v>
      </c>
      <c r="V2944" s="1">
        <v>45510</v>
      </c>
      <c r="W2944">
        <f>Table1[[#This Row],[customer_purchase count]]+1</f>
        <v>38</v>
      </c>
      <c r="X2944">
        <f>Table1[[#This Row],[customer_purchase count]]*Rules!$B$3</f>
        <v>2211.2812820512822</v>
      </c>
      <c r="Y2944" t="str">
        <f>IF(Table1[[#This Row],[customer_subscription]]=1,"Subscribed","Not Subscribed")</f>
        <v>Not Subscribed</v>
      </c>
    </row>
    <row r="2945" spans="1:26" x14ac:dyDescent="0.25">
      <c r="A2945">
        <v>2944</v>
      </c>
      <c r="B2945">
        <v>29</v>
      </c>
      <c r="C2945" t="s">
        <v>156</v>
      </c>
      <c r="D2945">
        <v>2944</v>
      </c>
      <c r="E2945" t="s">
        <v>58</v>
      </c>
      <c r="F2945" t="s">
        <v>24</v>
      </c>
      <c r="G2945">
        <v>2944</v>
      </c>
      <c r="H2945">
        <v>3731</v>
      </c>
      <c r="I2945">
        <v>44</v>
      </c>
      <c r="J2945" t="s">
        <v>144</v>
      </c>
      <c r="K2945" t="s">
        <v>47</v>
      </c>
      <c r="L2945" t="s">
        <v>124</v>
      </c>
      <c r="M2945" t="s">
        <v>40</v>
      </c>
      <c r="N2945">
        <v>3.4</v>
      </c>
      <c r="O2945">
        <v>0</v>
      </c>
      <c r="P2945" t="s">
        <v>57</v>
      </c>
      <c r="Q2945" t="s">
        <v>155</v>
      </c>
      <c r="R2945" t="s">
        <v>155</v>
      </c>
      <c r="S2945">
        <v>37</v>
      </c>
      <c r="T2945" t="s">
        <v>42</v>
      </c>
      <c r="U2945" t="s">
        <v>91</v>
      </c>
      <c r="V2945" s="1">
        <v>45367</v>
      </c>
      <c r="W2945">
        <f>Table1[[#This Row],[customer_purchase count]]+1</f>
        <v>38</v>
      </c>
      <c r="X2945">
        <f>Table1[[#This Row],[customer_purchase count]]*Rules!$B$3</f>
        <v>2211.2812820512822</v>
      </c>
      <c r="Y2945" t="str">
        <f>IF(Table1[[#This Row],[customer_subscription]]=1,"Subscribed","Not Subscribed")</f>
        <v>Not Subscribed</v>
      </c>
    </row>
    <row r="2946" spans="1:26" x14ac:dyDescent="0.25">
      <c r="A2946">
        <v>2945</v>
      </c>
      <c r="B2946">
        <v>50</v>
      </c>
      <c r="C2946" t="s">
        <v>156</v>
      </c>
      <c r="D2946">
        <v>2945</v>
      </c>
      <c r="E2946" t="s">
        <v>53</v>
      </c>
      <c r="F2946" t="s">
        <v>45</v>
      </c>
      <c r="G2946">
        <v>2945</v>
      </c>
      <c r="H2946">
        <v>3733</v>
      </c>
      <c r="I2946">
        <v>95</v>
      </c>
      <c r="J2946" t="s">
        <v>87</v>
      </c>
      <c r="K2946" t="s">
        <v>95</v>
      </c>
      <c r="L2946" t="s">
        <v>112</v>
      </c>
      <c r="M2946" t="s">
        <v>56</v>
      </c>
      <c r="N2946">
        <v>3.9</v>
      </c>
      <c r="O2946">
        <v>0</v>
      </c>
      <c r="P2946" t="s">
        <v>41</v>
      </c>
      <c r="Q2946" t="s">
        <v>155</v>
      </c>
      <c r="R2946" t="s">
        <v>155</v>
      </c>
      <c r="S2946">
        <v>4</v>
      </c>
      <c r="T2946" t="s">
        <v>31</v>
      </c>
      <c r="U2946" t="s">
        <v>100</v>
      </c>
      <c r="V2946" s="1">
        <v>45526</v>
      </c>
      <c r="W2946">
        <f>Table1[[#This Row],[customer_purchase count]]+1</f>
        <v>5</v>
      </c>
      <c r="X2946">
        <f>Table1[[#This Row],[customer_purchase count]]*Rules!$B$3</f>
        <v>239.05743589743591</v>
      </c>
      <c r="Y2946" t="str">
        <f>IF(Table1[[#This Row],[customer_subscription]]=1,"Subscribed","Not Subscribed")</f>
        <v>Not Subscribed</v>
      </c>
      <c r="Z2946" t="s">
        <v>194</v>
      </c>
    </row>
    <row r="2947" spans="1:26" x14ac:dyDescent="0.25">
      <c r="A2947">
        <v>2946</v>
      </c>
      <c r="B2947">
        <v>32</v>
      </c>
      <c r="C2947" t="s">
        <v>156</v>
      </c>
      <c r="D2947">
        <v>2946</v>
      </c>
      <c r="E2947" t="s">
        <v>136</v>
      </c>
      <c r="F2947" t="s">
        <v>70</v>
      </c>
      <c r="G2947">
        <v>2946</v>
      </c>
      <c r="H2947">
        <v>3734</v>
      </c>
      <c r="I2947">
        <v>49</v>
      </c>
      <c r="J2947" t="s">
        <v>82</v>
      </c>
      <c r="K2947" t="s">
        <v>47</v>
      </c>
      <c r="L2947" t="s">
        <v>64</v>
      </c>
      <c r="M2947" t="s">
        <v>56</v>
      </c>
      <c r="N2947">
        <v>4.8</v>
      </c>
      <c r="O2947">
        <v>0</v>
      </c>
      <c r="P2947" t="s">
        <v>41</v>
      </c>
      <c r="Q2947" t="s">
        <v>155</v>
      </c>
      <c r="R2947" t="s">
        <v>155</v>
      </c>
      <c r="S2947">
        <v>1</v>
      </c>
      <c r="T2947" t="s">
        <v>42</v>
      </c>
      <c r="U2947" t="s">
        <v>100</v>
      </c>
      <c r="V2947" s="1">
        <v>45524</v>
      </c>
      <c r="W2947">
        <f>Table1[[#This Row],[customer_purchase count]]+1</f>
        <v>2</v>
      </c>
      <c r="X2947">
        <f>Table1[[#This Row],[customer_purchase count]]*Rules!$B$3</f>
        <v>59.764358974358977</v>
      </c>
      <c r="Y2947" t="str">
        <f>IF(Table1[[#This Row],[customer_subscription]]=1,"Subscribed","Not Subscribed")</f>
        <v>Not Subscribed</v>
      </c>
      <c r="Z2947" t="s">
        <v>194</v>
      </c>
    </row>
    <row r="2948" spans="1:26" x14ac:dyDescent="0.25">
      <c r="A2948">
        <v>2947</v>
      </c>
      <c r="B2948">
        <v>38</v>
      </c>
      <c r="C2948" t="s">
        <v>156</v>
      </c>
      <c r="D2948">
        <v>2947</v>
      </c>
      <c r="E2948" t="s">
        <v>98</v>
      </c>
      <c r="F2948" t="s">
        <v>24</v>
      </c>
      <c r="G2948">
        <v>2947</v>
      </c>
      <c r="H2948">
        <v>3735</v>
      </c>
      <c r="I2948">
        <v>77</v>
      </c>
      <c r="J2948" t="s">
        <v>80</v>
      </c>
      <c r="K2948" t="s">
        <v>26</v>
      </c>
      <c r="L2948" t="s">
        <v>76</v>
      </c>
      <c r="M2948" t="s">
        <v>40</v>
      </c>
      <c r="N2948">
        <v>2.8</v>
      </c>
      <c r="O2948">
        <v>0</v>
      </c>
      <c r="P2948" t="s">
        <v>41</v>
      </c>
      <c r="Q2948" t="s">
        <v>155</v>
      </c>
      <c r="R2948" t="s">
        <v>155</v>
      </c>
      <c r="S2948">
        <v>29</v>
      </c>
      <c r="T2948" t="s">
        <v>78</v>
      </c>
      <c r="U2948" t="s">
        <v>61</v>
      </c>
      <c r="V2948" s="1">
        <v>45432</v>
      </c>
      <c r="W2948">
        <f>Table1[[#This Row],[customer_purchase count]]+1</f>
        <v>30</v>
      </c>
      <c r="X2948">
        <f>Table1[[#This Row],[customer_purchase count]]*Rules!$B$3</f>
        <v>1733.1664102564102</v>
      </c>
      <c r="Y2948" t="str">
        <f>IF(Table1[[#This Row],[customer_subscription]]=1,"Subscribed","Not Subscribed")</f>
        <v>Not Subscribed</v>
      </c>
    </row>
    <row r="2949" spans="1:26" x14ac:dyDescent="0.25">
      <c r="A2949">
        <v>2948</v>
      </c>
      <c r="B2949">
        <v>52</v>
      </c>
      <c r="C2949" t="s">
        <v>156</v>
      </c>
      <c r="D2949">
        <v>2948</v>
      </c>
      <c r="E2949" t="s">
        <v>109</v>
      </c>
      <c r="F2949" t="s">
        <v>70</v>
      </c>
      <c r="G2949">
        <v>2948</v>
      </c>
      <c r="H2949">
        <v>3736</v>
      </c>
      <c r="I2949">
        <v>63</v>
      </c>
      <c r="J2949" t="s">
        <v>148</v>
      </c>
      <c r="K2949" t="s">
        <v>26</v>
      </c>
      <c r="L2949" t="s">
        <v>103</v>
      </c>
      <c r="M2949" t="s">
        <v>40</v>
      </c>
      <c r="N2949">
        <v>4.4000000000000004</v>
      </c>
      <c r="O2949">
        <v>0</v>
      </c>
      <c r="P2949" t="s">
        <v>57</v>
      </c>
      <c r="Q2949" t="s">
        <v>155</v>
      </c>
      <c r="R2949" t="s">
        <v>155</v>
      </c>
      <c r="S2949">
        <v>50</v>
      </c>
      <c r="T2949" t="s">
        <v>31</v>
      </c>
      <c r="U2949" t="s">
        <v>52</v>
      </c>
      <c r="V2949" s="1">
        <v>45363</v>
      </c>
      <c r="W2949">
        <f>Table1[[#This Row],[customer_purchase count]]+1</f>
        <v>51</v>
      </c>
      <c r="X2949">
        <f>Table1[[#This Row],[customer_purchase count]]*Rules!$B$3</f>
        <v>2988.2179487179487</v>
      </c>
      <c r="Y2949" t="str">
        <f>IF(Table1[[#This Row],[customer_subscription]]=1,"Subscribed","Not Subscribed")</f>
        <v>Not Subscribed</v>
      </c>
    </row>
    <row r="2950" spans="1:26" x14ac:dyDescent="0.25">
      <c r="A2950">
        <v>2949</v>
      </c>
      <c r="B2950">
        <v>61</v>
      </c>
      <c r="C2950" t="s">
        <v>156</v>
      </c>
      <c r="D2950">
        <v>2949</v>
      </c>
      <c r="E2950" t="s">
        <v>98</v>
      </c>
      <c r="F2950" t="s">
        <v>24</v>
      </c>
      <c r="G2950">
        <v>2949</v>
      </c>
      <c r="H2950">
        <v>3737</v>
      </c>
      <c r="I2950">
        <v>83</v>
      </c>
      <c r="J2950" t="s">
        <v>132</v>
      </c>
      <c r="K2950" t="s">
        <v>47</v>
      </c>
      <c r="L2950" t="s">
        <v>86</v>
      </c>
      <c r="M2950" t="s">
        <v>28</v>
      </c>
      <c r="N2950">
        <v>3.1</v>
      </c>
      <c r="O2950">
        <v>0</v>
      </c>
      <c r="P2950" t="s">
        <v>57</v>
      </c>
      <c r="Q2950" t="s">
        <v>155</v>
      </c>
      <c r="R2950" t="s">
        <v>155</v>
      </c>
      <c r="S2950">
        <v>38</v>
      </c>
      <c r="T2950" t="s">
        <v>89</v>
      </c>
      <c r="U2950" t="s">
        <v>79</v>
      </c>
      <c r="V2950" s="1">
        <v>45631</v>
      </c>
      <c r="W2950">
        <f>Table1[[#This Row],[customer_purchase count]]+1</f>
        <v>39</v>
      </c>
      <c r="X2950">
        <f>Table1[[#This Row],[customer_purchase count]]*Rules!$B$3</f>
        <v>2271.0456410256411</v>
      </c>
      <c r="Y2950" t="str">
        <f>IF(Table1[[#This Row],[customer_subscription]]=1,"Subscribed","Not Subscribed")</f>
        <v>Not Subscribed</v>
      </c>
    </row>
    <row r="2951" spans="1:26" x14ac:dyDescent="0.25">
      <c r="A2951">
        <v>2950</v>
      </c>
      <c r="B2951">
        <v>25</v>
      </c>
      <c r="C2951" t="s">
        <v>156</v>
      </c>
      <c r="D2951">
        <v>2950</v>
      </c>
      <c r="E2951" t="s">
        <v>109</v>
      </c>
      <c r="F2951" t="s">
        <v>70</v>
      </c>
      <c r="G2951">
        <v>2950</v>
      </c>
      <c r="H2951">
        <v>3739</v>
      </c>
      <c r="I2951">
        <v>93</v>
      </c>
      <c r="J2951" t="s">
        <v>149</v>
      </c>
      <c r="K2951" t="s">
        <v>47</v>
      </c>
      <c r="L2951" t="s">
        <v>103</v>
      </c>
      <c r="M2951" t="s">
        <v>40</v>
      </c>
      <c r="N2951">
        <v>3.8</v>
      </c>
      <c r="O2951">
        <v>0</v>
      </c>
      <c r="P2951" t="s">
        <v>77</v>
      </c>
      <c r="Q2951" t="s">
        <v>155</v>
      </c>
      <c r="R2951" t="s">
        <v>155</v>
      </c>
      <c r="S2951">
        <v>15</v>
      </c>
      <c r="T2951" t="s">
        <v>49</v>
      </c>
      <c r="U2951" t="s">
        <v>52</v>
      </c>
      <c r="V2951" s="1">
        <v>45388</v>
      </c>
      <c r="W2951">
        <f>Table1[[#This Row],[customer_purchase count]]+1</f>
        <v>16</v>
      </c>
      <c r="X2951">
        <f>Table1[[#This Row],[customer_purchase count]]*Rules!$B$3</f>
        <v>896.46538461538466</v>
      </c>
      <c r="Y2951" t="str">
        <f>IF(Table1[[#This Row],[customer_subscription]]=1,"Subscribed","Not Subscribed")</f>
        <v>Not Subscribed</v>
      </c>
      <c r="Z2951" t="s">
        <v>187</v>
      </c>
    </row>
    <row r="2952" spans="1:26" x14ac:dyDescent="0.25">
      <c r="A2952">
        <v>2951</v>
      </c>
      <c r="B2952">
        <v>22</v>
      </c>
      <c r="C2952" t="s">
        <v>156</v>
      </c>
      <c r="D2952">
        <v>2951</v>
      </c>
      <c r="E2952" t="s">
        <v>37</v>
      </c>
      <c r="F2952" t="s">
        <v>24</v>
      </c>
      <c r="G2952">
        <v>2951</v>
      </c>
      <c r="H2952">
        <v>3740</v>
      </c>
      <c r="I2952">
        <v>91</v>
      </c>
      <c r="J2952" t="s">
        <v>149</v>
      </c>
      <c r="K2952" t="s">
        <v>39</v>
      </c>
      <c r="L2952" t="s">
        <v>35</v>
      </c>
      <c r="M2952" t="s">
        <v>28</v>
      </c>
      <c r="N2952">
        <v>4.0999999999999996</v>
      </c>
      <c r="O2952">
        <v>0</v>
      </c>
      <c r="P2952" t="s">
        <v>73</v>
      </c>
      <c r="Q2952" t="s">
        <v>155</v>
      </c>
      <c r="R2952" t="s">
        <v>155</v>
      </c>
      <c r="S2952">
        <v>44</v>
      </c>
      <c r="T2952" t="s">
        <v>89</v>
      </c>
      <c r="U2952" t="s">
        <v>100</v>
      </c>
      <c r="V2952" s="1">
        <v>45296</v>
      </c>
      <c r="W2952">
        <f>Table1[[#This Row],[customer_purchase count]]+1</f>
        <v>45</v>
      </c>
      <c r="X2952">
        <f>Table1[[#This Row],[customer_purchase count]]*Rules!$B$3</f>
        <v>2629.6317948717951</v>
      </c>
      <c r="Y2952" t="str">
        <f>IF(Table1[[#This Row],[customer_subscription]]=1,"Subscribed","Not Subscribed")</f>
        <v>Not Subscribed</v>
      </c>
    </row>
    <row r="2953" spans="1:26" x14ac:dyDescent="0.25">
      <c r="A2953">
        <v>2952</v>
      </c>
      <c r="B2953">
        <v>47</v>
      </c>
      <c r="C2953" t="s">
        <v>156</v>
      </c>
      <c r="D2953">
        <v>2952</v>
      </c>
      <c r="E2953" t="s">
        <v>122</v>
      </c>
      <c r="F2953" t="s">
        <v>70</v>
      </c>
      <c r="G2953">
        <v>2952</v>
      </c>
      <c r="H2953">
        <v>3741</v>
      </c>
      <c r="I2953">
        <v>99</v>
      </c>
      <c r="J2953" t="s">
        <v>75</v>
      </c>
      <c r="K2953" t="s">
        <v>26</v>
      </c>
      <c r="L2953" t="s">
        <v>35</v>
      </c>
      <c r="M2953" t="s">
        <v>60</v>
      </c>
      <c r="N2953">
        <v>4.5999999999999996</v>
      </c>
      <c r="O2953">
        <v>0</v>
      </c>
      <c r="P2953" t="s">
        <v>41</v>
      </c>
      <c r="Q2953" t="s">
        <v>155</v>
      </c>
      <c r="R2953" t="s">
        <v>155</v>
      </c>
      <c r="S2953">
        <v>14</v>
      </c>
      <c r="T2953" t="s">
        <v>36</v>
      </c>
      <c r="U2953" t="s">
        <v>43</v>
      </c>
      <c r="V2953" s="1">
        <v>45599</v>
      </c>
      <c r="W2953">
        <f>Table1[[#This Row],[customer_purchase count]]+1</f>
        <v>15</v>
      </c>
      <c r="X2953">
        <f>Table1[[#This Row],[customer_purchase count]]*Rules!$B$3</f>
        <v>836.70102564102569</v>
      </c>
      <c r="Y2953" t="str">
        <f>IF(Table1[[#This Row],[customer_subscription]]=1,"Subscribed","Not Subscribed")</f>
        <v>Not Subscribed</v>
      </c>
      <c r="Z2953" t="s">
        <v>194</v>
      </c>
    </row>
    <row r="2954" spans="1:26" x14ac:dyDescent="0.25">
      <c r="A2954">
        <v>2953</v>
      </c>
      <c r="B2954">
        <v>50</v>
      </c>
      <c r="C2954" t="s">
        <v>156</v>
      </c>
      <c r="D2954">
        <v>2953</v>
      </c>
      <c r="E2954" t="s">
        <v>136</v>
      </c>
      <c r="F2954" t="s">
        <v>70</v>
      </c>
      <c r="G2954">
        <v>2953</v>
      </c>
      <c r="H2954">
        <v>3742</v>
      </c>
      <c r="I2954">
        <v>24</v>
      </c>
      <c r="J2954" t="s">
        <v>93</v>
      </c>
      <c r="K2954" t="s">
        <v>47</v>
      </c>
      <c r="L2954" t="s">
        <v>103</v>
      </c>
      <c r="M2954" t="s">
        <v>40</v>
      </c>
      <c r="N2954">
        <v>4.9000000000000004</v>
      </c>
      <c r="O2954">
        <v>0</v>
      </c>
      <c r="P2954" t="s">
        <v>48</v>
      </c>
      <c r="Q2954" t="s">
        <v>155</v>
      </c>
      <c r="R2954" t="s">
        <v>155</v>
      </c>
      <c r="S2954">
        <v>5</v>
      </c>
      <c r="T2954" t="s">
        <v>89</v>
      </c>
      <c r="U2954" t="s">
        <v>91</v>
      </c>
      <c r="V2954" s="1">
        <v>45383</v>
      </c>
      <c r="W2954">
        <f>Table1[[#This Row],[customer_purchase count]]+1</f>
        <v>6</v>
      </c>
      <c r="X2954">
        <f>Table1[[#This Row],[customer_purchase count]]*Rules!$B$3</f>
        <v>298.82179487179491</v>
      </c>
      <c r="Y2954" t="str">
        <f>IF(Table1[[#This Row],[customer_subscription]]=1,"Subscribed","Not Subscribed")</f>
        <v>Not Subscribed</v>
      </c>
      <c r="Z2954" t="s">
        <v>194</v>
      </c>
    </row>
    <row r="2955" spans="1:26" x14ac:dyDescent="0.25">
      <c r="A2955">
        <v>2954</v>
      </c>
      <c r="B2955">
        <v>45</v>
      </c>
      <c r="C2955" t="s">
        <v>156</v>
      </c>
      <c r="D2955">
        <v>2954</v>
      </c>
      <c r="E2955" t="s">
        <v>84</v>
      </c>
      <c r="F2955" t="s">
        <v>24</v>
      </c>
      <c r="G2955">
        <v>2954</v>
      </c>
      <c r="H2955">
        <v>3743</v>
      </c>
      <c r="I2955">
        <v>82</v>
      </c>
      <c r="J2955" t="s">
        <v>131</v>
      </c>
      <c r="K2955" t="s">
        <v>47</v>
      </c>
      <c r="L2955" t="s">
        <v>68</v>
      </c>
      <c r="M2955" t="s">
        <v>56</v>
      </c>
      <c r="N2955">
        <v>4.8</v>
      </c>
      <c r="O2955">
        <v>0</v>
      </c>
      <c r="P2955" t="s">
        <v>48</v>
      </c>
      <c r="Q2955" t="s">
        <v>155</v>
      </c>
      <c r="R2955" t="s">
        <v>155</v>
      </c>
      <c r="S2955">
        <v>11</v>
      </c>
      <c r="T2955" t="s">
        <v>42</v>
      </c>
      <c r="U2955" t="s">
        <v>52</v>
      </c>
      <c r="V2955" s="1">
        <v>45482</v>
      </c>
      <c r="W2955">
        <f>Table1[[#This Row],[customer_purchase count]]+1</f>
        <v>12</v>
      </c>
      <c r="X2955">
        <f>Table1[[#This Row],[customer_purchase count]]*Rules!$B$3</f>
        <v>657.40794871794878</v>
      </c>
      <c r="Y2955" t="str">
        <f>IF(Table1[[#This Row],[customer_subscription]]=1,"Subscribed","Not Subscribed")</f>
        <v>Not Subscribed</v>
      </c>
      <c r="Z2955" t="s">
        <v>194</v>
      </c>
    </row>
    <row r="2956" spans="1:26" x14ac:dyDescent="0.25">
      <c r="A2956">
        <v>2955</v>
      </c>
      <c r="B2956">
        <v>33</v>
      </c>
      <c r="C2956" t="s">
        <v>156</v>
      </c>
      <c r="D2956">
        <v>2955</v>
      </c>
      <c r="E2956" t="s">
        <v>116</v>
      </c>
      <c r="F2956" t="s">
        <v>24</v>
      </c>
      <c r="G2956">
        <v>2955</v>
      </c>
      <c r="H2956">
        <v>3745</v>
      </c>
      <c r="I2956">
        <v>28</v>
      </c>
      <c r="J2956" t="s">
        <v>150</v>
      </c>
      <c r="K2956" t="s">
        <v>47</v>
      </c>
      <c r="L2956" t="s">
        <v>129</v>
      </c>
      <c r="M2956" t="s">
        <v>28</v>
      </c>
      <c r="N2956">
        <v>3.9</v>
      </c>
      <c r="O2956">
        <v>0</v>
      </c>
      <c r="P2956" t="s">
        <v>29</v>
      </c>
      <c r="Q2956" t="s">
        <v>155</v>
      </c>
      <c r="R2956" t="s">
        <v>155</v>
      </c>
      <c r="S2956">
        <v>15</v>
      </c>
      <c r="T2956" t="s">
        <v>42</v>
      </c>
      <c r="U2956" t="s">
        <v>52</v>
      </c>
      <c r="V2956" s="1">
        <v>45627</v>
      </c>
      <c r="W2956">
        <f>Table1[[#This Row],[customer_purchase count]]+1</f>
        <v>16</v>
      </c>
      <c r="X2956">
        <f>Table1[[#This Row],[customer_purchase count]]*Rules!$B$3</f>
        <v>896.46538461538466</v>
      </c>
      <c r="Y2956" t="str">
        <f>IF(Table1[[#This Row],[customer_subscription]]=1,"Subscribed","Not Subscribed")</f>
        <v>Not Subscribed</v>
      </c>
      <c r="Z2956" t="s">
        <v>194</v>
      </c>
    </row>
    <row r="2957" spans="1:26" x14ac:dyDescent="0.25">
      <c r="A2957">
        <v>2956</v>
      </c>
      <c r="B2957">
        <v>42</v>
      </c>
      <c r="C2957" t="s">
        <v>156</v>
      </c>
      <c r="D2957">
        <v>2956</v>
      </c>
      <c r="E2957" t="s">
        <v>140</v>
      </c>
      <c r="F2957" t="s">
        <v>45</v>
      </c>
      <c r="G2957">
        <v>2956</v>
      </c>
      <c r="H2957">
        <v>3746</v>
      </c>
      <c r="I2957">
        <v>67</v>
      </c>
      <c r="J2957" t="s">
        <v>132</v>
      </c>
      <c r="K2957" t="s">
        <v>47</v>
      </c>
      <c r="L2957" t="s">
        <v>68</v>
      </c>
      <c r="M2957" t="s">
        <v>28</v>
      </c>
      <c r="N2957">
        <v>2.6</v>
      </c>
      <c r="O2957">
        <v>0</v>
      </c>
      <c r="P2957" t="s">
        <v>41</v>
      </c>
      <c r="Q2957" t="s">
        <v>155</v>
      </c>
      <c r="R2957" t="s">
        <v>155</v>
      </c>
      <c r="S2957">
        <v>46</v>
      </c>
      <c r="T2957" t="s">
        <v>42</v>
      </c>
      <c r="U2957" t="s">
        <v>52</v>
      </c>
      <c r="V2957" s="1">
        <v>45350</v>
      </c>
      <c r="W2957">
        <f>Table1[[#This Row],[customer_purchase count]]+1</f>
        <v>47</v>
      </c>
      <c r="X2957">
        <f>Table1[[#This Row],[customer_purchase count]]*Rules!$B$3</f>
        <v>2749.1605128205128</v>
      </c>
      <c r="Y2957" t="str">
        <f>IF(Table1[[#This Row],[customer_subscription]]=1,"Subscribed","Not Subscribed")</f>
        <v>Not Subscribed</v>
      </c>
    </row>
    <row r="2958" spans="1:26" x14ac:dyDescent="0.25">
      <c r="A2958">
        <v>2957</v>
      </c>
      <c r="B2958">
        <v>52</v>
      </c>
      <c r="C2958" t="s">
        <v>156</v>
      </c>
      <c r="D2958">
        <v>2957</v>
      </c>
      <c r="E2958" t="s">
        <v>84</v>
      </c>
      <c r="F2958" t="s">
        <v>24</v>
      </c>
      <c r="G2958">
        <v>2957</v>
      </c>
      <c r="H2958">
        <v>3747</v>
      </c>
      <c r="I2958">
        <v>88</v>
      </c>
      <c r="J2958" t="s">
        <v>59</v>
      </c>
      <c r="K2958" t="s">
        <v>47</v>
      </c>
      <c r="L2958" t="s">
        <v>81</v>
      </c>
      <c r="M2958" t="s">
        <v>60</v>
      </c>
      <c r="N2958">
        <v>3.7</v>
      </c>
      <c r="O2958">
        <v>0</v>
      </c>
      <c r="P2958" t="s">
        <v>57</v>
      </c>
      <c r="Q2958" t="s">
        <v>155</v>
      </c>
      <c r="R2958" t="s">
        <v>155</v>
      </c>
      <c r="S2958">
        <v>30</v>
      </c>
      <c r="T2958" t="s">
        <v>31</v>
      </c>
      <c r="U2958" t="s">
        <v>91</v>
      </c>
      <c r="V2958" s="1">
        <v>45563</v>
      </c>
      <c r="W2958">
        <f>Table1[[#This Row],[customer_purchase count]]+1</f>
        <v>31</v>
      </c>
      <c r="X2958">
        <f>Table1[[#This Row],[customer_purchase count]]*Rules!$B$3</f>
        <v>1792.9307692307693</v>
      </c>
      <c r="Y2958" t="str">
        <f>IF(Table1[[#This Row],[customer_subscription]]=1,"Subscribed","Not Subscribed")</f>
        <v>Not Subscribed</v>
      </c>
    </row>
    <row r="2959" spans="1:26" x14ac:dyDescent="0.25">
      <c r="A2959">
        <v>2958</v>
      </c>
      <c r="B2959">
        <v>69</v>
      </c>
      <c r="C2959" t="s">
        <v>156</v>
      </c>
      <c r="D2959">
        <v>2958</v>
      </c>
      <c r="E2959" t="s">
        <v>109</v>
      </c>
      <c r="F2959" t="s">
        <v>70</v>
      </c>
      <c r="G2959">
        <v>2958</v>
      </c>
      <c r="H2959">
        <v>3748</v>
      </c>
      <c r="I2959">
        <v>70</v>
      </c>
      <c r="J2959" t="s">
        <v>150</v>
      </c>
      <c r="K2959" t="s">
        <v>39</v>
      </c>
      <c r="L2959" t="s">
        <v>27</v>
      </c>
      <c r="M2959" t="s">
        <v>60</v>
      </c>
      <c r="N2959">
        <v>4.7</v>
      </c>
      <c r="O2959">
        <v>0</v>
      </c>
      <c r="P2959" t="s">
        <v>57</v>
      </c>
      <c r="Q2959" t="s">
        <v>155</v>
      </c>
      <c r="R2959" t="s">
        <v>155</v>
      </c>
      <c r="S2959">
        <v>2</v>
      </c>
      <c r="T2959" t="s">
        <v>36</v>
      </c>
      <c r="U2959" t="s">
        <v>52</v>
      </c>
      <c r="V2959" s="1">
        <v>45622</v>
      </c>
      <c r="W2959">
        <f>Table1[[#This Row],[customer_purchase count]]+1</f>
        <v>3</v>
      </c>
      <c r="X2959">
        <f>Table1[[#This Row],[customer_purchase count]]*Rules!$B$3</f>
        <v>119.52871794871795</v>
      </c>
      <c r="Y2959" t="str">
        <f>IF(Table1[[#This Row],[customer_subscription]]=1,"Subscribed","Not Subscribed")</f>
        <v>Not Subscribed</v>
      </c>
      <c r="Z2959" t="s">
        <v>194</v>
      </c>
    </row>
    <row r="2960" spans="1:26" x14ac:dyDescent="0.25">
      <c r="A2960">
        <v>2959</v>
      </c>
      <c r="B2960">
        <v>55</v>
      </c>
      <c r="C2960" t="s">
        <v>156</v>
      </c>
      <c r="D2960">
        <v>2959</v>
      </c>
      <c r="E2960" t="s">
        <v>90</v>
      </c>
      <c r="F2960" t="s">
        <v>24</v>
      </c>
      <c r="G2960">
        <v>2959</v>
      </c>
      <c r="H2960">
        <v>3749</v>
      </c>
      <c r="I2960">
        <v>100</v>
      </c>
      <c r="J2960" t="s">
        <v>126</v>
      </c>
      <c r="K2960" t="s">
        <v>47</v>
      </c>
      <c r="L2960" t="s">
        <v>97</v>
      </c>
      <c r="M2960" t="s">
        <v>56</v>
      </c>
      <c r="N2960">
        <v>4.5</v>
      </c>
      <c r="O2960">
        <v>0</v>
      </c>
      <c r="P2960" t="s">
        <v>57</v>
      </c>
      <c r="Q2960" t="s">
        <v>155</v>
      </c>
      <c r="R2960" t="s">
        <v>155</v>
      </c>
      <c r="S2960">
        <v>28</v>
      </c>
      <c r="T2960" t="s">
        <v>49</v>
      </c>
      <c r="U2960" t="s">
        <v>91</v>
      </c>
      <c r="V2960" s="1">
        <v>45456</v>
      </c>
      <c r="W2960">
        <f>Table1[[#This Row],[customer_purchase count]]+1</f>
        <v>29</v>
      </c>
      <c r="X2960">
        <f>Table1[[#This Row],[customer_purchase count]]*Rules!$B$3</f>
        <v>1673.4020512820514</v>
      </c>
      <c r="Y2960" t="str">
        <f>IF(Table1[[#This Row],[customer_subscription]]=1,"Subscribed","Not Subscribed")</f>
        <v>Not Subscribed</v>
      </c>
    </row>
    <row r="2961" spans="1:26" x14ac:dyDescent="0.25">
      <c r="A2961">
        <v>2960</v>
      </c>
      <c r="B2961">
        <v>38</v>
      </c>
      <c r="C2961" t="s">
        <v>156</v>
      </c>
      <c r="D2961">
        <v>2960</v>
      </c>
      <c r="E2961" t="s">
        <v>69</v>
      </c>
      <c r="F2961" t="s">
        <v>70</v>
      </c>
      <c r="G2961">
        <v>2960</v>
      </c>
      <c r="H2961">
        <v>3751</v>
      </c>
      <c r="I2961">
        <v>28</v>
      </c>
      <c r="J2961" t="s">
        <v>108</v>
      </c>
      <c r="K2961" t="s">
        <v>26</v>
      </c>
      <c r="L2961" t="s">
        <v>35</v>
      </c>
      <c r="M2961" t="s">
        <v>56</v>
      </c>
      <c r="N2961">
        <v>4.7</v>
      </c>
      <c r="O2961">
        <v>0</v>
      </c>
      <c r="P2961" t="s">
        <v>41</v>
      </c>
      <c r="Q2961" t="s">
        <v>155</v>
      </c>
      <c r="R2961" t="s">
        <v>155</v>
      </c>
      <c r="S2961">
        <v>9</v>
      </c>
      <c r="T2961" t="s">
        <v>49</v>
      </c>
      <c r="U2961" t="s">
        <v>61</v>
      </c>
      <c r="V2961" s="1">
        <v>45520</v>
      </c>
      <c r="W2961">
        <f>Table1[[#This Row],[customer_purchase count]]+1</f>
        <v>10</v>
      </c>
      <c r="X2961">
        <f>Table1[[#This Row],[customer_purchase count]]*Rules!$B$3</f>
        <v>537.87923076923084</v>
      </c>
      <c r="Y2961" t="str">
        <f>IF(Table1[[#This Row],[customer_subscription]]=1,"Subscribed","Not Subscribed")</f>
        <v>Not Subscribed</v>
      </c>
      <c r="Z2961" t="s">
        <v>194</v>
      </c>
    </row>
    <row r="2962" spans="1:26" x14ac:dyDescent="0.25">
      <c r="A2962">
        <v>2961</v>
      </c>
      <c r="B2962">
        <v>57</v>
      </c>
      <c r="C2962" t="s">
        <v>156</v>
      </c>
      <c r="D2962">
        <v>2961</v>
      </c>
      <c r="E2962" t="s">
        <v>65</v>
      </c>
      <c r="F2962" t="s">
        <v>66</v>
      </c>
      <c r="G2962">
        <v>2961</v>
      </c>
      <c r="H2962">
        <v>3752</v>
      </c>
      <c r="I2962">
        <v>48</v>
      </c>
      <c r="J2962" t="s">
        <v>119</v>
      </c>
      <c r="K2962" t="s">
        <v>39</v>
      </c>
      <c r="L2962" t="s">
        <v>81</v>
      </c>
      <c r="M2962" t="s">
        <v>40</v>
      </c>
      <c r="N2962">
        <v>3.6</v>
      </c>
      <c r="O2962">
        <v>0</v>
      </c>
      <c r="P2962" t="s">
        <v>57</v>
      </c>
      <c r="Q2962" t="s">
        <v>155</v>
      </c>
      <c r="R2962" t="s">
        <v>155</v>
      </c>
      <c r="S2962">
        <v>47</v>
      </c>
      <c r="T2962" t="s">
        <v>42</v>
      </c>
      <c r="U2962" t="s">
        <v>43</v>
      </c>
      <c r="V2962" s="1">
        <v>45367</v>
      </c>
      <c r="W2962">
        <f>Table1[[#This Row],[customer_purchase count]]+1</f>
        <v>48</v>
      </c>
      <c r="X2962">
        <f>Table1[[#This Row],[customer_purchase count]]*Rules!$B$3</f>
        <v>2808.9248717948717</v>
      </c>
      <c r="Y2962" t="str">
        <f>IF(Table1[[#This Row],[customer_subscription]]=1,"Subscribed","Not Subscribed")</f>
        <v>Not Subscribed</v>
      </c>
    </row>
    <row r="2963" spans="1:26" x14ac:dyDescent="0.25">
      <c r="A2963">
        <v>2962</v>
      </c>
      <c r="B2963">
        <v>33</v>
      </c>
      <c r="C2963" t="s">
        <v>156</v>
      </c>
      <c r="D2963">
        <v>2962</v>
      </c>
      <c r="E2963" t="s">
        <v>107</v>
      </c>
      <c r="F2963" t="s">
        <v>24</v>
      </c>
      <c r="G2963">
        <v>2962</v>
      </c>
      <c r="H2963">
        <v>3753</v>
      </c>
      <c r="I2963">
        <v>43</v>
      </c>
      <c r="J2963" t="s">
        <v>85</v>
      </c>
      <c r="K2963" t="s">
        <v>39</v>
      </c>
      <c r="L2963" t="s">
        <v>83</v>
      </c>
      <c r="M2963" t="s">
        <v>60</v>
      </c>
      <c r="N2963">
        <v>2.8</v>
      </c>
      <c r="O2963">
        <v>0</v>
      </c>
      <c r="P2963" t="s">
        <v>41</v>
      </c>
      <c r="Q2963" t="s">
        <v>155</v>
      </c>
      <c r="R2963" t="s">
        <v>155</v>
      </c>
      <c r="S2963">
        <v>21</v>
      </c>
      <c r="T2963" t="s">
        <v>89</v>
      </c>
      <c r="U2963" t="s">
        <v>79</v>
      </c>
      <c r="V2963" s="1">
        <v>45544</v>
      </c>
      <c r="W2963">
        <f>Table1[[#This Row],[customer_purchase count]]+1</f>
        <v>22</v>
      </c>
      <c r="X2963">
        <f>Table1[[#This Row],[customer_purchase count]]*Rules!$B$3</f>
        <v>1255.0515384615385</v>
      </c>
      <c r="Y2963" t="str">
        <f>IF(Table1[[#This Row],[customer_subscription]]=1,"Subscribed","Not Subscribed")</f>
        <v>Not Subscribed</v>
      </c>
    </row>
    <row r="2964" spans="1:26" x14ac:dyDescent="0.25">
      <c r="A2964">
        <v>2963</v>
      </c>
      <c r="B2964">
        <v>57</v>
      </c>
      <c r="C2964" t="s">
        <v>156</v>
      </c>
      <c r="D2964">
        <v>2963</v>
      </c>
      <c r="E2964" t="s">
        <v>98</v>
      </c>
      <c r="F2964" t="s">
        <v>24</v>
      </c>
      <c r="G2964">
        <v>2963</v>
      </c>
      <c r="H2964">
        <v>3754</v>
      </c>
      <c r="I2964">
        <v>40</v>
      </c>
      <c r="J2964" t="s">
        <v>102</v>
      </c>
      <c r="K2964" t="s">
        <v>26</v>
      </c>
      <c r="L2964" t="s">
        <v>72</v>
      </c>
      <c r="M2964" t="s">
        <v>60</v>
      </c>
      <c r="N2964">
        <v>4</v>
      </c>
      <c r="O2964">
        <v>0</v>
      </c>
      <c r="P2964" t="s">
        <v>29</v>
      </c>
      <c r="Q2964" t="s">
        <v>155</v>
      </c>
      <c r="R2964" t="s">
        <v>155</v>
      </c>
      <c r="S2964">
        <v>42</v>
      </c>
      <c r="T2964" t="s">
        <v>42</v>
      </c>
      <c r="U2964" t="s">
        <v>100</v>
      </c>
      <c r="V2964" s="1">
        <v>45591</v>
      </c>
      <c r="W2964">
        <f>Table1[[#This Row],[customer_purchase count]]+1</f>
        <v>43</v>
      </c>
      <c r="X2964">
        <f>Table1[[#This Row],[customer_purchase count]]*Rules!$B$3</f>
        <v>2510.103076923077</v>
      </c>
      <c r="Y2964" t="str">
        <f>IF(Table1[[#This Row],[customer_subscription]]=1,"Subscribed","Not Subscribed")</f>
        <v>Not Subscribed</v>
      </c>
    </row>
    <row r="2965" spans="1:26" x14ac:dyDescent="0.25">
      <c r="A2965">
        <v>2964</v>
      </c>
      <c r="B2965">
        <v>52</v>
      </c>
      <c r="C2965" t="s">
        <v>156</v>
      </c>
      <c r="D2965">
        <v>2964</v>
      </c>
      <c r="E2965" t="s">
        <v>140</v>
      </c>
      <c r="F2965" t="s">
        <v>45</v>
      </c>
      <c r="G2965">
        <v>2964</v>
      </c>
      <c r="H2965">
        <v>3755</v>
      </c>
      <c r="I2965">
        <v>97</v>
      </c>
      <c r="J2965" t="s">
        <v>34</v>
      </c>
      <c r="K2965" t="s">
        <v>47</v>
      </c>
      <c r="L2965" t="s">
        <v>113</v>
      </c>
      <c r="M2965" t="s">
        <v>40</v>
      </c>
      <c r="N2965">
        <v>3.6</v>
      </c>
      <c r="O2965">
        <v>0</v>
      </c>
      <c r="P2965" t="s">
        <v>41</v>
      </c>
      <c r="Q2965" t="s">
        <v>155</v>
      </c>
      <c r="R2965" t="s">
        <v>155</v>
      </c>
      <c r="S2965">
        <v>28</v>
      </c>
      <c r="T2965" t="s">
        <v>42</v>
      </c>
      <c r="U2965" t="s">
        <v>43</v>
      </c>
      <c r="V2965" s="1">
        <v>45437</v>
      </c>
      <c r="W2965">
        <f>Table1[[#This Row],[customer_purchase count]]+1</f>
        <v>29</v>
      </c>
      <c r="X2965">
        <f>Table1[[#This Row],[customer_purchase count]]*Rules!$B$3</f>
        <v>1673.4020512820514</v>
      </c>
      <c r="Y2965" t="str">
        <f>IF(Table1[[#This Row],[customer_subscription]]=1,"Subscribed","Not Subscribed")</f>
        <v>Not Subscribed</v>
      </c>
    </row>
    <row r="2966" spans="1:26" x14ac:dyDescent="0.25">
      <c r="A2966">
        <v>2965</v>
      </c>
      <c r="B2966">
        <v>44</v>
      </c>
      <c r="C2966" t="s">
        <v>156</v>
      </c>
      <c r="D2966">
        <v>2965</v>
      </c>
      <c r="E2966" t="s">
        <v>65</v>
      </c>
      <c r="F2966" t="s">
        <v>66</v>
      </c>
      <c r="G2966">
        <v>2965</v>
      </c>
      <c r="H2966">
        <v>3757</v>
      </c>
      <c r="I2966">
        <v>25</v>
      </c>
      <c r="J2966" t="s">
        <v>126</v>
      </c>
      <c r="K2966" t="s">
        <v>39</v>
      </c>
      <c r="L2966" t="s">
        <v>55</v>
      </c>
      <c r="M2966" t="s">
        <v>60</v>
      </c>
      <c r="N2966">
        <v>3.8</v>
      </c>
      <c r="O2966">
        <v>0</v>
      </c>
      <c r="P2966" t="s">
        <v>73</v>
      </c>
      <c r="Q2966" t="s">
        <v>155</v>
      </c>
      <c r="R2966" t="s">
        <v>155</v>
      </c>
      <c r="S2966">
        <v>13</v>
      </c>
      <c r="T2966" t="s">
        <v>31</v>
      </c>
      <c r="U2966" t="s">
        <v>32</v>
      </c>
      <c r="V2966" s="1">
        <v>45621</v>
      </c>
      <c r="W2966">
        <f>Table1[[#This Row],[customer_purchase count]]+1</f>
        <v>14</v>
      </c>
      <c r="X2966">
        <f>Table1[[#This Row],[customer_purchase count]]*Rules!$B$3</f>
        <v>776.93666666666672</v>
      </c>
      <c r="Y2966" t="str">
        <f>IF(Table1[[#This Row],[customer_subscription]]=1,"Subscribed","Not Subscribed")</f>
        <v>Not Subscribed</v>
      </c>
      <c r="Z2966" t="s">
        <v>194</v>
      </c>
    </row>
    <row r="2967" spans="1:26" x14ac:dyDescent="0.25">
      <c r="A2967">
        <v>2966</v>
      </c>
      <c r="B2967">
        <v>48</v>
      </c>
      <c r="C2967" t="s">
        <v>156</v>
      </c>
      <c r="D2967">
        <v>2966</v>
      </c>
      <c r="E2967" t="s">
        <v>122</v>
      </c>
      <c r="F2967" t="s">
        <v>70</v>
      </c>
      <c r="G2967">
        <v>2966</v>
      </c>
      <c r="H2967">
        <v>3758</v>
      </c>
      <c r="I2967">
        <v>45</v>
      </c>
      <c r="J2967" t="s">
        <v>82</v>
      </c>
      <c r="K2967" t="s">
        <v>47</v>
      </c>
      <c r="L2967" t="s">
        <v>147</v>
      </c>
      <c r="M2967" t="s">
        <v>56</v>
      </c>
      <c r="N2967">
        <v>4.4000000000000004</v>
      </c>
      <c r="O2967">
        <v>0</v>
      </c>
      <c r="P2967" t="s">
        <v>57</v>
      </c>
      <c r="Q2967" t="s">
        <v>155</v>
      </c>
      <c r="R2967" t="s">
        <v>155</v>
      </c>
      <c r="S2967">
        <v>25</v>
      </c>
      <c r="T2967" t="s">
        <v>49</v>
      </c>
      <c r="U2967" t="s">
        <v>32</v>
      </c>
      <c r="V2967" s="1">
        <v>45505</v>
      </c>
      <c r="W2967">
        <f>Table1[[#This Row],[customer_purchase count]]+1</f>
        <v>26</v>
      </c>
      <c r="X2967">
        <f>Table1[[#This Row],[customer_purchase count]]*Rules!$B$3</f>
        <v>1494.1089743589744</v>
      </c>
      <c r="Y2967" t="str">
        <f>IF(Table1[[#This Row],[customer_subscription]]=1,"Subscribed","Not Subscribed")</f>
        <v>Not Subscribed</v>
      </c>
    </row>
    <row r="2968" spans="1:26" x14ac:dyDescent="0.25">
      <c r="A2968">
        <v>2967</v>
      </c>
      <c r="B2968">
        <v>52</v>
      </c>
      <c r="C2968" t="s">
        <v>156</v>
      </c>
      <c r="D2968">
        <v>2967</v>
      </c>
      <c r="E2968" t="s">
        <v>140</v>
      </c>
      <c r="F2968" t="s">
        <v>45</v>
      </c>
      <c r="G2968">
        <v>2967</v>
      </c>
      <c r="H2968">
        <v>3759</v>
      </c>
      <c r="I2968">
        <v>49</v>
      </c>
      <c r="J2968" t="s">
        <v>104</v>
      </c>
      <c r="K2968" t="s">
        <v>26</v>
      </c>
      <c r="L2968" t="s">
        <v>124</v>
      </c>
      <c r="M2968" t="s">
        <v>60</v>
      </c>
      <c r="N2968">
        <v>2.8</v>
      </c>
      <c r="O2968">
        <v>0</v>
      </c>
      <c r="P2968" t="s">
        <v>77</v>
      </c>
      <c r="Q2968" t="s">
        <v>155</v>
      </c>
      <c r="R2968" t="s">
        <v>155</v>
      </c>
      <c r="S2968">
        <v>38</v>
      </c>
      <c r="T2968" t="s">
        <v>89</v>
      </c>
      <c r="U2968" t="s">
        <v>100</v>
      </c>
      <c r="V2968" s="1">
        <v>45582</v>
      </c>
      <c r="W2968">
        <f>Table1[[#This Row],[customer_purchase count]]+1</f>
        <v>39</v>
      </c>
      <c r="X2968">
        <f>Table1[[#This Row],[customer_purchase count]]*Rules!$B$3</f>
        <v>2271.0456410256411</v>
      </c>
      <c r="Y2968" t="str">
        <f>IF(Table1[[#This Row],[customer_subscription]]=1,"Subscribed","Not Subscribed")</f>
        <v>Not Subscribed</v>
      </c>
    </row>
    <row r="2969" spans="1:26" x14ac:dyDescent="0.25">
      <c r="A2969">
        <v>2968</v>
      </c>
      <c r="B2969">
        <v>34</v>
      </c>
      <c r="C2969" t="s">
        <v>156</v>
      </c>
      <c r="D2969">
        <v>2968</v>
      </c>
      <c r="E2969" t="s">
        <v>53</v>
      </c>
      <c r="F2969" t="s">
        <v>45</v>
      </c>
      <c r="G2969">
        <v>2968</v>
      </c>
      <c r="H2969">
        <v>3760</v>
      </c>
      <c r="I2969">
        <v>36</v>
      </c>
      <c r="J2969" t="s">
        <v>119</v>
      </c>
      <c r="K2969" t="s">
        <v>26</v>
      </c>
      <c r="L2969" t="s">
        <v>68</v>
      </c>
      <c r="M2969" t="s">
        <v>56</v>
      </c>
      <c r="N2969">
        <v>3.4</v>
      </c>
      <c r="O2969">
        <v>0</v>
      </c>
      <c r="P2969" t="s">
        <v>41</v>
      </c>
      <c r="Q2969" t="s">
        <v>155</v>
      </c>
      <c r="R2969" t="s">
        <v>155</v>
      </c>
      <c r="S2969">
        <v>40</v>
      </c>
      <c r="T2969" t="s">
        <v>31</v>
      </c>
      <c r="U2969" t="s">
        <v>52</v>
      </c>
      <c r="V2969" s="1">
        <v>45461</v>
      </c>
      <c r="W2969">
        <f>Table1[[#This Row],[customer_purchase count]]+1</f>
        <v>41</v>
      </c>
      <c r="X2969">
        <f>Table1[[#This Row],[customer_purchase count]]*Rules!$B$3</f>
        <v>2390.5743589743593</v>
      </c>
      <c r="Y2969" t="str">
        <f>IF(Table1[[#This Row],[customer_subscription]]=1,"Subscribed","Not Subscribed")</f>
        <v>Not Subscribed</v>
      </c>
    </row>
    <row r="2970" spans="1:26" x14ac:dyDescent="0.25">
      <c r="A2970">
        <v>2969</v>
      </c>
      <c r="B2970">
        <v>26</v>
      </c>
      <c r="C2970" t="s">
        <v>156</v>
      </c>
      <c r="D2970">
        <v>2969</v>
      </c>
      <c r="E2970" t="s">
        <v>33</v>
      </c>
      <c r="F2970" t="s">
        <v>24</v>
      </c>
      <c r="G2970">
        <v>2969</v>
      </c>
      <c r="H2970">
        <v>3761</v>
      </c>
      <c r="I2970">
        <v>48</v>
      </c>
      <c r="J2970" t="s">
        <v>134</v>
      </c>
      <c r="K2970" t="s">
        <v>39</v>
      </c>
      <c r="L2970" t="s">
        <v>27</v>
      </c>
      <c r="M2970" t="s">
        <v>60</v>
      </c>
      <c r="N2970">
        <v>4.9000000000000004</v>
      </c>
      <c r="O2970">
        <v>0</v>
      </c>
      <c r="P2970" t="s">
        <v>29</v>
      </c>
      <c r="Q2970" t="s">
        <v>155</v>
      </c>
      <c r="R2970" t="s">
        <v>155</v>
      </c>
      <c r="S2970">
        <v>25</v>
      </c>
      <c r="T2970" t="s">
        <v>36</v>
      </c>
      <c r="U2970" t="s">
        <v>100</v>
      </c>
      <c r="V2970" s="1">
        <v>45549</v>
      </c>
      <c r="W2970">
        <f>Table1[[#This Row],[customer_purchase count]]+1</f>
        <v>26</v>
      </c>
      <c r="X2970">
        <f>Table1[[#This Row],[customer_purchase count]]*Rules!$B$3</f>
        <v>1494.1089743589744</v>
      </c>
      <c r="Y2970" t="str">
        <f>IF(Table1[[#This Row],[customer_subscription]]=1,"Subscribed","Not Subscribed")</f>
        <v>Not Subscribed</v>
      </c>
    </row>
    <row r="2971" spans="1:26" x14ac:dyDescent="0.25">
      <c r="A2971">
        <v>2970</v>
      </c>
      <c r="B2971">
        <v>36</v>
      </c>
      <c r="C2971" t="s">
        <v>156</v>
      </c>
      <c r="D2971">
        <v>2970</v>
      </c>
      <c r="E2971" t="s">
        <v>136</v>
      </c>
      <c r="F2971" t="s">
        <v>70</v>
      </c>
      <c r="G2971">
        <v>2970</v>
      </c>
      <c r="H2971">
        <v>3763</v>
      </c>
      <c r="I2971">
        <v>62</v>
      </c>
      <c r="J2971" t="s">
        <v>132</v>
      </c>
      <c r="K2971" t="s">
        <v>39</v>
      </c>
      <c r="L2971" t="s">
        <v>147</v>
      </c>
      <c r="M2971" t="s">
        <v>60</v>
      </c>
      <c r="N2971">
        <v>4.3</v>
      </c>
      <c r="O2971">
        <v>0</v>
      </c>
      <c r="P2971" t="s">
        <v>48</v>
      </c>
      <c r="Q2971" t="s">
        <v>155</v>
      </c>
      <c r="R2971" t="s">
        <v>155</v>
      </c>
      <c r="S2971">
        <v>20</v>
      </c>
      <c r="T2971" t="s">
        <v>36</v>
      </c>
      <c r="U2971" t="s">
        <v>100</v>
      </c>
      <c r="V2971" s="1">
        <v>45560</v>
      </c>
      <c r="W2971">
        <f>Table1[[#This Row],[customer_purchase count]]+1</f>
        <v>21</v>
      </c>
      <c r="X2971">
        <f>Table1[[#This Row],[customer_purchase count]]*Rules!$B$3</f>
        <v>1195.2871794871796</v>
      </c>
      <c r="Y2971" t="str">
        <f>IF(Table1[[#This Row],[customer_subscription]]=1,"Subscribed","Not Subscribed")</f>
        <v>Not Subscribed</v>
      </c>
    </row>
    <row r="2972" spans="1:26" x14ac:dyDescent="0.25">
      <c r="A2972">
        <v>2971</v>
      </c>
      <c r="B2972">
        <v>24</v>
      </c>
      <c r="C2972" t="s">
        <v>156</v>
      </c>
      <c r="D2972">
        <v>2971</v>
      </c>
      <c r="E2972" t="s">
        <v>109</v>
      </c>
      <c r="F2972" t="s">
        <v>70</v>
      </c>
      <c r="G2972">
        <v>2971</v>
      </c>
      <c r="H2972">
        <v>3764</v>
      </c>
      <c r="I2972">
        <v>74</v>
      </c>
      <c r="J2972" t="s">
        <v>114</v>
      </c>
      <c r="K2972" t="s">
        <v>47</v>
      </c>
      <c r="L2972" t="s">
        <v>55</v>
      </c>
      <c r="M2972" t="s">
        <v>28</v>
      </c>
      <c r="N2972">
        <v>3.4</v>
      </c>
      <c r="O2972">
        <v>0</v>
      </c>
      <c r="P2972" t="s">
        <v>41</v>
      </c>
      <c r="Q2972" t="s">
        <v>155</v>
      </c>
      <c r="R2972" t="s">
        <v>155</v>
      </c>
      <c r="S2972">
        <v>44</v>
      </c>
      <c r="T2972" t="s">
        <v>42</v>
      </c>
      <c r="U2972" t="s">
        <v>79</v>
      </c>
      <c r="V2972" s="1">
        <v>45638</v>
      </c>
      <c r="W2972">
        <f>Table1[[#This Row],[customer_purchase count]]+1</f>
        <v>45</v>
      </c>
      <c r="X2972">
        <f>Table1[[#This Row],[customer_purchase count]]*Rules!$B$3</f>
        <v>2629.6317948717951</v>
      </c>
      <c r="Y2972" t="str">
        <f>IF(Table1[[#This Row],[customer_subscription]]=1,"Subscribed","Not Subscribed")</f>
        <v>Not Subscribed</v>
      </c>
    </row>
    <row r="2973" spans="1:26" x14ac:dyDescent="0.25">
      <c r="A2973">
        <v>2972</v>
      </c>
      <c r="B2973">
        <v>30</v>
      </c>
      <c r="C2973" t="s">
        <v>156</v>
      </c>
      <c r="D2973">
        <v>2972</v>
      </c>
      <c r="E2973" t="s">
        <v>69</v>
      </c>
      <c r="F2973" t="s">
        <v>70</v>
      </c>
      <c r="G2973">
        <v>2972</v>
      </c>
      <c r="H2973">
        <v>3765</v>
      </c>
      <c r="I2973">
        <v>100</v>
      </c>
      <c r="J2973" t="s">
        <v>143</v>
      </c>
      <c r="K2973" t="s">
        <v>26</v>
      </c>
      <c r="L2973" t="s">
        <v>137</v>
      </c>
      <c r="M2973" t="s">
        <v>60</v>
      </c>
      <c r="N2973">
        <v>3.9</v>
      </c>
      <c r="O2973">
        <v>0</v>
      </c>
      <c r="P2973" t="s">
        <v>48</v>
      </c>
      <c r="Q2973" t="s">
        <v>155</v>
      </c>
      <c r="R2973" t="s">
        <v>155</v>
      </c>
      <c r="S2973">
        <v>9</v>
      </c>
      <c r="T2973" t="s">
        <v>49</v>
      </c>
      <c r="U2973" t="s">
        <v>100</v>
      </c>
      <c r="V2973" s="1">
        <v>45616</v>
      </c>
      <c r="W2973">
        <f>Table1[[#This Row],[customer_purchase count]]+1</f>
        <v>10</v>
      </c>
      <c r="X2973">
        <f>Table1[[#This Row],[customer_purchase count]]*Rules!$B$3</f>
        <v>537.87923076923084</v>
      </c>
      <c r="Y2973" t="str">
        <f>IF(Table1[[#This Row],[customer_subscription]]=1,"Subscribed","Not Subscribed")</f>
        <v>Not Subscribed</v>
      </c>
      <c r="Z2973" t="s">
        <v>194</v>
      </c>
    </row>
    <row r="2974" spans="1:26" x14ac:dyDescent="0.25">
      <c r="A2974">
        <v>2973</v>
      </c>
      <c r="B2974">
        <v>31</v>
      </c>
      <c r="C2974" t="s">
        <v>156</v>
      </c>
      <c r="D2974">
        <v>2973</v>
      </c>
      <c r="E2974" t="s">
        <v>105</v>
      </c>
      <c r="F2974" t="s">
        <v>66</v>
      </c>
      <c r="G2974">
        <v>2973</v>
      </c>
      <c r="H2974">
        <v>3766</v>
      </c>
      <c r="I2974">
        <v>39</v>
      </c>
      <c r="J2974" t="s">
        <v>87</v>
      </c>
      <c r="K2974" t="s">
        <v>39</v>
      </c>
      <c r="L2974" t="s">
        <v>129</v>
      </c>
      <c r="M2974" t="s">
        <v>60</v>
      </c>
      <c r="N2974">
        <v>4.2</v>
      </c>
      <c r="O2974">
        <v>0</v>
      </c>
      <c r="P2974" t="s">
        <v>41</v>
      </c>
      <c r="Q2974" t="s">
        <v>155</v>
      </c>
      <c r="R2974" t="s">
        <v>155</v>
      </c>
      <c r="S2974">
        <v>11</v>
      </c>
      <c r="T2974" t="s">
        <v>31</v>
      </c>
      <c r="U2974" t="s">
        <v>100</v>
      </c>
      <c r="V2974" s="1">
        <v>45543</v>
      </c>
      <c r="W2974">
        <f>Table1[[#This Row],[customer_purchase count]]+1</f>
        <v>12</v>
      </c>
      <c r="X2974">
        <f>Table1[[#This Row],[customer_purchase count]]*Rules!$B$3</f>
        <v>657.40794871794878</v>
      </c>
      <c r="Y2974" t="str">
        <f>IF(Table1[[#This Row],[customer_subscription]]=1,"Subscribed","Not Subscribed")</f>
        <v>Not Subscribed</v>
      </c>
      <c r="Z2974" t="s">
        <v>194</v>
      </c>
    </row>
    <row r="2975" spans="1:26" x14ac:dyDescent="0.25">
      <c r="A2975">
        <v>2974</v>
      </c>
      <c r="B2975">
        <v>25</v>
      </c>
      <c r="C2975" t="s">
        <v>156</v>
      </c>
      <c r="D2975">
        <v>2974</v>
      </c>
      <c r="E2975" t="s">
        <v>140</v>
      </c>
      <c r="F2975" t="s">
        <v>45</v>
      </c>
      <c r="G2975">
        <v>2974</v>
      </c>
      <c r="H2975">
        <v>3767</v>
      </c>
      <c r="I2975">
        <v>65</v>
      </c>
      <c r="J2975" t="s">
        <v>119</v>
      </c>
      <c r="K2975" t="s">
        <v>47</v>
      </c>
      <c r="L2975" t="s">
        <v>147</v>
      </c>
      <c r="M2975" t="s">
        <v>56</v>
      </c>
      <c r="N2975">
        <v>2.7</v>
      </c>
      <c r="O2975">
        <v>0</v>
      </c>
      <c r="P2975" t="s">
        <v>77</v>
      </c>
      <c r="Q2975" t="s">
        <v>155</v>
      </c>
      <c r="R2975" t="s">
        <v>155</v>
      </c>
      <c r="S2975">
        <v>3</v>
      </c>
      <c r="T2975" t="s">
        <v>78</v>
      </c>
      <c r="U2975" t="s">
        <v>32</v>
      </c>
      <c r="V2975" s="1">
        <v>45505</v>
      </c>
      <c r="W2975">
        <f>Table1[[#This Row],[customer_purchase count]]+1</f>
        <v>4</v>
      </c>
      <c r="X2975">
        <f>Table1[[#This Row],[customer_purchase count]]*Rules!$B$3</f>
        <v>179.29307692307694</v>
      </c>
      <c r="Y2975" t="str">
        <f>IF(Table1[[#This Row],[customer_subscription]]=1,"Subscribed","Not Subscribed")</f>
        <v>Not Subscribed</v>
      </c>
      <c r="Z2975" t="s">
        <v>194</v>
      </c>
    </row>
    <row r="2976" spans="1:26" x14ac:dyDescent="0.25">
      <c r="A2976">
        <v>2975</v>
      </c>
      <c r="B2976">
        <v>57</v>
      </c>
      <c r="C2976" t="s">
        <v>156</v>
      </c>
      <c r="D2976">
        <v>2975</v>
      </c>
      <c r="E2976" t="s">
        <v>53</v>
      </c>
      <c r="F2976" t="s">
        <v>45</v>
      </c>
      <c r="G2976">
        <v>2975</v>
      </c>
      <c r="H2976">
        <v>3769</v>
      </c>
      <c r="I2976">
        <v>99</v>
      </c>
      <c r="J2976" t="s">
        <v>125</v>
      </c>
      <c r="K2976" t="s">
        <v>95</v>
      </c>
      <c r="L2976" t="s">
        <v>103</v>
      </c>
      <c r="M2976" t="s">
        <v>56</v>
      </c>
      <c r="N2976">
        <v>4.0999999999999996</v>
      </c>
      <c r="O2976">
        <v>0</v>
      </c>
      <c r="P2976" t="s">
        <v>77</v>
      </c>
      <c r="Q2976" t="s">
        <v>155</v>
      </c>
      <c r="R2976" t="s">
        <v>155</v>
      </c>
      <c r="S2976">
        <v>34</v>
      </c>
      <c r="T2976" t="s">
        <v>42</v>
      </c>
      <c r="U2976" t="s">
        <v>43</v>
      </c>
      <c r="V2976" s="1">
        <v>45496</v>
      </c>
      <c r="W2976">
        <f>Table1[[#This Row],[customer_purchase count]]+1</f>
        <v>35</v>
      </c>
      <c r="X2976">
        <f>Table1[[#This Row],[customer_purchase count]]*Rules!$B$3</f>
        <v>2031.9882051282052</v>
      </c>
      <c r="Y2976" t="str">
        <f>IF(Table1[[#This Row],[customer_subscription]]=1,"Subscribed","Not Subscribed")</f>
        <v>Not Subscribed</v>
      </c>
    </row>
    <row r="2977" spans="1:26" x14ac:dyDescent="0.25">
      <c r="A2977">
        <v>2976</v>
      </c>
      <c r="B2977">
        <v>61</v>
      </c>
      <c r="C2977" t="s">
        <v>156</v>
      </c>
      <c r="D2977">
        <v>2976</v>
      </c>
      <c r="E2977" t="s">
        <v>122</v>
      </c>
      <c r="F2977" t="s">
        <v>70</v>
      </c>
      <c r="G2977">
        <v>2976</v>
      </c>
      <c r="H2977">
        <v>3770</v>
      </c>
      <c r="I2977">
        <v>68</v>
      </c>
      <c r="J2977" t="s">
        <v>145</v>
      </c>
      <c r="K2977" t="s">
        <v>95</v>
      </c>
      <c r="L2977" t="s">
        <v>96</v>
      </c>
      <c r="M2977" t="s">
        <v>28</v>
      </c>
      <c r="N2977">
        <v>4.5</v>
      </c>
      <c r="O2977">
        <v>0</v>
      </c>
      <c r="P2977" t="s">
        <v>73</v>
      </c>
      <c r="Q2977" t="s">
        <v>155</v>
      </c>
      <c r="R2977" t="s">
        <v>155</v>
      </c>
      <c r="S2977">
        <v>48</v>
      </c>
      <c r="T2977" t="s">
        <v>36</v>
      </c>
      <c r="U2977" t="s">
        <v>100</v>
      </c>
      <c r="V2977" s="1">
        <v>45339</v>
      </c>
      <c r="W2977">
        <f>Table1[[#This Row],[customer_purchase count]]+1</f>
        <v>49</v>
      </c>
      <c r="X2977">
        <f>Table1[[#This Row],[customer_purchase count]]*Rules!$B$3</f>
        <v>2868.689230769231</v>
      </c>
      <c r="Y2977" t="str">
        <f>IF(Table1[[#This Row],[customer_subscription]]=1,"Subscribed","Not Subscribed")</f>
        <v>Not Subscribed</v>
      </c>
    </row>
    <row r="2978" spans="1:26" x14ac:dyDescent="0.25">
      <c r="A2978">
        <v>2977</v>
      </c>
      <c r="B2978">
        <v>30</v>
      </c>
      <c r="C2978" t="s">
        <v>156</v>
      </c>
      <c r="D2978">
        <v>2977</v>
      </c>
      <c r="E2978" t="s">
        <v>65</v>
      </c>
      <c r="F2978" t="s">
        <v>66</v>
      </c>
      <c r="G2978">
        <v>2977</v>
      </c>
      <c r="H2978">
        <v>3771</v>
      </c>
      <c r="I2978">
        <v>97</v>
      </c>
      <c r="J2978" t="s">
        <v>148</v>
      </c>
      <c r="K2978" t="s">
        <v>47</v>
      </c>
      <c r="L2978" t="s">
        <v>68</v>
      </c>
      <c r="M2978" t="s">
        <v>56</v>
      </c>
      <c r="N2978">
        <v>2.8</v>
      </c>
      <c r="O2978">
        <v>0</v>
      </c>
      <c r="P2978" t="s">
        <v>29</v>
      </c>
      <c r="Q2978" t="s">
        <v>155</v>
      </c>
      <c r="R2978" t="s">
        <v>155</v>
      </c>
      <c r="S2978">
        <v>28</v>
      </c>
      <c r="T2978" t="s">
        <v>36</v>
      </c>
      <c r="U2978" t="s">
        <v>32</v>
      </c>
      <c r="V2978" s="1">
        <v>45460</v>
      </c>
      <c r="W2978">
        <f>Table1[[#This Row],[customer_purchase count]]+1</f>
        <v>29</v>
      </c>
      <c r="X2978">
        <f>Table1[[#This Row],[customer_purchase count]]*Rules!$B$3</f>
        <v>1673.4020512820514</v>
      </c>
      <c r="Y2978" t="str">
        <f>IF(Table1[[#This Row],[customer_subscription]]=1,"Subscribed","Not Subscribed")</f>
        <v>Not Subscribed</v>
      </c>
    </row>
    <row r="2979" spans="1:26" x14ac:dyDescent="0.25">
      <c r="A2979">
        <v>2978</v>
      </c>
      <c r="B2979">
        <v>38</v>
      </c>
      <c r="C2979" t="s">
        <v>156</v>
      </c>
      <c r="D2979">
        <v>2978</v>
      </c>
      <c r="E2979" t="s">
        <v>62</v>
      </c>
      <c r="F2979" t="s">
        <v>24</v>
      </c>
      <c r="G2979">
        <v>2978</v>
      </c>
      <c r="H2979">
        <v>3772</v>
      </c>
      <c r="I2979">
        <v>47</v>
      </c>
      <c r="J2979" t="s">
        <v>152</v>
      </c>
      <c r="K2979" t="s">
        <v>26</v>
      </c>
      <c r="L2979" t="s">
        <v>83</v>
      </c>
      <c r="M2979" t="s">
        <v>28</v>
      </c>
      <c r="N2979">
        <v>3.4</v>
      </c>
      <c r="O2979">
        <v>0</v>
      </c>
      <c r="P2979" t="s">
        <v>57</v>
      </c>
      <c r="Q2979" t="s">
        <v>155</v>
      </c>
      <c r="R2979" t="s">
        <v>155</v>
      </c>
      <c r="S2979">
        <v>20</v>
      </c>
      <c r="T2979" t="s">
        <v>31</v>
      </c>
      <c r="U2979" t="s">
        <v>52</v>
      </c>
      <c r="V2979" s="1">
        <v>45627</v>
      </c>
      <c r="W2979">
        <f>Table1[[#This Row],[customer_purchase count]]+1</f>
        <v>21</v>
      </c>
      <c r="X2979">
        <f>Table1[[#This Row],[customer_purchase count]]*Rules!$B$3</f>
        <v>1195.2871794871796</v>
      </c>
      <c r="Y2979" t="str">
        <f>IF(Table1[[#This Row],[customer_subscription]]=1,"Subscribed","Not Subscribed")</f>
        <v>Not Subscribed</v>
      </c>
    </row>
    <row r="2980" spans="1:26" x14ac:dyDescent="0.25">
      <c r="A2980">
        <v>2979</v>
      </c>
      <c r="B2980">
        <v>53</v>
      </c>
      <c r="C2980" t="s">
        <v>156</v>
      </c>
      <c r="D2980">
        <v>2979</v>
      </c>
      <c r="E2980" t="s">
        <v>62</v>
      </c>
      <c r="F2980" t="s">
        <v>24</v>
      </c>
      <c r="G2980">
        <v>2979</v>
      </c>
      <c r="H2980">
        <v>3773</v>
      </c>
      <c r="I2980">
        <v>56</v>
      </c>
      <c r="J2980" t="s">
        <v>138</v>
      </c>
      <c r="K2980" t="s">
        <v>39</v>
      </c>
      <c r="L2980" t="s">
        <v>112</v>
      </c>
      <c r="M2980" t="s">
        <v>40</v>
      </c>
      <c r="N2980">
        <v>3.9</v>
      </c>
      <c r="O2980">
        <v>0</v>
      </c>
      <c r="P2980" t="s">
        <v>41</v>
      </c>
      <c r="Q2980" t="s">
        <v>155</v>
      </c>
      <c r="R2980" t="s">
        <v>155</v>
      </c>
      <c r="S2980">
        <v>49</v>
      </c>
      <c r="T2980" t="s">
        <v>78</v>
      </c>
      <c r="U2980" t="s">
        <v>32</v>
      </c>
      <c r="V2980" s="1">
        <v>45415</v>
      </c>
      <c r="W2980">
        <f>Table1[[#This Row],[customer_purchase count]]+1</f>
        <v>50</v>
      </c>
      <c r="X2980">
        <f>Table1[[#This Row],[customer_purchase count]]*Rules!$B$3</f>
        <v>2928.4535897435899</v>
      </c>
      <c r="Y2980" t="str">
        <f>IF(Table1[[#This Row],[customer_subscription]]=1,"Subscribed","Not Subscribed")</f>
        <v>Not Subscribed</v>
      </c>
    </row>
    <row r="2981" spans="1:26" x14ac:dyDescent="0.25">
      <c r="A2981">
        <v>2980</v>
      </c>
      <c r="B2981">
        <v>31</v>
      </c>
      <c r="C2981" t="s">
        <v>156</v>
      </c>
      <c r="D2981">
        <v>2980</v>
      </c>
      <c r="E2981" t="s">
        <v>37</v>
      </c>
      <c r="F2981" t="s">
        <v>24</v>
      </c>
      <c r="G2981">
        <v>2980</v>
      </c>
      <c r="H2981">
        <v>3775</v>
      </c>
      <c r="I2981">
        <v>91</v>
      </c>
      <c r="J2981" t="s">
        <v>63</v>
      </c>
      <c r="K2981" t="s">
        <v>26</v>
      </c>
      <c r="L2981" t="s">
        <v>81</v>
      </c>
      <c r="M2981" t="s">
        <v>60</v>
      </c>
      <c r="N2981">
        <v>2.6</v>
      </c>
      <c r="O2981">
        <v>0</v>
      </c>
      <c r="P2981" t="s">
        <v>48</v>
      </c>
      <c r="Q2981" t="s">
        <v>155</v>
      </c>
      <c r="R2981" t="s">
        <v>155</v>
      </c>
      <c r="S2981">
        <v>14</v>
      </c>
      <c r="T2981" t="s">
        <v>49</v>
      </c>
      <c r="U2981" t="s">
        <v>43</v>
      </c>
      <c r="V2981" s="1">
        <v>45556</v>
      </c>
      <c r="W2981">
        <f>Table1[[#This Row],[customer_purchase count]]+1</f>
        <v>15</v>
      </c>
      <c r="X2981">
        <f>Table1[[#This Row],[customer_purchase count]]*Rules!$B$3</f>
        <v>836.70102564102569</v>
      </c>
      <c r="Y2981" t="str">
        <f>IF(Table1[[#This Row],[customer_subscription]]=1,"Subscribed","Not Subscribed")</f>
        <v>Not Subscribed</v>
      </c>
      <c r="Z2981" t="s">
        <v>194</v>
      </c>
    </row>
    <row r="2982" spans="1:26" x14ac:dyDescent="0.25">
      <c r="A2982">
        <v>2981</v>
      </c>
      <c r="B2982">
        <v>70</v>
      </c>
      <c r="C2982" t="s">
        <v>156</v>
      </c>
      <c r="D2982">
        <v>2981</v>
      </c>
      <c r="E2982" t="s">
        <v>146</v>
      </c>
      <c r="F2982" t="s">
        <v>70</v>
      </c>
      <c r="G2982">
        <v>2981</v>
      </c>
      <c r="H2982">
        <v>3776</v>
      </c>
      <c r="I2982">
        <v>93</v>
      </c>
      <c r="J2982" t="s">
        <v>130</v>
      </c>
      <c r="K2982" t="s">
        <v>26</v>
      </c>
      <c r="L2982" t="s">
        <v>88</v>
      </c>
      <c r="M2982" t="s">
        <v>60</v>
      </c>
      <c r="N2982">
        <v>4.4000000000000004</v>
      </c>
      <c r="O2982">
        <v>0</v>
      </c>
      <c r="P2982" t="s">
        <v>73</v>
      </c>
      <c r="Q2982" t="s">
        <v>155</v>
      </c>
      <c r="R2982" t="s">
        <v>155</v>
      </c>
      <c r="S2982">
        <v>9</v>
      </c>
      <c r="T2982" t="s">
        <v>78</v>
      </c>
      <c r="U2982" t="s">
        <v>91</v>
      </c>
      <c r="V2982" s="1">
        <v>45537</v>
      </c>
      <c r="W2982">
        <f>Table1[[#This Row],[customer_purchase count]]+1</f>
        <v>10</v>
      </c>
      <c r="X2982">
        <f>Table1[[#This Row],[customer_purchase count]]*Rules!$B$3</f>
        <v>537.87923076923084</v>
      </c>
      <c r="Y2982" t="str">
        <f>IF(Table1[[#This Row],[customer_subscription]]=1,"Subscribed","Not Subscribed")</f>
        <v>Not Subscribed</v>
      </c>
      <c r="Z2982" t="s">
        <v>194</v>
      </c>
    </row>
    <row r="2983" spans="1:26" x14ac:dyDescent="0.25">
      <c r="A2983">
        <v>2982</v>
      </c>
      <c r="B2983">
        <v>21</v>
      </c>
      <c r="C2983" t="s">
        <v>156</v>
      </c>
      <c r="D2983">
        <v>2982</v>
      </c>
      <c r="E2983" t="s">
        <v>98</v>
      </c>
      <c r="F2983" t="s">
        <v>24</v>
      </c>
      <c r="G2983">
        <v>2982</v>
      </c>
      <c r="H2983">
        <v>3777</v>
      </c>
      <c r="I2983">
        <v>36</v>
      </c>
      <c r="J2983" t="s">
        <v>82</v>
      </c>
      <c r="K2983" t="s">
        <v>26</v>
      </c>
      <c r="L2983" t="s">
        <v>72</v>
      </c>
      <c r="M2983" t="s">
        <v>28</v>
      </c>
      <c r="N2983">
        <v>4.9000000000000004</v>
      </c>
      <c r="O2983">
        <v>0</v>
      </c>
      <c r="P2983" t="s">
        <v>57</v>
      </c>
      <c r="Q2983" t="s">
        <v>155</v>
      </c>
      <c r="R2983" t="s">
        <v>155</v>
      </c>
      <c r="S2983">
        <v>37</v>
      </c>
      <c r="T2983" t="s">
        <v>31</v>
      </c>
      <c r="U2983" t="s">
        <v>52</v>
      </c>
      <c r="V2983" s="1">
        <v>45312</v>
      </c>
      <c r="W2983">
        <f>Table1[[#This Row],[customer_purchase count]]+1</f>
        <v>38</v>
      </c>
      <c r="X2983">
        <f>Table1[[#This Row],[customer_purchase count]]*Rules!$B$3</f>
        <v>2211.2812820512822</v>
      </c>
      <c r="Y2983" t="str">
        <f>IF(Table1[[#This Row],[customer_subscription]]=1,"Subscribed","Not Subscribed")</f>
        <v>Not Subscribed</v>
      </c>
    </row>
    <row r="2984" spans="1:26" x14ac:dyDescent="0.25">
      <c r="A2984">
        <v>2983</v>
      </c>
      <c r="B2984">
        <v>33</v>
      </c>
      <c r="C2984" t="s">
        <v>156</v>
      </c>
      <c r="D2984">
        <v>2983</v>
      </c>
      <c r="E2984" t="s">
        <v>84</v>
      </c>
      <c r="F2984" t="s">
        <v>24</v>
      </c>
      <c r="G2984">
        <v>2983</v>
      </c>
      <c r="H2984">
        <v>3778</v>
      </c>
      <c r="I2984">
        <v>45</v>
      </c>
      <c r="J2984" t="s">
        <v>153</v>
      </c>
      <c r="K2984" t="s">
        <v>47</v>
      </c>
      <c r="L2984" t="s">
        <v>124</v>
      </c>
      <c r="M2984" t="s">
        <v>56</v>
      </c>
      <c r="N2984">
        <v>3.6</v>
      </c>
      <c r="O2984">
        <v>0</v>
      </c>
      <c r="P2984" t="s">
        <v>77</v>
      </c>
      <c r="Q2984" t="s">
        <v>155</v>
      </c>
      <c r="R2984" t="s">
        <v>155</v>
      </c>
      <c r="S2984">
        <v>4</v>
      </c>
      <c r="T2984" t="s">
        <v>42</v>
      </c>
      <c r="U2984" t="s">
        <v>43</v>
      </c>
      <c r="V2984" s="1">
        <v>45509</v>
      </c>
      <c r="W2984">
        <f>Table1[[#This Row],[customer_purchase count]]+1</f>
        <v>5</v>
      </c>
      <c r="X2984">
        <f>Table1[[#This Row],[customer_purchase count]]*Rules!$B$3</f>
        <v>239.05743589743591</v>
      </c>
      <c r="Y2984" t="str">
        <f>IF(Table1[[#This Row],[customer_subscription]]=1,"Subscribed","Not Subscribed")</f>
        <v>Not Subscribed</v>
      </c>
      <c r="Z2984" t="s">
        <v>194</v>
      </c>
    </row>
    <row r="2985" spans="1:26" x14ac:dyDescent="0.25">
      <c r="A2985">
        <v>2984</v>
      </c>
      <c r="B2985">
        <v>60</v>
      </c>
      <c r="C2985" t="s">
        <v>156</v>
      </c>
      <c r="D2985">
        <v>2984</v>
      </c>
      <c r="E2985" t="s">
        <v>98</v>
      </c>
      <c r="F2985" t="s">
        <v>24</v>
      </c>
      <c r="G2985">
        <v>2984</v>
      </c>
      <c r="H2985">
        <v>3779</v>
      </c>
      <c r="I2985">
        <v>44</v>
      </c>
      <c r="J2985" t="s">
        <v>67</v>
      </c>
      <c r="K2985" t="s">
        <v>47</v>
      </c>
      <c r="L2985" t="s">
        <v>64</v>
      </c>
      <c r="M2985" t="s">
        <v>28</v>
      </c>
      <c r="N2985">
        <v>2.8</v>
      </c>
      <c r="O2985">
        <v>0</v>
      </c>
      <c r="P2985" t="s">
        <v>73</v>
      </c>
      <c r="Q2985" t="s">
        <v>155</v>
      </c>
      <c r="R2985" t="s">
        <v>155</v>
      </c>
      <c r="S2985">
        <v>1</v>
      </c>
      <c r="T2985" t="s">
        <v>42</v>
      </c>
      <c r="U2985" t="s">
        <v>61</v>
      </c>
      <c r="V2985" s="1">
        <v>45349</v>
      </c>
      <c r="W2985">
        <f>Table1[[#This Row],[customer_purchase count]]+1</f>
        <v>2</v>
      </c>
      <c r="X2985">
        <f>Table1[[#This Row],[customer_purchase count]]*Rules!$B$3</f>
        <v>59.764358974358977</v>
      </c>
      <c r="Y2985" t="str">
        <f>IF(Table1[[#This Row],[customer_subscription]]=1,"Subscribed","Not Subscribed")</f>
        <v>Not Subscribed</v>
      </c>
      <c r="Z2985" t="s">
        <v>194</v>
      </c>
    </row>
    <row r="2986" spans="1:26" x14ac:dyDescent="0.25">
      <c r="A2986">
        <v>2985</v>
      </c>
      <c r="B2986">
        <v>45</v>
      </c>
      <c r="C2986" t="s">
        <v>156</v>
      </c>
      <c r="D2986">
        <v>2985</v>
      </c>
      <c r="E2986" t="s">
        <v>146</v>
      </c>
      <c r="F2986" t="s">
        <v>70</v>
      </c>
      <c r="G2986">
        <v>2985</v>
      </c>
      <c r="H2986">
        <v>3781</v>
      </c>
      <c r="I2986">
        <v>32</v>
      </c>
      <c r="J2986" t="s">
        <v>108</v>
      </c>
      <c r="K2986" t="s">
        <v>26</v>
      </c>
      <c r="L2986" t="s">
        <v>111</v>
      </c>
      <c r="M2986" t="s">
        <v>40</v>
      </c>
      <c r="N2986">
        <v>4.3</v>
      </c>
      <c r="O2986">
        <v>0</v>
      </c>
      <c r="P2986" t="s">
        <v>73</v>
      </c>
      <c r="Q2986" t="s">
        <v>155</v>
      </c>
      <c r="R2986" t="s">
        <v>155</v>
      </c>
      <c r="S2986">
        <v>36</v>
      </c>
      <c r="T2986" t="s">
        <v>89</v>
      </c>
      <c r="U2986" t="s">
        <v>79</v>
      </c>
      <c r="V2986" s="1">
        <v>45423</v>
      </c>
      <c r="W2986">
        <f>Table1[[#This Row],[customer_purchase count]]+1</f>
        <v>37</v>
      </c>
      <c r="X2986">
        <f>Table1[[#This Row],[customer_purchase count]]*Rules!$B$3</f>
        <v>2151.5169230769234</v>
      </c>
      <c r="Y2986" t="str">
        <f>IF(Table1[[#This Row],[customer_subscription]]=1,"Subscribed","Not Subscribed")</f>
        <v>Not Subscribed</v>
      </c>
    </row>
    <row r="2987" spans="1:26" x14ac:dyDescent="0.25">
      <c r="A2987">
        <v>2986</v>
      </c>
      <c r="B2987">
        <v>46</v>
      </c>
      <c r="C2987" t="s">
        <v>156</v>
      </c>
      <c r="D2987">
        <v>2986</v>
      </c>
      <c r="E2987" t="s">
        <v>136</v>
      </c>
      <c r="F2987" t="s">
        <v>70</v>
      </c>
      <c r="G2987">
        <v>2986</v>
      </c>
      <c r="H2987">
        <v>3782</v>
      </c>
      <c r="I2987">
        <v>36</v>
      </c>
      <c r="J2987" t="s">
        <v>80</v>
      </c>
      <c r="K2987" t="s">
        <v>39</v>
      </c>
      <c r="L2987" t="s">
        <v>88</v>
      </c>
      <c r="M2987" t="s">
        <v>56</v>
      </c>
      <c r="N2987">
        <v>3</v>
      </c>
      <c r="O2987">
        <v>0</v>
      </c>
      <c r="P2987" t="s">
        <v>29</v>
      </c>
      <c r="Q2987" t="s">
        <v>155</v>
      </c>
      <c r="R2987" t="s">
        <v>155</v>
      </c>
      <c r="S2987">
        <v>21</v>
      </c>
      <c r="T2987" t="s">
        <v>36</v>
      </c>
      <c r="U2987" t="s">
        <v>79</v>
      </c>
      <c r="V2987" s="1">
        <v>45457</v>
      </c>
      <c r="W2987">
        <f>Table1[[#This Row],[customer_purchase count]]+1</f>
        <v>22</v>
      </c>
      <c r="X2987">
        <f>Table1[[#This Row],[customer_purchase count]]*Rules!$B$3</f>
        <v>1255.0515384615385</v>
      </c>
      <c r="Y2987" t="str">
        <f>IF(Table1[[#This Row],[customer_subscription]]=1,"Subscribed","Not Subscribed")</f>
        <v>Not Subscribed</v>
      </c>
    </row>
    <row r="2988" spans="1:26" x14ac:dyDescent="0.25">
      <c r="A2988">
        <v>2987</v>
      </c>
      <c r="B2988">
        <v>62</v>
      </c>
      <c r="C2988" t="s">
        <v>156</v>
      </c>
      <c r="D2988">
        <v>2987</v>
      </c>
      <c r="E2988" t="s">
        <v>136</v>
      </c>
      <c r="F2988" t="s">
        <v>70</v>
      </c>
      <c r="G2988">
        <v>2987</v>
      </c>
      <c r="H2988">
        <v>3783</v>
      </c>
      <c r="I2988">
        <v>85</v>
      </c>
      <c r="J2988" t="s">
        <v>120</v>
      </c>
      <c r="K2988" t="s">
        <v>39</v>
      </c>
      <c r="L2988" t="s">
        <v>68</v>
      </c>
      <c r="M2988" t="s">
        <v>56</v>
      </c>
      <c r="N2988">
        <v>3.3</v>
      </c>
      <c r="O2988">
        <v>0</v>
      </c>
      <c r="P2988" t="s">
        <v>73</v>
      </c>
      <c r="Q2988" t="s">
        <v>155</v>
      </c>
      <c r="R2988" t="s">
        <v>155</v>
      </c>
      <c r="S2988">
        <v>16</v>
      </c>
      <c r="T2988" t="s">
        <v>42</v>
      </c>
      <c r="U2988" t="s">
        <v>91</v>
      </c>
      <c r="V2988" s="1">
        <v>45507</v>
      </c>
      <c r="W2988">
        <f>Table1[[#This Row],[customer_purchase count]]+1</f>
        <v>17</v>
      </c>
      <c r="X2988">
        <f>Table1[[#This Row],[customer_purchase count]]*Rules!$B$3</f>
        <v>956.22974358974363</v>
      </c>
      <c r="Y2988" t="str">
        <f>IF(Table1[[#This Row],[customer_subscription]]=1,"Subscribed","Not Subscribed")</f>
        <v>Not Subscribed</v>
      </c>
      <c r="Z2988" t="s">
        <v>194</v>
      </c>
    </row>
    <row r="2989" spans="1:26" x14ac:dyDescent="0.25">
      <c r="A2989">
        <v>2988</v>
      </c>
      <c r="B2989">
        <v>63</v>
      </c>
      <c r="C2989" t="s">
        <v>156</v>
      </c>
      <c r="D2989">
        <v>2988</v>
      </c>
      <c r="E2989" t="s">
        <v>90</v>
      </c>
      <c r="F2989" t="s">
        <v>24</v>
      </c>
      <c r="G2989">
        <v>2988</v>
      </c>
      <c r="H2989">
        <v>3784</v>
      </c>
      <c r="I2989">
        <v>36</v>
      </c>
      <c r="J2989" t="s">
        <v>63</v>
      </c>
      <c r="K2989" t="s">
        <v>26</v>
      </c>
      <c r="L2989" t="s">
        <v>97</v>
      </c>
      <c r="M2989" t="s">
        <v>28</v>
      </c>
      <c r="N2989">
        <v>2.5</v>
      </c>
      <c r="O2989">
        <v>0</v>
      </c>
      <c r="P2989" t="s">
        <v>77</v>
      </c>
      <c r="Q2989" t="s">
        <v>155</v>
      </c>
      <c r="R2989" t="s">
        <v>155</v>
      </c>
      <c r="S2989">
        <v>42</v>
      </c>
      <c r="T2989" t="s">
        <v>36</v>
      </c>
      <c r="U2989" t="s">
        <v>91</v>
      </c>
      <c r="V2989" s="1">
        <v>45328</v>
      </c>
      <c r="W2989">
        <f>Table1[[#This Row],[customer_purchase count]]+1</f>
        <v>43</v>
      </c>
      <c r="X2989">
        <f>Table1[[#This Row],[customer_purchase count]]*Rules!$B$3</f>
        <v>2510.103076923077</v>
      </c>
      <c r="Y2989" t="str">
        <f>IF(Table1[[#This Row],[customer_subscription]]=1,"Subscribed","Not Subscribed")</f>
        <v>Not Subscribed</v>
      </c>
    </row>
    <row r="2990" spans="1:26" x14ac:dyDescent="0.25">
      <c r="A2990">
        <v>2989</v>
      </c>
      <c r="B2990">
        <v>69</v>
      </c>
      <c r="C2990" t="s">
        <v>156</v>
      </c>
      <c r="D2990">
        <v>2989</v>
      </c>
      <c r="E2990" t="s">
        <v>128</v>
      </c>
      <c r="F2990" t="s">
        <v>24</v>
      </c>
      <c r="G2990">
        <v>2989</v>
      </c>
      <c r="H2990">
        <v>3785</v>
      </c>
      <c r="I2990">
        <v>55</v>
      </c>
      <c r="J2990" t="s">
        <v>110</v>
      </c>
      <c r="K2990" t="s">
        <v>39</v>
      </c>
      <c r="L2990" t="s">
        <v>72</v>
      </c>
      <c r="M2990" t="s">
        <v>40</v>
      </c>
      <c r="N2990">
        <v>5</v>
      </c>
      <c r="O2990">
        <v>0</v>
      </c>
      <c r="P2990" t="s">
        <v>73</v>
      </c>
      <c r="Q2990" t="s">
        <v>155</v>
      </c>
      <c r="R2990" t="s">
        <v>155</v>
      </c>
      <c r="S2990">
        <v>31</v>
      </c>
      <c r="T2990" t="s">
        <v>89</v>
      </c>
      <c r="U2990" t="s">
        <v>91</v>
      </c>
      <c r="V2990" s="1">
        <v>45436</v>
      </c>
      <c r="W2990">
        <f>Table1[[#This Row],[customer_purchase count]]+1</f>
        <v>32</v>
      </c>
      <c r="X2990">
        <f>Table1[[#This Row],[customer_purchase count]]*Rules!$B$3</f>
        <v>1852.6951282051282</v>
      </c>
      <c r="Y2990" t="str">
        <f>IF(Table1[[#This Row],[customer_subscription]]=1,"Subscribed","Not Subscribed")</f>
        <v>Not Subscribed</v>
      </c>
    </row>
    <row r="2991" spans="1:26" x14ac:dyDescent="0.25">
      <c r="A2991">
        <v>2990</v>
      </c>
      <c r="B2991">
        <v>46</v>
      </c>
      <c r="C2991" t="s">
        <v>156</v>
      </c>
      <c r="D2991">
        <v>2990</v>
      </c>
      <c r="E2991" t="s">
        <v>136</v>
      </c>
      <c r="F2991" t="s">
        <v>70</v>
      </c>
      <c r="G2991">
        <v>2990</v>
      </c>
      <c r="H2991">
        <v>3787</v>
      </c>
      <c r="I2991">
        <v>20</v>
      </c>
      <c r="J2991" t="s">
        <v>46</v>
      </c>
      <c r="K2991" t="s">
        <v>95</v>
      </c>
      <c r="L2991" t="s">
        <v>88</v>
      </c>
      <c r="M2991" t="s">
        <v>56</v>
      </c>
      <c r="N2991">
        <v>4.3</v>
      </c>
      <c r="O2991">
        <v>0</v>
      </c>
      <c r="P2991" t="s">
        <v>73</v>
      </c>
      <c r="Q2991" t="s">
        <v>155</v>
      </c>
      <c r="R2991" t="s">
        <v>155</v>
      </c>
      <c r="S2991">
        <v>6</v>
      </c>
      <c r="T2991" t="s">
        <v>42</v>
      </c>
      <c r="U2991" t="s">
        <v>43</v>
      </c>
      <c r="V2991" s="1">
        <v>45477</v>
      </c>
      <c r="W2991">
        <f>Table1[[#This Row],[customer_purchase count]]+1</f>
        <v>7</v>
      </c>
      <c r="X2991">
        <f>Table1[[#This Row],[customer_purchase count]]*Rules!$B$3</f>
        <v>358.58615384615388</v>
      </c>
      <c r="Y2991" t="str">
        <f>IF(Table1[[#This Row],[customer_subscription]]=1,"Subscribed","Not Subscribed")</f>
        <v>Not Subscribed</v>
      </c>
      <c r="Z2991" t="s">
        <v>194</v>
      </c>
    </row>
    <row r="2992" spans="1:26" x14ac:dyDescent="0.25">
      <c r="A2992">
        <v>2991</v>
      </c>
      <c r="B2992">
        <v>69</v>
      </c>
      <c r="C2992" t="s">
        <v>156</v>
      </c>
      <c r="D2992">
        <v>2991</v>
      </c>
      <c r="E2992" t="s">
        <v>58</v>
      </c>
      <c r="F2992" t="s">
        <v>24</v>
      </c>
      <c r="G2992">
        <v>2991</v>
      </c>
      <c r="H2992">
        <v>3788</v>
      </c>
      <c r="I2992">
        <v>91</v>
      </c>
      <c r="J2992" t="s">
        <v>118</v>
      </c>
      <c r="K2992" t="s">
        <v>47</v>
      </c>
      <c r="L2992" t="s">
        <v>88</v>
      </c>
      <c r="M2992" t="s">
        <v>60</v>
      </c>
      <c r="N2992">
        <v>4.2</v>
      </c>
      <c r="O2992">
        <v>0</v>
      </c>
      <c r="P2992" t="s">
        <v>41</v>
      </c>
      <c r="Q2992" t="s">
        <v>155</v>
      </c>
      <c r="R2992" t="s">
        <v>155</v>
      </c>
      <c r="S2992">
        <v>24</v>
      </c>
      <c r="T2992" t="s">
        <v>31</v>
      </c>
      <c r="U2992" t="s">
        <v>91</v>
      </c>
      <c r="V2992" s="1">
        <v>45549</v>
      </c>
      <c r="W2992">
        <f>Table1[[#This Row],[customer_purchase count]]+1</f>
        <v>25</v>
      </c>
      <c r="X2992">
        <f>Table1[[#This Row],[customer_purchase count]]*Rules!$B$3</f>
        <v>1434.3446153846155</v>
      </c>
      <c r="Y2992" t="str">
        <f>IF(Table1[[#This Row],[customer_subscription]]=1,"Subscribed","Not Subscribed")</f>
        <v>Not Subscribed</v>
      </c>
    </row>
    <row r="2993" spans="1:26" x14ac:dyDescent="0.25">
      <c r="A2993">
        <v>2992</v>
      </c>
      <c r="B2993">
        <v>66</v>
      </c>
      <c r="C2993" t="s">
        <v>156</v>
      </c>
      <c r="D2993">
        <v>2992</v>
      </c>
      <c r="E2993" t="s">
        <v>84</v>
      </c>
      <c r="F2993" t="s">
        <v>24</v>
      </c>
      <c r="G2993">
        <v>2992</v>
      </c>
      <c r="H2993">
        <v>3789</v>
      </c>
      <c r="I2993">
        <v>71</v>
      </c>
      <c r="J2993" t="s">
        <v>143</v>
      </c>
      <c r="K2993" t="s">
        <v>26</v>
      </c>
      <c r="L2993" t="s">
        <v>99</v>
      </c>
      <c r="M2993" t="s">
        <v>56</v>
      </c>
      <c r="N2993">
        <v>3.9</v>
      </c>
      <c r="O2993">
        <v>0</v>
      </c>
      <c r="P2993" t="s">
        <v>57</v>
      </c>
      <c r="Q2993" t="s">
        <v>155</v>
      </c>
      <c r="R2993" t="s">
        <v>155</v>
      </c>
      <c r="S2993">
        <v>7</v>
      </c>
      <c r="T2993" t="s">
        <v>49</v>
      </c>
      <c r="U2993" t="s">
        <v>79</v>
      </c>
      <c r="V2993" s="1">
        <v>45444</v>
      </c>
      <c r="W2993">
        <f>Table1[[#This Row],[customer_purchase count]]+1</f>
        <v>8</v>
      </c>
      <c r="X2993">
        <f>Table1[[#This Row],[customer_purchase count]]*Rules!$B$3</f>
        <v>418.35051282051285</v>
      </c>
      <c r="Y2993" t="str">
        <f>IF(Table1[[#This Row],[customer_subscription]]=1,"Subscribed","Not Subscribed")</f>
        <v>Not Subscribed</v>
      </c>
      <c r="Z2993" t="s">
        <v>194</v>
      </c>
    </row>
    <row r="2994" spans="1:26" x14ac:dyDescent="0.25">
      <c r="A2994">
        <v>2993</v>
      </c>
      <c r="B2994">
        <v>41</v>
      </c>
      <c r="C2994" t="s">
        <v>156</v>
      </c>
      <c r="D2994">
        <v>2993</v>
      </c>
      <c r="E2994" t="s">
        <v>128</v>
      </c>
      <c r="F2994" t="s">
        <v>24</v>
      </c>
      <c r="G2994">
        <v>2993</v>
      </c>
      <c r="H2994">
        <v>3790</v>
      </c>
      <c r="I2994">
        <v>64</v>
      </c>
      <c r="J2994" t="s">
        <v>117</v>
      </c>
      <c r="K2994" t="s">
        <v>47</v>
      </c>
      <c r="L2994" t="s">
        <v>64</v>
      </c>
      <c r="M2994" t="s">
        <v>40</v>
      </c>
      <c r="N2994">
        <v>3.9</v>
      </c>
      <c r="O2994">
        <v>0</v>
      </c>
      <c r="P2994" t="s">
        <v>77</v>
      </c>
      <c r="Q2994" t="s">
        <v>155</v>
      </c>
      <c r="R2994" t="s">
        <v>155</v>
      </c>
      <c r="S2994">
        <v>25</v>
      </c>
      <c r="T2994" t="s">
        <v>31</v>
      </c>
      <c r="U2994" t="s">
        <v>43</v>
      </c>
      <c r="V2994" s="1">
        <v>45437</v>
      </c>
      <c r="W2994">
        <f>Table1[[#This Row],[customer_purchase count]]+1</f>
        <v>26</v>
      </c>
      <c r="X2994">
        <f>Table1[[#This Row],[customer_purchase count]]*Rules!$B$3</f>
        <v>1494.1089743589744</v>
      </c>
      <c r="Y2994" t="str">
        <f>IF(Table1[[#This Row],[customer_subscription]]=1,"Subscribed","Not Subscribed")</f>
        <v>Not Subscribed</v>
      </c>
    </row>
    <row r="2995" spans="1:26" x14ac:dyDescent="0.25">
      <c r="A2995">
        <v>2994</v>
      </c>
      <c r="B2995">
        <v>32</v>
      </c>
      <c r="C2995" t="s">
        <v>156</v>
      </c>
      <c r="D2995">
        <v>2994</v>
      </c>
      <c r="E2995" t="s">
        <v>105</v>
      </c>
      <c r="F2995" t="s">
        <v>66</v>
      </c>
      <c r="G2995">
        <v>2994</v>
      </c>
      <c r="H2995">
        <v>3791</v>
      </c>
      <c r="I2995">
        <v>21</v>
      </c>
      <c r="J2995" t="s">
        <v>114</v>
      </c>
      <c r="K2995" t="s">
        <v>26</v>
      </c>
      <c r="L2995" t="s">
        <v>129</v>
      </c>
      <c r="M2995" t="s">
        <v>40</v>
      </c>
      <c r="N2995">
        <v>4.2</v>
      </c>
      <c r="O2995">
        <v>0</v>
      </c>
      <c r="P2995" t="s">
        <v>41</v>
      </c>
      <c r="Q2995" t="s">
        <v>155</v>
      </c>
      <c r="R2995" t="s">
        <v>155</v>
      </c>
      <c r="S2995">
        <v>18</v>
      </c>
      <c r="T2995" t="s">
        <v>36</v>
      </c>
      <c r="U2995" t="s">
        <v>79</v>
      </c>
      <c r="V2995" s="1">
        <v>45424</v>
      </c>
      <c r="W2995">
        <f>Table1[[#This Row],[customer_purchase count]]+1</f>
        <v>19</v>
      </c>
      <c r="X2995">
        <f>Table1[[#This Row],[customer_purchase count]]*Rules!$B$3</f>
        <v>1075.7584615384617</v>
      </c>
      <c r="Y2995" t="str">
        <f>IF(Table1[[#This Row],[customer_subscription]]=1,"Subscribed","Not Subscribed")</f>
        <v>Not Subscribed</v>
      </c>
    </row>
    <row r="2996" spans="1:26" x14ac:dyDescent="0.25">
      <c r="A2996">
        <v>2995</v>
      </c>
      <c r="B2996">
        <v>69</v>
      </c>
      <c r="C2996" t="s">
        <v>156</v>
      </c>
      <c r="D2996">
        <v>2995</v>
      </c>
      <c r="E2996" t="s">
        <v>33</v>
      </c>
      <c r="F2996" t="s">
        <v>24</v>
      </c>
      <c r="G2996">
        <v>2995</v>
      </c>
      <c r="H2996">
        <v>3793</v>
      </c>
      <c r="I2996">
        <v>100</v>
      </c>
      <c r="J2996" t="s">
        <v>110</v>
      </c>
      <c r="K2996" t="s">
        <v>39</v>
      </c>
      <c r="L2996" t="s">
        <v>55</v>
      </c>
      <c r="M2996" t="s">
        <v>28</v>
      </c>
      <c r="N2996">
        <v>3.5</v>
      </c>
      <c r="O2996">
        <v>0</v>
      </c>
      <c r="P2996" t="s">
        <v>77</v>
      </c>
      <c r="Q2996" t="s">
        <v>155</v>
      </c>
      <c r="R2996" t="s">
        <v>155</v>
      </c>
      <c r="S2996">
        <v>14</v>
      </c>
      <c r="T2996" t="s">
        <v>78</v>
      </c>
      <c r="U2996" t="s">
        <v>61</v>
      </c>
      <c r="V2996" s="1">
        <v>45642</v>
      </c>
      <c r="W2996">
        <f>Table1[[#This Row],[customer_purchase count]]+1</f>
        <v>15</v>
      </c>
      <c r="X2996">
        <f>Table1[[#This Row],[customer_purchase count]]*Rules!$B$3</f>
        <v>836.70102564102569</v>
      </c>
      <c r="Y2996" t="str">
        <f>IF(Table1[[#This Row],[customer_subscription]]=1,"Subscribed","Not Subscribed")</f>
        <v>Not Subscribed</v>
      </c>
      <c r="Z2996" t="s">
        <v>194</v>
      </c>
    </row>
    <row r="2997" spans="1:26" x14ac:dyDescent="0.25">
      <c r="A2997">
        <v>2996</v>
      </c>
      <c r="B2997">
        <v>29</v>
      </c>
      <c r="C2997" t="s">
        <v>156</v>
      </c>
      <c r="D2997">
        <v>2996</v>
      </c>
      <c r="E2997" t="s">
        <v>37</v>
      </c>
      <c r="F2997" t="s">
        <v>24</v>
      </c>
      <c r="G2997">
        <v>2996</v>
      </c>
      <c r="H2997">
        <v>3794</v>
      </c>
      <c r="I2997">
        <v>96</v>
      </c>
      <c r="J2997" t="s">
        <v>144</v>
      </c>
      <c r="K2997" t="s">
        <v>47</v>
      </c>
      <c r="L2997" t="s">
        <v>124</v>
      </c>
      <c r="M2997" t="s">
        <v>56</v>
      </c>
      <c r="N2997">
        <v>2.5</v>
      </c>
      <c r="O2997">
        <v>0</v>
      </c>
      <c r="P2997" t="s">
        <v>57</v>
      </c>
      <c r="Q2997" t="s">
        <v>155</v>
      </c>
      <c r="R2997" t="s">
        <v>155</v>
      </c>
      <c r="S2997">
        <v>42</v>
      </c>
      <c r="T2997" t="s">
        <v>89</v>
      </c>
      <c r="U2997" t="s">
        <v>79</v>
      </c>
      <c r="V2997" s="1">
        <v>45477</v>
      </c>
      <c r="W2997">
        <f>Table1[[#This Row],[customer_purchase count]]+1</f>
        <v>43</v>
      </c>
      <c r="X2997">
        <f>Table1[[#This Row],[customer_purchase count]]*Rules!$B$3</f>
        <v>2510.103076923077</v>
      </c>
      <c r="Y2997" t="str">
        <f>IF(Table1[[#This Row],[customer_subscription]]=1,"Subscribed","Not Subscribed")</f>
        <v>Not Subscribed</v>
      </c>
    </row>
    <row r="2998" spans="1:26" x14ac:dyDescent="0.25">
      <c r="A2998">
        <v>2997</v>
      </c>
      <c r="B2998">
        <v>70</v>
      </c>
      <c r="C2998" t="s">
        <v>156</v>
      </c>
      <c r="D2998">
        <v>2997</v>
      </c>
      <c r="E2998" t="s">
        <v>109</v>
      </c>
      <c r="F2998" t="s">
        <v>70</v>
      </c>
      <c r="G2998">
        <v>2997</v>
      </c>
      <c r="H2998">
        <v>3795</v>
      </c>
      <c r="I2998">
        <v>91</v>
      </c>
      <c r="J2998" t="s">
        <v>143</v>
      </c>
      <c r="K2998" t="s">
        <v>47</v>
      </c>
      <c r="L2998" t="s">
        <v>55</v>
      </c>
      <c r="M2998" t="s">
        <v>40</v>
      </c>
      <c r="N2998">
        <v>2.9</v>
      </c>
      <c r="O2998">
        <v>0</v>
      </c>
      <c r="P2998" t="s">
        <v>29</v>
      </c>
      <c r="Q2998" t="s">
        <v>155</v>
      </c>
      <c r="R2998" t="s">
        <v>155</v>
      </c>
      <c r="S2998">
        <v>6</v>
      </c>
      <c r="T2998" t="s">
        <v>31</v>
      </c>
      <c r="U2998" t="s">
        <v>100</v>
      </c>
      <c r="V2998" s="1">
        <v>45385</v>
      </c>
      <c r="W2998">
        <f>Table1[[#This Row],[customer_purchase count]]+1</f>
        <v>7</v>
      </c>
      <c r="X2998">
        <f>Table1[[#This Row],[customer_purchase count]]*Rules!$B$3</f>
        <v>358.58615384615388</v>
      </c>
      <c r="Y2998" t="str">
        <f>IF(Table1[[#This Row],[customer_subscription]]=1,"Subscribed","Not Subscribed")</f>
        <v>Not Subscribed</v>
      </c>
      <c r="Z2998" t="s">
        <v>194</v>
      </c>
    </row>
    <row r="2999" spans="1:26" x14ac:dyDescent="0.25">
      <c r="A2999">
        <v>2998</v>
      </c>
      <c r="B2999">
        <v>41</v>
      </c>
      <c r="C2999" t="s">
        <v>156</v>
      </c>
      <c r="D2999">
        <v>2998</v>
      </c>
      <c r="E2999" t="s">
        <v>33</v>
      </c>
      <c r="F2999" t="s">
        <v>24</v>
      </c>
      <c r="G2999">
        <v>2998</v>
      </c>
      <c r="H2999">
        <v>3796</v>
      </c>
      <c r="I2999">
        <v>40</v>
      </c>
      <c r="J2999" t="s">
        <v>138</v>
      </c>
      <c r="K2999" t="s">
        <v>39</v>
      </c>
      <c r="L2999" t="s">
        <v>137</v>
      </c>
      <c r="M2999" t="s">
        <v>40</v>
      </c>
      <c r="N2999">
        <v>2.7</v>
      </c>
      <c r="O2999">
        <v>0</v>
      </c>
      <c r="P2999" t="s">
        <v>48</v>
      </c>
      <c r="Q2999" t="s">
        <v>155</v>
      </c>
      <c r="R2999" t="s">
        <v>155</v>
      </c>
      <c r="S2999">
        <v>14</v>
      </c>
      <c r="T2999" t="s">
        <v>31</v>
      </c>
      <c r="U2999" t="s">
        <v>100</v>
      </c>
      <c r="V2999" s="1">
        <v>45427</v>
      </c>
      <c r="W2999">
        <f>Table1[[#This Row],[customer_purchase count]]+1</f>
        <v>15</v>
      </c>
      <c r="X2999">
        <f>Table1[[#This Row],[customer_purchase count]]*Rules!$B$3</f>
        <v>836.70102564102569</v>
      </c>
      <c r="Y2999" t="str">
        <f>IF(Table1[[#This Row],[customer_subscription]]=1,"Subscribed","Not Subscribed")</f>
        <v>Not Subscribed</v>
      </c>
      <c r="Z2999" t="s">
        <v>194</v>
      </c>
    </row>
    <row r="3000" spans="1:26" x14ac:dyDescent="0.25">
      <c r="A3000">
        <v>2999</v>
      </c>
      <c r="B3000">
        <v>31</v>
      </c>
      <c r="C3000" t="s">
        <v>156</v>
      </c>
      <c r="D3000">
        <v>2999</v>
      </c>
      <c r="E3000" t="s">
        <v>107</v>
      </c>
      <c r="F3000" t="s">
        <v>24</v>
      </c>
      <c r="G3000">
        <v>2999</v>
      </c>
      <c r="H3000">
        <v>3797</v>
      </c>
      <c r="I3000">
        <v>53</v>
      </c>
      <c r="J3000" t="s">
        <v>123</v>
      </c>
      <c r="K3000" t="s">
        <v>47</v>
      </c>
      <c r="L3000" t="s">
        <v>111</v>
      </c>
      <c r="M3000" t="s">
        <v>56</v>
      </c>
      <c r="N3000">
        <v>4.7</v>
      </c>
      <c r="O3000">
        <v>0</v>
      </c>
      <c r="P3000" t="s">
        <v>29</v>
      </c>
      <c r="Q3000" t="s">
        <v>155</v>
      </c>
      <c r="R3000" t="s">
        <v>155</v>
      </c>
      <c r="S3000">
        <v>30</v>
      </c>
      <c r="T3000" t="s">
        <v>89</v>
      </c>
      <c r="U3000" t="s">
        <v>61</v>
      </c>
      <c r="V3000" s="1">
        <v>45511</v>
      </c>
      <c r="W3000">
        <f>Table1[[#This Row],[customer_purchase count]]+1</f>
        <v>31</v>
      </c>
      <c r="X3000">
        <f>Table1[[#This Row],[customer_purchase count]]*Rules!$B$3</f>
        <v>1792.9307692307693</v>
      </c>
      <c r="Y3000" t="str">
        <f>IF(Table1[[#This Row],[customer_subscription]]=1,"Subscribed","Not Subscribed")</f>
        <v>Not Subscribed</v>
      </c>
    </row>
    <row r="3001" spans="1:26" x14ac:dyDescent="0.25">
      <c r="A3001">
        <v>3000</v>
      </c>
      <c r="B3001">
        <v>31</v>
      </c>
      <c r="C3001" t="s">
        <v>156</v>
      </c>
      <c r="D3001">
        <v>3000</v>
      </c>
      <c r="E3001" t="s">
        <v>92</v>
      </c>
      <c r="F3001" t="s">
        <v>70</v>
      </c>
      <c r="G3001">
        <v>3000</v>
      </c>
      <c r="H3001">
        <v>3799</v>
      </c>
      <c r="I3001">
        <v>48</v>
      </c>
      <c r="J3001" t="s">
        <v>85</v>
      </c>
      <c r="K3001" t="s">
        <v>39</v>
      </c>
      <c r="L3001" t="s">
        <v>64</v>
      </c>
      <c r="M3001" t="s">
        <v>28</v>
      </c>
      <c r="N3001">
        <v>3.8</v>
      </c>
      <c r="O3001">
        <v>0</v>
      </c>
      <c r="P3001" t="s">
        <v>57</v>
      </c>
      <c r="Q3001" t="s">
        <v>155</v>
      </c>
      <c r="R3001" t="s">
        <v>155</v>
      </c>
      <c r="S3001">
        <v>10</v>
      </c>
      <c r="T3001" t="s">
        <v>36</v>
      </c>
      <c r="U3001" t="s">
        <v>91</v>
      </c>
      <c r="V3001" s="1">
        <v>45314</v>
      </c>
      <c r="W3001">
        <f>Table1[[#This Row],[customer_purchase count]]+1</f>
        <v>11</v>
      </c>
      <c r="X3001">
        <f>Table1[[#This Row],[customer_purchase count]]*Rules!$B$3</f>
        <v>597.64358974358981</v>
      </c>
      <c r="Y3001" t="str">
        <f>IF(Table1[[#This Row],[customer_subscription]]=1,"Subscribed","Not Subscribed")</f>
        <v>Not Subscribed</v>
      </c>
      <c r="Z3001" t="s">
        <v>194</v>
      </c>
    </row>
    <row r="3002" spans="1:26" x14ac:dyDescent="0.25">
      <c r="A3002">
        <v>3001</v>
      </c>
      <c r="B3002">
        <v>57</v>
      </c>
      <c r="C3002" t="s">
        <v>156</v>
      </c>
      <c r="D3002">
        <v>3001</v>
      </c>
      <c r="E3002" t="s">
        <v>44</v>
      </c>
      <c r="F3002" t="s">
        <v>45</v>
      </c>
      <c r="G3002">
        <v>3001</v>
      </c>
      <c r="H3002">
        <v>3800</v>
      </c>
      <c r="I3002">
        <v>70</v>
      </c>
      <c r="J3002" t="s">
        <v>126</v>
      </c>
      <c r="K3002" t="s">
        <v>47</v>
      </c>
      <c r="L3002" t="s">
        <v>96</v>
      </c>
      <c r="M3002" t="s">
        <v>28</v>
      </c>
      <c r="N3002">
        <v>3.7</v>
      </c>
      <c r="O3002">
        <v>0</v>
      </c>
      <c r="P3002" t="s">
        <v>29</v>
      </c>
      <c r="Q3002" t="s">
        <v>155</v>
      </c>
      <c r="R3002" t="s">
        <v>155</v>
      </c>
      <c r="S3002">
        <v>7</v>
      </c>
      <c r="T3002" t="s">
        <v>49</v>
      </c>
      <c r="U3002" t="s">
        <v>43</v>
      </c>
      <c r="V3002" s="1">
        <v>45649</v>
      </c>
      <c r="W3002">
        <f>Table1[[#This Row],[customer_purchase count]]+1</f>
        <v>8</v>
      </c>
      <c r="X3002">
        <f>Table1[[#This Row],[customer_purchase count]]*Rules!$B$3</f>
        <v>418.35051282051285</v>
      </c>
      <c r="Y3002" t="str">
        <f>IF(Table1[[#This Row],[customer_subscription]]=1,"Subscribed","Not Subscribed")</f>
        <v>Not Subscribed</v>
      </c>
      <c r="Z3002" t="s">
        <v>194</v>
      </c>
    </row>
    <row r="3003" spans="1:26" x14ac:dyDescent="0.25">
      <c r="A3003">
        <v>3002</v>
      </c>
      <c r="B3003">
        <v>29</v>
      </c>
      <c r="C3003" t="s">
        <v>156</v>
      </c>
      <c r="D3003">
        <v>3002</v>
      </c>
      <c r="E3003" t="s">
        <v>65</v>
      </c>
      <c r="F3003" t="s">
        <v>66</v>
      </c>
      <c r="G3003">
        <v>3002</v>
      </c>
      <c r="H3003">
        <v>3801</v>
      </c>
      <c r="I3003">
        <v>29</v>
      </c>
      <c r="J3003" t="s">
        <v>59</v>
      </c>
      <c r="K3003" t="s">
        <v>26</v>
      </c>
      <c r="L3003" t="s">
        <v>64</v>
      </c>
      <c r="M3003" t="s">
        <v>56</v>
      </c>
      <c r="N3003">
        <v>4.7</v>
      </c>
      <c r="O3003">
        <v>0</v>
      </c>
      <c r="P3003" t="s">
        <v>29</v>
      </c>
      <c r="Q3003" t="s">
        <v>155</v>
      </c>
      <c r="R3003" t="s">
        <v>155</v>
      </c>
      <c r="S3003">
        <v>28</v>
      </c>
      <c r="T3003" t="s">
        <v>42</v>
      </c>
      <c r="U3003" t="s">
        <v>61</v>
      </c>
      <c r="V3003" s="1">
        <v>45515</v>
      </c>
      <c r="W3003">
        <f>Table1[[#This Row],[customer_purchase count]]+1</f>
        <v>29</v>
      </c>
      <c r="X3003">
        <f>Table1[[#This Row],[customer_purchase count]]*Rules!$B$3</f>
        <v>1673.4020512820514</v>
      </c>
      <c r="Y3003" t="str">
        <f>IF(Table1[[#This Row],[customer_subscription]]=1,"Subscribed","Not Subscribed")</f>
        <v>Not Subscribed</v>
      </c>
    </row>
    <row r="3004" spans="1:26" x14ac:dyDescent="0.25">
      <c r="A3004">
        <v>3003</v>
      </c>
      <c r="B3004">
        <v>70</v>
      </c>
      <c r="C3004" t="s">
        <v>156</v>
      </c>
      <c r="D3004">
        <v>3003</v>
      </c>
      <c r="E3004" t="s">
        <v>136</v>
      </c>
      <c r="F3004" t="s">
        <v>70</v>
      </c>
      <c r="G3004">
        <v>3003</v>
      </c>
      <c r="H3004">
        <v>3802</v>
      </c>
      <c r="I3004">
        <v>29</v>
      </c>
      <c r="J3004" t="s">
        <v>63</v>
      </c>
      <c r="K3004" t="s">
        <v>47</v>
      </c>
      <c r="L3004" t="s">
        <v>35</v>
      </c>
      <c r="M3004" t="s">
        <v>60</v>
      </c>
      <c r="N3004">
        <v>3.6</v>
      </c>
      <c r="O3004">
        <v>0</v>
      </c>
      <c r="P3004" t="s">
        <v>48</v>
      </c>
      <c r="Q3004" t="s">
        <v>155</v>
      </c>
      <c r="R3004" t="s">
        <v>155</v>
      </c>
      <c r="S3004">
        <v>19</v>
      </c>
      <c r="T3004" t="s">
        <v>78</v>
      </c>
      <c r="U3004" t="s">
        <v>61</v>
      </c>
      <c r="V3004" s="1">
        <v>45585</v>
      </c>
      <c r="W3004">
        <f>Table1[[#This Row],[customer_purchase count]]+1</f>
        <v>20</v>
      </c>
      <c r="X3004">
        <f>Table1[[#This Row],[customer_purchase count]]*Rules!$B$3</f>
        <v>1135.5228205128205</v>
      </c>
      <c r="Y3004" t="str">
        <f>IF(Table1[[#This Row],[customer_subscription]]=1,"Subscribed","Not Subscribed")</f>
        <v>Not Subscribed</v>
      </c>
    </row>
    <row r="3005" spans="1:26" x14ac:dyDescent="0.25">
      <c r="A3005">
        <v>3004</v>
      </c>
      <c r="B3005">
        <v>51</v>
      </c>
      <c r="C3005" t="s">
        <v>156</v>
      </c>
      <c r="D3005">
        <v>3004</v>
      </c>
      <c r="E3005" t="s">
        <v>23</v>
      </c>
      <c r="F3005" t="s">
        <v>24</v>
      </c>
      <c r="G3005">
        <v>3004</v>
      </c>
      <c r="H3005">
        <v>3803</v>
      </c>
      <c r="I3005">
        <v>53</v>
      </c>
      <c r="J3005" t="s">
        <v>50</v>
      </c>
      <c r="K3005" t="s">
        <v>47</v>
      </c>
      <c r="L3005" t="s">
        <v>113</v>
      </c>
      <c r="M3005" t="s">
        <v>60</v>
      </c>
      <c r="N3005">
        <v>2.8</v>
      </c>
      <c r="O3005">
        <v>0</v>
      </c>
      <c r="P3005" t="s">
        <v>29</v>
      </c>
      <c r="Q3005" t="s">
        <v>155</v>
      </c>
      <c r="R3005" t="s">
        <v>155</v>
      </c>
      <c r="S3005">
        <v>13</v>
      </c>
      <c r="T3005" t="s">
        <v>42</v>
      </c>
      <c r="U3005" t="s">
        <v>100</v>
      </c>
      <c r="V3005" s="1">
        <v>45584</v>
      </c>
      <c r="W3005">
        <f>Table1[[#This Row],[customer_purchase count]]+1</f>
        <v>14</v>
      </c>
      <c r="X3005">
        <f>Table1[[#This Row],[customer_purchase count]]*Rules!$B$3</f>
        <v>776.93666666666672</v>
      </c>
      <c r="Y3005" t="str">
        <f>IF(Table1[[#This Row],[customer_subscription]]=1,"Subscribed","Not Subscribed")</f>
        <v>Not Subscribed</v>
      </c>
      <c r="Z3005" t="s">
        <v>194</v>
      </c>
    </row>
    <row r="3006" spans="1:26" x14ac:dyDescent="0.25">
      <c r="A3006">
        <v>3005</v>
      </c>
      <c r="B3006">
        <v>45</v>
      </c>
      <c r="C3006" t="s">
        <v>156</v>
      </c>
      <c r="D3006">
        <v>3005</v>
      </c>
      <c r="E3006" t="s">
        <v>90</v>
      </c>
      <c r="F3006" t="s">
        <v>24</v>
      </c>
      <c r="G3006">
        <v>3005</v>
      </c>
      <c r="H3006">
        <v>3805</v>
      </c>
      <c r="I3006">
        <v>79</v>
      </c>
      <c r="J3006" t="s">
        <v>120</v>
      </c>
      <c r="K3006" t="s">
        <v>47</v>
      </c>
      <c r="L3006" t="s">
        <v>96</v>
      </c>
      <c r="M3006" t="s">
        <v>28</v>
      </c>
      <c r="N3006">
        <v>3.7</v>
      </c>
      <c r="O3006">
        <v>0</v>
      </c>
      <c r="P3006" t="s">
        <v>77</v>
      </c>
      <c r="Q3006" t="s">
        <v>155</v>
      </c>
      <c r="R3006" t="s">
        <v>155</v>
      </c>
      <c r="S3006">
        <v>23</v>
      </c>
      <c r="T3006" t="s">
        <v>31</v>
      </c>
      <c r="U3006" t="s">
        <v>32</v>
      </c>
      <c r="V3006" s="1">
        <v>45331</v>
      </c>
      <c r="W3006">
        <f>Table1[[#This Row],[customer_purchase count]]+1</f>
        <v>24</v>
      </c>
      <c r="X3006">
        <f>Table1[[#This Row],[customer_purchase count]]*Rules!$B$3</f>
        <v>1374.5802564102564</v>
      </c>
      <c r="Y3006" t="str">
        <f>IF(Table1[[#This Row],[customer_subscription]]=1,"Subscribed","Not Subscribed")</f>
        <v>Not Subscribed</v>
      </c>
    </row>
    <row r="3007" spans="1:26" x14ac:dyDescent="0.25">
      <c r="A3007">
        <v>3006</v>
      </c>
      <c r="B3007">
        <v>18</v>
      </c>
      <c r="C3007" t="s">
        <v>156</v>
      </c>
      <c r="D3007">
        <v>3006</v>
      </c>
      <c r="E3007" t="s">
        <v>62</v>
      </c>
      <c r="F3007" t="s">
        <v>24</v>
      </c>
      <c r="G3007">
        <v>3006</v>
      </c>
      <c r="H3007">
        <v>3806</v>
      </c>
      <c r="I3007">
        <v>65</v>
      </c>
      <c r="J3007" t="s">
        <v>123</v>
      </c>
      <c r="K3007" t="s">
        <v>95</v>
      </c>
      <c r="L3007" t="s">
        <v>113</v>
      </c>
      <c r="M3007" t="s">
        <v>40</v>
      </c>
      <c r="N3007">
        <v>3.5</v>
      </c>
      <c r="O3007">
        <v>0</v>
      </c>
      <c r="P3007" t="s">
        <v>29</v>
      </c>
      <c r="Q3007" t="s">
        <v>155</v>
      </c>
      <c r="R3007" t="s">
        <v>155</v>
      </c>
      <c r="S3007">
        <v>5</v>
      </c>
      <c r="T3007" t="s">
        <v>31</v>
      </c>
      <c r="U3007" t="s">
        <v>43</v>
      </c>
      <c r="V3007" s="1">
        <v>45420</v>
      </c>
      <c r="W3007">
        <f>Table1[[#This Row],[customer_purchase count]]+1</f>
        <v>6</v>
      </c>
      <c r="X3007">
        <f>Table1[[#This Row],[customer_purchase count]]*Rules!$B$3</f>
        <v>298.82179487179491</v>
      </c>
      <c r="Y3007" t="str">
        <f>IF(Table1[[#This Row],[customer_subscription]]=1,"Subscribed","Not Subscribed")</f>
        <v>Not Subscribed</v>
      </c>
      <c r="Z3007" t="s">
        <v>194</v>
      </c>
    </row>
    <row r="3008" spans="1:26" x14ac:dyDescent="0.25">
      <c r="A3008">
        <v>3007</v>
      </c>
      <c r="B3008">
        <v>37</v>
      </c>
      <c r="C3008" t="s">
        <v>156</v>
      </c>
      <c r="D3008">
        <v>3007</v>
      </c>
      <c r="E3008" t="s">
        <v>84</v>
      </c>
      <c r="F3008" t="s">
        <v>24</v>
      </c>
      <c r="G3008">
        <v>3007</v>
      </c>
      <c r="H3008">
        <v>3807</v>
      </c>
      <c r="I3008">
        <v>99</v>
      </c>
      <c r="J3008" t="s">
        <v>143</v>
      </c>
      <c r="K3008" t="s">
        <v>47</v>
      </c>
      <c r="L3008" t="s">
        <v>81</v>
      </c>
      <c r="M3008" t="s">
        <v>56</v>
      </c>
      <c r="N3008">
        <v>3.7</v>
      </c>
      <c r="O3008">
        <v>0</v>
      </c>
      <c r="P3008" t="s">
        <v>77</v>
      </c>
      <c r="Q3008" t="s">
        <v>155</v>
      </c>
      <c r="R3008" t="s">
        <v>155</v>
      </c>
      <c r="S3008">
        <v>17</v>
      </c>
      <c r="T3008" t="s">
        <v>31</v>
      </c>
      <c r="U3008" t="s">
        <v>79</v>
      </c>
      <c r="V3008" s="1">
        <v>45485</v>
      </c>
      <c r="W3008">
        <f>Table1[[#This Row],[customer_purchase count]]+1</f>
        <v>18</v>
      </c>
      <c r="X3008">
        <f>Table1[[#This Row],[customer_purchase count]]*Rules!$B$3</f>
        <v>1015.9941025641026</v>
      </c>
      <c r="Y3008" t="str">
        <f>IF(Table1[[#This Row],[customer_subscription]]=1,"Subscribed","Not Subscribed")</f>
        <v>Not Subscribed</v>
      </c>
      <c r="Z3008" t="s">
        <v>194</v>
      </c>
    </row>
    <row r="3009" spans="1:26" x14ac:dyDescent="0.25">
      <c r="A3009">
        <v>3008</v>
      </c>
      <c r="B3009">
        <v>23</v>
      </c>
      <c r="C3009" t="s">
        <v>156</v>
      </c>
      <c r="D3009">
        <v>3008</v>
      </c>
      <c r="E3009" t="s">
        <v>92</v>
      </c>
      <c r="F3009" t="s">
        <v>70</v>
      </c>
      <c r="G3009">
        <v>3008</v>
      </c>
      <c r="H3009">
        <v>3808</v>
      </c>
      <c r="I3009">
        <v>60</v>
      </c>
      <c r="J3009" t="s">
        <v>87</v>
      </c>
      <c r="K3009" t="s">
        <v>26</v>
      </c>
      <c r="L3009" t="s">
        <v>96</v>
      </c>
      <c r="M3009" t="s">
        <v>28</v>
      </c>
      <c r="N3009">
        <v>3</v>
      </c>
      <c r="O3009">
        <v>0</v>
      </c>
      <c r="P3009" t="s">
        <v>48</v>
      </c>
      <c r="Q3009" t="s">
        <v>155</v>
      </c>
      <c r="R3009" t="s">
        <v>155</v>
      </c>
      <c r="S3009">
        <v>31</v>
      </c>
      <c r="T3009" t="s">
        <v>31</v>
      </c>
      <c r="U3009" t="s">
        <v>43</v>
      </c>
      <c r="V3009" s="1">
        <v>45645</v>
      </c>
      <c r="W3009">
        <f>Table1[[#This Row],[customer_purchase count]]+1</f>
        <v>32</v>
      </c>
      <c r="X3009">
        <f>Table1[[#This Row],[customer_purchase count]]*Rules!$B$3</f>
        <v>1852.6951282051282</v>
      </c>
      <c r="Y3009" t="str">
        <f>IF(Table1[[#This Row],[customer_subscription]]=1,"Subscribed","Not Subscribed")</f>
        <v>Not Subscribed</v>
      </c>
    </row>
    <row r="3010" spans="1:26" x14ac:dyDescent="0.25">
      <c r="A3010">
        <v>3009</v>
      </c>
      <c r="B3010">
        <v>39</v>
      </c>
      <c r="C3010" t="s">
        <v>156</v>
      </c>
      <c r="D3010">
        <v>3009</v>
      </c>
      <c r="E3010" t="s">
        <v>74</v>
      </c>
      <c r="F3010" t="s">
        <v>45</v>
      </c>
      <c r="G3010">
        <v>3009</v>
      </c>
      <c r="H3010">
        <v>3809</v>
      </c>
      <c r="I3010">
        <v>86</v>
      </c>
      <c r="J3010" t="s">
        <v>133</v>
      </c>
      <c r="K3010" t="s">
        <v>47</v>
      </c>
      <c r="L3010" t="s">
        <v>83</v>
      </c>
      <c r="M3010" t="s">
        <v>28</v>
      </c>
      <c r="N3010">
        <v>4.9000000000000004</v>
      </c>
      <c r="O3010">
        <v>0</v>
      </c>
      <c r="P3010" t="s">
        <v>41</v>
      </c>
      <c r="Q3010" t="s">
        <v>155</v>
      </c>
      <c r="R3010" t="s">
        <v>155</v>
      </c>
      <c r="S3010">
        <v>19</v>
      </c>
      <c r="T3010" t="s">
        <v>49</v>
      </c>
      <c r="U3010" t="s">
        <v>43</v>
      </c>
      <c r="V3010" s="1">
        <v>45300</v>
      </c>
      <c r="W3010">
        <f>Table1[[#This Row],[customer_purchase count]]+1</f>
        <v>20</v>
      </c>
      <c r="X3010">
        <f>Table1[[#This Row],[customer_purchase count]]*Rules!$B$3</f>
        <v>1135.5228205128205</v>
      </c>
      <c r="Y3010" t="str">
        <f>IF(Table1[[#This Row],[customer_subscription]]=1,"Subscribed","Not Subscribed")</f>
        <v>Not Subscribed</v>
      </c>
    </row>
    <row r="3011" spans="1:26" x14ac:dyDescent="0.25">
      <c r="A3011">
        <v>3010</v>
      </c>
      <c r="B3011">
        <v>62</v>
      </c>
      <c r="C3011" t="s">
        <v>156</v>
      </c>
      <c r="D3011">
        <v>3010</v>
      </c>
      <c r="E3011" t="s">
        <v>136</v>
      </c>
      <c r="F3011" t="s">
        <v>70</v>
      </c>
      <c r="G3011">
        <v>3010</v>
      </c>
      <c r="H3011">
        <v>3811</v>
      </c>
      <c r="I3011">
        <v>73</v>
      </c>
      <c r="J3011" t="s">
        <v>63</v>
      </c>
      <c r="K3011" t="s">
        <v>47</v>
      </c>
      <c r="L3011" t="s">
        <v>68</v>
      </c>
      <c r="M3011" t="s">
        <v>28</v>
      </c>
      <c r="N3011">
        <v>4.5999999999999996</v>
      </c>
      <c r="O3011">
        <v>0</v>
      </c>
      <c r="P3011" t="s">
        <v>41</v>
      </c>
      <c r="Q3011" t="s">
        <v>155</v>
      </c>
      <c r="R3011" t="s">
        <v>155</v>
      </c>
      <c r="S3011">
        <v>8</v>
      </c>
      <c r="T3011" t="s">
        <v>31</v>
      </c>
      <c r="U3011" t="s">
        <v>32</v>
      </c>
      <c r="V3011" s="1">
        <v>45650</v>
      </c>
      <c r="W3011">
        <f>Table1[[#This Row],[customer_purchase count]]+1</f>
        <v>9</v>
      </c>
      <c r="X3011">
        <f>Table1[[#This Row],[customer_purchase count]]*Rules!$B$3</f>
        <v>478.11487179487182</v>
      </c>
      <c r="Y3011" t="str">
        <f>IF(Table1[[#This Row],[customer_subscription]]=1,"Subscribed","Not Subscribed")</f>
        <v>Not Subscribed</v>
      </c>
      <c r="Z3011" t="s">
        <v>194</v>
      </c>
    </row>
    <row r="3012" spans="1:26" x14ac:dyDescent="0.25">
      <c r="A3012">
        <v>3011</v>
      </c>
      <c r="B3012">
        <v>70</v>
      </c>
      <c r="C3012" t="s">
        <v>156</v>
      </c>
      <c r="D3012">
        <v>3011</v>
      </c>
      <c r="E3012" t="s">
        <v>136</v>
      </c>
      <c r="F3012" t="s">
        <v>70</v>
      </c>
      <c r="G3012">
        <v>3011</v>
      </c>
      <c r="H3012">
        <v>3812</v>
      </c>
      <c r="I3012">
        <v>45</v>
      </c>
      <c r="J3012" t="s">
        <v>126</v>
      </c>
      <c r="K3012" t="s">
        <v>47</v>
      </c>
      <c r="L3012" t="s">
        <v>86</v>
      </c>
      <c r="M3012" t="s">
        <v>28</v>
      </c>
      <c r="N3012">
        <v>3.3</v>
      </c>
      <c r="O3012">
        <v>0</v>
      </c>
      <c r="P3012" t="s">
        <v>41</v>
      </c>
      <c r="Q3012" t="s">
        <v>155</v>
      </c>
      <c r="R3012" t="s">
        <v>155</v>
      </c>
      <c r="S3012">
        <v>15</v>
      </c>
      <c r="T3012" t="s">
        <v>42</v>
      </c>
      <c r="U3012" t="s">
        <v>52</v>
      </c>
      <c r="V3012" s="1">
        <v>45311</v>
      </c>
      <c r="W3012">
        <f>Table1[[#This Row],[customer_purchase count]]+1</f>
        <v>16</v>
      </c>
      <c r="X3012">
        <f>Table1[[#This Row],[customer_purchase count]]*Rules!$B$3</f>
        <v>896.46538461538466</v>
      </c>
      <c r="Y3012" t="str">
        <f>IF(Table1[[#This Row],[customer_subscription]]=1,"Subscribed","Not Subscribed")</f>
        <v>Not Subscribed</v>
      </c>
      <c r="Z3012" t="s">
        <v>194</v>
      </c>
    </row>
    <row r="3013" spans="1:26" x14ac:dyDescent="0.25">
      <c r="A3013">
        <v>3012</v>
      </c>
      <c r="B3013">
        <v>20</v>
      </c>
      <c r="C3013" t="s">
        <v>156</v>
      </c>
      <c r="D3013">
        <v>3012</v>
      </c>
      <c r="E3013" t="s">
        <v>136</v>
      </c>
      <c r="F3013" t="s">
        <v>70</v>
      </c>
      <c r="G3013">
        <v>3012</v>
      </c>
      <c r="H3013">
        <v>3813</v>
      </c>
      <c r="I3013">
        <v>70</v>
      </c>
      <c r="J3013" t="s">
        <v>110</v>
      </c>
      <c r="K3013" t="s">
        <v>39</v>
      </c>
      <c r="L3013" t="s">
        <v>113</v>
      </c>
      <c r="M3013" t="s">
        <v>56</v>
      </c>
      <c r="N3013">
        <v>3</v>
      </c>
      <c r="O3013">
        <v>0</v>
      </c>
      <c r="P3013" t="s">
        <v>48</v>
      </c>
      <c r="Q3013" t="s">
        <v>155</v>
      </c>
      <c r="R3013" t="s">
        <v>155</v>
      </c>
      <c r="S3013">
        <v>18</v>
      </c>
      <c r="T3013" t="s">
        <v>42</v>
      </c>
      <c r="U3013" t="s">
        <v>100</v>
      </c>
      <c r="V3013" s="1">
        <v>45501</v>
      </c>
      <c r="W3013">
        <f>Table1[[#This Row],[customer_purchase count]]+1</f>
        <v>19</v>
      </c>
      <c r="X3013">
        <f>Table1[[#This Row],[customer_purchase count]]*Rules!$B$3</f>
        <v>1075.7584615384617</v>
      </c>
      <c r="Y3013" t="str">
        <f>IF(Table1[[#This Row],[customer_subscription]]=1,"Subscribed","Not Subscribed")</f>
        <v>Not Subscribed</v>
      </c>
    </row>
    <row r="3014" spans="1:26" x14ac:dyDescent="0.25">
      <c r="A3014">
        <v>3013</v>
      </c>
      <c r="B3014">
        <v>42</v>
      </c>
      <c r="C3014" t="s">
        <v>156</v>
      </c>
      <c r="D3014">
        <v>3013</v>
      </c>
      <c r="E3014" t="s">
        <v>136</v>
      </c>
      <c r="F3014" t="s">
        <v>70</v>
      </c>
      <c r="G3014">
        <v>3013</v>
      </c>
      <c r="H3014">
        <v>3814</v>
      </c>
      <c r="I3014">
        <v>65</v>
      </c>
      <c r="J3014" t="s">
        <v>138</v>
      </c>
      <c r="K3014" t="s">
        <v>47</v>
      </c>
      <c r="L3014" t="s">
        <v>88</v>
      </c>
      <c r="M3014" t="s">
        <v>60</v>
      </c>
      <c r="N3014">
        <v>3.5</v>
      </c>
      <c r="O3014">
        <v>0</v>
      </c>
      <c r="P3014" t="s">
        <v>57</v>
      </c>
      <c r="Q3014" t="s">
        <v>155</v>
      </c>
      <c r="R3014" t="s">
        <v>155</v>
      </c>
      <c r="S3014">
        <v>16</v>
      </c>
      <c r="T3014" t="s">
        <v>49</v>
      </c>
      <c r="U3014" t="s">
        <v>52</v>
      </c>
      <c r="V3014" s="1">
        <v>45558</v>
      </c>
      <c r="W3014">
        <f>Table1[[#This Row],[customer_purchase count]]+1</f>
        <v>17</v>
      </c>
      <c r="X3014">
        <f>Table1[[#This Row],[customer_purchase count]]*Rules!$B$3</f>
        <v>956.22974358974363</v>
      </c>
      <c r="Y3014" t="str">
        <f>IF(Table1[[#This Row],[customer_subscription]]=1,"Subscribed","Not Subscribed")</f>
        <v>Not Subscribed</v>
      </c>
      <c r="Z3014" t="s">
        <v>194</v>
      </c>
    </row>
    <row r="3015" spans="1:26" x14ac:dyDescent="0.25">
      <c r="A3015">
        <v>3014</v>
      </c>
      <c r="B3015">
        <v>41</v>
      </c>
      <c r="C3015" t="s">
        <v>156</v>
      </c>
      <c r="D3015">
        <v>3014</v>
      </c>
      <c r="E3015" t="s">
        <v>90</v>
      </c>
      <c r="F3015" t="s">
        <v>24</v>
      </c>
      <c r="G3015">
        <v>3014</v>
      </c>
      <c r="H3015">
        <v>3815</v>
      </c>
      <c r="I3015">
        <v>55</v>
      </c>
      <c r="J3015" t="s">
        <v>120</v>
      </c>
      <c r="K3015" t="s">
        <v>26</v>
      </c>
      <c r="L3015" t="s">
        <v>103</v>
      </c>
      <c r="M3015" t="s">
        <v>56</v>
      </c>
      <c r="N3015">
        <v>4.2</v>
      </c>
      <c r="O3015">
        <v>0</v>
      </c>
      <c r="P3015" t="s">
        <v>77</v>
      </c>
      <c r="Q3015" t="s">
        <v>155</v>
      </c>
      <c r="R3015" t="s">
        <v>155</v>
      </c>
      <c r="S3015">
        <v>13</v>
      </c>
      <c r="T3015" t="s">
        <v>36</v>
      </c>
      <c r="U3015" t="s">
        <v>91</v>
      </c>
      <c r="V3015" s="1">
        <v>45532</v>
      </c>
      <c r="W3015">
        <f>Table1[[#This Row],[customer_purchase count]]+1</f>
        <v>14</v>
      </c>
      <c r="X3015">
        <f>Table1[[#This Row],[customer_purchase count]]*Rules!$B$3</f>
        <v>776.93666666666672</v>
      </c>
      <c r="Y3015" t="str">
        <f>IF(Table1[[#This Row],[customer_subscription]]=1,"Subscribed","Not Subscribed")</f>
        <v>Not Subscribed</v>
      </c>
      <c r="Z3015" t="s">
        <v>194</v>
      </c>
    </row>
    <row r="3016" spans="1:26" x14ac:dyDescent="0.25">
      <c r="A3016">
        <v>3015</v>
      </c>
      <c r="B3016">
        <v>24</v>
      </c>
      <c r="C3016" t="s">
        <v>156</v>
      </c>
      <c r="D3016">
        <v>3015</v>
      </c>
      <c r="E3016" t="s">
        <v>116</v>
      </c>
      <c r="F3016" t="s">
        <v>24</v>
      </c>
      <c r="G3016">
        <v>3015</v>
      </c>
      <c r="H3016">
        <v>3817</v>
      </c>
      <c r="I3016">
        <v>65</v>
      </c>
      <c r="J3016" t="s">
        <v>143</v>
      </c>
      <c r="K3016" t="s">
        <v>47</v>
      </c>
      <c r="L3016" t="s">
        <v>35</v>
      </c>
      <c r="M3016" t="s">
        <v>40</v>
      </c>
      <c r="N3016">
        <v>4.5</v>
      </c>
      <c r="O3016">
        <v>0</v>
      </c>
      <c r="P3016" t="s">
        <v>29</v>
      </c>
      <c r="Q3016" t="s">
        <v>155</v>
      </c>
      <c r="R3016" t="s">
        <v>155</v>
      </c>
      <c r="S3016">
        <v>38</v>
      </c>
      <c r="T3016" t="s">
        <v>49</v>
      </c>
      <c r="U3016" t="s">
        <v>100</v>
      </c>
      <c r="V3016" s="1">
        <v>45360</v>
      </c>
      <c r="W3016">
        <f>Table1[[#This Row],[customer_purchase count]]+1</f>
        <v>39</v>
      </c>
      <c r="X3016">
        <f>Table1[[#This Row],[customer_purchase count]]*Rules!$B$3</f>
        <v>2271.0456410256411</v>
      </c>
      <c r="Y3016" t="str">
        <f>IF(Table1[[#This Row],[customer_subscription]]=1,"Subscribed","Not Subscribed")</f>
        <v>Not Subscribed</v>
      </c>
    </row>
    <row r="3017" spans="1:26" x14ac:dyDescent="0.25">
      <c r="A3017">
        <v>3016</v>
      </c>
      <c r="B3017">
        <v>37</v>
      </c>
      <c r="C3017" t="s">
        <v>156</v>
      </c>
      <c r="D3017">
        <v>3016</v>
      </c>
      <c r="E3017" t="s">
        <v>122</v>
      </c>
      <c r="F3017" t="s">
        <v>70</v>
      </c>
      <c r="G3017">
        <v>3016</v>
      </c>
      <c r="H3017">
        <v>3818</v>
      </c>
      <c r="I3017">
        <v>21</v>
      </c>
      <c r="J3017" t="s">
        <v>54</v>
      </c>
      <c r="K3017" t="s">
        <v>95</v>
      </c>
      <c r="L3017" t="s">
        <v>96</v>
      </c>
      <c r="M3017" t="s">
        <v>40</v>
      </c>
      <c r="N3017">
        <v>2.8</v>
      </c>
      <c r="O3017">
        <v>0</v>
      </c>
      <c r="P3017" t="s">
        <v>29</v>
      </c>
      <c r="Q3017" t="s">
        <v>155</v>
      </c>
      <c r="R3017" t="s">
        <v>155</v>
      </c>
      <c r="S3017">
        <v>27</v>
      </c>
      <c r="T3017" t="s">
        <v>78</v>
      </c>
      <c r="U3017" t="s">
        <v>79</v>
      </c>
      <c r="V3017" s="1">
        <v>45401</v>
      </c>
      <c r="W3017">
        <f>Table1[[#This Row],[customer_purchase count]]+1</f>
        <v>28</v>
      </c>
      <c r="X3017">
        <f>Table1[[#This Row],[customer_purchase count]]*Rules!$B$3</f>
        <v>1613.6376923076923</v>
      </c>
      <c r="Y3017" t="str">
        <f>IF(Table1[[#This Row],[customer_subscription]]=1,"Subscribed","Not Subscribed")</f>
        <v>Not Subscribed</v>
      </c>
    </row>
    <row r="3018" spans="1:26" x14ac:dyDescent="0.25">
      <c r="A3018">
        <v>3017</v>
      </c>
      <c r="B3018">
        <v>30</v>
      </c>
      <c r="C3018" t="s">
        <v>156</v>
      </c>
      <c r="D3018">
        <v>3017</v>
      </c>
      <c r="E3018" t="s">
        <v>23</v>
      </c>
      <c r="F3018" t="s">
        <v>24</v>
      </c>
      <c r="G3018">
        <v>3017</v>
      </c>
      <c r="H3018">
        <v>3819</v>
      </c>
      <c r="I3018">
        <v>26</v>
      </c>
      <c r="J3018" t="s">
        <v>119</v>
      </c>
      <c r="K3018" t="s">
        <v>26</v>
      </c>
      <c r="L3018" t="s">
        <v>96</v>
      </c>
      <c r="M3018" t="s">
        <v>56</v>
      </c>
      <c r="N3018">
        <v>4.9000000000000004</v>
      </c>
      <c r="O3018">
        <v>0</v>
      </c>
      <c r="P3018" t="s">
        <v>77</v>
      </c>
      <c r="Q3018" t="s">
        <v>155</v>
      </c>
      <c r="R3018" t="s">
        <v>155</v>
      </c>
      <c r="S3018">
        <v>31</v>
      </c>
      <c r="T3018" t="s">
        <v>78</v>
      </c>
      <c r="U3018" t="s">
        <v>61</v>
      </c>
      <c r="V3018" s="1">
        <v>45469</v>
      </c>
      <c r="W3018">
        <f>Table1[[#This Row],[customer_purchase count]]+1</f>
        <v>32</v>
      </c>
      <c r="X3018">
        <f>Table1[[#This Row],[customer_purchase count]]*Rules!$B$3</f>
        <v>1852.6951282051282</v>
      </c>
      <c r="Y3018" t="str">
        <f>IF(Table1[[#This Row],[customer_subscription]]=1,"Subscribed","Not Subscribed")</f>
        <v>Not Subscribed</v>
      </c>
    </row>
    <row r="3019" spans="1:26" x14ac:dyDescent="0.25">
      <c r="A3019">
        <v>3018</v>
      </c>
      <c r="B3019">
        <v>58</v>
      </c>
      <c r="C3019" t="s">
        <v>156</v>
      </c>
      <c r="D3019">
        <v>3018</v>
      </c>
      <c r="E3019" t="s">
        <v>92</v>
      </c>
      <c r="F3019" t="s">
        <v>70</v>
      </c>
      <c r="G3019">
        <v>3018</v>
      </c>
      <c r="H3019">
        <v>3820</v>
      </c>
      <c r="I3019">
        <v>71</v>
      </c>
      <c r="J3019" t="s">
        <v>153</v>
      </c>
      <c r="K3019" t="s">
        <v>39</v>
      </c>
      <c r="L3019" t="s">
        <v>76</v>
      </c>
      <c r="M3019" t="s">
        <v>56</v>
      </c>
      <c r="N3019">
        <v>3.3</v>
      </c>
      <c r="O3019">
        <v>0</v>
      </c>
      <c r="P3019" t="s">
        <v>48</v>
      </c>
      <c r="Q3019" t="s">
        <v>155</v>
      </c>
      <c r="R3019" t="s">
        <v>155</v>
      </c>
      <c r="S3019">
        <v>24</v>
      </c>
      <c r="T3019" t="s">
        <v>36</v>
      </c>
      <c r="U3019" t="s">
        <v>79</v>
      </c>
      <c r="V3019" s="1">
        <v>45483</v>
      </c>
      <c r="W3019">
        <f>Table1[[#This Row],[customer_purchase count]]+1</f>
        <v>25</v>
      </c>
      <c r="X3019">
        <f>Table1[[#This Row],[customer_purchase count]]*Rules!$B$3</f>
        <v>1434.3446153846155</v>
      </c>
      <c r="Y3019" t="str">
        <f>IF(Table1[[#This Row],[customer_subscription]]=1,"Subscribed","Not Subscribed")</f>
        <v>Not Subscribed</v>
      </c>
    </row>
    <row r="3020" spans="1:26" x14ac:dyDescent="0.25">
      <c r="A3020">
        <v>3019</v>
      </c>
      <c r="B3020">
        <v>43</v>
      </c>
      <c r="C3020" t="s">
        <v>156</v>
      </c>
      <c r="D3020">
        <v>3019</v>
      </c>
      <c r="E3020" t="s">
        <v>140</v>
      </c>
      <c r="F3020" t="s">
        <v>45</v>
      </c>
      <c r="G3020">
        <v>3019</v>
      </c>
      <c r="H3020">
        <v>3821</v>
      </c>
      <c r="I3020">
        <v>41</v>
      </c>
      <c r="J3020" t="s">
        <v>108</v>
      </c>
      <c r="K3020" t="s">
        <v>47</v>
      </c>
      <c r="L3020" t="s">
        <v>99</v>
      </c>
      <c r="M3020" t="s">
        <v>56</v>
      </c>
      <c r="N3020">
        <v>3</v>
      </c>
      <c r="O3020">
        <v>0</v>
      </c>
      <c r="P3020" t="s">
        <v>41</v>
      </c>
      <c r="Q3020" t="s">
        <v>155</v>
      </c>
      <c r="R3020" t="s">
        <v>155</v>
      </c>
      <c r="S3020">
        <v>21</v>
      </c>
      <c r="T3020" t="s">
        <v>89</v>
      </c>
      <c r="U3020" t="s">
        <v>79</v>
      </c>
      <c r="V3020" s="1">
        <v>45496</v>
      </c>
      <c r="W3020">
        <f>Table1[[#This Row],[customer_purchase count]]+1</f>
        <v>22</v>
      </c>
      <c r="X3020">
        <f>Table1[[#This Row],[customer_purchase count]]*Rules!$B$3</f>
        <v>1255.0515384615385</v>
      </c>
      <c r="Y3020" t="str">
        <f>IF(Table1[[#This Row],[customer_subscription]]=1,"Subscribed","Not Subscribed")</f>
        <v>Not Subscribed</v>
      </c>
    </row>
    <row r="3021" spans="1:26" x14ac:dyDescent="0.25">
      <c r="A3021">
        <v>3020</v>
      </c>
      <c r="B3021">
        <v>19</v>
      </c>
      <c r="C3021" t="s">
        <v>156</v>
      </c>
      <c r="D3021">
        <v>3020</v>
      </c>
      <c r="E3021" t="s">
        <v>105</v>
      </c>
      <c r="F3021" t="s">
        <v>66</v>
      </c>
      <c r="G3021">
        <v>3020</v>
      </c>
      <c r="H3021">
        <v>3823</v>
      </c>
      <c r="I3021">
        <v>44</v>
      </c>
      <c r="J3021" t="s">
        <v>143</v>
      </c>
      <c r="K3021" t="s">
        <v>47</v>
      </c>
      <c r="L3021" t="s">
        <v>137</v>
      </c>
      <c r="M3021" t="s">
        <v>28</v>
      </c>
      <c r="N3021">
        <v>3.9</v>
      </c>
      <c r="O3021">
        <v>0</v>
      </c>
      <c r="P3021" t="s">
        <v>73</v>
      </c>
      <c r="Q3021" t="s">
        <v>155</v>
      </c>
      <c r="R3021" t="s">
        <v>155</v>
      </c>
      <c r="S3021">
        <v>15</v>
      </c>
      <c r="T3021" t="s">
        <v>49</v>
      </c>
      <c r="U3021" t="s">
        <v>52</v>
      </c>
      <c r="V3021" s="1">
        <v>45635</v>
      </c>
      <c r="W3021">
        <f>Table1[[#This Row],[customer_purchase count]]+1</f>
        <v>16</v>
      </c>
      <c r="X3021">
        <f>Table1[[#This Row],[customer_purchase count]]*Rules!$B$3</f>
        <v>896.46538461538466</v>
      </c>
      <c r="Y3021" t="str">
        <f>IF(Table1[[#This Row],[customer_subscription]]=1,"Subscribed","Not Subscribed")</f>
        <v>Not Subscribed</v>
      </c>
      <c r="Z3021" t="s">
        <v>187</v>
      </c>
    </row>
    <row r="3022" spans="1:26" x14ac:dyDescent="0.25">
      <c r="A3022">
        <v>3021</v>
      </c>
      <c r="B3022">
        <v>23</v>
      </c>
      <c r="C3022" t="s">
        <v>156</v>
      </c>
      <c r="D3022">
        <v>3021</v>
      </c>
      <c r="E3022" t="s">
        <v>37</v>
      </c>
      <c r="F3022" t="s">
        <v>24</v>
      </c>
      <c r="G3022">
        <v>3021</v>
      </c>
      <c r="H3022">
        <v>3824</v>
      </c>
      <c r="I3022">
        <v>81</v>
      </c>
      <c r="J3022" t="s">
        <v>75</v>
      </c>
      <c r="K3022" t="s">
        <v>39</v>
      </c>
      <c r="L3022" t="s">
        <v>64</v>
      </c>
      <c r="M3022" t="s">
        <v>60</v>
      </c>
      <c r="N3022">
        <v>2.8</v>
      </c>
      <c r="O3022">
        <v>0</v>
      </c>
      <c r="P3022" t="s">
        <v>77</v>
      </c>
      <c r="Q3022" t="s">
        <v>155</v>
      </c>
      <c r="R3022" t="s">
        <v>155</v>
      </c>
      <c r="S3022">
        <v>48</v>
      </c>
      <c r="T3022" t="s">
        <v>31</v>
      </c>
      <c r="U3022" t="s">
        <v>100</v>
      </c>
      <c r="V3022" s="1">
        <v>45624</v>
      </c>
      <c r="W3022">
        <f>Table1[[#This Row],[customer_purchase count]]+1</f>
        <v>49</v>
      </c>
      <c r="X3022">
        <f>Table1[[#This Row],[customer_purchase count]]*Rules!$B$3</f>
        <v>2868.689230769231</v>
      </c>
      <c r="Y3022" t="str">
        <f>IF(Table1[[#This Row],[customer_subscription]]=1,"Subscribed","Not Subscribed")</f>
        <v>Not Subscribed</v>
      </c>
    </row>
    <row r="3023" spans="1:26" x14ac:dyDescent="0.25">
      <c r="A3023">
        <v>3022</v>
      </c>
      <c r="B3023">
        <v>65</v>
      </c>
      <c r="C3023" t="s">
        <v>156</v>
      </c>
      <c r="D3023">
        <v>3022</v>
      </c>
      <c r="E3023" t="s">
        <v>92</v>
      </c>
      <c r="F3023" t="s">
        <v>70</v>
      </c>
      <c r="G3023">
        <v>3022</v>
      </c>
      <c r="H3023">
        <v>3825</v>
      </c>
      <c r="I3023">
        <v>77</v>
      </c>
      <c r="J3023" t="s">
        <v>141</v>
      </c>
      <c r="K3023" t="s">
        <v>39</v>
      </c>
      <c r="L3023" t="s">
        <v>147</v>
      </c>
      <c r="M3023" t="s">
        <v>56</v>
      </c>
      <c r="N3023">
        <v>4.5</v>
      </c>
      <c r="O3023">
        <v>0</v>
      </c>
      <c r="P3023" t="s">
        <v>73</v>
      </c>
      <c r="Q3023" t="s">
        <v>155</v>
      </c>
      <c r="R3023" t="s">
        <v>155</v>
      </c>
      <c r="S3023">
        <v>47</v>
      </c>
      <c r="T3023" t="s">
        <v>36</v>
      </c>
      <c r="U3023" t="s">
        <v>61</v>
      </c>
      <c r="V3023" s="1">
        <v>45479</v>
      </c>
      <c r="W3023">
        <f>Table1[[#This Row],[customer_purchase count]]+1</f>
        <v>48</v>
      </c>
      <c r="X3023">
        <f>Table1[[#This Row],[customer_purchase count]]*Rules!$B$3</f>
        <v>2808.9248717948717</v>
      </c>
      <c r="Y3023" t="str">
        <f>IF(Table1[[#This Row],[customer_subscription]]=1,"Subscribed","Not Subscribed")</f>
        <v>Not Subscribed</v>
      </c>
    </row>
    <row r="3024" spans="1:26" x14ac:dyDescent="0.25">
      <c r="A3024">
        <v>3023</v>
      </c>
      <c r="B3024">
        <v>58</v>
      </c>
      <c r="C3024" t="s">
        <v>156</v>
      </c>
      <c r="D3024">
        <v>3023</v>
      </c>
      <c r="E3024" t="s">
        <v>44</v>
      </c>
      <c r="F3024" t="s">
        <v>45</v>
      </c>
      <c r="G3024">
        <v>3023</v>
      </c>
      <c r="H3024">
        <v>3826</v>
      </c>
      <c r="I3024">
        <v>26</v>
      </c>
      <c r="J3024" t="s">
        <v>145</v>
      </c>
      <c r="K3024" t="s">
        <v>47</v>
      </c>
      <c r="L3024" t="s">
        <v>96</v>
      </c>
      <c r="M3024" t="s">
        <v>60</v>
      </c>
      <c r="N3024">
        <v>4</v>
      </c>
      <c r="O3024">
        <v>0</v>
      </c>
      <c r="P3024" t="s">
        <v>41</v>
      </c>
      <c r="Q3024" t="s">
        <v>155</v>
      </c>
      <c r="R3024" t="s">
        <v>155</v>
      </c>
      <c r="S3024">
        <v>23</v>
      </c>
      <c r="T3024" t="s">
        <v>49</v>
      </c>
      <c r="U3024" t="s">
        <v>43</v>
      </c>
      <c r="V3024" s="1">
        <v>45571</v>
      </c>
      <c r="W3024">
        <f>Table1[[#This Row],[customer_purchase count]]+1</f>
        <v>24</v>
      </c>
      <c r="X3024">
        <f>Table1[[#This Row],[customer_purchase count]]*Rules!$B$3</f>
        <v>1374.5802564102564</v>
      </c>
      <c r="Y3024" t="str">
        <f>IF(Table1[[#This Row],[customer_subscription]]=1,"Subscribed","Not Subscribed")</f>
        <v>Not Subscribed</v>
      </c>
    </row>
    <row r="3025" spans="1:26" x14ac:dyDescent="0.25">
      <c r="A3025">
        <v>3024</v>
      </c>
      <c r="B3025">
        <v>50</v>
      </c>
      <c r="C3025" t="s">
        <v>156</v>
      </c>
      <c r="D3025">
        <v>3024</v>
      </c>
      <c r="E3025" t="s">
        <v>135</v>
      </c>
      <c r="F3025" t="s">
        <v>70</v>
      </c>
      <c r="G3025">
        <v>3024</v>
      </c>
      <c r="H3025">
        <v>3827</v>
      </c>
      <c r="I3025">
        <v>31</v>
      </c>
      <c r="J3025" t="s">
        <v>119</v>
      </c>
      <c r="K3025" t="s">
        <v>47</v>
      </c>
      <c r="L3025" t="s">
        <v>113</v>
      </c>
      <c r="M3025" t="s">
        <v>56</v>
      </c>
      <c r="N3025">
        <v>2.9</v>
      </c>
      <c r="O3025">
        <v>0</v>
      </c>
      <c r="P3025" t="s">
        <v>29</v>
      </c>
      <c r="Q3025" t="s">
        <v>155</v>
      </c>
      <c r="R3025" t="s">
        <v>155</v>
      </c>
      <c r="S3025">
        <v>4</v>
      </c>
      <c r="T3025" t="s">
        <v>49</v>
      </c>
      <c r="U3025" t="s">
        <v>61</v>
      </c>
      <c r="V3025" s="1">
        <v>45459</v>
      </c>
      <c r="W3025">
        <f>Table1[[#This Row],[customer_purchase count]]+1</f>
        <v>5</v>
      </c>
      <c r="X3025">
        <f>Table1[[#This Row],[customer_purchase count]]*Rules!$B$3</f>
        <v>239.05743589743591</v>
      </c>
      <c r="Y3025" t="str">
        <f>IF(Table1[[#This Row],[customer_subscription]]=1,"Subscribed","Not Subscribed")</f>
        <v>Not Subscribed</v>
      </c>
      <c r="Z3025" t="s">
        <v>194</v>
      </c>
    </row>
    <row r="3026" spans="1:26" x14ac:dyDescent="0.25">
      <c r="A3026">
        <v>3025</v>
      </c>
      <c r="B3026">
        <v>67</v>
      </c>
      <c r="C3026" t="s">
        <v>156</v>
      </c>
      <c r="D3026">
        <v>3025</v>
      </c>
      <c r="E3026" t="s">
        <v>23</v>
      </c>
      <c r="F3026" t="s">
        <v>24</v>
      </c>
      <c r="G3026">
        <v>3025</v>
      </c>
      <c r="H3026">
        <v>3829</v>
      </c>
      <c r="I3026">
        <v>82</v>
      </c>
      <c r="J3026" t="s">
        <v>138</v>
      </c>
      <c r="K3026" t="s">
        <v>39</v>
      </c>
      <c r="L3026" t="s">
        <v>55</v>
      </c>
      <c r="M3026" t="s">
        <v>40</v>
      </c>
      <c r="N3026">
        <v>4</v>
      </c>
      <c r="O3026">
        <v>0</v>
      </c>
      <c r="P3026" t="s">
        <v>41</v>
      </c>
      <c r="Q3026" t="s">
        <v>155</v>
      </c>
      <c r="R3026" t="s">
        <v>155</v>
      </c>
      <c r="S3026">
        <v>47</v>
      </c>
      <c r="T3026" t="s">
        <v>42</v>
      </c>
      <c r="U3026" t="s">
        <v>100</v>
      </c>
      <c r="V3026" s="1">
        <v>45425</v>
      </c>
      <c r="W3026">
        <f>Table1[[#This Row],[customer_purchase count]]+1</f>
        <v>48</v>
      </c>
      <c r="X3026">
        <f>Table1[[#This Row],[customer_purchase count]]*Rules!$B$3</f>
        <v>2808.9248717948717</v>
      </c>
      <c r="Y3026" t="str">
        <f>IF(Table1[[#This Row],[customer_subscription]]=1,"Subscribed","Not Subscribed")</f>
        <v>Not Subscribed</v>
      </c>
    </row>
    <row r="3027" spans="1:26" x14ac:dyDescent="0.25">
      <c r="A3027">
        <v>3026</v>
      </c>
      <c r="B3027">
        <v>40</v>
      </c>
      <c r="C3027" t="s">
        <v>156</v>
      </c>
      <c r="D3027">
        <v>3026</v>
      </c>
      <c r="E3027" t="s">
        <v>74</v>
      </c>
      <c r="F3027" t="s">
        <v>45</v>
      </c>
      <c r="G3027">
        <v>3026</v>
      </c>
      <c r="H3027">
        <v>3830</v>
      </c>
      <c r="I3027">
        <v>60</v>
      </c>
      <c r="J3027" t="s">
        <v>59</v>
      </c>
      <c r="K3027" t="s">
        <v>95</v>
      </c>
      <c r="L3027" t="s">
        <v>99</v>
      </c>
      <c r="M3027" t="s">
        <v>56</v>
      </c>
      <c r="N3027">
        <v>3.4</v>
      </c>
      <c r="O3027">
        <v>0</v>
      </c>
      <c r="P3027" t="s">
        <v>77</v>
      </c>
      <c r="Q3027" t="s">
        <v>155</v>
      </c>
      <c r="R3027" t="s">
        <v>155</v>
      </c>
      <c r="S3027">
        <v>7</v>
      </c>
      <c r="T3027" t="s">
        <v>49</v>
      </c>
      <c r="U3027" t="s">
        <v>91</v>
      </c>
      <c r="V3027" s="1">
        <v>45528</v>
      </c>
      <c r="W3027">
        <f>Table1[[#This Row],[customer_purchase count]]+1</f>
        <v>8</v>
      </c>
      <c r="X3027">
        <f>Table1[[#This Row],[customer_purchase count]]*Rules!$B$3</f>
        <v>418.35051282051285</v>
      </c>
      <c r="Y3027" t="str">
        <f>IF(Table1[[#This Row],[customer_subscription]]=1,"Subscribed","Not Subscribed")</f>
        <v>Not Subscribed</v>
      </c>
      <c r="Z3027" t="s">
        <v>194</v>
      </c>
    </row>
    <row r="3028" spans="1:26" x14ac:dyDescent="0.25">
      <c r="A3028">
        <v>3027</v>
      </c>
      <c r="B3028">
        <v>55</v>
      </c>
      <c r="C3028" t="s">
        <v>156</v>
      </c>
      <c r="D3028">
        <v>3027</v>
      </c>
      <c r="E3028" t="s">
        <v>58</v>
      </c>
      <c r="F3028" t="s">
        <v>24</v>
      </c>
      <c r="G3028">
        <v>3027</v>
      </c>
      <c r="H3028">
        <v>3831</v>
      </c>
      <c r="I3028">
        <v>70</v>
      </c>
      <c r="J3028" t="s">
        <v>125</v>
      </c>
      <c r="K3028" t="s">
        <v>26</v>
      </c>
      <c r="L3028" t="s">
        <v>139</v>
      </c>
      <c r="M3028" t="s">
        <v>60</v>
      </c>
      <c r="N3028">
        <v>2.5</v>
      </c>
      <c r="O3028">
        <v>0</v>
      </c>
      <c r="P3028" t="s">
        <v>41</v>
      </c>
      <c r="Q3028" t="s">
        <v>155</v>
      </c>
      <c r="R3028" t="s">
        <v>155</v>
      </c>
      <c r="S3028">
        <v>6</v>
      </c>
      <c r="T3028" t="s">
        <v>42</v>
      </c>
      <c r="U3028" t="s">
        <v>52</v>
      </c>
      <c r="V3028" s="1">
        <v>45623</v>
      </c>
      <c r="W3028">
        <f>Table1[[#This Row],[customer_purchase count]]+1</f>
        <v>7</v>
      </c>
      <c r="X3028">
        <f>Table1[[#This Row],[customer_purchase count]]*Rules!$B$3</f>
        <v>358.58615384615388</v>
      </c>
      <c r="Y3028" t="str">
        <f>IF(Table1[[#This Row],[customer_subscription]]=1,"Subscribed","Not Subscribed")</f>
        <v>Not Subscribed</v>
      </c>
      <c r="Z3028" t="s">
        <v>194</v>
      </c>
    </row>
    <row r="3029" spans="1:26" x14ac:dyDescent="0.25">
      <c r="A3029">
        <v>3028</v>
      </c>
      <c r="B3029">
        <v>52</v>
      </c>
      <c r="C3029" t="s">
        <v>156</v>
      </c>
      <c r="D3029">
        <v>3028</v>
      </c>
      <c r="E3029" t="s">
        <v>107</v>
      </c>
      <c r="F3029" t="s">
        <v>24</v>
      </c>
      <c r="G3029">
        <v>3028</v>
      </c>
      <c r="H3029">
        <v>3832</v>
      </c>
      <c r="I3029">
        <v>26</v>
      </c>
      <c r="J3029" t="s">
        <v>67</v>
      </c>
      <c r="K3029" t="s">
        <v>95</v>
      </c>
      <c r="L3029" t="s">
        <v>103</v>
      </c>
      <c r="M3029" t="s">
        <v>28</v>
      </c>
      <c r="N3029">
        <v>2.8</v>
      </c>
      <c r="O3029">
        <v>0</v>
      </c>
      <c r="P3029" t="s">
        <v>73</v>
      </c>
      <c r="Q3029" t="s">
        <v>155</v>
      </c>
      <c r="R3029" t="s">
        <v>155</v>
      </c>
      <c r="S3029">
        <v>47</v>
      </c>
      <c r="T3029" t="s">
        <v>42</v>
      </c>
      <c r="U3029" t="s">
        <v>61</v>
      </c>
      <c r="V3029" s="1">
        <v>45339</v>
      </c>
      <c r="W3029">
        <f>Table1[[#This Row],[customer_purchase count]]+1</f>
        <v>48</v>
      </c>
      <c r="X3029">
        <f>Table1[[#This Row],[customer_purchase count]]*Rules!$B$3</f>
        <v>2808.9248717948717</v>
      </c>
      <c r="Y3029" t="str">
        <f>IF(Table1[[#This Row],[customer_subscription]]=1,"Subscribed","Not Subscribed")</f>
        <v>Not Subscribed</v>
      </c>
    </row>
    <row r="3030" spans="1:26" x14ac:dyDescent="0.25">
      <c r="A3030">
        <v>3029</v>
      </c>
      <c r="B3030">
        <v>62</v>
      </c>
      <c r="C3030" t="s">
        <v>156</v>
      </c>
      <c r="D3030">
        <v>3029</v>
      </c>
      <c r="E3030" t="s">
        <v>84</v>
      </c>
      <c r="F3030" t="s">
        <v>24</v>
      </c>
      <c r="G3030">
        <v>3029</v>
      </c>
      <c r="H3030">
        <v>3833</v>
      </c>
      <c r="I3030">
        <v>100</v>
      </c>
      <c r="J3030" t="s">
        <v>102</v>
      </c>
      <c r="K3030" t="s">
        <v>26</v>
      </c>
      <c r="L3030" t="s">
        <v>64</v>
      </c>
      <c r="M3030" t="s">
        <v>56</v>
      </c>
      <c r="N3030">
        <v>3</v>
      </c>
      <c r="O3030">
        <v>0</v>
      </c>
      <c r="P3030" t="s">
        <v>41</v>
      </c>
      <c r="Q3030" t="s">
        <v>155</v>
      </c>
      <c r="R3030" t="s">
        <v>155</v>
      </c>
      <c r="S3030">
        <v>7</v>
      </c>
      <c r="T3030" t="s">
        <v>49</v>
      </c>
      <c r="U3030" t="s">
        <v>100</v>
      </c>
      <c r="V3030" s="1">
        <v>45493</v>
      </c>
      <c r="W3030">
        <f>Table1[[#This Row],[customer_purchase count]]+1</f>
        <v>8</v>
      </c>
      <c r="X3030">
        <f>Table1[[#This Row],[customer_purchase count]]*Rules!$B$3</f>
        <v>418.35051282051285</v>
      </c>
      <c r="Y3030" t="str">
        <f>IF(Table1[[#This Row],[customer_subscription]]=1,"Subscribed","Not Subscribed")</f>
        <v>Not Subscribed</v>
      </c>
      <c r="Z3030" t="s">
        <v>194</v>
      </c>
    </row>
    <row r="3031" spans="1:26" x14ac:dyDescent="0.25">
      <c r="A3031">
        <v>3030</v>
      </c>
      <c r="B3031">
        <v>64</v>
      </c>
      <c r="C3031" t="s">
        <v>156</v>
      </c>
      <c r="D3031">
        <v>3030</v>
      </c>
      <c r="E3031" t="s">
        <v>84</v>
      </c>
      <c r="F3031" t="s">
        <v>24</v>
      </c>
      <c r="G3031">
        <v>3030</v>
      </c>
      <c r="H3031">
        <v>3835</v>
      </c>
      <c r="I3031">
        <v>82</v>
      </c>
      <c r="J3031" t="s">
        <v>145</v>
      </c>
      <c r="K3031" t="s">
        <v>47</v>
      </c>
      <c r="L3031" t="s">
        <v>83</v>
      </c>
      <c r="M3031" t="s">
        <v>56</v>
      </c>
      <c r="N3031">
        <v>3.1</v>
      </c>
      <c r="O3031">
        <v>0</v>
      </c>
      <c r="P3031" t="s">
        <v>41</v>
      </c>
      <c r="Q3031" t="s">
        <v>155</v>
      </c>
      <c r="R3031" t="s">
        <v>155</v>
      </c>
      <c r="S3031">
        <v>1</v>
      </c>
      <c r="T3031" t="s">
        <v>89</v>
      </c>
      <c r="U3031" t="s">
        <v>61</v>
      </c>
      <c r="V3031" s="1">
        <v>45500</v>
      </c>
      <c r="W3031">
        <f>Table1[[#This Row],[customer_purchase count]]+1</f>
        <v>2</v>
      </c>
      <c r="X3031">
        <f>Table1[[#This Row],[customer_purchase count]]*Rules!$B$3</f>
        <v>59.764358974358977</v>
      </c>
      <c r="Y3031" t="str">
        <f>IF(Table1[[#This Row],[customer_subscription]]=1,"Subscribed","Not Subscribed")</f>
        <v>Not Subscribed</v>
      </c>
      <c r="Z3031" t="s">
        <v>194</v>
      </c>
    </row>
    <row r="3032" spans="1:26" x14ac:dyDescent="0.25">
      <c r="A3032">
        <v>3031</v>
      </c>
      <c r="B3032">
        <v>43</v>
      </c>
      <c r="C3032" t="s">
        <v>156</v>
      </c>
      <c r="D3032">
        <v>3031</v>
      </c>
      <c r="E3032" t="s">
        <v>53</v>
      </c>
      <c r="F3032" t="s">
        <v>45</v>
      </c>
      <c r="G3032">
        <v>3031</v>
      </c>
      <c r="H3032">
        <v>3836</v>
      </c>
      <c r="I3032">
        <v>24</v>
      </c>
      <c r="J3032" t="s">
        <v>131</v>
      </c>
      <c r="K3032" t="s">
        <v>95</v>
      </c>
      <c r="L3032" t="s">
        <v>76</v>
      </c>
      <c r="M3032" t="s">
        <v>40</v>
      </c>
      <c r="N3032">
        <v>2.6</v>
      </c>
      <c r="O3032">
        <v>0</v>
      </c>
      <c r="P3032" t="s">
        <v>73</v>
      </c>
      <c r="Q3032" t="s">
        <v>155</v>
      </c>
      <c r="R3032" t="s">
        <v>155</v>
      </c>
      <c r="S3032">
        <v>23</v>
      </c>
      <c r="T3032" t="s">
        <v>42</v>
      </c>
      <c r="U3032" t="s">
        <v>43</v>
      </c>
      <c r="V3032" s="1">
        <v>45434</v>
      </c>
      <c r="W3032">
        <f>Table1[[#This Row],[customer_purchase count]]+1</f>
        <v>24</v>
      </c>
      <c r="X3032">
        <f>Table1[[#This Row],[customer_purchase count]]*Rules!$B$3</f>
        <v>1374.5802564102564</v>
      </c>
      <c r="Y3032" t="str">
        <f>IF(Table1[[#This Row],[customer_subscription]]=1,"Subscribed","Not Subscribed")</f>
        <v>Not Subscribed</v>
      </c>
    </row>
    <row r="3033" spans="1:26" x14ac:dyDescent="0.25">
      <c r="A3033">
        <v>3032</v>
      </c>
      <c r="B3033">
        <v>61</v>
      </c>
      <c r="C3033" t="s">
        <v>156</v>
      </c>
      <c r="D3033">
        <v>3032</v>
      </c>
      <c r="E3033" t="s">
        <v>23</v>
      </c>
      <c r="F3033" t="s">
        <v>24</v>
      </c>
      <c r="G3033">
        <v>3032</v>
      </c>
      <c r="H3033">
        <v>3837</v>
      </c>
      <c r="I3033">
        <v>74</v>
      </c>
      <c r="J3033" t="s">
        <v>138</v>
      </c>
      <c r="K3033" t="s">
        <v>26</v>
      </c>
      <c r="L3033" t="s">
        <v>88</v>
      </c>
      <c r="M3033" t="s">
        <v>56</v>
      </c>
      <c r="N3033">
        <v>4.9000000000000004</v>
      </c>
      <c r="O3033">
        <v>0</v>
      </c>
      <c r="P3033" t="s">
        <v>73</v>
      </c>
      <c r="Q3033" t="s">
        <v>155</v>
      </c>
      <c r="R3033" t="s">
        <v>155</v>
      </c>
      <c r="S3033">
        <v>30</v>
      </c>
      <c r="T3033" t="s">
        <v>42</v>
      </c>
      <c r="U3033" t="s">
        <v>91</v>
      </c>
      <c r="V3033" s="1">
        <v>45519</v>
      </c>
      <c r="W3033">
        <f>Table1[[#This Row],[customer_purchase count]]+1</f>
        <v>31</v>
      </c>
      <c r="X3033">
        <f>Table1[[#This Row],[customer_purchase count]]*Rules!$B$3</f>
        <v>1792.9307692307693</v>
      </c>
      <c r="Y3033" t="str">
        <f>IF(Table1[[#This Row],[customer_subscription]]=1,"Subscribed","Not Subscribed")</f>
        <v>Not Subscribed</v>
      </c>
    </row>
    <row r="3034" spans="1:26" x14ac:dyDescent="0.25">
      <c r="A3034">
        <v>3033</v>
      </c>
      <c r="B3034">
        <v>26</v>
      </c>
      <c r="C3034" t="s">
        <v>156</v>
      </c>
      <c r="D3034">
        <v>3033</v>
      </c>
      <c r="E3034" t="s">
        <v>135</v>
      </c>
      <c r="F3034" t="s">
        <v>70</v>
      </c>
      <c r="G3034">
        <v>3033</v>
      </c>
      <c r="H3034">
        <v>3838</v>
      </c>
      <c r="I3034">
        <v>58</v>
      </c>
      <c r="J3034" t="s">
        <v>102</v>
      </c>
      <c r="K3034" t="s">
        <v>95</v>
      </c>
      <c r="L3034" t="s">
        <v>99</v>
      </c>
      <c r="M3034" t="s">
        <v>56</v>
      </c>
      <c r="N3034">
        <v>3.5</v>
      </c>
      <c r="O3034">
        <v>0</v>
      </c>
      <c r="P3034" t="s">
        <v>48</v>
      </c>
      <c r="Q3034" t="s">
        <v>155</v>
      </c>
      <c r="R3034" t="s">
        <v>155</v>
      </c>
      <c r="S3034">
        <v>24</v>
      </c>
      <c r="T3034" t="s">
        <v>42</v>
      </c>
      <c r="U3034" t="s">
        <v>61</v>
      </c>
      <c r="V3034" s="1">
        <v>45507</v>
      </c>
      <c r="W3034">
        <f>Table1[[#This Row],[customer_purchase count]]+1</f>
        <v>25</v>
      </c>
      <c r="X3034">
        <f>Table1[[#This Row],[customer_purchase count]]*Rules!$B$3</f>
        <v>1434.3446153846155</v>
      </c>
      <c r="Y3034" t="str">
        <f>IF(Table1[[#This Row],[customer_subscription]]=1,"Subscribed","Not Subscribed")</f>
        <v>Not Subscribed</v>
      </c>
    </row>
    <row r="3035" spans="1:26" x14ac:dyDescent="0.25">
      <c r="A3035">
        <v>3034</v>
      </c>
      <c r="B3035">
        <v>22</v>
      </c>
      <c r="C3035" t="s">
        <v>156</v>
      </c>
      <c r="D3035">
        <v>3034</v>
      </c>
      <c r="E3035" t="s">
        <v>33</v>
      </c>
      <c r="F3035" t="s">
        <v>24</v>
      </c>
      <c r="G3035">
        <v>3034</v>
      </c>
      <c r="H3035">
        <v>3839</v>
      </c>
      <c r="I3035">
        <v>56</v>
      </c>
      <c r="J3035" t="s">
        <v>93</v>
      </c>
      <c r="K3035" t="s">
        <v>26</v>
      </c>
      <c r="L3035" t="s">
        <v>124</v>
      </c>
      <c r="M3035" t="s">
        <v>40</v>
      </c>
      <c r="N3035">
        <v>2.6</v>
      </c>
      <c r="O3035">
        <v>0</v>
      </c>
      <c r="P3035" t="s">
        <v>77</v>
      </c>
      <c r="Q3035" t="s">
        <v>155</v>
      </c>
      <c r="R3035" t="s">
        <v>155</v>
      </c>
      <c r="S3035">
        <v>9</v>
      </c>
      <c r="T3035" t="s">
        <v>49</v>
      </c>
      <c r="U3035" t="s">
        <v>43</v>
      </c>
      <c r="V3035" s="1">
        <v>45438</v>
      </c>
      <c r="W3035">
        <f>Table1[[#This Row],[customer_purchase count]]+1</f>
        <v>10</v>
      </c>
      <c r="X3035">
        <f>Table1[[#This Row],[customer_purchase count]]*Rules!$B$3</f>
        <v>537.87923076923084</v>
      </c>
      <c r="Y3035" t="str">
        <f>IF(Table1[[#This Row],[customer_subscription]]=1,"Subscribed","Not Subscribed")</f>
        <v>Not Subscribed</v>
      </c>
      <c r="Z3035" t="s">
        <v>187</v>
      </c>
    </row>
    <row r="3036" spans="1:26" x14ac:dyDescent="0.25">
      <c r="A3036">
        <v>3035</v>
      </c>
      <c r="B3036">
        <v>51</v>
      </c>
      <c r="C3036" t="s">
        <v>156</v>
      </c>
      <c r="D3036">
        <v>3035</v>
      </c>
      <c r="E3036" t="s">
        <v>140</v>
      </c>
      <c r="F3036" t="s">
        <v>45</v>
      </c>
      <c r="G3036">
        <v>3035</v>
      </c>
      <c r="H3036">
        <v>3841</v>
      </c>
      <c r="I3036">
        <v>37</v>
      </c>
      <c r="J3036" t="s">
        <v>143</v>
      </c>
      <c r="K3036" t="s">
        <v>26</v>
      </c>
      <c r="L3036" t="s">
        <v>103</v>
      </c>
      <c r="M3036" t="s">
        <v>40</v>
      </c>
      <c r="N3036">
        <v>3.5</v>
      </c>
      <c r="O3036">
        <v>0</v>
      </c>
      <c r="P3036" t="s">
        <v>73</v>
      </c>
      <c r="Q3036" t="s">
        <v>155</v>
      </c>
      <c r="R3036" t="s">
        <v>155</v>
      </c>
      <c r="S3036">
        <v>25</v>
      </c>
      <c r="T3036" t="s">
        <v>42</v>
      </c>
      <c r="U3036" t="s">
        <v>61</v>
      </c>
      <c r="V3036" s="1">
        <v>45430</v>
      </c>
      <c r="W3036">
        <f>Table1[[#This Row],[customer_purchase count]]+1</f>
        <v>26</v>
      </c>
      <c r="X3036">
        <f>Table1[[#This Row],[customer_purchase count]]*Rules!$B$3</f>
        <v>1494.1089743589744</v>
      </c>
      <c r="Y3036" t="str">
        <f>IF(Table1[[#This Row],[customer_subscription]]=1,"Subscribed","Not Subscribed")</f>
        <v>Not Subscribed</v>
      </c>
    </row>
    <row r="3037" spans="1:26" x14ac:dyDescent="0.25">
      <c r="A3037">
        <v>3036</v>
      </c>
      <c r="B3037">
        <v>69</v>
      </c>
      <c r="C3037" t="s">
        <v>156</v>
      </c>
      <c r="D3037">
        <v>3036</v>
      </c>
      <c r="E3037" t="s">
        <v>69</v>
      </c>
      <c r="F3037" t="s">
        <v>70</v>
      </c>
      <c r="G3037">
        <v>3036</v>
      </c>
      <c r="H3037">
        <v>3842</v>
      </c>
      <c r="I3037">
        <v>64</v>
      </c>
      <c r="J3037" t="s">
        <v>25</v>
      </c>
      <c r="K3037" t="s">
        <v>47</v>
      </c>
      <c r="L3037" t="s">
        <v>83</v>
      </c>
      <c r="M3037" t="s">
        <v>40</v>
      </c>
      <c r="N3037">
        <v>4.5</v>
      </c>
      <c r="O3037">
        <v>0</v>
      </c>
      <c r="P3037" t="s">
        <v>41</v>
      </c>
      <c r="Q3037" t="s">
        <v>155</v>
      </c>
      <c r="R3037" t="s">
        <v>155</v>
      </c>
      <c r="S3037">
        <v>18</v>
      </c>
      <c r="T3037" t="s">
        <v>36</v>
      </c>
      <c r="U3037" t="s">
        <v>79</v>
      </c>
      <c r="V3037" s="1">
        <v>45391</v>
      </c>
      <c r="W3037">
        <f>Table1[[#This Row],[customer_purchase count]]+1</f>
        <v>19</v>
      </c>
      <c r="X3037">
        <f>Table1[[#This Row],[customer_purchase count]]*Rules!$B$3</f>
        <v>1075.7584615384617</v>
      </c>
      <c r="Y3037" t="str">
        <f>IF(Table1[[#This Row],[customer_subscription]]=1,"Subscribed","Not Subscribed")</f>
        <v>Not Subscribed</v>
      </c>
    </row>
    <row r="3038" spans="1:26" x14ac:dyDescent="0.25">
      <c r="A3038">
        <v>3037</v>
      </c>
      <c r="B3038">
        <v>50</v>
      </c>
      <c r="C3038" t="s">
        <v>156</v>
      </c>
      <c r="D3038">
        <v>3037</v>
      </c>
      <c r="E3038" t="s">
        <v>107</v>
      </c>
      <c r="F3038" t="s">
        <v>24</v>
      </c>
      <c r="G3038">
        <v>3037</v>
      </c>
      <c r="H3038">
        <v>3843</v>
      </c>
      <c r="I3038">
        <v>58</v>
      </c>
      <c r="J3038" t="s">
        <v>132</v>
      </c>
      <c r="K3038" t="s">
        <v>39</v>
      </c>
      <c r="L3038" t="s">
        <v>86</v>
      </c>
      <c r="M3038" t="s">
        <v>40</v>
      </c>
      <c r="N3038">
        <v>4.3</v>
      </c>
      <c r="O3038">
        <v>0</v>
      </c>
      <c r="P3038" t="s">
        <v>48</v>
      </c>
      <c r="Q3038" t="s">
        <v>155</v>
      </c>
      <c r="R3038" t="s">
        <v>155</v>
      </c>
      <c r="S3038">
        <v>7</v>
      </c>
      <c r="T3038" t="s">
        <v>31</v>
      </c>
      <c r="U3038" t="s">
        <v>32</v>
      </c>
      <c r="V3038" s="1">
        <v>45414</v>
      </c>
      <c r="W3038">
        <f>Table1[[#This Row],[customer_purchase count]]+1</f>
        <v>8</v>
      </c>
      <c r="X3038">
        <f>Table1[[#This Row],[customer_purchase count]]*Rules!$B$3</f>
        <v>418.35051282051285</v>
      </c>
      <c r="Y3038" t="str">
        <f>IF(Table1[[#This Row],[customer_subscription]]=1,"Subscribed","Not Subscribed")</f>
        <v>Not Subscribed</v>
      </c>
      <c r="Z3038" t="s">
        <v>194</v>
      </c>
    </row>
    <row r="3039" spans="1:26" x14ac:dyDescent="0.25">
      <c r="A3039">
        <v>3038</v>
      </c>
      <c r="B3039">
        <v>51</v>
      </c>
      <c r="C3039" t="s">
        <v>156</v>
      </c>
      <c r="D3039">
        <v>3038</v>
      </c>
      <c r="E3039" t="s">
        <v>136</v>
      </c>
      <c r="F3039" t="s">
        <v>70</v>
      </c>
      <c r="G3039">
        <v>3038</v>
      </c>
      <c r="H3039">
        <v>3844</v>
      </c>
      <c r="I3039">
        <v>44</v>
      </c>
      <c r="J3039" t="s">
        <v>149</v>
      </c>
      <c r="K3039" t="s">
        <v>26</v>
      </c>
      <c r="L3039" t="s">
        <v>64</v>
      </c>
      <c r="M3039" t="s">
        <v>56</v>
      </c>
      <c r="N3039">
        <v>4.8</v>
      </c>
      <c r="O3039">
        <v>0</v>
      </c>
      <c r="P3039" t="s">
        <v>48</v>
      </c>
      <c r="Q3039" t="s">
        <v>155</v>
      </c>
      <c r="R3039" t="s">
        <v>155</v>
      </c>
      <c r="S3039">
        <v>2</v>
      </c>
      <c r="T3039" t="s">
        <v>36</v>
      </c>
      <c r="U3039" t="s">
        <v>52</v>
      </c>
      <c r="V3039" s="1">
        <v>45529</v>
      </c>
      <c r="W3039">
        <f>Table1[[#This Row],[customer_purchase count]]+1</f>
        <v>3</v>
      </c>
      <c r="X3039">
        <f>Table1[[#This Row],[customer_purchase count]]*Rules!$B$3</f>
        <v>119.52871794871795</v>
      </c>
      <c r="Y3039" t="str">
        <f>IF(Table1[[#This Row],[customer_subscription]]=1,"Subscribed","Not Subscribed")</f>
        <v>Not Subscribed</v>
      </c>
      <c r="Z3039" t="s">
        <v>194</v>
      </c>
    </row>
    <row r="3040" spans="1:26" x14ac:dyDescent="0.25">
      <c r="A3040">
        <v>3039</v>
      </c>
      <c r="B3040">
        <v>56</v>
      </c>
      <c r="C3040" t="s">
        <v>156</v>
      </c>
      <c r="D3040">
        <v>3039</v>
      </c>
      <c r="E3040" t="s">
        <v>109</v>
      </c>
      <c r="F3040" t="s">
        <v>70</v>
      </c>
      <c r="G3040">
        <v>3039</v>
      </c>
      <c r="H3040">
        <v>3845</v>
      </c>
      <c r="I3040">
        <v>39</v>
      </c>
      <c r="J3040" t="s">
        <v>145</v>
      </c>
      <c r="K3040" t="s">
        <v>47</v>
      </c>
      <c r="L3040" t="s">
        <v>113</v>
      </c>
      <c r="M3040" t="s">
        <v>56</v>
      </c>
      <c r="N3040">
        <v>4.2</v>
      </c>
      <c r="O3040">
        <v>0</v>
      </c>
      <c r="P3040" t="s">
        <v>41</v>
      </c>
      <c r="Q3040" t="s">
        <v>155</v>
      </c>
      <c r="R3040" t="s">
        <v>155</v>
      </c>
      <c r="S3040">
        <v>36</v>
      </c>
      <c r="T3040" t="s">
        <v>89</v>
      </c>
      <c r="U3040" t="s">
        <v>52</v>
      </c>
      <c r="V3040" s="1">
        <v>45456</v>
      </c>
      <c r="W3040">
        <f>Table1[[#This Row],[customer_purchase count]]+1</f>
        <v>37</v>
      </c>
      <c r="X3040">
        <f>Table1[[#This Row],[customer_purchase count]]*Rules!$B$3</f>
        <v>2151.5169230769234</v>
      </c>
      <c r="Y3040" t="str">
        <f>IF(Table1[[#This Row],[customer_subscription]]=1,"Subscribed","Not Subscribed")</f>
        <v>Not Subscribed</v>
      </c>
    </row>
    <row r="3041" spans="1:26" x14ac:dyDescent="0.25">
      <c r="A3041">
        <v>3040</v>
      </c>
      <c r="B3041">
        <v>59</v>
      </c>
      <c r="C3041" t="s">
        <v>156</v>
      </c>
      <c r="D3041">
        <v>3040</v>
      </c>
      <c r="E3041" t="s">
        <v>23</v>
      </c>
      <c r="F3041" t="s">
        <v>24</v>
      </c>
      <c r="G3041">
        <v>3040</v>
      </c>
      <c r="H3041">
        <v>3847</v>
      </c>
      <c r="I3041">
        <v>48</v>
      </c>
      <c r="J3041" t="s">
        <v>93</v>
      </c>
      <c r="K3041" t="s">
        <v>26</v>
      </c>
      <c r="L3041" t="s">
        <v>147</v>
      </c>
      <c r="M3041" t="s">
        <v>40</v>
      </c>
      <c r="N3041">
        <v>3.2</v>
      </c>
      <c r="O3041">
        <v>0</v>
      </c>
      <c r="P3041" t="s">
        <v>48</v>
      </c>
      <c r="Q3041" t="s">
        <v>155</v>
      </c>
      <c r="R3041" t="s">
        <v>155</v>
      </c>
      <c r="S3041">
        <v>31</v>
      </c>
      <c r="T3041" t="s">
        <v>49</v>
      </c>
      <c r="U3041" t="s">
        <v>79</v>
      </c>
      <c r="V3041" s="1">
        <v>45431</v>
      </c>
      <c r="W3041">
        <f>Table1[[#This Row],[customer_purchase count]]+1</f>
        <v>32</v>
      </c>
      <c r="X3041">
        <f>Table1[[#This Row],[customer_purchase count]]*Rules!$B$3</f>
        <v>1852.6951282051282</v>
      </c>
      <c r="Y3041" t="str">
        <f>IF(Table1[[#This Row],[customer_subscription]]=1,"Subscribed","Not Subscribed")</f>
        <v>Not Subscribed</v>
      </c>
    </row>
    <row r="3042" spans="1:26" x14ac:dyDescent="0.25">
      <c r="A3042">
        <v>3041</v>
      </c>
      <c r="B3042">
        <v>18</v>
      </c>
      <c r="C3042" t="s">
        <v>156</v>
      </c>
      <c r="D3042">
        <v>3041</v>
      </c>
      <c r="E3042" t="s">
        <v>69</v>
      </c>
      <c r="F3042" t="s">
        <v>70</v>
      </c>
      <c r="G3042">
        <v>3041</v>
      </c>
      <c r="H3042">
        <v>3848</v>
      </c>
      <c r="I3042">
        <v>32</v>
      </c>
      <c r="J3042" t="s">
        <v>148</v>
      </c>
      <c r="K3042" t="s">
        <v>47</v>
      </c>
      <c r="L3042" t="s">
        <v>83</v>
      </c>
      <c r="M3042" t="s">
        <v>60</v>
      </c>
      <c r="N3042">
        <v>4.0999999999999996</v>
      </c>
      <c r="O3042">
        <v>0</v>
      </c>
      <c r="P3042" t="s">
        <v>29</v>
      </c>
      <c r="Q3042" t="s">
        <v>155</v>
      </c>
      <c r="R3042" t="s">
        <v>155</v>
      </c>
      <c r="S3042">
        <v>10</v>
      </c>
      <c r="T3042" t="s">
        <v>36</v>
      </c>
      <c r="U3042" t="s">
        <v>32</v>
      </c>
      <c r="V3042" s="1">
        <v>45593</v>
      </c>
      <c r="W3042">
        <f>Table1[[#This Row],[customer_purchase count]]+1</f>
        <v>11</v>
      </c>
      <c r="X3042">
        <f>Table1[[#This Row],[customer_purchase count]]*Rules!$B$3</f>
        <v>597.64358974358981</v>
      </c>
      <c r="Y3042" t="str">
        <f>IF(Table1[[#This Row],[customer_subscription]]=1,"Subscribed","Not Subscribed")</f>
        <v>Not Subscribed</v>
      </c>
      <c r="Z3042" t="s">
        <v>187</v>
      </c>
    </row>
    <row r="3043" spans="1:26" x14ac:dyDescent="0.25">
      <c r="A3043">
        <v>3042</v>
      </c>
      <c r="B3043">
        <v>48</v>
      </c>
      <c r="C3043" t="s">
        <v>156</v>
      </c>
      <c r="D3043">
        <v>3042</v>
      </c>
      <c r="E3043" t="s">
        <v>69</v>
      </c>
      <c r="F3043" t="s">
        <v>70</v>
      </c>
      <c r="G3043">
        <v>3042</v>
      </c>
      <c r="H3043">
        <v>3849</v>
      </c>
      <c r="I3043">
        <v>79</v>
      </c>
      <c r="J3043" t="s">
        <v>46</v>
      </c>
      <c r="K3043" t="s">
        <v>47</v>
      </c>
      <c r="L3043" t="s">
        <v>124</v>
      </c>
      <c r="M3043" t="s">
        <v>28</v>
      </c>
      <c r="N3043">
        <v>4</v>
      </c>
      <c r="O3043">
        <v>0</v>
      </c>
      <c r="P3043" t="s">
        <v>29</v>
      </c>
      <c r="Q3043" t="s">
        <v>155</v>
      </c>
      <c r="R3043" t="s">
        <v>155</v>
      </c>
      <c r="S3043">
        <v>27</v>
      </c>
      <c r="T3043" t="s">
        <v>49</v>
      </c>
      <c r="U3043" t="s">
        <v>91</v>
      </c>
      <c r="V3043" s="1">
        <v>45306</v>
      </c>
      <c r="W3043">
        <f>Table1[[#This Row],[customer_purchase count]]+1</f>
        <v>28</v>
      </c>
      <c r="X3043">
        <f>Table1[[#This Row],[customer_purchase count]]*Rules!$B$3</f>
        <v>1613.6376923076923</v>
      </c>
      <c r="Y3043" t="str">
        <f>IF(Table1[[#This Row],[customer_subscription]]=1,"Subscribed","Not Subscribed")</f>
        <v>Not Subscribed</v>
      </c>
    </row>
    <row r="3044" spans="1:26" x14ac:dyDescent="0.25">
      <c r="A3044">
        <v>3043</v>
      </c>
      <c r="B3044">
        <v>53</v>
      </c>
      <c r="C3044" t="s">
        <v>156</v>
      </c>
      <c r="D3044">
        <v>3043</v>
      </c>
      <c r="E3044" t="s">
        <v>65</v>
      </c>
      <c r="F3044" t="s">
        <v>66</v>
      </c>
      <c r="G3044">
        <v>3043</v>
      </c>
      <c r="H3044">
        <v>3850</v>
      </c>
      <c r="I3044">
        <v>27</v>
      </c>
      <c r="J3044" t="s">
        <v>150</v>
      </c>
      <c r="K3044" t="s">
        <v>26</v>
      </c>
      <c r="L3044" t="s">
        <v>51</v>
      </c>
      <c r="M3044" t="s">
        <v>28</v>
      </c>
      <c r="N3044">
        <v>2.9</v>
      </c>
      <c r="O3044">
        <v>0</v>
      </c>
      <c r="P3044" t="s">
        <v>48</v>
      </c>
      <c r="Q3044" t="s">
        <v>155</v>
      </c>
      <c r="R3044" t="s">
        <v>155</v>
      </c>
      <c r="S3044">
        <v>14</v>
      </c>
      <c r="T3044" t="s">
        <v>49</v>
      </c>
      <c r="U3044" t="s">
        <v>100</v>
      </c>
      <c r="V3044" s="1">
        <v>45294</v>
      </c>
      <c r="W3044">
        <f>Table1[[#This Row],[customer_purchase count]]+1</f>
        <v>15</v>
      </c>
      <c r="X3044">
        <f>Table1[[#This Row],[customer_purchase count]]*Rules!$B$3</f>
        <v>836.70102564102569</v>
      </c>
      <c r="Y3044" t="str">
        <f>IF(Table1[[#This Row],[customer_subscription]]=1,"Subscribed","Not Subscribed")</f>
        <v>Not Subscribed</v>
      </c>
      <c r="Z3044" t="s">
        <v>194</v>
      </c>
    </row>
    <row r="3045" spans="1:26" x14ac:dyDescent="0.25">
      <c r="A3045">
        <v>3044</v>
      </c>
      <c r="B3045">
        <v>45</v>
      </c>
      <c r="C3045" t="s">
        <v>156</v>
      </c>
      <c r="D3045">
        <v>3044</v>
      </c>
      <c r="E3045" t="s">
        <v>136</v>
      </c>
      <c r="F3045" t="s">
        <v>70</v>
      </c>
      <c r="G3045">
        <v>3044</v>
      </c>
      <c r="H3045">
        <v>3851</v>
      </c>
      <c r="I3045">
        <v>98</v>
      </c>
      <c r="J3045" t="s">
        <v>118</v>
      </c>
      <c r="K3045" t="s">
        <v>39</v>
      </c>
      <c r="L3045" t="s">
        <v>103</v>
      </c>
      <c r="M3045" t="s">
        <v>60</v>
      </c>
      <c r="N3045">
        <v>2.6</v>
      </c>
      <c r="O3045">
        <v>0</v>
      </c>
      <c r="P3045" t="s">
        <v>77</v>
      </c>
      <c r="Q3045" t="s">
        <v>155</v>
      </c>
      <c r="R3045" t="s">
        <v>155</v>
      </c>
      <c r="S3045">
        <v>17</v>
      </c>
      <c r="T3045" t="s">
        <v>42</v>
      </c>
      <c r="U3045" t="s">
        <v>91</v>
      </c>
      <c r="V3045" s="1">
        <v>45615</v>
      </c>
      <c r="W3045">
        <f>Table1[[#This Row],[customer_purchase count]]+1</f>
        <v>18</v>
      </c>
      <c r="X3045">
        <f>Table1[[#This Row],[customer_purchase count]]*Rules!$B$3</f>
        <v>1015.9941025641026</v>
      </c>
      <c r="Y3045" t="str">
        <f>IF(Table1[[#This Row],[customer_subscription]]=1,"Subscribed","Not Subscribed")</f>
        <v>Not Subscribed</v>
      </c>
      <c r="Z3045" t="s">
        <v>194</v>
      </c>
    </row>
    <row r="3046" spans="1:26" x14ac:dyDescent="0.25">
      <c r="A3046">
        <v>3045</v>
      </c>
      <c r="B3046">
        <v>21</v>
      </c>
      <c r="C3046" t="s">
        <v>156</v>
      </c>
      <c r="D3046">
        <v>3045</v>
      </c>
      <c r="E3046" t="s">
        <v>140</v>
      </c>
      <c r="F3046" t="s">
        <v>45</v>
      </c>
      <c r="G3046">
        <v>3045</v>
      </c>
      <c r="H3046">
        <v>3853</v>
      </c>
      <c r="I3046">
        <v>67</v>
      </c>
      <c r="J3046" t="s">
        <v>101</v>
      </c>
      <c r="K3046" t="s">
        <v>47</v>
      </c>
      <c r="L3046" t="s">
        <v>139</v>
      </c>
      <c r="M3046" t="s">
        <v>28</v>
      </c>
      <c r="N3046">
        <v>2.7</v>
      </c>
      <c r="O3046">
        <v>0</v>
      </c>
      <c r="P3046" t="s">
        <v>41</v>
      </c>
      <c r="Q3046" t="s">
        <v>155</v>
      </c>
      <c r="R3046" t="s">
        <v>155</v>
      </c>
      <c r="S3046">
        <v>10</v>
      </c>
      <c r="T3046" t="s">
        <v>78</v>
      </c>
      <c r="U3046" t="s">
        <v>61</v>
      </c>
      <c r="V3046" s="1">
        <v>45292</v>
      </c>
      <c r="W3046">
        <f>Table1[[#This Row],[customer_purchase count]]+1</f>
        <v>11</v>
      </c>
      <c r="X3046">
        <f>Table1[[#This Row],[customer_purchase count]]*Rules!$B$3</f>
        <v>597.64358974358981</v>
      </c>
      <c r="Y3046" t="str">
        <f>IF(Table1[[#This Row],[customer_subscription]]=1,"Subscribed","Not Subscribed")</f>
        <v>Not Subscribed</v>
      </c>
      <c r="Z3046" t="s">
        <v>187</v>
      </c>
    </row>
    <row r="3047" spans="1:26" x14ac:dyDescent="0.25">
      <c r="A3047">
        <v>3046</v>
      </c>
      <c r="B3047">
        <v>42</v>
      </c>
      <c r="C3047" t="s">
        <v>156</v>
      </c>
      <c r="D3047">
        <v>3046</v>
      </c>
      <c r="E3047" t="s">
        <v>128</v>
      </c>
      <c r="F3047" t="s">
        <v>24</v>
      </c>
      <c r="G3047">
        <v>3046</v>
      </c>
      <c r="H3047">
        <v>3854</v>
      </c>
      <c r="I3047">
        <v>37</v>
      </c>
      <c r="J3047" t="s">
        <v>106</v>
      </c>
      <c r="K3047" t="s">
        <v>26</v>
      </c>
      <c r="L3047" t="s">
        <v>97</v>
      </c>
      <c r="M3047" t="s">
        <v>28</v>
      </c>
      <c r="N3047">
        <v>4.5999999999999996</v>
      </c>
      <c r="O3047">
        <v>0</v>
      </c>
      <c r="P3047" t="s">
        <v>73</v>
      </c>
      <c r="Q3047" t="s">
        <v>155</v>
      </c>
      <c r="R3047" t="s">
        <v>155</v>
      </c>
      <c r="S3047">
        <v>4</v>
      </c>
      <c r="T3047" t="s">
        <v>49</v>
      </c>
      <c r="U3047" t="s">
        <v>79</v>
      </c>
      <c r="V3047" s="1">
        <v>45649</v>
      </c>
      <c r="W3047">
        <f>Table1[[#This Row],[customer_purchase count]]+1</f>
        <v>5</v>
      </c>
      <c r="X3047">
        <f>Table1[[#This Row],[customer_purchase count]]*Rules!$B$3</f>
        <v>239.05743589743591</v>
      </c>
      <c r="Y3047" t="str">
        <f>IF(Table1[[#This Row],[customer_subscription]]=1,"Subscribed","Not Subscribed")</f>
        <v>Not Subscribed</v>
      </c>
      <c r="Z3047" t="s">
        <v>194</v>
      </c>
    </row>
    <row r="3048" spans="1:26" x14ac:dyDescent="0.25">
      <c r="A3048">
        <v>3047</v>
      </c>
      <c r="B3048">
        <v>60</v>
      </c>
      <c r="C3048" t="s">
        <v>156</v>
      </c>
      <c r="D3048">
        <v>3047</v>
      </c>
      <c r="E3048" t="s">
        <v>74</v>
      </c>
      <c r="F3048" t="s">
        <v>45</v>
      </c>
      <c r="G3048">
        <v>3047</v>
      </c>
      <c r="H3048">
        <v>3855</v>
      </c>
      <c r="I3048">
        <v>49</v>
      </c>
      <c r="J3048" t="s">
        <v>141</v>
      </c>
      <c r="K3048" t="s">
        <v>47</v>
      </c>
      <c r="L3048" t="s">
        <v>55</v>
      </c>
      <c r="M3048" t="s">
        <v>40</v>
      </c>
      <c r="N3048">
        <v>3.2</v>
      </c>
      <c r="O3048">
        <v>0</v>
      </c>
      <c r="P3048" t="s">
        <v>77</v>
      </c>
      <c r="Q3048" t="s">
        <v>155</v>
      </c>
      <c r="R3048" t="s">
        <v>155</v>
      </c>
      <c r="S3048">
        <v>25</v>
      </c>
      <c r="T3048" t="s">
        <v>36</v>
      </c>
      <c r="U3048" t="s">
        <v>100</v>
      </c>
      <c r="V3048" s="1">
        <v>45435</v>
      </c>
      <c r="W3048">
        <f>Table1[[#This Row],[customer_purchase count]]+1</f>
        <v>26</v>
      </c>
      <c r="X3048">
        <f>Table1[[#This Row],[customer_purchase count]]*Rules!$B$3</f>
        <v>1494.1089743589744</v>
      </c>
      <c r="Y3048" t="str">
        <f>IF(Table1[[#This Row],[customer_subscription]]=1,"Subscribed","Not Subscribed")</f>
        <v>Not Subscribed</v>
      </c>
    </row>
    <row r="3049" spans="1:26" x14ac:dyDescent="0.25">
      <c r="A3049">
        <v>3048</v>
      </c>
      <c r="B3049">
        <v>21</v>
      </c>
      <c r="C3049" t="s">
        <v>156</v>
      </c>
      <c r="D3049">
        <v>3048</v>
      </c>
      <c r="E3049" t="s">
        <v>53</v>
      </c>
      <c r="F3049" t="s">
        <v>45</v>
      </c>
      <c r="G3049">
        <v>3048</v>
      </c>
      <c r="H3049">
        <v>3856</v>
      </c>
      <c r="I3049">
        <v>74</v>
      </c>
      <c r="J3049" t="s">
        <v>132</v>
      </c>
      <c r="K3049" t="s">
        <v>47</v>
      </c>
      <c r="L3049" t="s">
        <v>86</v>
      </c>
      <c r="M3049" t="s">
        <v>60</v>
      </c>
      <c r="N3049">
        <v>4.0999999999999996</v>
      </c>
      <c r="O3049">
        <v>0</v>
      </c>
      <c r="P3049" t="s">
        <v>73</v>
      </c>
      <c r="Q3049" t="s">
        <v>155</v>
      </c>
      <c r="R3049" t="s">
        <v>155</v>
      </c>
      <c r="S3049">
        <v>3</v>
      </c>
      <c r="T3049" t="s">
        <v>49</v>
      </c>
      <c r="U3049" t="s">
        <v>79</v>
      </c>
      <c r="V3049" s="1">
        <v>45623</v>
      </c>
      <c r="W3049">
        <f>Table1[[#This Row],[customer_purchase count]]+1</f>
        <v>4</v>
      </c>
      <c r="X3049">
        <f>Table1[[#This Row],[customer_purchase count]]*Rules!$B$3</f>
        <v>179.29307692307694</v>
      </c>
      <c r="Y3049" t="str">
        <f>IF(Table1[[#This Row],[customer_subscription]]=1,"Subscribed","Not Subscribed")</f>
        <v>Not Subscribed</v>
      </c>
      <c r="Z3049" t="s">
        <v>194</v>
      </c>
    </row>
    <row r="3050" spans="1:26" x14ac:dyDescent="0.25">
      <c r="A3050">
        <v>3049</v>
      </c>
      <c r="B3050">
        <v>69</v>
      </c>
      <c r="C3050" t="s">
        <v>156</v>
      </c>
      <c r="D3050">
        <v>3049</v>
      </c>
      <c r="E3050" t="s">
        <v>109</v>
      </c>
      <c r="F3050" t="s">
        <v>70</v>
      </c>
      <c r="G3050">
        <v>3049</v>
      </c>
      <c r="H3050">
        <v>3857</v>
      </c>
      <c r="I3050">
        <v>93</v>
      </c>
      <c r="J3050" t="s">
        <v>115</v>
      </c>
      <c r="K3050" t="s">
        <v>47</v>
      </c>
      <c r="L3050" t="s">
        <v>81</v>
      </c>
      <c r="M3050" t="s">
        <v>56</v>
      </c>
      <c r="N3050">
        <v>3.9</v>
      </c>
      <c r="O3050">
        <v>0</v>
      </c>
      <c r="P3050" t="s">
        <v>57</v>
      </c>
      <c r="Q3050" t="s">
        <v>155</v>
      </c>
      <c r="R3050" t="s">
        <v>155</v>
      </c>
      <c r="S3050">
        <v>47</v>
      </c>
      <c r="T3050" t="s">
        <v>31</v>
      </c>
      <c r="U3050" t="s">
        <v>32</v>
      </c>
      <c r="V3050" s="1">
        <v>45516</v>
      </c>
      <c r="W3050">
        <f>Table1[[#This Row],[customer_purchase count]]+1</f>
        <v>48</v>
      </c>
      <c r="X3050">
        <f>Table1[[#This Row],[customer_purchase count]]*Rules!$B$3</f>
        <v>2808.9248717948717</v>
      </c>
      <c r="Y3050" t="str">
        <f>IF(Table1[[#This Row],[customer_subscription]]=1,"Subscribed","Not Subscribed")</f>
        <v>Not Subscribed</v>
      </c>
    </row>
    <row r="3051" spans="1:26" x14ac:dyDescent="0.25">
      <c r="A3051">
        <v>3050</v>
      </c>
      <c r="B3051">
        <v>40</v>
      </c>
      <c r="C3051" t="s">
        <v>156</v>
      </c>
      <c r="D3051">
        <v>3050</v>
      </c>
      <c r="E3051" t="s">
        <v>69</v>
      </c>
      <c r="F3051" t="s">
        <v>70</v>
      </c>
      <c r="G3051">
        <v>3050</v>
      </c>
      <c r="H3051">
        <v>3859</v>
      </c>
      <c r="I3051">
        <v>60</v>
      </c>
      <c r="J3051" t="s">
        <v>143</v>
      </c>
      <c r="K3051" t="s">
        <v>26</v>
      </c>
      <c r="L3051" t="s">
        <v>111</v>
      </c>
      <c r="M3051" t="s">
        <v>56</v>
      </c>
      <c r="N3051">
        <v>3</v>
      </c>
      <c r="O3051">
        <v>0</v>
      </c>
      <c r="P3051" t="s">
        <v>48</v>
      </c>
      <c r="Q3051" t="s">
        <v>155</v>
      </c>
      <c r="R3051" t="s">
        <v>155</v>
      </c>
      <c r="S3051">
        <v>41</v>
      </c>
      <c r="T3051" t="s">
        <v>78</v>
      </c>
      <c r="U3051" t="s">
        <v>79</v>
      </c>
      <c r="V3051" s="1">
        <v>45460</v>
      </c>
      <c r="W3051">
        <f>Table1[[#This Row],[customer_purchase count]]+1</f>
        <v>42</v>
      </c>
      <c r="X3051">
        <f>Table1[[#This Row],[customer_purchase count]]*Rules!$B$3</f>
        <v>2450.3387179487181</v>
      </c>
      <c r="Y3051" t="str">
        <f>IF(Table1[[#This Row],[customer_subscription]]=1,"Subscribed","Not Subscribed")</f>
        <v>Not Subscribed</v>
      </c>
    </row>
    <row r="3052" spans="1:26" x14ac:dyDescent="0.25">
      <c r="A3052">
        <v>3051</v>
      </c>
      <c r="B3052">
        <v>31</v>
      </c>
      <c r="C3052" t="s">
        <v>156</v>
      </c>
      <c r="D3052">
        <v>3051</v>
      </c>
      <c r="E3052" t="s">
        <v>65</v>
      </c>
      <c r="F3052" t="s">
        <v>66</v>
      </c>
      <c r="G3052">
        <v>3051</v>
      </c>
      <c r="H3052">
        <v>3860</v>
      </c>
      <c r="I3052">
        <v>76</v>
      </c>
      <c r="J3052" t="s">
        <v>25</v>
      </c>
      <c r="K3052" t="s">
        <v>39</v>
      </c>
      <c r="L3052" t="s">
        <v>99</v>
      </c>
      <c r="M3052" t="s">
        <v>40</v>
      </c>
      <c r="N3052">
        <v>3.6</v>
      </c>
      <c r="O3052">
        <v>0</v>
      </c>
      <c r="P3052" t="s">
        <v>57</v>
      </c>
      <c r="Q3052" t="s">
        <v>155</v>
      </c>
      <c r="R3052" t="s">
        <v>155</v>
      </c>
      <c r="S3052">
        <v>28</v>
      </c>
      <c r="T3052" t="s">
        <v>31</v>
      </c>
      <c r="U3052" t="s">
        <v>100</v>
      </c>
      <c r="V3052" s="1">
        <v>45438</v>
      </c>
      <c r="W3052">
        <f>Table1[[#This Row],[customer_purchase count]]+1</f>
        <v>29</v>
      </c>
      <c r="X3052">
        <f>Table1[[#This Row],[customer_purchase count]]*Rules!$B$3</f>
        <v>1673.4020512820514</v>
      </c>
      <c r="Y3052" t="str">
        <f>IF(Table1[[#This Row],[customer_subscription]]=1,"Subscribed","Not Subscribed")</f>
        <v>Not Subscribed</v>
      </c>
    </row>
    <row r="3053" spans="1:26" x14ac:dyDescent="0.25">
      <c r="A3053">
        <v>3052</v>
      </c>
      <c r="B3053">
        <v>44</v>
      </c>
      <c r="C3053" t="s">
        <v>156</v>
      </c>
      <c r="D3053">
        <v>3052</v>
      </c>
      <c r="E3053" t="s">
        <v>92</v>
      </c>
      <c r="F3053" t="s">
        <v>70</v>
      </c>
      <c r="G3053">
        <v>3052</v>
      </c>
      <c r="H3053">
        <v>3861</v>
      </c>
      <c r="I3053">
        <v>64</v>
      </c>
      <c r="J3053" t="s">
        <v>54</v>
      </c>
      <c r="K3053" t="s">
        <v>26</v>
      </c>
      <c r="L3053" t="s">
        <v>83</v>
      </c>
      <c r="M3053" t="s">
        <v>56</v>
      </c>
      <c r="N3053">
        <v>4.5999999999999996</v>
      </c>
      <c r="O3053">
        <v>0</v>
      </c>
      <c r="P3053" t="s">
        <v>29</v>
      </c>
      <c r="Q3053" t="s">
        <v>155</v>
      </c>
      <c r="R3053" t="s">
        <v>155</v>
      </c>
      <c r="S3053">
        <v>49</v>
      </c>
      <c r="T3053" t="s">
        <v>89</v>
      </c>
      <c r="U3053" t="s">
        <v>100</v>
      </c>
      <c r="V3053" s="1">
        <v>45476</v>
      </c>
      <c r="W3053">
        <f>Table1[[#This Row],[customer_purchase count]]+1</f>
        <v>50</v>
      </c>
      <c r="X3053">
        <f>Table1[[#This Row],[customer_purchase count]]*Rules!$B$3</f>
        <v>2928.4535897435899</v>
      </c>
      <c r="Y3053" t="str">
        <f>IF(Table1[[#This Row],[customer_subscription]]=1,"Subscribed","Not Subscribed")</f>
        <v>Not Subscribed</v>
      </c>
    </row>
    <row r="3054" spans="1:26" x14ac:dyDescent="0.25">
      <c r="A3054">
        <v>3053</v>
      </c>
      <c r="B3054">
        <v>48</v>
      </c>
      <c r="C3054" t="s">
        <v>156</v>
      </c>
      <c r="D3054">
        <v>3053</v>
      </c>
      <c r="E3054" t="s">
        <v>74</v>
      </c>
      <c r="F3054" t="s">
        <v>45</v>
      </c>
      <c r="G3054">
        <v>3053</v>
      </c>
      <c r="H3054">
        <v>3862</v>
      </c>
      <c r="I3054">
        <v>38</v>
      </c>
      <c r="J3054" t="s">
        <v>34</v>
      </c>
      <c r="K3054" t="s">
        <v>95</v>
      </c>
      <c r="L3054" t="s">
        <v>81</v>
      </c>
      <c r="M3054" t="s">
        <v>40</v>
      </c>
      <c r="N3054">
        <v>4.5</v>
      </c>
      <c r="O3054">
        <v>0</v>
      </c>
      <c r="P3054" t="s">
        <v>77</v>
      </c>
      <c r="Q3054" t="s">
        <v>155</v>
      </c>
      <c r="R3054" t="s">
        <v>155</v>
      </c>
      <c r="S3054">
        <v>7</v>
      </c>
      <c r="T3054" t="s">
        <v>78</v>
      </c>
      <c r="U3054" t="s">
        <v>32</v>
      </c>
      <c r="V3054" s="1">
        <v>45372</v>
      </c>
      <c r="W3054">
        <f>Table1[[#This Row],[customer_purchase count]]+1</f>
        <v>8</v>
      </c>
      <c r="X3054">
        <f>Table1[[#This Row],[customer_purchase count]]*Rules!$B$3</f>
        <v>418.35051282051285</v>
      </c>
      <c r="Y3054" t="str">
        <f>IF(Table1[[#This Row],[customer_subscription]]=1,"Subscribed","Not Subscribed")</f>
        <v>Not Subscribed</v>
      </c>
      <c r="Z3054" t="s">
        <v>194</v>
      </c>
    </row>
    <row r="3055" spans="1:26" x14ac:dyDescent="0.25">
      <c r="A3055">
        <v>3054</v>
      </c>
      <c r="B3055">
        <v>32</v>
      </c>
      <c r="C3055" t="s">
        <v>156</v>
      </c>
      <c r="D3055">
        <v>3054</v>
      </c>
      <c r="E3055" t="s">
        <v>74</v>
      </c>
      <c r="F3055" t="s">
        <v>45</v>
      </c>
      <c r="G3055">
        <v>3054</v>
      </c>
      <c r="H3055">
        <v>3863</v>
      </c>
      <c r="I3055">
        <v>91</v>
      </c>
      <c r="J3055" t="s">
        <v>34</v>
      </c>
      <c r="K3055" t="s">
        <v>26</v>
      </c>
      <c r="L3055" t="s">
        <v>113</v>
      </c>
      <c r="M3055" t="s">
        <v>28</v>
      </c>
      <c r="N3055">
        <v>3.2</v>
      </c>
      <c r="O3055">
        <v>0</v>
      </c>
      <c r="P3055" t="s">
        <v>48</v>
      </c>
      <c r="Q3055" t="s">
        <v>155</v>
      </c>
      <c r="R3055" t="s">
        <v>155</v>
      </c>
      <c r="S3055">
        <v>22</v>
      </c>
      <c r="T3055" t="s">
        <v>78</v>
      </c>
      <c r="U3055" t="s">
        <v>91</v>
      </c>
      <c r="V3055" s="1">
        <v>45640</v>
      </c>
      <c r="W3055">
        <f>Table1[[#This Row],[customer_purchase count]]+1</f>
        <v>23</v>
      </c>
      <c r="X3055">
        <f>Table1[[#This Row],[customer_purchase count]]*Rules!$B$3</f>
        <v>1314.8158974358976</v>
      </c>
      <c r="Y3055" t="str">
        <f>IF(Table1[[#This Row],[customer_subscription]]=1,"Subscribed","Not Subscribed")</f>
        <v>Not Subscribed</v>
      </c>
    </row>
    <row r="3056" spans="1:26" x14ac:dyDescent="0.25">
      <c r="A3056">
        <v>3055</v>
      </c>
      <c r="B3056">
        <v>42</v>
      </c>
      <c r="C3056" t="s">
        <v>156</v>
      </c>
      <c r="D3056">
        <v>3055</v>
      </c>
      <c r="E3056" t="s">
        <v>140</v>
      </c>
      <c r="F3056" t="s">
        <v>45</v>
      </c>
      <c r="G3056">
        <v>3055</v>
      </c>
      <c r="H3056">
        <v>3865</v>
      </c>
      <c r="I3056">
        <v>70</v>
      </c>
      <c r="J3056" t="s">
        <v>85</v>
      </c>
      <c r="K3056" t="s">
        <v>39</v>
      </c>
      <c r="L3056" t="s">
        <v>139</v>
      </c>
      <c r="M3056" t="s">
        <v>56</v>
      </c>
      <c r="N3056">
        <v>4.9000000000000004</v>
      </c>
      <c r="O3056">
        <v>0</v>
      </c>
      <c r="P3056" t="s">
        <v>73</v>
      </c>
      <c r="Q3056" t="s">
        <v>155</v>
      </c>
      <c r="R3056" t="s">
        <v>155</v>
      </c>
      <c r="S3056">
        <v>34</v>
      </c>
      <c r="T3056" t="s">
        <v>31</v>
      </c>
      <c r="U3056" t="s">
        <v>91</v>
      </c>
      <c r="V3056" s="1">
        <v>45465</v>
      </c>
      <c r="W3056">
        <f>Table1[[#This Row],[customer_purchase count]]+1</f>
        <v>35</v>
      </c>
      <c r="X3056">
        <f>Table1[[#This Row],[customer_purchase count]]*Rules!$B$3</f>
        <v>2031.9882051282052</v>
      </c>
      <c r="Y3056" t="str">
        <f>IF(Table1[[#This Row],[customer_subscription]]=1,"Subscribed","Not Subscribed")</f>
        <v>Not Subscribed</v>
      </c>
    </row>
    <row r="3057" spans="1:26" x14ac:dyDescent="0.25">
      <c r="A3057">
        <v>3056</v>
      </c>
      <c r="B3057">
        <v>27</v>
      </c>
      <c r="C3057" t="s">
        <v>156</v>
      </c>
      <c r="D3057">
        <v>3056</v>
      </c>
      <c r="E3057" t="s">
        <v>44</v>
      </c>
      <c r="F3057" t="s">
        <v>45</v>
      </c>
      <c r="G3057">
        <v>3056</v>
      </c>
      <c r="H3057">
        <v>3866</v>
      </c>
      <c r="I3057">
        <v>22</v>
      </c>
      <c r="J3057" t="s">
        <v>114</v>
      </c>
      <c r="K3057" t="s">
        <v>47</v>
      </c>
      <c r="L3057" t="s">
        <v>86</v>
      </c>
      <c r="M3057" t="s">
        <v>60</v>
      </c>
      <c r="N3057">
        <v>5</v>
      </c>
      <c r="O3057">
        <v>0</v>
      </c>
      <c r="P3057" t="s">
        <v>57</v>
      </c>
      <c r="Q3057" t="s">
        <v>155</v>
      </c>
      <c r="R3057" t="s">
        <v>155</v>
      </c>
      <c r="S3057">
        <v>5</v>
      </c>
      <c r="T3057" t="s">
        <v>89</v>
      </c>
      <c r="U3057" t="s">
        <v>79</v>
      </c>
      <c r="V3057" s="1">
        <v>45579</v>
      </c>
      <c r="W3057">
        <f>Table1[[#This Row],[customer_purchase count]]+1</f>
        <v>6</v>
      </c>
      <c r="X3057">
        <f>Table1[[#This Row],[customer_purchase count]]*Rules!$B$3</f>
        <v>298.82179487179491</v>
      </c>
      <c r="Y3057" t="str">
        <f>IF(Table1[[#This Row],[customer_subscription]]=1,"Subscribed","Not Subscribed")</f>
        <v>Not Subscribed</v>
      </c>
      <c r="Z3057" t="s">
        <v>194</v>
      </c>
    </row>
    <row r="3058" spans="1:26" x14ac:dyDescent="0.25">
      <c r="A3058">
        <v>3057</v>
      </c>
      <c r="B3058">
        <v>69</v>
      </c>
      <c r="C3058" t="s">
        <v>156</v>
      </c>
      <c r="D3058">
        <v>3057</v>
      </c>
      <c r="E3058" t="s">
        <v>146</v>
      </c>
      <c r="F3058" t="s">
        <v>70</v>
      </c>
      <c r="G3058">
        <v>3057</v>
      </c>
      <c r="H3058">
        <v>3867</v>
      </c>
      <c r="I3058">
        <v>59</v>
      </c>
      <c r="J3058" t="s">
        <v>130</v>
      </c>
      <c r="K3058" t="s">
        <v>47</v>
      </c>
      <c r="L3058" t="s">
        <v>121</v>
      </c>
      <c r="M3058" t="s">
        <v>40</v>
      </c>
      <c r="N3058">
        <v>3.8</v>
      </c>
      <c r="O3058">
        <v>0</v>
      </c>
      <c r="P3058" t="s">
        <v>57</v>
      </c>
      <c r="Q3058" t="s">
        <v>155</v>
      </c>
      <c r="R3058" t="s">
        <v>155</v>
      </c>
      <c r="S3058">
        <v>15</v>
      </c>
      <c r="T3058" t="s">
        <v>36</v>
      </c>
      <c r="U3058" t="s">
        <v>79</v>
      </c>
      <c r="V3058" s="1">
        <v>45401</v>
      </c>
      <c r="W3058">
        <f>Table1[[#This Row],[customer_purchase count]]+1</f>
        <v>16</v>
      </c>
      <c r="X3058">
        <f>Table1[[#This Row],[customer_purchase count]]*Rules!$B$3</f>
        <v>896.46538461538466</v>
      </c>
      <c r="Y3058" t="str">
        <f>IF(Table1[[#This Row],[customer_subscription]]=1,"Subscribed","Not Subscribed")</f>
        <v>Not Subscribed</v>
      </c>
      <c r="Z3058" t="s">
        <v>194</v>
      </c>
    </row>
    <row r="3059" spans="1:26" x14ac:dyDescent="0.25">
      <c r="A3059">
        <v>3058</v>
      </c>
      <c r="B3059">
        <v>67</v>
      </c>
      <c r="C3059" t="s">
        <v>156</v>
      </c>
      <c r="D3059">
        <v>3058</v>
      </c>
      <c r="E3059" t="s">
        <v>135</v>
      </c>
      <c r="F3059" t="s">
        <v>70</v>
      </c>
      <c r="G3059">
        <v>3058</v>
      </c>
      <c r="H3059">
        <v>3868</v>
      </c>
      <c r="I3059">
        <v>22</v>
      </c>
      <c r="J3059" t="s">
        <v>101</v>
      </c>
      <c r="K3059" t="s">
        <v>47</v>
      </c>
      <c r="L3059" t="s">
        <v>147</v>
      </c>
      <c r="M3059" t="s">
        <v>40</v>
      </c>
      <c r="N3059">
        <v>3.4</v>
      </c>
      <c r="O3059">
        <v>0</v>
      </c>
      <c r="P3059" t="s">
        <v>48</v>
      </c>
      <c r="Q3059" t="s">
        <v>155</v>
      </c>
      <c r="R3059" t="s">
        <v>155</v>
      </c>
      <c r="S3059">
        <v>26</v>
      </c>
      <c r="T3059" t="s">
        <v>78</v>
      </c>
      <c r="U3059" t="s">
        <v>43</v>
      </c>
      <c r="V3059" s="1">
        <v>45375</v>
      </c>
      <c r="W3059">
        <f>Table1[[#This Row],[customer_purchase count]]+1</f>
        <v>27</v>
      </c>
      <c r="X3059">
        <f>Table1[[#This Row],[customer_purchase count]]*Rules!$B$3</f>
        <v>1553.8733333333334</v>
      </c>
      <c r="Y3059" t="str">
        <f>IF(Table1[[#This Row],[customer_subscription]]=1,"Subscribed","Not Subscribed")</f>
        <v>Not Subscribed</v>
      </c>
    </row>
    <row r="3060" spans="1:26" x14ac:dyDescent="0.25">
      <c r="A3060">
        <v>3059</v>
      </c>
      <c r="B3060">
        <v>41</v>
      </c>
      <c r="C3060" t="s">
        <v>156</v>
      </c>
      <c r="D3060">
        <v>3059</v>
      </c>
      <c r="E3060" t="s">
        <v>69</v>
      </c>
      <c r="F3060" t="s">
        <v>70</v>
      </c>
      <c r="G3060">
        <v>3059</v>
      </c>
      <c r="H3060">
        <v>3869</v>
      </c>
      <c r="I3060">
        <v>74</v>
      </c>
      <c r="J3060" t="s">
        <v>67</v>
      </c>
      <c r="K3060" t="s">
        <v>39</v>
      </c>
      <c r="L3060" t="s">
        <v>124</v>
      </c>
      <c r="M3060" t="s">
        <v>28</v>
      </c>
      <c r="N3060">
        <v>3.8</v>
      </c>
      <c r="O3060">
        <v>0</v>
      </c>
      <c r="P3060" t="s">
        <v>77</v>
      </c>
      <c r="Q3060" t="s">
        <v>155</v>
      </c>
      <c r="R3060" t="s">
        <v>155</v>
      </c>
      <c r="S3060">
        <v>3</v>
      </c>
      <c r="T3060" t="s">
        <v>78</v>
      </c>
      <c r="U3060" t="s">
        <v>32</v>
      </c>
      <c r="V3060" s="1">
        <v>45332</v>
      </c>
      <c r="W3060">
        <f>Table1[[#This Row],[customer_purchase count]]+1</f>
        <v>4</v>
      </c>
      <c r="X3060">
        <f>Table1[[#This Row],[customer_purchase count]]*Rules!$B$3</f>
        <v>179.29307692307694</v>
      </c>
      <c r="Y3060" t="str">
        <f>IF(Table1[[#This Row],[customer_subscription]]=1,"Subscribed","Not Subscribed")</f>
        <v>Not Subscribed</v>
      </c>
      <c r="Z3060" t="s">
        <v>194</v>
      </c>
    </row>
    <row r="3061" spans="1:26" x14ac:dyDescent="0.25">
      <c r="A3061">
        <v>3060</v>
      </c>
      <c r="B3061">
        <v>46</v>
      </c>
      <c r="C3061" t="s">
        <v>156</v>
      </c>
      <c r="D3061">
        <v>3060</v>
      </c>
      <c r="E3061" t="s">
        <v>33</v>
      </c>
      <c r="F3061" t="s">
        <v>24</v>
      </c>
      <c r="G3061">
        <v>3060</v>
      </c>
      <c r="H3061">
        <v>3871</v>
      </c>
      <c r="I3061">
        <v>71</v>
      </c>
      <c r="J3061" t="s">
        <v>25</v>
      </c>
      <c r="K3061" t="s">
        <v>26</v>
      </c>
      <c r="L3061" t="s">
        <v>35</v>
      </c>
      <c r="M3061" t="s">
        <v>40</v>
      </c>
      <c r="N3061">
        <v>3.2</v>
      </c>
      <c r="O3061">
        <v>0</v>
      </c>
      <c r="P3061" t="s">
        <v>29</v>
      </c>
      <c r="Q3061" t="s">
        <v>155</v>
      </c>
      <c r="R3061" t="s">
        <v>155</v>
      </c>
      <c r="S3061">
        <v>42</v>
      </c>
      <c r="T3061" t="s">
        <v>42</v>
      </c>
      <c r="U3061" t="s">
        <v>61</v>
      </c>
      <c r="V3061" s="1">
        <v>45433</v>
      </c>
      <c r="W3061">
        <f>Table1[[#This Row],[customer_purchase count]]+1</f>
        <v>43</v>
      </c>
      <c r="X3061">
        <f>Table1[[#This Row],[customer_purchase count]]*Rules!$B$3</f>
        <v>2510.103076923077</v>
      </c>
      <c r="Y3061" t="str">
        <f>IF(Table1[[#This Row],[customer_subscription]]=1,"Subscribed","Not Subscribed")</f>
        <v>Not Subscribed</v>
      </c>
    </row>
    <row r="3062" spans="1:26" x14ac:dyDescent="0.25">
      <c r="A3062">
        <v>3061</v>
      </c>
      <c r="B3062">
        <v>47</v>
      </c>
      <c r="C3062" t="s">
        <v>156</v>
      </c>
      <c r="D3062">
        <v>3061</v>
      </c>
      <c r="E3062" t="s">
        <v>65</v>
      </c>
      <c r="F3062" t="s">
        <v>66</v>
      </c>
      <c r="G3062">
        <v>3061</v>
      </c>
      <c r="H3062">
        <v>3872</v>
      </c>
      <c r="I3062">
        <v>80</v>
      </c>
      <c r="J3062" t="s">
        <v>102</v>
      </c>
      <c r="K3062" t="s">
        <v>39</v>
      </c>
      <c r="L3062" t="s">
        <v>64</v>
      </c>
      <c r="M3062" t="s">
        <v>56</v>
      </c>
      <c r="N3062">
        <v>4.7</v>
      </c>
      <c r="O3062">
        <v>0</v>
      </c>
      <c r="P3062" t="s">
        <v>77</v>
      </c>
      <c r="Q3062" t="s">
        <v>155</v>
      </c>
      <c r="R3062" t="s">
        <v>155</v>
      </c>
      <c r="S3062">
        <v>1</v>
      </c>
      <c r="T3062" t="s">
        <v>31</v>
      </c>
      <c r="U3062" t="s">
        <v>91</v>
      </c>
      <c r="V3062" s="1">
        <v>45457</v>
      </c>
      <c r="W3062">
        <f>Table1[[#This Row],[customer_purchase count]]+1</f>
        <v>2</v>
      </c>
      <c r="X3062">
        <f>Table1[[#This Row],[customer_purchase count]]*Rules!$B$3</f>
        <v>59.764358974358977</v>
      </c>
      <c r="Y3062" t="str">
        <f>IF(Table1[[#This Row],[customer_subscription]]=1,"Subscribed","Not Subscribed")</f>
        <v>Not Subscribed</v>
      </c>
      <c r="Z3062" t="s">
        <v>194</v>
      </c>
    </row>
    <row r="3063" spans="1:26" x14ac:dyDescent="0.25">
      <c r="A3063">
        <v>3062</v>
      </c>
      <c r="B3063">
        <v>33</v>
      </c>
      <c r="C3063" t="s">
        <v>156</v>
      </c>
      <c r="D3063">
        <v>3062</v>
      </c>
      <c r="E3063" t="s">
        <v>116</v>
      </c>
      <c r="F3063" t="s">
        <v>24</v>
      </c>
      <c r="G3063">
        <v>3062</v>
      </c>
      <c r="H3063">
        <v>3873</v>
      </c>
      <c r="I3063">
        <v>59</v>
      </c>
      <c r="J3063" t="s">
        <v>150</v>
      </c>
      <c r="K3063" t="s">
        <v>26</v>
      </c>
      <c r="L3063" t="s">
        <v>81</v>
      </c>
      <c r="M3063" t="s">
        <v>60</v>
      </c>
      <c r="N3063">
        <v>4.5</v>
      </c>
      <c r="O3063">
        <v>0</v>
      </c>
      <c r="P3063" t="s">
        <v>29</v>
      </c>
      <c r="Q3063" t="s">
        <v>155</v>
      </c>
      <c r="R3063" t="s">
        <v>155</v>
      </c>
      <c r="S3063">
        <v>20</v>
      </c>
      <c r="T3063" t="s">
        <v>49</v>
      </c>
      <c r="U3063" t="s">
        <v>100</v>
      </c>
      <c r="V3063" s="1">
        <v>45589</v>
      </c>
      <c r="W3063">
        <f>Table1[[#This Row],[customer_purchase count]]+1</f>
        <v>21</v>
      </c>
      <c r="X3063">
        <f>Table1[[#This Row],[customer_purchase count]]*Rules!$B$3</f>
        <v>1195.2871794871796</v>
      </c>
      <c r="Y3063" t="str">
        <f>IF(Table1[[#This Row],[customer_subscription]]=1,"Subscribed","Not Subscribed")</f>
        <v>Not Subscribed</v>
      </c>
    </row>
    <row r="3064" spans="1:26" x14ac:dyDescent="0.25">
      <c r="A3064">
        <v>3063</v>
      </c>
      <c r="B3064">
        <v>51</v>
      </c>
      <c r="C3064" t="s">
        <v>156</v>
      </c>
      <c r="D3064">
        <v>3063</v>
      </c>
      <c r="E3064" t="s">
        <v>135</v>
      </c>
      <c r="F3064" t="s">
        <v>70</v>
      </c>
      <c r="G3064">
        <v>3063</v>
      </c>
      <c r="H3064">
        <v>3874</v>
      </c>
      <c r="I3064">
        <v>96</v>
      </c>
      <c r="J3064" t="s">
        <v>102</v>
      </c>
      <c r="K3064" t="s">
        <v>26</v>
      </c>
      <c r="L3064" t="s">
        <v>99</v>
      </c>
      <c r="M3064" t="s">
        <v>60</v>
      </c>
      <c r="N3064">
        <v>3.3</v>
      </c>
      <c r="O3064">
        <v>0</v>
      </c>
      <c r="P3064" t="s">
        <v>57</v>
      </c>
      <c r="Q3064" t="s">
        <v>155</v>
      </c>
      <c r="R3064" t="s">
        <v>155</v>
      </c>
      <c r="S3064">
        <v>39</v>
      </c>
      <c r="T3064" t="s">
        <v>49</v>
      </c>
      <c r="U3064" t="s">
        <v>91</v>
      </c>
      <c r="V3064" s="1">
        <v>45561</v>
      </c>
      <c r="W3064">
        <f>Table1[[#This Row],[customer_purchase count]]+1</f>
        <v>40</v>
      </c>
      <c r="X3064">
        <f>Table1[[#This Row],[customer_purchase count]]*Rules!$B$3</f>
        <v>2330.81</v>
      </c>
      <c r="Y3064" t="str">
        <f>IF(Table1[[#This Row],[customer_subscription]]=1,"Subscribed","Not Subscribed")</f>
        <v>Not Subscribed</v>
      </c>
    </row>
    <row r="3065" spans="1:26" x14ac:dyDescent="0.25">
      <c r="A3065">
        <v>3064</v>
      </c>
      <c r="B3065">
        <v>26</v>
      </c>
      <c r="C3065" t="s">
        <v>156</v>
      </c>
      <c r="D3065">
        <v>3064</v>
      </c>
      <c r="E3065" t="s">
        <v>92</v>
      </c>
      <c r="F3065" t="s">
        <v>70</v>
      </c>
      <c r="G3065">
        <v>3064</v>
      </c>
      <c r="H3065">
        <v>3875</v>
      </c>
      <c r="I3065">
        <v>43</v>
      </c>
      <c r="J3065" t="s">
        <v>142</v>
      </c>
      <c r="K3065" t="s">
        <v>26</v>
      </c>
      <c r="L3065" t="s">
        <v>113</v>
      </c>
      <c r="M3065" t="s">
        <v>28</v>
      </c>
      <c r="N3065">
        <v>3.9</v>
      </c>
      <c r="O3065">
        <v>0</v>
      </c>
      <c r="P3065" t="s">
        <v>77</v>
      </c>
      <c r="Q3065" t="s">
        <v>155</v>
      </c>
      <c r="R3065" t="s">
        <v>155</v>
      </c>
      <c r="S3065">
        <v>24</v>
      </c>
      <c r="T3065" t="s">
        <v>42</v>
      </c>
      <c r="U3065" t="s">
        <v>32</v>
      </c>
      <c r="V3065" s="1">
        <v>45334</v>
      </c>
      <c r="W3065">
        <f>Table1[[#This Row],[customer_purchase count]]+1</f>
        <v>25</v>
      </c>
      <c r="X3065">
        <f>Table1[[#This Row],[customer_purchase count]]*Rules!$B$3</f>
        <v>1434.3446153846155</v>
      </c>
      <c r="Y3065" t="str">
        <f>IF(Table1[[#This Row],[customer_subscription]]=1,"Subscribed","Not Subscribed")</f>
        <v>Not Subscribed</v>
      </c>
    </row>
    <row r="3066" spans="1:26" x14ac:dyDescent="0.25">
      <c r="A3066">
        <v>3065</v>
      </c>
      <c r="B3066">
        <v>22</v>
      </c>
      <c r="C3066" t="s">
        <v>156</v>
      </c>
      <c r="D3066">
        <v>3065</v>
      </c>
      <c r="E3066" t="s">
        <v>136</v>
      </c>
      <c r="F3066" t="s">
        <v>70</v>
      </c>
      <c r="G3066">
        <v>3065</v>
      </c>
      <c r="H3066">
        <v>3877</v>
      </c>
      <c r="I3066">
        <v>76</v>
      </c>
      <c r="J3066" t="s">
        <v>138</v>
      </c>
      <c r="K3066" t="s">
        <v>39</v>
      </c>
      <c r="L3066" t="s">
        <v>112</v>
      </c>
      <c r="M3066" t="s">
        <v>28</v>
      </c>
      <c r="N3066">
        <v>3.6</v>
      </c>
      <c r="O3066">
        <v>0</v>
      </c>
      <c r="P3066" t="s">
        <v>29</v>
      </c>
      <c r="Q3066" t="s">
        <v>155</v>
      </c>
      <c r="R3066" t="s">
        <v>155</v>
      </c>
      <c r="S3066">
        <v>49</v>
      </c>
      <c r="T3066" t="s">
        <v>78</v>
      </c>
      <c r="U3066" t="s">
        <v>61</v>
      </c>
      <c r="V3066" s="1">
        <v>45634</v>
      </c>
      <c r="W3066">
        <f>Table1[[#This Row],[customer_purchase count]]+1</f>
        <v>50</v>
      </c>
      <c r="X3066">
        <f>Table1[[#This Row],[customer_purchase count]]*Rules!$B$3</f>
        <v>2928.4535897435899</v>
      </c>
      <c r="Y3066" t="str">
        <f>IF(Table1[[#This Row],[customer_subscription]]=1,"Subscribed","Not Subscribed")</f>
        <v>Not Subscribed</v>
      </c>
    </row>
    <row r="3067" spans="1:26" x14ac:dyDescent="0.25">
      <c r="A3067">
        <v>3066</v>
      </c>
      <c r="B3067">
        <v>49</v>
      </c>
      <c r="C3067" t="s">
        <v>156</v>
      </c>
      <c r="D3067">
        <v>3066</v>
      </c>
      <c r="E3067" t="s">
        <v>105</v>
      </c>
      <c r="F3067" t="s">
        <v>66</v>
      </c>
      <c r="G3067">
        <v>3066</v>
      </c>
      <c r="H3067">
        <v>3878</v>
      </c>
      <c r="I3067">
        <v>59</v>
      </c>
      <c r="J3067" t="s">
        <v>117</v>
      </c>
      <c r="K3067" t="s">
        <v>47</v>
      </c>
      <c r="L3067" t="s">
        <v>121</v>
      </c>
      <c r="M3067" t="s">
        <v>60</v>
      </c>
      <c r="N3067">
        <v>2.8</v>
      </c>
      <c r="O3067">
        <v>0</v>
      </c>
      <c r="P3067" t="s">
        <v>77</v>
      </c>
      <c r="Q3067" t="s">
        <v>155</v>
      </c>
      <c r="R3067" t="s">
        <v>155</v>
      </c>
      <c r="S3067">
        <v>7</v>
      </c>
      <c r="T3067" t="s">
        <v>31</v>
      </c>
      <c r="U3067" t="s">
        <v>79</v>
      </c>
      <c r="V3067" s="1">
        <v>45618</v>
      </c>
      <c r="W3067">
        <f>Table1[[#This Row],[customer_purchase count]]+1</f>
        <v>8</v>
      </c>
      <c r="X3067">
        <f>Table1[[#This Row],[customer_purchase count]]*Rules!$B$3</f>
        <v>418.35051282051285</v>
      </c>
      <c r="Y3067" t="str">
        <f>IF(Table1[[#This Row],[customer_subscription]]=1,"Subscribed","Not Subscribed")</f>
        <v>Not Subscribed</v>
      </c>
      <c r="Z3067" t="s">
        <v>194</v>
      </c>
    </row>
    <row r="3068" spans="1:26" x14ac:dyDescent="0.25">
      <c r="A3068">
        <v>3067</v>
      </c>
      <c r="B3068">
        <v>58</v>
      </c>
      <c r="C3068" t="s">
        <v>156</v>
      </c>
      <c r="D3068">
        <v>3067</v>
      </c>
      <c r="E3068" t="s">
        <v>90</v>
      </c>
      <c r="F3068" t="s">
        <v>24</v>
      </c>
      <c r="G3068">
        <v>3067</v>
      </c>
      <c r="H3068">
        <v>3879</v>
      </c>
      <c r="I3068">
        <v>48</v>
      </c>
      <c r="J3068" t="s">
        <v>154</v>
      </c>
      <c r="K3068" t="s">
        <v>26</v>
      </c>
      <c r="L3068" t="s">
        <v>88</v>
      </c>
      <c r="M3068" t="s">
        <v>56</v>
      </c>
      <c r="N3068">
        <v>4.3</v>
      </c>
      <c r="O3068">
        <v>0</v>
      </c>
      <c r="P3068" t="s">
        <v>41</v>
      </c>
      <c r="Q3068" t="s">
        <v>155</v>
      </c>
      <c r="R3068" t="s">
        <v>155</v>
      </c>
      <c r="S3068">
        <v>13</v>
      </c>
      <c r="T3068" t="s">
        <v>31</v>
      </c>
      <c r="U3068" t="s">
        <v>100</v>
      </c>
      <c r="V3068" s="1">
        <v>45506</v>
      </c>
      <c r="W3068">
        <f>Table1[[#This Row],[customer_purchase count]]+1</f>
        <v>14</v>
      </c>
      <c r="X3068">
        <f>Table1[[#This Row],[customer_purchase count]]*Rules!$B$3</f>
        <v>776.93666666666672</v>
      </c>
      <c r="Y3068" t="str">
        <f>IF(Table1[[#This Row],[customer_subscription]]=1,"Subscribed","Not Subscribed")</f>
        <v>Not Subscribed</v>
      </c>
      <c r="Z3068" t="s">
        <v>194</v>
      </c>
    </row>
    <row r="3069" spans="1:26" x14ac:dyDescent="0.25">
      <c r="A3069">
        <v>3068</v>
      </c>
      <c r="B3069">
        <v>70</v>
      </c>
      <c r="C3069" t="s">
        <v>156</v>
      </c>
      <c r="D3069">
        <v>3068</v>
      </c>
      <c r="E3069" t="s">
        <v>136</v>
      </c>
      <c r="F3069" t="s">
        <v>70</v>
      </c>
      <c r="G3069">
        <v>3068</v>
      </c>
      <c r="H3069">
        <v>3880</v>
      </c>
      <c r="I3069">
        <v>22</v>
      </c>
      <c r="J3069" t="s">
        <v>71</v>
      </c>
      <c r="K3069" t="s">
        <v>39</v>
      </c>
      <c r="L3069" t="s">
        <v>27</v>
      </c>
      <c r="M3069" t="s">
        <v>40</v>
      </c>
      <c r="N3069">
        <v>3.5</v>
      </c>
      <c r="O3069">
        <v>0</v>
      </c>
      <c r="P3069" t="s">
        <v>41</v>
      </c>
      <c r="Q3069" t="s">
        <v>155</v>
      </c>
      <c r="R3069" t="s">
        <v>155</v>
      </c>
      <c r="S3069">
        <v>2</v>
      </c>
      <c r="T3069" t="s">
        <v>36</v>
      </c>
      <c r="U3069" t="s">
        <v>43</v>
      </c>
      <c r="V3069" s="1">
        <v>45390</v>
      </c>
      <c r="W3069">
        <f>Table1[[#This Row],[customer_purchase count]]+1</f>
        <v>3</v>
      </c>
      <c r="X3069">
        <f>Table1[[#This Row],[customer_purchase count]]*Rules!$B$3</f>
        <v>119.52871794871795</v>
      </c>
      <c r="Y3069" t="str">
        <f>IF(Table1[[#This Row],[customer_subscription]]=1,"Subscribed","Not Subscribed")</f>
        <v>Not Subscribed</v>
      </c>
      <c r="Z3069" t="s">
        <v>194</v>
      </c>
    </row>
    <row r="3070" spans="1:26" x14ac:dyDescent="0.25">
      <c r="A3070">
        <v>3069</v>
      </c>
      <c r="B3070">
        <v>32</v>
      </c>
      <c r="C3070" t="s">
        <v>156</v>
      </c>
      <c r="D3070">
        <v>3069</v>
      </c>
      <c r="E3070" t="s">
        <v>140</v>
      </c>
      <c r="F3070" t="s">
        <v>45</v>
      </c>
      <c r="G3070">
        <v>3069</v>
      </c>
      <c r="H3070">
        <v>3881</v>
      </c>
      <c r="I3070">
        <v>40</v>
      </c>
      <c r="J3070" t="s">
        <v>102</v>
      </c>
      <c r="K3070" t="s">
        <v>47</v>
      </c>
      <c r="L3070" t="s">
        <v>129</v>
      </c>
      <c r="M3070" t="s">
        <v>28</v>
      </c>
      <c r="N3070">
        <v>4.2</v>
      </c>
      <c r="O3070">
        <v>0</v>
      </c>
      <c r="P3070" t="s">
        <v>29</v>
      </c>
      <c r="Q3070" t="s">
        <v>155</v>
      </c>
      <c r="R3070" t="s">
        <v>155</v>
      </c>
      <c r="S3070">
        <v>4</v>
      </c>
      <c r="T3070" t="s">
        <v>89</v>
      </c>
      <c r="U3070" t="s">
        <v>43</v>
      </c>
      <c r="V3070" s="1">
        <v>45646</v>
      </c>
      <c r="W3070">
        <f>Table1[[#This Row],[customer_purchase count]]+1</f>
        <v>5</v>
      </c>
      <c r="X3070">
        <f>Table1[[#This Row],[customer_purchase count]]*Rules!$B$3</f>
        <v>239.05743589743591</v>
      </c>
      <c r="Y3070" t="str">
        <f>IF(Table1[[#This Row],[customer_subscription]]=1,"Subscribed","Not Subscribed")</f>
        <v>Not Subscribed</v>
      </c>
      <c r="Z3070" t="s">
        <v>194</v>
      </c>
    </row>
    <row r="3071" spans="1:26" x14ac:dyDescent="0.25">
      <c r="A3071">
        <v>3070</v>
      </c>
      <c r="B3071">
        <v>62</v>
      </c>
      <c r="C3071" t="s">
        <v>156</v>
      </c>
      <c r="D3071">
        <v>3070</v>
      </c>
      <c r="E3071" t="s">
        <v>37</v>
      </c>
      <c r="F3071" t="s">
        <v>24</v>
      </c>
      <c r="G3071">
        <v>3070</v>
      </c>
      <c r="H3071">
        <v>3883</v>
      </c>
      <c r="I3071">
        <v>73</v>
      </c>
      <c r="J3071" t="s">
        <v>82</v>
      </c>
      <c r="K3071" t="s">
        <v>26</v>
      </c>
      <c r="L3071" t="s">
        <v>139</v>
      </c>
      <c r="M3071" t="s">
        <v>40</v>
      </c>
      <c r="N3071">
        <v>4.5999999999999996</v>
      </c>
      <c r="O3071">
        <v>0</v>
      </c>
      <c r="P3071" t="s">
        <v>29</v>
      </c>
      <c r="Q3071" t="s">
        <v>155</v>
      </c>
      <c r="R3071" t="s">
        <v>155</v>
      </c>
      <c r="S3071">
        <v>17</v>
      </c>
      <c r="T3071" t="s">
        <v>89</v>
      </c>
      <c r="U3071" t="s">
        <v>61</v>
      </c>
      <c r="V3071" s="1">
        <v>45392</v>
      </c>
      <c r="W3071">
        <f>Table1[[#This Row],[customer_purchase count]]+1</f>
        <v>18</v>
      </c>
      <c r="X3071">
        <f>Table1[[#This Row],[customer_purchase count]]*Rules!$B$3</f>
        <v>1015.9941025641026</v>
      </c>
      <c r="Y3071" t="str">
        <f>IF(Table1[[#This Row],[customer_subscription]]=1,"Subscribed","Not Subscribed")</f>
        <v>Not Subscribed</v>
      </c>
      <c r="Z3071" t="s">
        <v>194</v>
      </c>
    </row>
    <row r="3072" spans="1:26" x14ac:dyDescent="0.25">
      <c r="A3072">
        <v>3071</v>
      </c>
      <c r="B3072">
        <v>52</v>
      </c>
      <c r="C3072" t="s">
        <v>156</v>
      </c>
      <c r="D3072">
        <v>3071</v>
      </c>
      <c r="E3072" t="s">
        <v>74</v>
      </c>
      <c r="F3072" t="s">
        <v>45</v>
      </c>
      <c r="G3072">
        <v>3071</v>
      </c>
      <c r="H3072">
        <v>3884</v>
      </c>
      <c r="I3072">
        <v>26</v>
      </c>
      <c r="J3072" t="s">
        <v>93</v>
      </c>
      <c r="K3072" t="s">
        <v>95</v>
      </c>
      <c r="L3072" t="s">
        <v>111</v>
      </c>
      <c r="M3072" t="s">
        <v>60</v>
      </c>
      <c r="N3072">
        <v>2.6</v>
      </c>
      <c r="O3072">
        <v>0</v>
      </c>
      <c r="P3072" t="s">
        <v>41</v>
      </c>
      <c r="Q3072" t="s">
        <v>155</v>
      </c>
      <c r="R3072" t="s">
        <v>155</v>
      </c>
      <c r="S3072">
        <v>43</v>
      </c>
      <c r="T3072" t="s">
        <v>49</v>
      </c>
      <c r="U3072" t="s">
        <v>79</v>
      </c>
      <c r="V3072" s="1">
        <v>45609</v>
      </c>
      <c r="W3072">
        <f>Table1[[#This Row],[customer_purchase count]]+1</f>
        <v>44</v>
      </c>
      <c r="X3072">
        <f>Table1[[#This Row],[customer_purchase count]]*Rules!$B$3</f>
        <v>2569.8674358974358</v>
      </c>
      <c r="Y3072" t="str">
        <f>IF(Table1[[#This Row],[customer_subscription]]=1,"Subscribed","Not Subscribed")</f>
        <v>Not Subscribed</v>
      </c>
    </row>
    <row r="3073" spans="1:26" x14ac:dyDescent="0.25">
      <c r="A3073">
        <v>3072</v>
      </c>
      <c r="B3073">
        <v>23</v>
      </c>
      <c r="C3073" t="s">
        <v>156</v>
      </c>
      <c r="D3073">
        <v>3072</v>
      </c>
      <c r="E3073" t="s">
        <v>33</v>
      </c>
      <c r="F3073" t="s">
        <v>24</v>
      </c>
      <c r="G3073">
        <v>3072</v>
      </c>
      <c r="H3073">
        <v>3885</v>
      </c>
      <c r="I3073">
        <v>41</v>
      </c>
      <c r="J3073" t="s">
        <v>85</v>
      </c>
      <c r="K3073" t="s">
        <v>26</v>
      </c>
      <c r="L3073" t="s">
        <v>51</v>
      </c>
      <c r="M3073" t="s">
        <v>40</v>
      </c>
      <c r="N3073">
        <v>3.4</v>
      </c>
      <c r="O3073">
        <v>0</v>
      </c>
      <c r="P3073" t="s">
        <v>48</v>
      </c>
      <c r="Q3073" t="s">
        <v>155</v>
      </c>
      <c r="R3073" t="s">
        <v>155</v>
      </c>
      <c r="S3073">
        <v>6</v>
      </c>
      <c r="T3073" t="s">
        <v>49</v>
      </c>
      <c r="U3073" t="s">
        <v>91</v>
      </c>
      <c r="V3073" s="1">
        <v>45401</v>
      </c>
      <c r="W3073">
        <f>Table1[[#This Row],[customer_purchase count]]+1</f>
        <v>7</v>
      </c>
      <c r="X3073">
        <f>Table1[[#This Row],[customer_purchase count]]*Rules!$B$3</f>
        <v>358.58615384615388</v>
      </c>
      <c r="Y3073" t="str">
        <f>IF(Table1[[#This Row],[customer_subscription]]=1,"Subscribed","Not Subscribed")</f>
        <v>Not Subscribed</v>
      </c>
      <c r="Z3073" t="s">
        <v>194</v>
      </c>
    </row>
    <row r="3074" spans="1:26" x14ac:dyDescent="0.25">
      <c r="A3074">
        <v>3073</v>
      </c>
      <c r="B3074">
        <v>26</v>
      </c>
      <c r="C3074" t="s">
        <v>156</v>
      </c>
      <c r="D3074">
        <v>3073</v>
      </c>
      <c r="E3074" t="s">
        <v>109</v>
      </c>
      <c r="F3074" t="s">
        <v>70</v>
      </c>
      <c r="G3074">
        <v>3073</v>
      </c>
      <c r="H3074">
        <v>3886</v>
      </c>
      <c r="I3074">
        <v>98</v>
      </c>
      <c r="J3074" t="s">
        <v>87</v>
      </c>
      <c r="K3074" t="s">
        <v>26</v>
      </c>
      <c r="L3074" t="s">
        <v>103</v>
      </c>
      <c r="M3074" t="s">
        <v>40</v>
      </c>
      <c r="N3074">
        <v>3.1</v>
      </c>
      <c r="O3074">
        <v>0</v>
      </c>
      <c r="P3074" t="s">
        <v>57</v>
      </c>
      <c r="Q3074" t="s">
        <v>155</v>
      </c>
      <c r="R3074" t="s">
        <v>155</v>
      </c>
      <c r="S3074">
        <v>46</v>
      </c>
      <c r="T3074" t="s">
        <v>49</v>
      </c>
      <c r="U3074" t="s">
        <v>61</v>
      </c>
      <c r="V3074" s="1">
        <v>45418</v>
      </c>
      <c r="W3074">
        <f>Table1[[#This Row],[customer_purchase count]]+1</f>
        <v>47</v>
      </c>
      <c r="X3074">
        <f>Table1[[#This Row],[customer_purchase count]]*Rules!$B$3</f>
        <v>2749.1605128205128</v>
      </c>
      <c r="Y3074" t="str">
        <f>IF(Table1[[#This Row],[customer_subscription]]=1,"Subscribed","Not Subscribed")</f>
        <v>Not Subscribed</v>
      </c>
    </row>
    <row r="3075" spans="1:26" x14ac:dyDescent="0.25">
      <c r="A3075">
        <v>3074</v>
      </c>
      <c r="B3075">
        <v>58</v>
      </c>
      <c r="C3075" t="s">
        <v>156</v>
      </c>
      <c r="D3075">
        <v>3074</v>
      </c>
      <c r="E3075" t="s">
        <v>58</v>
      </c>
      <c r="F3075" t="s">
        <v>24</v>
      </c>
      <c r="G3075">
        <v>3074</v>
      </c>
      <c r="H3075">
        <v>3887</v>
      </c>
      <c r="I3075">
        <v>63</v>
      </c>
      <c r="J3075" t="s">
        <v>50</v>
      </c>
      <c r="K3075" t="s">
        <v>26</v>
      </c>
      <c r="L3075" t="s">
        <v>55</v>
      </c>
      <c r="M3075" t="s">
        <v>28</v>
      </c>
      <c r="N3075">
        <v>3.6</v>
      </c>
      <c r="O3075">
        <v>0</v>
      </c>
      <c r="P3075" t="s">
        <v>41</v>
      </c>
      <c r="Q3075" t="s">
        <v>155</v>
      </c>
      <c r="R3075" t="s">
        <v>155</v>
      </c>
      <c r="S3075">
        <v>7</v>
      </c>
      <c r="T3075" t="s">
        <v>89</v>
      </c>
      <c r="U3075" t="s">
        <v>79</v>
      </c>
      <c r="V3075" s="1">
        <v>45317</v>
      </c>
      <c r="W3075">
        <f>Table1[[#This Row],[customer_purchase count]]+1</f>
        <v>8</v>
      </c>
      <c r="X3075">
        <f>Table1[[#This Row],[customer_purchase count]]*Rules!$B$3</f>
        <v>418.35051282051285</v>
      </c>
      <c r="Y3075" t="str">
        <f>IF(Table1[[#This Row],[customer_subscription]]=1,"Subscribed","Not Subscribed")</f>
        <v>Not Subscribed</v>
      </c>
      <c r="Z3075" t="s">
        <v>194</v>
      </c>
    </row>
    <row r="3076" spans="1:26" x14ac:dyDescent="0.25">
      <c r="A3076">
        <v>3075</v>
      </c>
      <c r="B3076">
        <v>26</v>
      </c>
      <c r="C3076" t="s">
        <v>156</v>
      </c>
      <c r="D3076">
        <v>3075</v>
      </c>
      <c r="E3076" t="s">
        <v>140</v>
      </c>
      <c r="F3076" t="s">
        <v>45</v>
      </c>
      <c r="G3076">
        <v>3075</v>
      </c>
      <c r="H3076">
        <v>3889</v>
      </c>
      <c r="I3076">
        <v>55</v>
      </c>
      <c r="J3076" t="s">
        <v>38</v>
      </c>
      <c r="K3076" t="s">
        <v>26</v>
      </c>
      <c r="L3076" t="s">
        <v>35</v>
      </c>
      <c r="M3076" t="s">
        <v>28</v>
      </c>
      <c r="N3076">
        <v>4.2</v>
      </c>
      <c r="O3076">
        <v>0</v>
      </c>
      <c r="P3076" t="s">
        <v>48</v>
      </c>
      <c r="Q3076" t="s">
        <v>155</v>
      </c>
      <c r="R3076" t="s">
        <v>155</v>
      </c>
      <c r="S3076">
        <v>34</v>
      </c>
      <c r="T3076" t="s">
        <v>89</v>
      </c>
      <c r="U3076" t="s">
        <v>32</v>
      </c>
      <c r="V3076" s="1">
        <v>45341</v>
      </c>
      <c r="W3076">
        <f>Table1[[#This Row],[customer_purchase count]]+1</f>
        <v>35</v>
      </c>
      <c r="X3076">
        <f>Table1[[#This Row],[customer_purchase count]]*Rules!$B$3</f>
        <v>2031.9882051282052</v>
      </c>
      <c r="Y3076" t="str">
        <f>IF(Table1[[#This Row],[customer_subscription]]=1,"Subscribed","Not Subscribed")</f>
        <v>Not Subscribed</v>
      </c>
    </row>
    <row r="3077" spans="1:26" x14ac:dyDescent="0.25">
      <c r="A3077">
        <v>3076</v>
      </c>
      <c r="B3077">
        <v>54</v>
      </c>
      <c r="C3077" t="s">
        <v>156</v>
      </c>
      <c r="D3077">
        <v>3076</v>
      </c>
      <c r="E3077" t="s">
        <v>62</v>
      </c>
      <c r="F3077" t="s">
        <v>24</v>
      </c>
      <c r="G3077">
        <v>3076</v>
      </c>
      <c r="H3077">
        <v>3890</v>
      </c>
      <c r="I3077">
        <v>90</v>
      </c>
      <c r="J3077" t="s">
        <v>143</v>
      </c>
      <c r="K3077" t="s">
        <v>95</v>
      </c>
      <c r="L3077" t="s">
        <v>121</v>
      </c>
      <c r="M3077" t="s">
        <v>28</v>
      </c>
      <c r="N3077">
        <v>3.6</v>
      </c>
      <c r="O3077">
        <v>0</v>
      </c>
      <c r="P3077" t="s">
        <v>57</v>
      </c>
      <c r="Q3077" t="s">
        <v>155</v>
      </c>
      <c r="R3077" t="s">
        <v>155</v>
      </c>
      <c r="S3077">
        <v>21</v>
      </c>
      <c r="T3077" t="s">
        <v>49</v>
      </c>
      <c r="U3077" t="s">
        <v>100</v>
      </c>
      <c r="V3077" s="1">
        <v>45332</v>
      </c>
      <c r="W3077">
        <f>Table1[[#This Row],[customer_purchase count]]+1</f>
        <v>22</v>
      </c>
      <c r="X3077">
        <f>Table1[[#This Row],[customer_purchase count]]*Rules!$B$3</f>
        <v>1255.0515384615385</v>
      </c>
      <c r="Y3077" t="str">
        <f>IF(Table1[[#This Row],[customer_subscription]]=1,"Subscribed","Not Subscribed")</f>
        <v>Not Subscribed</v>
      </c>
    </row>
    <row r="3078" spans="1:26" x14ac:dyDescent="0.25">
      <c r="A3078">
        <v>3077</v>
      </c>
      <c r="B3078">
        <v>66</v>
      </c>
      <c r="C3078" t="s">
        <v>156</v>
      </c>
      <c r="D3078">
        <v>3077</v>
      </c>
      <c r="E3078" t="s">
        <v>69</v>
      </c>
      <c r="F3078" t="s">
        <v>70</v>
      </c>
      <c r="G3078">
        <v>3077</v>
      </c>
      <c r="H3078">
        <v>3891</v>
      </c>
      <c r="I3078">
        <v>46</v>
      </c>
      <c r="J3078" t="s">
        <v>85</v>
      </c>
      <c r="K3078" t="s">
        <v>47</v>
      </c>
      <c r="L3078" t="s">
        <v>147</v>
      </c>
      <c r="M3078" t="s">
        <v>56</v>
      </c>
      <c r="N3078">
        <v>3.6</v>
      </c>
      <c r="O3078">
        <v>0</v>
      </c>
      <c r="P3078" t="s">
        <v>29</v>
      </c>
      <c r="Q3078" t="s">
        <v>155</v>
      </c>
      <c r="R3078" t="s">
        <v>155</v>
      </c>
      <c r="S3078">
        <v>13</v>
      </c>
      <c r="T3078" t="s">
        <v>31</v>
      </c>
      <c r="U3078" t="s">
        <v>79</v>
      </c>
      <c r="V3078" s="1">
        <v>45471</v>
      </c>
      <c r="W3078">
        <f>Table1[[#This Row],[customer_purchase count]]+1</f>
        <v>14</v>
      </c>
      <c r="X3078">
        <f>Table1[[#This Row],[customer_purchase count]]*Rules!$B$3</f>
        <v>776.93666666666672</v>
      </c>
      <c r="Y3078" t="str">
        <f>IF(Table1[[#This Row],[customer_subscription]]=1,"Subscribed","Not Subscribed")</f>
        <v>Not Subscribed</v>
      </c>
      <c r="Z3078" t="s">
        <v>194</v>
      </c>
    </row>
    <row r="3079" spans="1:26" x14ac:dyDescent="0.25">
      <c r="A3079">
        <v>3078</v>
      </c>
      <c r="B3079">
        <v>60</v>
      </c>
      <c r="C3079" t="s">
        <v>156</v>
      </c>
      <c r="D3079">
        <v>3078</v>
      </c>
      <c r="E3079" t="s">
        <v>33</v>
      </c>
      <c r="F3079" t="s">
        <v>24</v>
      </c>
      <c r="G3079">
        <v>3078</v>
      </c>
      <c r="H3079">
        <v>3892</v>
      </c>
      <c r="I3079">
        <v>88</v>
      </c>
      <c r="J3079" t="s">
        <v>118</v>
      </c>
      <c r="K3079" t="s">
        <v>39</v>
      </c>
      <c r="L3079" t="s">
        <v>111</v>
      </c>
      <c r="M3079" t="s">
        <v>40</v>
      </c>
      <c r="N3079">
        <v>3</v>
      </c>
      <c r="O3079">
        <v>0</v>
      </c>
      <c r="P3079" t="s">
        <v>77</v>
      </c>
      <c r="Q3079" t="s">
        <v>155</v>
      </c>
      <c r="R3079" t="s">
        <v>155</v>
      </c>
      <c r="S3079">
        <v>33</v>
      </c>
      <c r="T3079" t="s">
        <v>89</v>
      </c>
      <c r="U3079" t="s">
        <v>79</v>
      </c>
      <c r="V3079" s="1">
        <v>45373</v>
      </c>
      <c r="W3079">
        <f>Table1[[#This Row],[customer_purchase count]]+1</f>
        <v>34</v>
      </c>
      <c r="X3079">
        <f>Table1[[#This Row],[customer_purchase count]]*Rules!$B$3</f>
        <v>1972.2238461538464</v>
      </c>
      <c r="Y3079" t="str">
        <f>IF(Table1[[#This Row],[customer_subscription]]=1,"Subscribed","Not Subscribed")</f>
        <v>Not Subscribed</v>
      </c>
    </row>
    <row r="3080" spans="1:26" x14ac:dyDescent="0.25">
      <c r="A3080">
        <v>3079</v>
      </c>
      <c r="B3080">
        <v>32</v>
      </c>
      <c r="C3080" t="s">
        <v>156</v>
      </c>
      <c r="D3080">
        <v>3079</v>
      </c>
      <c r="E3080" t="s">
        <v>136</v>
      </c>
      <c r="F3080" t="s">
        <v>70</v>
      </c>
      <c r="G3080">
        <v>3079</v>
      </c>
      <c r="H3080">
        <v>3893</v>
      </c>
      <c r="I3080">
        <v>95</v>
      </c>
      <c r="J3080" t="s">
        <v>123</v>
      </c>
      <c r="K3080" t="s">
        <v>47</v>
      </c>
      <c r="L3080" t="s">
        <v>147</v>
      </c>
      <c r="M3080" t="s">
        <v>40</v>
      </c>
      <c r="N3080">
        <v>2.5</v>
      </c>
      <c r="O3080">
        <v>0</v>
      </c>
      <c r="P3080" t="s">
        <v>73</v>
      </c>
      <c r="Q3080" t="s">
        <v>155</v>
      </c>
      <c r="R3080" t="s">
        <v>155</v>
      </c>
      <c r="S3080">
        <v>24</v>
      </c>
      <c r="T3080" t="s">
        <v>78</v>
      </c>
      <c r="U3080" t="s">
        <v>79</v>
      </c>
      <c r="V3080" s="1">
        <v>45438</v>
      </c>
      <c r="W3080">
        <f>Table1[[#This Row],[customer_purchase count]]+1</f>
        <v>25</v>
      </c>
      <c r="X3080">
        <f>Table1[[#This Row],[customer_purchase count]]*Rules!$B$3</f>
        <v>1434.3446153846155</v>
      </c>
      <c r="Y3080" t="str">
        <f>IF(Table1[[#This Row],[customer_subscription]]=1,"Subscribed","Not Subscribed")</f>
        <v>Not Subscribed</v>
      </c>
    </row>
    <row r="3081" spans="1:26" x14ac:dyDescent="0.25">
      <c r="A3081">
        <v>3080</v>
      </c>
      <c r="B3081">
        <v>48</v>
      </c>
      <c r="C3081" t="s">
        <v>156</v>
      </c>
      <c r="D3081">
        <v>3080</v>
      </c>
      <c r="E3081" t="s">
        <v>136</v>
      </c>
      <c r="F3081" t="s">
        <v>70</v>
      </c>
      <c r="G3081">
        <v>3080</v>
      </c>
      <c r="H3081">
        <v>3895</v>
      </c>
      <c r="I3081">
        <v>31</v>
      </c>
      <c r="J3081" t="s">
        <v>54</v>
      </c>
      <c r="K3081" t="s">
        <v>47</v>
      </c>
      <c r="L3081" t="s">
        <v>35</v>
      </c>
      <c r="M3081" t="s">
        <v>60</v>
      </c>
      <c r="N3081">
        <v>4</v>
      </c>
      <c r="O3081">
        <v>0</v>
      </c>
      <c r="P3081" t="s">
        <v>77</v>
      </c>
      <c r="Q3081" t="s">
        <v>155</v>
      </c>
      <c r="R3081" t="s">
        <v>155</v>
      </c>
      <c r="S3081">
        <v>4</v>
      </c>
      <c r="T3081" t="s">
        <v>78</v>
      </c>
      <c r="U3081" t="s">
        <v>52</v>
      </c>
      <c r="V3081" s="1">
        <v>45576</v>
      </c>
      <c r="W3081">
        <f>Table1[[#This Row],[customer_purchase count]]+1</f>
        <v>5</v>
      </c>
      <c r="X3081">
        <f>Table1[[#This Row],[customer_purchase count]]*Rules!$B$3</f>
        <v>239.05743589743591</v>
      </c>
      <c r="Y3081" t="str">
        <f>IF(Table1[[#This Row],[customer_subscription]]=1,"Subscribed","Not Subscribed")</f>
        <v>Not Subscribed</v>
      </c>
      <c r="Z3081" t="s">
        <v>194</v>
      </c>
    </row>
    <row r="3082" spans="1:26" x14ac:dyDescent="0.25">
      <c r="A3082">
        <v>3081</v>
      </c>
      <c r="B3082">
        <v>69</v>
      </c>
      <c r="C3082" t="s">
        <v>156</v>
      </c>
      <c r="D3082">
        <v>3081</v>
      </c>
      <c r="E3082" t="s">
        <v>107</v>
      </c>
      <c r="F3082" t="s">
        <v>24</v>
      </c>
      <c r="G3082">
        <v>3081</v>
      </c>
      <c r="H3082">
        <v>3896</v>
      </c>
      <c r="I3082">
        <v>42</v>
      </c>
      <c r="J3082" t="s">
        <v>115</v>
      </c>
      <c r="K3082" t="s">
        <v>26</v>
      </c>
      <c r="L3082" t="s">
        <v>137</v>
      </c>
      <c r="M3082" t="s">
        <v>40</v>
      </c>
      <c r="N3082">
        <v>4.0999999999999996</v>
      </c>
      <c r="O3082">
        <v>0</v>
      </c>
      <c r="P3082" t="s">
        <v>48</v>
      </c>
      <c r="Q3082" t="s">
        <v>155</v>
      </c>
      <c r="R3082" t="s">
        <v>155</v>
      </c>
      <c r="S3082">
        <v>5</v>
      </c>
      <c r="T3082" t="s">
        <v>36</v>
      </c>
      <c r="U3082" t="s">
        <v>79</v>
      </c>
      <c r="V3082" s="1">
        <v>45405</v>
      </c>
      <c r="W3082">
        <f>Table1[[#This Row],[customer_purchase count]]+1</f>
        <v>6</v>
      </c>
      <c r="X3082">
        <f>Table1[[#This Row],[customer_purchase count]]*Rules!$B$3</f>
        <v>298.82179487179491</v>
      </c>
      <c r="Y3082" t="str">
        <f>IF(Table1[[#This Row],[customer_subscription]]=1,"Subscribed","Not Subscribed")</f>
        <v>Not Subscribed</v>
      </c>
      <c r="Z3082" t="s">
        <v>194</v>
      </c>
    </row>
    <row r="3083" spans="1:26" x14ac:dyDescent="0.25">
      <c r="A3083">
        <v>3082</v>
      </c>
      <c r="B3083">
        <v>64</v>
      </c>
      <c r="C3083" t="s">
        <v>156</v>
      </c>
      <c r="D3083">
        <v>3082</v>
      </c>
      <c r="E3083" t="s">
        <v>53</v>
      </c>
      <c r="F3083" t="s">
        <v>45</v>
      </c>
      <c r="G3083">
        <v>3082</v>
      </c>
      <c r="H3083">
        <v>3897</v>
      </c>
      <c r="I3083">
        <v>44</v>
      </c>
      <c r="J3083" t="s">
        <v>132</v>
      </c>
      <c r="K3083" t="s">
        <v>26</v>
      </c>
      <c r="L3083" t="s">
        <v>72</v>
      </c>
      <c r="M3083" t="s">
        <v>28</v>
      </c>
      <c r="N3083">
        <v>4.9000000000000004</v>
      </c>
      <c r="O3083">
        <v>0</v>
      </c>
      <c r="P3083" t="s">
        <v>48</v>
      </c>
      <c r="Q3083" t="s">
        <v>155</v>
      </c>
      <c r="R3083" t="s">
        <v>155</v>
      </c>
      <c r="S3083">
        <v>11</v>
      </c>
      <c r="T3083" t="s">
        <v>42</v>
      </c>
      <c r="U3083" t="s">
        <v>43</v>
      </c>
      <c r="V3083" s="1">
        <v>45292</v>
      </c>
      <c r="W3083">
        <f>Table1[[#This Row],[customer_purchase count]]+1</f>
        <v>12</v>
      </c>
      <c r="X3083">
        <f>Table1[[#This Row],[customer_purchase count]]*Rules!$B$3</f>
        <v>657.40794871794878</v>
      </c>
      <c r="Y3083" t="str">
        <f>IF(Table1[[#This Row],[customer_subscription]]=1,"Subscribed","Not Subscribed")</f>
        <v>Not Subscribed</v>
      </c>
      <c r="Z3083" t="s">
        <v>194</v>
      </c>
    </row>
    <row r="3084" spans="1:26" x14ac:dyDescent="0.25">
      <c r="A3084">
        <v>3083</v>
      </c>
      <c r="B3084">
        <v>56</v>
      </c>
      <c r="C3084" t="s">
        <v>156</v>
      </c>
      <c r="D3084">
        <v>3083</v>
      </c>
      <c r="E3084" t="s">
        <v>116</v>
      </c>
      <c r="F3084" t="s">
        <v>24</v>
      </c>
      <c r="G3084">
        <v>3083</v>
      </c>
      <c r="H3084">
        <v>3898</v>
      </c>
      <c r="I3084">
        <v>99</v>
      </c>
      <c r="J3084" t="s">
        <v>143</v>
      </c>
      <c r="K3084" t="s">
        <v>47</v>
      </c>
      <c r="L3084" t="s">
        <v>35</v>
      </c>
      <c r="M3084" t="s">
        <v>40</v>
      </c>
      <c r="N3084">
        <v>4</v>
      </c>
      <c r="O3084">
        <v>0</v>
      </c>
      <c r="P3084" t="s">
        <v>48</v>
      </c>
      <c r="Q3084" t="s">
        <v>155</v>
      </c>
      <c r="R3084" t="s">
        <v>155</v>
      </c>
      <c r="S3084">
        <v>20</v>
      </c>
      <c r="T3084" t="s">
        <v>78</v>
      </c>
      <c r="U3084" t="s">
        <v>52</v>
      </c>
      <c r="V3084" s="1">
        <v>45367</v>
      </c>
      <c r="W3084">
        <f>Table1[[#This Row],[customer_purchase count]]+1</f>
        <v>21</v>
      </c>
      <c r="X3084">
        <f>Table1[[#This Row],[customer_purchase count]]*Rules!$B$3</f>
        <v>1195.2871794871796</v>
      </c>
      <c r="Y3084" t="str">
        <f>IF(Table1[[#This Row],[customer_subscription]]=1,"Subscribed","Not Subscribed")</f>
        <v>Not Subscribed</v>
      </c>
    </row>
    <row r="3085" spans="1:26" x14ac:dyDescent="0.25">
      <c r="A3085">
        <v>3084</v>
      </c>
      <c r="B3085">
        <v>22</v>
      </c>
      <c r="C3085" t="s">
        <v>156</v>
      </c>
      <c r="D3085">
        <v>3084</v>
      </c>
      <c r="E3085" t="s">
        <v>98</v>
      </c>
      <c r="F3085" t="s">
        <v>24</v>
      </c>
      <c r="G3085">
        <v>3084</v>
      </c>
      <c r="H3085">
        <v>3899</v>
      </c>
      <c r="I3085">
        <v>20</v>
      </c>
      <c r="J3085" t="s">
        <v>118</v>
      </c>
      <c r="K3085" t="s">
        <v>39</v>
      </c>
      <c r="L3085" t="s">
        <v>76</v>
      </c>
      <c r="M3085" t="s">
        <v>56</v>
      </c>
      <c r="N3085">
        <v>3.5</v>
      </c>
      <c r="O3085">
        <v>0</v>
      </c>
      <c r="P3085" t="s">
        <v>77</v>
      </c>
      <c r="Q3085" t="s">
        <v>155</v>
      </c>
      <c r="R3085" t="s">
        <v>155</v>
      </c>
      <c r="S3085">
        <v>28</v>
      </c>
      <c r="T3085" t="s">
        <v>49</v>
      </c>
      <c r="U3085" t="s">
        <v>61</v>
      </c>
      <c r="V3085" s="1">
        <v>45493</v>
      </c>
      <c r="W3085">
        <f>Table1[[#This Row],[customer_purchase count]]+1</f>
        <v>29</v>
      </c>
      <c r="X3085">
        <f>Table1[[#This Row],[customer_purchase count]]*Rules!$B$3</f>
        <v>1673.4020512820514</v>
      </c>
      <c r="Y3085" t="str">
        <f>IF(Table1[[#This Row],[customer_subscription]]=1,"Subscribed","Not Subscribed")</f>
        <v>Not Subscribed</v>
      </c>
    </row>
    <row r="3086" spans="1:26" x14ac:dyDescent="0.25">
      <c r="A3086">
        <v>3085</v>
      </c>
      <c r="B3086">
        <v>46</v>
      </c>
      <c r="C3086" t="s">
        <v>156</v>
      </c>
      <c r="D3086">
        <v>3085</v>
      </c>
      <c r="E3086" t="s">
        <v>122</v>
      </c>
      <c r="F3086" t="s">
        <v>70</v>
      </c>
      <c r="G3086">
        <v>3085</v>
      </c>
      <c r="H3086">
        <v>3901</v>
      </c>
      <c r="I3086">
        <v>37</v>
      </c>
      <c r="J3086" t="s">
        <v>138</v>
      </c>
      <c r="K3086" t="s">
        <v>39</v>
      </c>
      <c r="L3086" t="s">
        <v>129</v>
      </c>
      <c r="M3086" t="s">
        <v>40</v>
      </c>
      <c r="N3086">
        <v>3.2</v>
      </c>
      <c r="O3086">
        <v>0</v>
      </c>
      <c r="P3086" t="s">
        <v>77</v>
      </c>
      <c r="Q3086" t="s">
        <v>155</v>
      </c>
      <c r="R3086" t="s">
        <v>155</v>
      </c>
      <c r="S3086">
        <v>43</v>
      </c>
      <c r="T3086" t="s">
        <v>49</v>
      </c>
      <c r="U3086" t="s">
        <v>91</v>
      </c>
      <c r="V3086" s="1">
        <v>45400</v>
      </c>
      <c r="W3086">
        <f>Table1[[#This Row],[customer_purchase count]]+1</f>
        <v>44</v>
      </c>
      <c r="X3086">
        <f>Table1[[#This Row],[customer_purchase count]]*Rules!$B$3</f>
        <v>2569.8674358974358</v>
      </c>
      <c r="Y3086" t="str">
        <f>IF(Table1[[#This Row],[customer_subscription]]=1,"Subscribed","Not Subscribed")</f>
        <v>Not Subscribed</v>
      </c>
    </row>
    <row r="3087" spans="1:26" x14ac:dyDescent="0.25">
      <c r="A3087">
        <v>3086</v>
      </c>
      <c r="B3087">
        <v>24</v>
      </c>
      <c r="C3087" t="s">
        <v>156</v>
      </c>
      <c r="D3087">
        <v>3086</v>
      </c>
      <c r="E3087" t="s">
        <v>33</v>
      </c>
      <c r="F3087" t="s">
        <v>24</v>
      </c>
      <c r="G3087">
        <v>3086</v>
      </c>
      <c r="H3087">
        <v>3902</v>
      </c>
      <c r="I3087">
        <v>50</v>
      </c>
      <c r="J3087" t="s">
        <v>110</v>
      </c>
      <c r="K3087" t="s">
        <v>26</v>
      </c>
      <c r="L3087" t="s">
        <v>27</v>
      </c>
      <c r="M3087" t="s">
        <v>28</v>
      </c>
      <c r="N3087">
        <v>2.8</v>
      </c>
      <c r="O3087">
        <v>0</v>
      </c>
      <c r="P3087" t="s">
        <v>77</v>
      </c>
      <c r="Q3087" t="s">
        <v>155</v>
      </c>
      <c r="R3087" t="s">
        <v>155</v>
      </c>
      <c r="S3087">
        <v>10</v>
      </c>
      <c r="T3087" t="s">
        <v>31</v>
      </c>
      <c r="U3087" t="s">
        <v>100</v>
      </c>
      <c r="V3087" s="1">
        <v>45345</v>
      </c>
      <c r="W3087">
        <f>Table1[[#This Row],[customer_purchase count]]+1</f>
        <v>11</v>
      </c>
      <c r="X3087">
        <f>Table1[[#This Row],[customer_purchase count]]*Rules!$B$3</f>
        <v>597.64358974358981</v>
      </c>
      <c r="Y3087" t="str">
        <f>IF(Table1[[#This Row],[customer_subscription]]=1,"Subscribed","Not Subscribed")</f>
        <v>Not Subscribed</v>
      </c>
      <c r="Z3087" t="s">
        <v>187</v>
      </c>
    </row>
    <row r="3088" spans="1:26" x14ac:dyDescent="0.25">
      <c r="A3088">
        <v>3087</v>
      </c>
      <c r="B3088">
        <v>47</v>
      </c>
      <c r="C3088" t="s">
        <v>156</v>
      </c>
      <c r="D3088">
        <v>3087</v>
      </c>
      <c r="E3088" t="s">
        <v>69</v>
      </c>
      <c r="F3088" t="s">
        <v>70</v>
      </c>
      <c r="G3088">
        <v>3087</v>
      </c>
      <c r="H3088">
        <v>3903</v>
      </c>
      <c r="I3088">
        <v>73</v>
      </c>
      <c r="J3088" t="s">
        <v>143</v>
      </c>
      <c r="K3088" t="s">
        <v>47</v>
      </c>
      <c r="L3088" t="s">
        <v>96</v>
      </c>
      <c r="M3088" t="s">
        <v>56</v>
      </c>
      <c r="N3088">
        <v>3.5</v>
      </c>
      <c r="O3088">
        <v>0</v>
      </c>
      <c r="P3088" t="s">
        <v>48</v>
      </c>
      <c r="Q3088" t="s">
        <v>155</v>
      </c>
      <c r="R3088" t="s">
        <v>155</v>
      </c>
      <c r="S3088">
        <v>26</v>
      </c>
      <c r="T3088" t="s">
        <v>31</v>
      </c>
      <c r="U3088" t="s">
        <v>100</v>
      </c>
      <c r="V3088" s="1">
        <v>45465</v>
      </c>
      <c r="W3088">
        <f>Table1[[#This Row],[customer_purchase count]]+1</f>
        <v>27</v>
      </c>
      <c r="X3088">
        <f>Table1[[#This Row],[customer_purchase count]]*Rules!$B$3</f>
        <v>1553.8733333333334</v>
      </c>
      <c r="Y3088" t="str">
        <f>IF(Table1[[#This Row],[customer_subscription]]=1,"Subscribed","Not Subscribed")</f>
        <v>Not Subscribed</v>
      </c>
    </row>
    <row r="3089" spans="1:26" x14ac:dyDescent="0.25">
      <c r="A3089">
        <v>3088</v>
      </c>
      <c r="B3089">
        <v>62</v>
      </c>
      <c r="C3089" t="s">
        <v>156</v>
      </c>
      <c r="D3089">
        <v>3088</v>
      </c>
      <c r="E3089" t="s">
        <v>58</v>
      </c>
      <c r="F3089" t="s">
        <v>24</v>
      </c>
      <c r="G3089">
        <v>3088</v>
      </c>
      <c r="H3089">
        <v>3904</v>
      </c>
      <c r="I3089">
        <v>84</v>
      </c>
      <c r="J3089" t="s">
        <v>101</v>
      </c>
      <c r="K3089" t="s">
        <v>47</v>
      </c>
      <c r="L3089" t="s">
        <v>64</v>
      </c>
      <c r="M3089" t="s">
        <v>40</v>
      </c>
      <c r="N3089">
        <v>3.1</v>
      </c>
      <c r="O3089">
        <v>0</v>
      </c>
      <c r="P3089" t="s">
        <v>41</v>
      </c>
      <c r="Q3089" t="s">
        <v>155</v>
      </c>
      <c r="R3089" t="s">
        <v>155</v>
      </c>
      <c r="S3089">
        <v>29</v>
      </c>
      <c r="T3089" t="s">
        <v>78</v>
      </c>
      <c r="U3089" t="s">
        <v>91</v>
      </c>
      <c r="V3089" s="1">
        <v>45358</v>
      </c>
      <c r="W3089">
        <f>Table1[[#This Row],[customer_purchase count]]+1</f>
        <v>30</v>
      </c>
      <c r="X3089">
        <f>Table1[[#This Row],[customer_purchase count]]*Rules!$B$3</f>
        <v>1733.1664102564102</v>
      </c>
      <c r="Y3089" t="str">
        <f>IF(Table1[[#This Row],[customer_subscription]]=1,"Subscribed","Not Subscribed")</f>
        <v>Not Subscribed</v>
      </c>
    </row>
    <row r="3090" spans="1:26" x14ac:dyDescent="0.25">
      <c r="A3090">
        <v>3089</v>
      </c>
      <c r="B3090">
        <v>34</v>
      </c>
      <c r="C3090" t="s">
        <v>156</v>
      </c>
      <c r="D3090">
        <v>3089</v>
      </c>
      <c r="E3090" t="s">
        <v>84</v>
      </c>
      <c r="F3090" t="s">
        <v>24</v>
      </c>
      <c r="G3090">
        <v>3089</v>
      </c>
      <c r="H3090">
        <v>3905</v>
      </c>
      <c r="I3090">
        <v>64</v>
      </c>
      <c r="J3090" t="s">
        <v>75</v>
      </c>
      <c r="K3090" t="s">
        <v>47</v>
      </c>
      <c r="L3090" t="s">
        <v>88</v>
      </c>
      <c r="M3090" t="s">
        <v>40</v>
      </c>
      <c r="N3090">
        <v>3.3</v>
      </c>
      <c r="O3090">
        <v>0</v>
      </c>
      <c r="P3090" t="s">
        <v>77</v>
      </c>
      <c r="Q3090" t="s">
        <v>155</v>
      </c>
      <c r="R3090" t="s">
        <v>155</v>
      </c>
      <c r="S3090">
        <v>35</v>
      </c>
      <c r="T3090" t="s">
        <v>78</v>
      </c>
      <c r="U3090" t="s">
        <v>61</v>
      </c>
      <c r="V3090" s="1">
        <v>45440</v>
      </c>
      <c r="W3090">
        <f>Table1[[#This Row],[customer_purchase count]]+1</f>
        <v>36</v>
      </c>
      <c r="X3090">
        <f>Table1[[#This Row],[customer_purchase count]]*Rules!$B$3</f>
        <v>2091.7525641025641</v>
      </c>
      <c r="Y3090" t="str">
        <f>IF(Table1[[#This Row],[customer_subscription]]=1,"Subscribed","Not Subscribed")</f>
        <v>Not Subscribed</v>
      </c>
    </row>
    <row r="3091" spans="1:26" x14ac:dyDescent="0.25">
      <c r="A3091">
        <v>3090</v>
      </c>
      <c r="B3091">
        <v>50</v>
      </c>
      <c r="C3091" t="s">
        <v>156</v>
      </c>
      <c r="D3091">
        <v>3090</v>
      </c>
      <c r="E3091" t="s">
        <v>44</v>
      </c>
      <c r="F3091" t="s">
        <v>45</v>
      </c>
      <c r="G3091">
        <v>3090</v>
      </c>
      <c r="H3091">
        <v>3907</v>
      </c>
      <c r="I3091">
        <v>21</v>
      </c>
      <c r="J3091" t="s">
        <v>101</v>
      </c>
      <c r="K3091" t="s">
        <v>26</v>
      </c>
      <c r="L3091" t="s">
        <v>147</v>
      </c>
      <c r="M3091" t="s">
        <v>60</v>
      </c>
      <c r="N3091">
        <v>4.5999999999999996</v>
      </c>
      <c r="O3091">
        <v>0</v>
      </c>
      <c r="P3091" t="s">
        <v>41</v>
      </c>
      <c r="Q3091" t="s">
        <v>155</v>
      </c>
      <c r="R3091" t="s">
        <v>155</v>
      </c>
      <c r="S3091">
        <v>23</v>
      </c>
      <c r="T3091" t="s">
        <v>36</v>
      </c>
      <c r="U3091" t="s">
        <v>79</v>
      </c>
      <c r="V3091" s="1">
        <v>45576</v>
      </c>
      <c r="W3091">
        <f>Table1[[#This Row],[customer_purchase count]]+1</f>
        <v>24</v>
      </c>
      <c r="X3091">
        <f>Table1[[#This Row],[customer_purchase count]]*Rules!$B$3</f>
        <v>1374.5802564102564</v>
      </c>
      <c r="Y3091" t="str">
        <f>IF(Table1[[#This Row],[customer_subscription]]=1,"Subscribed","Not Subscribed")</f>
        <v>Not Subscribed</v>
      </c>
    </row>
    <row r="3092" spans="1:26" x14ac:dyDescent="0.25">
      <c r="A3092">
        <v>3091</v>
      </c>
      <c r="B3092">
        <v>29</v>
      </c>
      <c r="C3092" t="s">
        <v>156</v>
      </c>
      <c r="D3092">
        <v>3091</v>
      </c>
      <c r="E3092" t="s">
        <v>58</v>
      </c>
      <c r="F3092" t="s">
        <v>24</v>
      </c>
      <c r="G3092">
        <v>3091</v>
      </c>
      <c r="H3092">
        <v>3908</v>
      </c>
      <c r="I3092">
        <v>36</v>
      </c>
      <c r="J3092" t="s">
        <v>108</v>
      </c>
      <c r="K3092" t="s">
        <v>47</v>
      </c>
      <c r="L3092" t="s">
        <v>103</v>
      </c>
      <c r="M3092" t="s">
        <v>56</v>
      </c>
      <c r="N3092">
        <v>4.9000000000000004</v>
      </c>
      <c r="O3092">
        <v>0</v>
      </c>
      <c r="P3092" t="s">
        <v>77</v>
      </c>
      <c r="Q3092" t="s">
        <v>155</v>
      </c>
      <c r="R3092" t="s">
        <v>155</v>
      </c>
      <c r="S3092">
        <v>15</v>
      </c>
      <c r="T3092" t="s">
        <v>78</v>
      </c>
      <c r="U3092" t="s">
        <v>61</v>
      </c>
      <c r="V3092" s="1">
        <v>45484</v>
      </c>
      <c r="W3092">
        <f>Table1[[#This Row],[customer_purchase count]]+1</f>
        <v>16</v>
      </c>
      <c r="X3092">
        <f>Table1[[#This Row],[customer_purchase count]]*Rules!$B$3</f>
        <v>896.46538461538466</v>
      </c>
      <c r="Y3092" t="str">
        <f>IF(Table1[[#This Row],[customer_subscription]]=1,"Subscribed","Not Subscribed")</f>
        <v>Not Subscribed</v>
      </c>
      <c r="Z3092" t="s">
        <v>187</v>
      </c>
    </row>
    <row r="3093" spans="1:26" x14ac:dyDescent="0.25">
      <c r="A3093">
        <v>3092</v>
      </c>
      <c r="B3093">
        <v>68</v>
      </c>
      <c r="C3093" t="s">
        <v>156</v>
      </c>
      <c r="D3093">
        <v>3092</v>
      </c>
      <c r="E3093" t="s">
        <v>84</v>
      </c>
      <c r="F3093" t="s">
        <v>24</v>
      </c>
      <c r="G3093">
        <v>3092</v>
      </c>
      <c r="H3093">
        <v>3909</v>
      </c>
      <c r="I3093">
        <v>81</v>
      </c>
      <c r="J3093" t="s">
        <v>110</v>
      </c>
      <c r="K3093" t="s">
        <v>26</v>
      </c>
      <c r="L3093" t="s">
        <v>124</v>
      </c>
      <c r="M3093" t="s">
        <v>28</v>
      </c>
      <c r="N3093">
        <v>3.4</v>
      </c>
      <c r="O3093">
        <v>0</v>
      </c>
      <c r="P3093" t="s">
        <v>73</v>
      </c>
      <c r="Q3093" t="s">
        <v>155</v>
      </c>
      <c r="R3093" t="s">
        <v>155</v>
      </c>
      <c r="S3093">
        <v>46</v>
      </c>
      <c r="T3093" t="s">
        <v>42</v>
      </c>
      <c r="U3093" t="s">
        <v>52</v>
      </c>
      <c r="V3093" s="1">
        <v>45647</v>
      </c>
      <c r="W3093">
        <f>Table1[[#This Row],[customer_purchase count]]+1</f>
        <v>47</v>
      </c>
      <c r="X3093">
        <f>Table1[[#This Row],[customer_purchase count]]*Rules!$B$3</f>
        <v>2749.1605128205128</v>
      </c>
      <c r="Y3093" t="str">
        <f>IF(Table1[[#This Row],[customer_subscription]]=1,"Subscribed","Not Subscribed")</f>
        <v>Not Subscribed</v>
      </c>
    </row>
    <row r="3094" spans="1:26" x14ac:dyDescent="0.25">
      <c r="A3094">
        <v>3093</v>
      </c>
      <c r="B3094">
        <v>52</v>
      </c>
      <c r="C3094" t="s">
        <v>156</v>
      </c>
      <c r="D3094">
        <v>3093</v>
      </c>
      <c r="E3094" t="s">
        <v>92</v>
      </c>
      <c r="F3094" t="s">
        <v>70</v>
      </c>
      <c r="G3094">
        <v>3093</v>
      </c>
      <c r="H3094">
        <v>3910</v>
      </c>
      <c r="I3094">
        <v>54</v>
      </c>
      <c r="J3094" t="s">
        <v>143</v>
      </c>
      <c r="K3094" t="s">
        <v>26</v>
      </c>
      <c r="L3094" t="s">
        <v>68</v>
      </c>
      <c r="M3094" t="s">
        <v>60</v>
      </c>
      <c r="N3094">
        <v>3.5</v>
      </c>
      <c r="O3094">
        <v>0</v>
      </c>
      <c r="P3094" t="s">
        <v>48</v>
      </c>
      <c r="Q3094" t="s">
        <v>155</v>
      </c>
      <c r="R3094" t="s">
        <v>155</v>
      </c>
      <c r="S3094">
        <v>14</v>
      </c>
      <c r="T3094" t="s">
        <v>78</v>
      </c>
      <c r="U3094" t="s">
        <v>79</v>
      </c>
      <c r="V3094" s="1">
        <v>45575</v>
      </c>
      <c r="W3094">
        <f>Table1[[#This Row],[customer_purchase count]]+1</f>
        <v>15</v>
      </c>
      <c r="X3094">
        <f>Table1[[#This Row],[customer_purchase count]]*Rules!$B$3</f>
        <v>836.70102564102569</v>
      </c>
      <c r="Y3094" t="str">
        <f>IF(Table1[[#This Row],[customer_subscription]]=1,"Subscribed","Not Subscribed")</f>
        <v>Not Subscribed</v>
      </c>
      <c r="Z3094" t="s">
        <v>194</v>
      </c>
    </row>
    <row r="3095" spans="1:26" x14ac:dyDescent="0.25">
      <c r="A3095">
        <v>3094</v>
      </c>
      <c r="B3095">
        <v>29</v>
      </c>
      <c r="C3095" t="s">
        <v>156</v>
      </c>
      <c r="D3095">
        <v>3094</v>
      </c>
      <c r="E3095" t="s">
        <v>128</v>
      </c>
      <c r="F3095" t="s">
        <v>24</v>
      </c>
      <c r="G3095">
        <v>3094</v>
      </c>
      <c r="H3095">
        <v>3911</v>
      </c>
      <c r="I3095">
        <v>63</v>
      </c>
      <c r="J3095" t="s">
        <v>141</v>
      </c>
      <c r="K3095" t="s">
        <v>26</v>
      </c>
      <c r="L3095" t="s">
        <v>111</v>
      </c>
      <c r="M3095" t="s">
        <v>56</v>
      </c>
      <c r="N3095">
        <v>4.8</v>
      </c>
      <c r="O3095">
        <v>0</v>
      </c>
      <c r="P3095" t="s">
        <v>77</v>
      </c>
      <c r="Q3095" t="s">
        <v>155</v>
      </c>
      <c r="R3095" t="s">
        <v>155</v>
      </c>
      <c r="S3095">
        <v>17</v>
      </c>
      <c r="T3095" t="s">
        <v>36</v>
      </c>
      <c r="U3095" t="s">
        <v>100</v>
      </c>
      <c r="V3095" s="1">
        <v>45528</v>
      </c>
      <c r="W3095">
        <f>Table1[[#This Row],[customer_purchase count]]+1</f>
        <v>18</v>
      </c>
      <c r="X3095">
        <f>Table1[[#This Row],[customer_purchase count]]*Rules!$B$3</f>
        <v>1015.9941025641026</v>
      </c>
      <c r="Y3095" t="str">
        <f>IF(Table1[[#This Row],[customer_subscription]]=1,"Subscribed","Not Subscribed")</f>
        <v>Not Subscribed</v>
      </c>
      <c r="Z3095" t="s">
        <v>187</v>
      </c>
    </row>
    <row r="3096" spans="1:26" x14ac:dyDescent="0.25">
      <c r="A3096">
        <v>3095</v>
      </c>
      <c r="B3096">
        <v>22</v>
      </c>
      <c r="C3096" t="s">
        <v>156</v>
      </c>
      <c r="D3096">
        <v>3095</v>
      </c>
      <c r="E3096" t="s">
        <v>44</v>
      </c>
      <c r="F3096" t="s">
        <v>45</v>
      </c>
      <c r="G3096">
        <v>3095</v>
      </c>
      <c r="H3096">
        <v>3913</v>
      </c>
      <c r="I3096">
        <v>59</v>
      </c>
      <c r="J3096" t="s">
        <v>145</v>
      </c>
      <c r="K3096" t="s">
        <v>47</v>
      </c>
      <c r="L3096" t="s">
        <v>27</v>
      </c>
      <c r="M3096" t="s">
        <v>56</v>
      </c>
      <c r="N3096">
        <v>2.7</v>
      </c>
      <c r="O3096">
        <v>0</v>
      </c>
      <c r="P3096" t="s">
        <v>77</v>
      </c>
      <c r="Q3096" t="s">
        <v>155</v>
      </c>
      <c r="R3096" t="s">
        <v>155</v>
      </c>
      <c r="S3096">
        <v>9</v>
      </c>
      <c r="T3096" t="s">
        <v>36</v>
      </c>
      <c r="U3096" t="s">
        <v>43</v>
      </c>
      <c r="V3096" s="1">
        <v>45451</v>
      </c>
      <c r="W3096">
        <f>Table1[[#This Row],[customer_purchase count]]+1</f>
        <v>10</v>
      </c>
      <c r="X3096">
        <f>Table1[[#This Row],[customer_purchase count]]*Rules!$B$3</f>
        <v>537.87923076923084</v>
      </c>
      <c r="Y3096" t="str">
        <f>IF(Table1[[#This Row],[customer_subscription]]=1,"Subscribed","Not Subscribed")</f>
        <v>Not Subscribed</v>
      </c>
      <c r="Z3096" t="s">
        <v>187</v>
      </c>
    </row>
    <row r="3097" spans="1:26" x14ac:dyDescent="0.25">
      <c r="A3097">
        <v>3096</v>
      </c>
      <c r="B3097">
        <v>62</v>
      </c>
      <c r="C3097" t="s">
        <v>156</v>
      </c>
      <c r="D3097">
        <v>3096</v>
      </c>
      <c r="E3097" t="s">
        <v>127</v>
      </c>
      <c r="F3097" t="s">
        <v>70</v>
      </c>
      <c r="G3097">
        <v>3096</v>
      </c>
      <c r="H3097">
        <v>3914</v>
      </c>
      <c r="I3097">
        <v>53</v>
      </c>
      <c r="J3097" t="s">
        <v>151</v>
      </c>
      <c r="K3097" t="s">
        <v>39</v>
      </c>
      <c r="L3097" t="s">
        <v>121</v>
      </c>
      <c r="M3097" t="s">
        <v>60</v>
      </c>
      <c r="N3097">
        <v>3.4</v>
      </c>
      <c r="O3097">
        <v>0</v>
      </c>
      <c r="P3097" t="s">
        <v>57</v>
      </c>
      <c r="Q3097" t="s">
        <v>155</v>
      </c>
      <c r="R3097" t="s">
        <v>155</v>
      </c>
      <c r="S3097">
        <v>13</v>
      </c>
      <c r="T3097" t="s">
        <v>31</v>
      </c>
      <c r="U3097" t="s">
        <v>32</v>
      </c>
      <c r="V3097" s="1">
        <v>45613</v>
      </c>
      <c r="W3097">
        <f>Table1[[#This Row],[customer_purchase count]]+1</f>
        <v>14</v>
      </c>
      <c r="X3097">
        <f>Table1[[#This Row],[customer_purchase count]]*Rules!$B$3</f>
        <v>776.93666666666672</v>
      </c>
      <c r="Y3097" t="str">
        <f>IF(Table1[[#This Row],[customer_subscription]]=1,"Subscribed","Not Subscribed")</f>
        <v>Not Subscribed</v>
      </c>
      <c r="Z3097" t="s">
        <v>194</v>
      </c>
    </row>
    <row r="3098" spans="1:26" x14ac:dyDescent="0.25">
      <c r="A3098">
        <v>3097</v>
      </c>
      <c r="B3098">
        <v>69</v>
      </c>
      <c r="C3098" t="s">
        <v>156</v>
      </c>
      <c r="D3098">
        <v>3097</v>
      </c>
      <c r="E3098" t="s">
        <v>58</v>
      </c>
      <c r="F3098" t="s">
        <v>24</v>
      </c>
      <c r="G3098">
        <v>3097</v>
      </c>
      <c r="H3098">
        <v>3915</v>
      </c>
      <c r="I3098">
        <v>63</v>
      </c>
      <c r="J3098" t="s">
        <v>114</v>
      </c>
      <c r="K3098" t="s">
        <v>26</v>
      </c>
      <c r="L3098" t="s">
        <v>55</v>
      </c>
      <c r="M3098" t="s">
        <v>28</v>
      </c>
      <c r="N3098">
        <v>3.5</v>
      </c>
      <c r="O3098">
        <v>0</v>
      </c>
      <c r="P3098" t="s">
        <v>48</v>
      </c>
      <c r="Q3098" t="s">
        <v>155</v>
      </c>
      <c r="R3098" t="s">
        <v>155</v>
      </c>
      <c r="S3098">
        <v>20</v>
      </c>
      <c r="T3098" t="s">
        <v>78</v>
      </c>
      <c r="U3098" t="s">
        <v>91</v>
      </c>
      <c r="V3098" s="1">
        <v>45296</v>
      </c>
      <c r="W3098">
        <f>Table1[[#This Row],[customer_purchase count]]+1</f>
        <v>21</v>
      </c>
      <c r="X3098">
        <f>Table1[[#This Row],[customer_purchase count]]*Rules!$B$3</f>
        <v>1195.2871794871796</v>
      </c>
      <c r="Y3098" t="str">
        <f>IF(Table1[[#This Row],[customer_subscription]]=1,"Subscribed","Not Subscribed")</f>
        <v>Not Subscribed</v>
      </c>
    </row>
    <row r="3099" spans="1:26" x14ac:dyDescent="0.25">
      <c r="A3099">
        <v>3098</v>
      </c>
      <c r="B3099">
        <v>48</v>
      </c>
      <c r="C3099" t="s">
        <v>156</v>
      </c>
      <c r="D3099">
        <v>3098</v>
      </c>
      <c r="E3099" t="s">
        <v>74</v>
      </c>
      <c r="F3099" t="s">
        <v>45</v>
      </c>
      <c r="G3099">
        <v>3098</v>
      </c>
      <c r="H3099">
        <v>3916</v>
      </c>
      <c r="I3099">
        <v>33</v>
      </c>
      <c r="J3099" t="s">
        <v>82</v>
      </c>
      <c r="K3099" t="s">
        <v>47</v>
      </c>
      <c r="L3099" t="s">
        <v>68</v>
      </c>
      <c r="M3099" t="s">
        <v>60</v>
      </c>
      <c r="N3099">
        <v>3.7</v>
      </c>
      <c r="O3099">
        <v>0</v>
      </c>
      <c r="P3099" t="s">
        <v>41</v>
      </c>
      <c r="Q3099" t="s">
        <v>155</v>
      </c>
      <c r="R3099" t="s">
        <v>155</v>
      </c>
      <c r="S3099">
        <v>39</v>
      </c>
      <c r="T3099" t="s">
        <v>78</v>
      </c>
      <c r="U3099" t="s">
        <v>61</v>
      </c>
      <c r="V3099" s="1">
        <v>45610</v>
      </c>
      <c r="W3099">
        <f>Table1[[#This Row],[customer_purchase count]]+1</f>
        <v>40</v>
      </c>
      <c r="X3099">
        <f>Table1[[#This Row],[customer_purchase count]]*Rules!$B$3</f>
        <v>2330.81</v>
      </c>
      <c r="Y3099" t="str">
        <f>IF(Table1[[#This Row],[customer_subscription]]=1,"Subscribed","Not Subscribed")</f>
        <v>Not Subscribed</v>
      </c>
    </row>
    <row r="3100" spans="1:26" x14ac:dyDescent="0.25">
      <c r="A3100">
        <v>3099</v>
      </c>
      <c r="B3100">
        <v>66</v>
      </c>
      <c r="C3100" t="s">
        <v>156</v>
      </c>
      <c r="D3100">
        <v>3099</v>
      </c>
      <c r="E3100" t="s">
        <v>98</v>
      </c>
      <c r="F3100" t="s">
        <v>24</v>
      </c>
      <c r="G3100">
        <v>3099</v>
      </c>
      <c r="H3100">
        <v>3917</v>
      </c>
      <c r="I3100">
        <v>64</v>
      </c>
      <c r="J3100" t="s">
        <v>133</v>
      </c>
      <c r="K3100" t="s">
        <v>26</v>
      </c>
      <c r="L3100" t="s">
        <v>112</v>
      </c>
      <c r="M3100" t="s">
        <v>56</v>
      </c>
      <c r="N3100">
        <v>3.3</v>
      </c>
      <c r="O3100">
        <v>0</v>
      </c>
      <c r="P3100" t="s">
        <v>48</v>
      </c>
      <c r="Q3100" t="s">
        <v>155</v>
      </c>
      <c r="R3100" t="s">
        <v>155</v>
      </c>
      <c r="S3100">
        <v>50</v>
      </c>
      <c r="T3100" t="s">
        <v>78</v>
      </c>
      <c r="U3100" t="s">
        <v>61</v>
      </c>
      <c r="V3100" s="1">
        <v>45457</v>
      </c>
      <c r="W3100">
        <f>Table1[[#This Row],[customer_purchase count]]+1</f>
        <v>51</v>
      </c>
      <c r="X3100">
        <f>Table1[[#This Row],[customer_purchase count]]*Rules!$B$3</f>
        <v>2988.2179487179487</v>
      </c>
      <c r="Y3100" t="str">
        <f>IF(Table1[[#This Row],[customer_subscription]]=1,"Subscribed","Not Subscribed")</f>
        <v>Not Subscribed</v>
      </c>
    </row>
    <row r="3101" spans="1:26" x14ac:dyDescent="0.25">
      <c r="A3101">
        <v>3100</v>
      </c>
      <c r="B3101">
        <v>42</v>
      </c>
      <c r="C3101" t="s">
        <v>156</v>
      </c>
      <c r="D3101">
        <v>3100</v>
      </c>
      <c r="E3101" t="s">
        <v>58</v>
      </c>
      <c r="F3101" t="s">
        <v>24</v>
      </c>
      <c r="G3101">
        <v>3100</v>
      </c>
      <c r="H3101">
        <v>3919</v>
      </c>
      <c r="I3101">
        <v>98</v>
      </c>
      <c r="J3101" t="s">
        <v>154</v>
      </c>
      <c r="K3101" t="s">
        <v>39</v>
      </c>
      <c r="L3101" t="s">
        <v>35</v>
      </c>
      <c r="M3101" t="s">
        <v>60</v>
      </c>
      <c r="N3101">
        <v>2.9</v>
      </c>
      <c r="O3101">
        <v>0</v>
      </c>
      <c r="P3101" t="s">
        <v>41</v>
      </c>
      <c r="Q3101" t="s">
        <v>155</v>
      </c>
      <c r="R3101" t="s">
        <v>155</v>
      </c>
      <c r="S3101">
        <v>21</v>
      </c>
      <c r="T3101" t="s">
        <v>78</v>
      </c>
      <c r="U3101" t="s">
        <v>79</v>
      </c>
      <c r="V3101" s="1">
        <v>45572</v>
      </c>
      <c r="W3101">
        <f>Table1[[#This Row],[customer_purchase count]]+1</f>
        <v>22</v>
      </c>
      <c r="X3101">
        <f>Table1[[#This Row],[customer_purchase count]]*Rules!$B$3</f>
        <v>1255.0515384615385</v>
      </c>
      <c r="Y3101" t="str">
        <f>IF(Table1[[#This Row],[customer_subscription]]=1,"Subscribed","Not Subscribed")</f>
        <v>Not Subscribed</v>
      </c>
    </row>
    <row r="3102" spans="1:26" x14ac:dyDescent="0.25">
      <c r="A3102">
        <v>3101</v>
      </c>
      <c r="B3102">
        <v>50</v>
      </c>
      <c r="C3102" t="s">
        <v>156</v>
      </c>
      <c r="D3102">
        <v>3101</v>
      </c>
      <c r="E3102" t="s">
        <v>127</v>
      </c>
      <c r="F3102" t="s">
        <v>70</v>
      </c>
      <c r="G3102">
        <v>3101</v>
      </c>
      <c r="H3102">
        <v>3920</v>
      </c>
      <c r="I3102">
        <v>85</v>
      </c>
      <c r="J3102" t="s">
        <v>132</v>
      </c>
      <c r="K3102" t="s">
        <v>26</v>
      </c>
      <c r="L3102" t="s">
        <v>76</v>
      </c>
      <c r="M3102" t="s">
        <v>28</v>
      </c>
      <c r="N3102">
        <v>3.9</v>
      </c>
      <c r="O3102">
        <v>0</v>
      </c>
      <c r="P3102" t="s">
        <v>29</v>
      </c>
      <c r="Q3102" t="s">
        <v>155</v>
      </c>
      <c r="R3102" t="s">
        <v>155</v>
      </c>
      <c r="S3102">
        <v>3</v>
      </c>
      <c r="T3102" t="s">
        <v>78</v>
      </c>
      <c r="U3102" t="s">
        <v>43</v>
      </c>
      <c r="V3102" s="1">
        <v>45343</v>
      </c>
      <c r="W3102">
        <f>Table1[[#This Row],[customer_purchase count]]+1</f>
        <v>4</v>
      </c>
      <c r="X3102">
        <f>Table1[[#This Row],[customer_purchase count]]*Rules!$B$3</f>
        <v>179.29307692307694</v>
      </c>
      <c r="Y3102" t="str">
        <f>IF(Table1[[#This Row],[customer_subscription]]=1,"Subscribed","Not Subscribed")</f>
        <v>Not Subscribed</v>
      </c>
      <c r="Z3102" t="s">
        <v>194</v>
      </c>
    </row>
    <row r="3103" spans="1:26" x14ac:dyDescent="0.25">
      <c r="A3103">
        <v>3102</v>
      </c>
      <c r="B3103">
        <v>32</v>
      </c>
      <c r="C3103" t="s">
        <v>156</v>
      </c>
      <c r="D3103">
        <v>3102</v>
      </c>
      <c r="E3103" t="s">
        <v>109</v>
      </c>
      <c r="F3103" t="s">
        <v>70</v>
      </c>
      <c r="G3103">
        <v>3102</v>
      </c>
      <c r="H3103">
        <v>3921</v>
      </c>
      <c r="I3103">
        <v>82</v>
      </c>
      <c r="J3103" t="s">
        <v>138</v>
      </c>
      <c r="K3103" t="s">
        <v>39</v>
      </c>
      <c r="L3103" t="s">
        <v>113</v>
      </c>
      <c r="M3103" t="s">
        <v>56</v>
      </c>
      <c r="N3103">
        <v>2.7</v>
      </c>
      <c r="O3103">
        <v>0</v>
      </c>
      <c r="P3103" t="s">
        <v>29</v>
      </c>
      <c r="Q3103" t="s">
        <v>155</v>
      </c>
      <c r="R3103" t="s">
        <v>155</v>
      </c>
      <c r="S3103">
        <v>9</v>
      </c>
      <c r="T3103" t="s">
        <v>49</v>
      </c>
      <c r="U3103" t="s">
        <v>32</v>
      </c>
      <c r="V3103" s="1">
        <v>45452</v>
      </c>
      <c r="W3103">
        <f>Table1[[#This Row],[customer_purchase count]]+1</f>
        <v>10</v>
      </c>
      <c r="X3103">
        <f>Table1[[#This Row],[customer_purchase count]]*Rules!$B$3</f>
        <v>537.87923076923084</v>
      </c>
      <c r="Y3103" t="str">
        <f>IF(Table1[[#This Row],[customer_subscription]]=1,"Subscribed","Not Subscribed")</f>
        <v>Not Subscribed</v>
      </c>
      <c r="Z3103" t="s">
        <v>194</v>
      </c>
    </row>
    <row r="3104" spans="1:26" x14ac:dyDescent="0.25">
      <c r="A3104">
        <v>3103</v>
      </c>
      <c r="B3104">
        <v>51</v>
      </c>
      <c r="C3104" t="s">
        <v>156</v>
      </c>
      <c r="D3104">
        <v>3103</v>
      </c>
      <c r="E3104" t="s">
        <v>105</v>
      </c>
      <c r="F3104" t="s">
        <v>66</v>
      </c>
      <c r="G3104">
        <v>3103</v>
      </c>
      <c r="H3104">
        <v>3922</v>
      </c>
      <c r="I3104">
        <v>85</v>
      </c>
      <c r="J3104" t="s">
        <v>150</v>
      </c>
      <c r="K3104" t="s">
        <v>47</v>
      </c>
      <c r="L3104" t="s">
        <v>99</v>
      </c>
      <c r="M3104" t="s">
        <v>56</v>
      </c>
      <c r="N3104">
        <v>4.3</v>
      </c>
      <c r="O3104">
        <v>0</v>
      </c>
      <c r="P3104" t="s">
        <v>57</v>
      </c>
      <c r="Q3104" t="s">
        <v>155</v>
      </c>
      <c r="R3104" t="s">
        <v>155</v>
      </c>
      <c r="S3104">
        <v>29</v>
      </c>
      <c r="T3104" t="s">
        <v>36</v>
      </c>
      <c r="U3104" t="s">
        <v>79</v>
      </c>
      <c r="V3104" s="1">
        <v>45482</v>
      </c>
      <c r="W3104">
        <f>Table1[[#This Row],[customer_purchase count]]+1</f>
        <v>30</v>
      </c>
      <c r="X3104">
        <f>Table1[[#This Row],[customer_purchase count]]*Rules!$B$3</f>
        <v>1733.1664102564102</v>
      </c>
      <c r="Y3104" t="str">
        <f>IF(Table1[[#This Row],[customer_subscription]]=1,"Subscribed","Not Subscribed")</f>
        <v>Not Subscribed</v>
      </c>
    </row>
    <row r="3105" spans="1:26" x14ac:dyDescent="0.25">
      <c r="A3105">
        <v>3104</v>
      </c>
      <c r="B3105">
        <v>27</v>
      </c>
      <c r="C3105" t="s">
        <v>156</v>
      </c>
      <c r="D3105">
        <v>3104</v>
      </c>
      <c r="E3105" t="s">
        <v>58</v>
      </c>
      <c r="F3105" t="s">
        <v>24</v>
      </c>
      <c r="G3105">
        <v>3104</v>
      </c>
      <c r="H3105">
        <v>3923</v>
      </c>
      <c r="I3105">
        <v>37</v>
      </c>
      <c r="J3105" t="s">
        <v>118</v>
      </c>
      <c r="K3105" t="s">
        <v>39</v>
      </c>
      <c r="L3105" t="s">
        <v>103</v>
      </c>
      <c r="M3105" t="s">
        <v>28</v>
      </c>
      <c r="N3105">
        <v>3</v>
      </c>
      <c r="O3105">
        <v>0</v>
      </c>
      <c r="P3105" t="s">
        <v>73</v>
      </c>
      <c r="Q3105" t="s">
        <v>155</v>
      </c>
      <c r="R3105" t="s">
        <v>155</v>
      </c>
      <c r="S3105">
        <v>42</v>
      </c>
      <c r="T3105" t="s">
        <v>78</v>
      </c>
      <c r="U3105" t="s">
        <v>43</v>
      </c>
      <c r="V3105" s="1">
        <v>45326</v>
      </c>
      <c r="W3105">
        <f>Table1[[#This Row],[customer_purchase count]]+1</f>
        <v>43</v>
      </c>
      <c r="X3105">
        <f>Table1[[#This Row],[customer_purchase count]]*Rules!$B$3</f>
        <v>2510.103076923077</v>
      </c>
      <c r="Y3105" t="str">
        <f>IF(Table1[[#This Row],[customer_subscription]]=1,"Subscribed","Not Subscribed")</f>
        <v>Not Subscribed</v>
      </c>
    </row>
    <row r="3106" spans="1:26" x14ac:dyDescent="0.25">
      <c r="A3106">
        <v>3105</v>
      </c>
      <c r="B3106">
        <v>43</v>
      </c>
      <c r="C3106" t="s">
        <v>156</v>
      </c>
      <c r="D3106">
        <v>3105</v>
      </c>
      <c r="E3106" t="s">
        <v>98</v>
      </c>
      <c r="F3106" t="s">
        <v>24</v>
      </c>
      <c r="G3106">
        <v>3105</v>
      </c>
      <c r="H3106">
        <v>3925</v>
      </c>
      <c r="I3106">
        <v>56</v>
      </c>
      <c r="J3106" t="s">
        <v>145</v>
      </c>
      <c r="K3106" t="s">
        <v>39</v>
      </c>
      <c r="L3106" t="s">
        <v>51</v>
      </c>
      <c r="M3106" t="s">
        <v>56</v>
      </c>
      <c r="N3106">
        <v>5</v>
      </c>
      <c r="O3106">
        <v>0</v>
      </c>
      <c r="P3106" t="s">
        <v>73</v>
      </c>
      <c r="Q3106" t="s">
        <v>155</v>
      </c>
      <c r="R3106" t="s">
        <v>155</v>
      </c>
      <c r="S3106">
        <v>41</v>
      </c>
      <c r="T3106" t="s">
        <v>89</v>
      </c>
      <c r="U3106" t="s">
        <v>32</v>
      </c>
      <c r="V3106" s="1">
        <v>45518</v>
      </c>
      <c r="W3106">
        <f>Table1[[#This Row],[customer_purchase count]]+1</f>
        <v>42</v>
      </c>
      <c r="X3106">
        <f>Table1[[#This Row],[customer_purchase count]]*Rules!$B$3</f>
        <v>2450.3387179487181</v>
      </c>
      <c r="Y3106" t="str">
        <f>IF(Table1[[#This Row],[customer_subscription]]=1,"Subscribed","Not Subscribed")</f>
        <v>Not Subscribed</v>
      </c>
    </row>
    <row r="3107" spans="1:26" x14ac:dyDescent="0.25">
      <c r="A3107">
        <v>3106</v>
      </c>
      <c r="B3107">
        <v>48</v>
      </c>
      <c r="C3107" t="s">
        <v>156</v>
      </c>
      <c r="D3107">
        <v>3106</v>
      </c>
      <c r="E3107" t="s">
        <v>90</v>
      </c>
      <c r="F3107" t="s">
        <v>24</v>
      </c>
      <c r="G3107">
        <v>3106</v>
      </c>
      <c r="H3107">
        <v>3926</v>
      </c>
      <c r="I3107">
        <v>33</v>
      </c>
      <c r="J3107" t="s">
        <v>50</v>
      </c>
      <c r="K3107" t="s">
        <v>47</v>
      </c>
      <c r="L3107" t="s">
        <v>81</v>
      </c>
      <c r="M3107" t="s">
        <v>60</v>
      </c>
      <c r="N3107">
        <v>2.7</v>
      </c>
      <c r="O3107">
        <v>0</v>
      </c>
      <c r="P3107" t="s">
        <v>29</v>
      </c>
      <c r="Q3107" t="s">
        <v>155</v>
      </c>
      <c r="R3107" t="s">
        <v>155</v>
      </c>
      <c r="S3107">
        <v>17</v>
      </c>
      <c r="T3107" t="s">
        <v>89</v>
      </c>
      <c r="U3107" t="s">
        <v>91</v>
      </c>
      <c r="V3107" s="1">
        <v>45610</v>
      </c>
      <c r="W3107">
        <f>Table1[[#This Row],[customer_purchase count]]+1</f>
        <v>18</v>
      </c>
      <c r="X3107">
        <f>Table1[[#This Row],[customer_purchase count]]*Rules!$B$3</f>
        <v>1015.9941025641026</v>
      </c>
      <c r="Y3107" t="str">
        <f>IF(Table1[[#This Row],[customer_subscription]]=1,"Subscribed","Not Subscribed")</f>
        <v>Not Subscribed</v>
      </c>
      <c r="Z3107" t="s">
        <v>194</v>
      </c>
    </row>
    <row r="3108" spans="1:26" x14ac:dyDescent="0.25">
      <c r="A3108">
        <v>3107</v>
      </c>
      <c r="B3108">
        <v>62</v>
      </c>
      <c r="C3108" t="s">
        <v>156</v>
      </c>
      <c r="D3108">
        <v>3107</v>
      </c>
      <c r="E3108" t="s">
        <v>44</v>
      </c>
      <c r="F3108" t="s">
        <v>45</v>
      </c>
      <c r="G3108">
        <v>3107</v>
      </c>
      <c r="H3108">
        <v>3927</v>
      </c>
      <c r="I3108">
        <v>57</v>
      </c>
      <c r="J3108" t="s">
        <v>93</v>
      </c>
      <c r="K3108" t="s">
        <v>47</v>
      </c>
      <c r="L3108" t="s">
        <v>137</v>
      </c>
      <c r="M3108" t="s">
        <v>28</v>
      </c>
      <c r="N3108">
        <v>4.7</v>
      </c>
      <c r="O3108">
        <v>0</v>
      </c>
      <c r="P3108" t="s">
        <v>48</v>
      </c>
      <c r="Q3108" t="s">
        <v>155</v>
      </c>
      <c r="R3108" t="s">
        <v>155</v>
      </c>
      <c r="S3108">
        <v>20</v>
      </c>
      <c r="T3108" t="s">
        <v>49</v>
      </c>
      <c r="U3108" t="s">
        <v>52</v>
      </c>
      <c r="V3108" s="1">
        <v>45299</v>
      </c>
      <c r="W3108">
        <f>Table1[[#This Row],[customer_purchase count]]+1</f>
        <v>21</v>
      </c>
      <c r="X3108">
        <f>Table1[[#This Row],[customer_purchase count]]*Rules!$B$3</f>
        <v>1195.2871794871796</v>
      </c>
      <c r="Y3108" t="str">
        <f>IF(Table1[[#This Row],[customer_subscription]]=1,"Subscribed","Not Subscribed")</f>
        <v>Not Subscribed</v>
      </c>
    </row>
    <row r="3109" spans="1:26" x14ac:dyDescent="0.25">
      <c r="A3109">
        <v>3108</v>
      </c>
      <c r="B3109">
        <v>65</v>
      </c>
      <c r="C3109" t="s">
        <v>156</v>
      </c>
      <c r="D3109">
        <v>3108</v>
      </c>
      <c r="E3109" t="s">
        <v>23</v>
      </c>
      <c r="F3109" t="s">
        <v>24</v>
      </c>
      <c r="G3109">
        <v>3108</v>
      </c>
      <c r="H3109">
        <v>3928</v>
      </c>
      <c r="I3109">
        <v>31</v>
      </c>
      <c r="J3109" t="s">
        <v>80</v>
      </c>
      <c r="K3109" t="s">
        <v>26</v>
      </c>
      <c r="L3109" t="s">
        <v>27</v>
      </c>
      <c r="M3109" t="s">
        <v>28</v>
      </c>
      <c r="N3109">
        <v>4.5999999999999996</v>
      </c>
      <c r="O3109">
        <v>0</v>
      </c>
      <c r="P3109" t="s">
        <v>57</v>
      </c>
      <c r="Q3109" t="s">
        <v>155</v>
      </c>
      <c r="R3109" t="s">
        <v>155</v>
      </c>
      <c r="S3109">
        <v>18</v>
      </c>
      <c r="T3109" t="s">
        <v>42</v>
      </c>
      <c r="U3109" t="s">
        <v>79</v>
      </c>
      <c r="V3109" s="1">
        <v>45307</v>
      </c>
      <c r="W3109">
        <f>Table1[[#This Row],[customer_purchase count]]+1</f>
        <v>19</v>
      </c>
      <c r="X3109">
        <f>Table1[[#This Row],[customer_purchase count]]*Rules!$B$3</f>
        <v>1075.7584615384617</v>
      </c>
      <c r="Y3109" t="str">
        <f>IF(Table1[[#This Row],[customer_subscription]]=1,"Subscribed","Not Subscribed")</f>
        <v>Not Subscribed</v>
      </c>
    </row>
    <row r="3110" spans="1:26" x14ac:dyDescent="0.25">
      <c r="A3110">
        <v>3109</v>
      </c>
      <c r="B3110">
        <v>50</v>
      </c>
      <c r="C3110" t="s">
        <v>156</v>
      </c>
      <c r="D3110">
        <v>3109</v>
      </c>
      <c r="E3110" t="s">
        <v>128</v>
      </c>
      <c r="F3110" t="s">
        <v>24</v>
      </c>
      <c r="G3110">
        <v>3109</v>
      </c>
      <c r="H3110">
        <v>3929</v>
      </c>
      <c r="I3110">
        <v>69</v>
      </c>
      <c r="J3110" t="s">
        <v>50</v>
      </c>
      <c r="K3110" t="s">
        <v>47</v>
      </c>
      <c r="L3110" t="s">
        <v>76</v>
      </c>
      <c r="M3110" t="s">
        <v>60</v>
      </c>
      <c r="N3110">
        <v>3.2</v>
      </c>
      <c r="O3110">
        <v>0</v>
      </c>
      <c r="P3110" t="s">
        <v>73</v>
      </c>
      <c r="Q3110" t="s">
        <v>155</v>
      </c>
      <c r="R3110" t="s">
        <v>155</v>
      </c>
      <c r="S3110">
        <v>7</v>
      </c>
      <c r="T3110" t="s">
        <v>49</v>
      </c>
      <c r="U3110" t="s">
        <v>91</v>
      </c>
      <c r="V3110" s="1">
        <v>45613</v>
      </c>
      <c r="W3110">
        <f>Table1[[#This Row],[customer_purchase count]]+1</f>
        <v>8</v>
      </c>
      <c r="X3110">
        <f>Table1[[#This Row],[customer_purchase count]]*Rules!$B$3</f>
        <v>418.35051282051285</v>
      </c>
      <c r="Y3110" t="str">
        <f>IF(Table1[[#This Row],[customer_subscription]]=1,"Subscribed","Not Subscribed")</f>
        <v>Not Subscribed</v>
      </c>
      <c r="Z3110" t="s">
        <v>194</v>
      </c>
    </row>
    <row r="3111" spans="1:26" x14ac:dyDescent="0.25">
      <c r="A3111">
        <v>3110</v>
      </c>
      <c r="B3111">
        <v>60</v>
      </c>
      <c r="C3111" t="s">
        <v>156</v>
      </c>
      <c r="D3111">
        <v>3110</v>
      </c>
      <c r="E3111" t="s">
        <v>105</v>
      </c>
      <c r="F3111" t="s">
        <v>66</v>
      </c>
      <c r="G3111">
        <v>3110</v>
      </c>
      <c r="H3111">
        <v>3931</v>
      </c>
      <c r="I3111">
        <v>92</v>
      </c>
      <c r="J3111" t="s">
        <v>118</v>
      </c>
      <c r="K3111" t="s">
        <v>47</v>
      </c>
      <c r="L3111" t="s">
        <v>27</v>
      </c>
      <c r="M3111" t="s">
        <v>28</v>
      </c>
      <c r="N3111">
        <v>4.3</v>
      </c>
      <c r="O3111">
        <v>0</v>
      </c>
      <c r="P3111" t="s">
        <v>41</v>
      </c>
      <c r="Q3111" t="s">
        <v>155</v>
      </c>
      <c r="R3111" t="s">
        <v>155</v>
      </c>
      <c r="S3111">
        <v>47</v>
      </c>
      <c r="T3111" t="s">
        <v>78</v>
      </c>
      <c r="U3111" t="s">
        <v>32</v>
      </c>
      <c r="V3111" s="1">
        <v>45346</v>
      </c>
      <c r="W3111">
        <f>Table1[[#This Row],[customer_purchase count]]+1</f>
        <v>48</v>
      </c>
      <c r="X3111">
        <f>Table1[[#This Row],[customer_purchase count]]*Rules!$B$3</f>
        <v>2808.9248717948717</v>
      </c>
      <c r="Y3111" t="str">
        <f>IF(Table1[[#This Row],[customer_subscription]]=1,"Subscribed","Not Subscribed")</f>
        <v>Not Subscribed</v>
      </c>
    </row>
    <row r="3112" spans="1:26" x14ac:dyDescent="0.25">
      <c r="A3112">
        <v>3111</v>
      </c>
      <c r="B3112">
        <v>19</v>
      </c>
      <c r="C3112" t="s">
        <v>156</v>
      </c>
      <c r="D3112">
        <v>3111</v>
      </c>
      <c r="E3112" t="s">
        <v>69</v>
      </c>
      <c r="F3112" t="s">
        <v>70</v>
      </c>
      <c r="G3112">
        <v>3111</v>
      </c>
      <c r="H3112">
        <v>3932</v>
      </c>
      <c r="I3112">
        <v>46</v>
      </c>
      <c r="J3112" t="s">
        <v>108</v>
      </c>
      <c r="K3112" t="s">
        <v>26</v>
      </c>
      <c r="L3112" t="s">
        <v>96</v>
      </c>
      <c r="M3112" t="s">
        <v>60</v>
      </c>
      <c r="N3112">
        <v>4.5999999999999996</v>
      </c>
      <c r="O3112">
        <v>0</v>
      </c>
      <c r="P3112" t="s">
        <v>48</v>
      </c>
      <c r="Q3112" t="s">
        <v>155</v>
      </c>
      <c r="R3112" t="s">
        <v>155</v>
      </c>
      <c r="S3112">
        <v>2</v>
      </c>
      <c r="T3112" t="s">
        <v>78</v>
      </c>
      <c r="U3112" t="s">
        <v>79</v>
      </c>
      <c r="V3112" s="1">
        <v>45570</v>
      </c>
      <c r="W3112">
        <f>Table1[[#This Row],[customer_purchase count]]+1</f>
        <v>3</v>
      </c>
      <c r="X3112">
        <f>Table1[[#This Row],[customer_purchase count]]*Rules!$B$3</f>
        <v>119.52871794871795</v>
      </c>
      <c r="Y3112" t="str">
        <f>IF(Table1[[#This Row],[customer_subscription]]=1,"Subscribed","Not Subscribed")</f>
        <v>Not Subscribed</v>
      </c>
      <c r="Z3112" t="s">
        <v>194</v>
      </c>
    </row>
    <row r="3113" spans="1:26" x14ac:dyDescent="0.25">
      <c r="A3113">
        <v>3112</v>
      </c>
      <c r="B3113">
        <v>21</v>
      </c>
      <c r="C3113" t="s">
        <v>156</v>
      </c>
      <c r="D3113">
        <v>3112</v>
      </c>
      <c r="E3113" t="s">
        <v>136</v>
      </c>
      <c r="F3113" t="s">
        <v>70</v>
      </c>
      <c r="G3113">
        <v>3112</v>
      </c>
      <c r="H3113">
        <v>3933</v>
      </c>
      <c r="I3113">
        <v>81</v>
      </c>
      <c r="J3113" t="s">
        <v>114</v>
      </c>
      <c r="K3113" t="s">
        <v>95</v>
      </c>
      <c r="L3113" t="s">
        <v>129</v>
      </c>
      <c r="M3113" t="s">
        <v>40</v>
      </c>
      <c r="N3113">
        <v>4.9000000000000004</v>
      </c>
      <c r="O3113">
        <v>0</v>
      </c>
      <c r="P3113" t="s">
        <v>41</v>
      </c>
      <c r="Q3113" t="s">
        <v>155</v>
      </c>
      <c r="R3113" t="s">
        <v>155</v>
      </c>
      <c r="S3113">
        <v>25</v>
      </c>
      <c r="T3113" t="s">
        <v>89</v>
      </c>
      <c r="U3113" t="s">
        <v>61</v>
      </c>
      <c r="V3113" s="1">
        <v>45368</v>
      </c>
      <c r="W3113">
        <f>Table1[[#This Row],[customer_purchase count]]+1</f>
        <v>26</v>
      </c>
      <c r="X3113">
        <f>Table1[[#This Row],[customer_purchase count]]*Rules!$B$3</f>
        <v>1494.1089743589744</v>
      </c>
      <c r="Y3113" t="str">
        <f>IF(Table1[[#This Row],[customer_subscription]]=1,"Subscribed","Not Subscribed")</f>
        <v>Not Subscribed</v>
      </c>
    </row>
    <row r="3114" spans="1:26" x14ac:dyDescent="0.25">
      <c r="A3114">
        <v>3113</v>
      </c>
      <c r="B3114">
        <v>19</v>
      </c>
      <c r="C3114" t="s">
        <v>156</v>
      </c>
      <c r="D3114">
        <v>3113</v>
      </c>
      <c r="E3114" t="s">
        <v>23</v>
      </c>
      <c r="F3114" t="s">
        <v>24</v>
      </c>
      <c r="G3114">
        <v>3113</v>
      </c>
      <c r="H3114">
        <v>3934</v>
      </c>
      <c r="I3114">
        <v>97</v>
      </c>
      <c r="J3114" t="s">
        <v>108</v>
      </c>
      <c r="K3114" t="s">
        <v>39</v>
      </c>
      <c r="L3114" t="s">
        <v>99</v>
      </c>
      <c r="M3114" t="s">
        <v>60</v>
      </c>
      <c r="N3114">
        <v>3.8</v>
      </c>
      <c r="O3114">
        <v>0</v>
      </c>
      <c r="P3114" t="s">
        <v>29</v>
      </c>
      <c r="Q3114" t="s">
        <v>155</v>
      </c>
      <c r="R3114" t="s">
        <v>155</v>
      </c>
      <c r="S3114">
        <v>26</v>
      </c>
      <c r="T3114" t="s">
        <v>31</v>
      </c>
      <c r="U3114" t="s">
        <v>52</v>
      </c>
      <c r="V3114" s="1">
        <v>45555</v>
      </c>
      <c r="W3114">
        <f>Table1[[#This Row],[customer_purchase count]]+1</f>
        <v>27</v>
      </c>
      <c r="X3114">
        <f>Table1[[#This Row],[customer_purchase count]]*Rules!$B$3</f>
        <v>1553.8733333333334</v>
      </c>
      <c r="Y3114" t="str">
        <f>IF(Table1[[#This Row],[customer_subscription]]=1,"Subscribed","Not Subscribed")</f>
        <v>Not Subscribed</v>
      </c>
    </row>
    <row r="3115" spans="1:26" x14ac:dyDescent="0.25">
      <c r="A3115">
        <v>3114</v>
      </c>
      <c r="B3115">
        <v>46</v>
      </c>
      <c r="C3115" t="s">
        <v>156</v>
      </c>
      <c r="D3115">
        <v>3114</v>
      </c>
      <c r="E3115" t="s">
        <v>58</v>
      </c>
      <c r="F3115" t="s">
        <v>24</v>
      </c>
      <c r="G3115">
        <v>3114</v>
      </c>
      <c r="H3115">
        <v>3935</v>
      </c>
      <c r="I3115">
        <v>93</v>
      </c>
      <c r="J3115" t="s">
        <v>148</v>
      </c>
      <c r="K3115" t="s">
        <v>26</v>
      </c>
      <c r="L3115" t="s">
        <v>99</v>
      </c>
      <c r="M3115" t="s">
        <v>56</v>
      </c>
      <c r="N3115">
        <v>2.6</v>
      </c>
      <c r="O3115">
        <v>0</v>
      </c>
      <c r="P3115" t="s">
        <v>29</v>
      </c>
      <c r="Q3115" t="s">
        <v>155</v>
      </c>
      <c r="R3115" t="s">
        <v>155</v>
      </c>
      <c r="S3115">
        <v>2</v>
      </c>
      <c r="T3115" t="s">
        <v>89</v>
      </c>
      <c r="U3115" t="s">
        <v>43</v>
      </c>
      <c r="V3115" s="1">
        <v>45487</v>
      </c>
      <c r="W3115">
        <f>Table1[[#This Row],[customer_purchase count]]+1</f>
        <v>3</v>
      </c>
      <c r="X3115">
        <f>Table1[[#This Row],[customer_purchase count]]*Rules!$B$3</f>
        <v>119.52871794871795</v>
      </c>
      <c r="Y3115" t="str">
        <f>IF(Table1[[#This Row],[customer_subscription]]=1,"Subscribed","Not Subscribed")</f>
        <v>Not Subscribed</v>
      </c>
      <c r="Z3115" t="s">
        <v>194</v>
      </c>
    </row>
    <row r="3116" spans="1:26" x14ac:dyDescent="0.25">
      <c r="A3116">
        <v>3115</v>
      </c>
      <c r="B3116">
        <v>21</v>
      </c>
      <c r="C3116" t="s">
        <v>156</v>
      </c>
      <c r="D3116">
        <v>3115</v>
      </c>
      <c r="E3116" t="s">
        <v>69</v>
      </c>
      <c r="F3116" t="s">
        <v>70</v>
      </c>
      <c r="G3116">
        <v>3115</v>
      </c>
      <c r="H3116">
        <v>3937</v>
      </c>
      <c r="I3116">
        <v>56</v>
      </c>
      <c r="J3116" t="s">
        <v>75</v>
      </c>
      <c r="K3116" t="s">
        <v>47</v>
      </c>
      <c r="L3116" t="s">
        <v>81</v>
      </c>
      <c r="M3116" t="s">
        <v>40</v>
      </c>
      <c r="N3116">
        <v>4.7</v>
      </c>
      <c r="O3116">
        <v>0</v>
      </c>
      <c r="P3116" t="s">
        <v>77</v>
      </c>
      <c r="Q3116" t="s">
        <v>155</v>
      </c>
      <c r="R3116" t="s">
        <v>155</v>
      </c>
      <c r="S3116">
        <v>45</v>
      </c>
      <c r="T3116" t="s">
        <v>31</v>
      </c>
      <c r="U3116" t="s">
        <v>79</v>
      </c>
      <c r="V3116" s="1">
        <v>45438</v>
      </c>
      <c r="W3116">
        <f>Table1[[#This Row],[customer_purchase count]]+1</f>
        <v>46</v>
      </c>
      <c r="X3116">
        <f>Table1[[#This Row],[customer_purchase count]]*Rules!$B$3</f>
        <v>2689.396153846154</v>
      </c>
      <c r="Y3116" t="str">
        <f>IF(Table1[[#This Row],[customer_subscription]]=1,"Subscribed","Not Subscribed")</f>
        <v>Not Subscribed</v>
      </c>
    </row>
    <row r="3117" spans="1:26" x14ac:dyDescent="0.25">
      <c r="A3117">
        <v>3116</v>
      </c>
      <c r="B3117">
        <v>26</v>
      </c>
      <c r="C3117" t="s">
        <v>156</v>
      </c>
      <c r="D3117">
        <v>3116</v>
      </c>
      <c r="E3117" t="s">
        <v>122</v>
      </c>
      <c r="F3117" t="s">
        <v>70</v>
      </c>
      <c r="G3117">
        <v>3116</v>
      </c>
      <c r="H3117">
        <v>3938</v>
      </c>
      <c r="I3117">
        <v>53</v>
      </c>
      <c r="J3117" t="s">
        <v>150</v>
      </c>
      <c r="K3117" t="s">
        <v>47</v>
      </c>
      <c r="L3117" t="s">
        <v>64</v>
      </c>
      <c r="M3117" t="s">
        <v>60</v>
      </c>
      <c r="N3117">
        <v>4.0999999999999996</v>
      </c>
      <c r="O3117">
        <v>0</v>
      </c>
      <c r="P3117" t="s">
        <v>41</v>
      </c>
      <c r="Q3117" t="s">
        <v>155</v>
      </c>
      <c r="R3117" t="s">
        <v>155</v>
      </c>
      <c r="S3117">
        <v>9</v>
      </c>
      <c r="T3117" t="s">
        <v>78</v>
      </c>
      <c r="U3117" t="s">
        <v>79</v>
      </c>
      <c r="V3117" s="1">
        <v>45582</v>
      </c>
      <c r="W3117">
        <f>Table1[[#This Row],[customer_purchase count]]+1</f>
        <v>10</v>
      </c>
      <c r="X3117">
        <f>Table1[[#This Row],[customer_purchase count]]*Rules!$B$3</f>
        <v>537.87923076923084</v>
      </c>
      <c r="Y3117" t="str">
        <f>IF(Table1[[#This Row],[customer_subscription]]=1,"Subscribed","Not Subscribed")</f>
        <v>Not Subscribed</v>
      </c>
      <c r="Z3117" t="s">
        <v>187</v>
      </c>
    </row>
    <row r="3118" spans="1:26" x14ac:dyDescent="0.25">
      <c r="A3118">
        <v>3117</v>
      </c>
      <c r="B3118">
        <v>50</v>
      </c>
      <c r="C3118" t="s">
        <v>156</v>
      </c>
      <c r="D3118">
        <v>3117</v>
      </c>
      <c r="E3118" t="s">
        <v>65</v>
      </c>
      <c r="F3118" t="s">
        <v>66</v>
      </c>
      <c r="G3118">
        <v>3117</v>
      </c>
      <c r="H3118">
        <v>3939</v>
      </c>
      <c r="I3118">
        <v>66</v>
      </c>
      <c r="J3118" t="s">
        <v>59</v>
      </c>
      <c r="K3118" t="s">
        <v>26</v>
      </c>
      <c r="L3118" t="s">
        <v>27</v>
      </c>
      <c r="M3118" t="s">
        <v>40</v>
      </c>
      <c r="N3118">
        <v>3.7</v>
      </c>
      <c r="O3118">
        <v>0</v>
      </c>
      <c r="P3118" t="s">
        <v>77</v>
      </c>
      <c r="Q3118" t="s">
        <v>155</v>
      </c>
      <c r="R3118" t="s">
        <v>155</v>
      </c>
      <c r="S3118">
        <v>1</v>
      </c>
      <c r="T3118" t="s">
        <v>31</v>
      </c>
      <c r="U3118" t="s">
        <v>43</v>
      </c>
      <c r="V3118" s="1">
        <v>45355</v>
      </c>
      <c r="W3118">
        <f>Table1[[#This Row],[customer_purchase count]]+1</f>
        <v>2</v>
      </c>
      <c r="X3118">
        <f>Table1[[#This Row],[customer_purchase count]]*Rules!$B$3</f>
        <v>59.764358974358977</v>
      </c>
      <c r="Y3118" t="str">
        <f>IF(Table1[[#This Row],[customer_subscription]]=1,"Subscribed","Not Subscribed")</f>
        <v>Not Subscribed</v>
      </c>
      <c r="Z3118" t="s">
        <v>194</v>
      </c>
    </row>
    <row r="3119" spans="1:26" x14ac:dyDescent="0.25">
      <c r="A3119">
        <v>3118</v>
      </c>
      <c r="B3119">
        <v>43</v>
      </c>
      <c r="C3119" t="s">
        <v>156</v>
      </c>
      <c r="D3119">
        <v>3118</v>
      </c>
      <c r="E3119" t="s">
        <v>107</v>
      </c>
      <c r="F3119" t="s">
        <v>24</v>
      </c>
      <c r="G3119">
        <v>3118</v>
      </c>
      <c r="H3119">
        <v>3940</v>
      </c>
      <c r="I3119">
        <v>50</v>
      </c>
      <c r="J3119" t="s">
        <v>106</v>
      </c>
      <c r="K3119" t="s">
        <v>47</v>
      </c>
      <c r="L3119" t="s">
        <v>81</v>
      </c>
      <c r="M3119" t="s">
        <v>60</v>
      </c>
      <c r="N3119">
        <v>3</v>
      </c>
      <c r="O3119">
        <v>0</v>
      </c>
      <c r="P3119" t="s">
        <v>41</v>
      </c>
      <c r="Q3119" t="s">
        <v>155</v>
      </c>
      <c r="R3119" t="s">
        <v>155</v>
      </c>
      <c r="S3119">
        <v>4</v>
      </c>
      <c r="T3119" t="s">
        <v>49</v>
      </c>
      <c r="U3119" t="s">
        <v>79</v>
      </c>
      <c r="V3119" s="1">
        <v>45576</v>
      </c>
      <c r="W3119">
        <f>Table1[[#This Row],[customer_purchase count]]+1</f>
        <v>5</v>
      </c>
      <c r="X3119">
        <f>Table1[[#This Row],[customer_purchase count]]*Rules!$B$3</f>
        <v>239.05743589743591</v>
      </c>
      <c r="Y3119" t="str">
        <f>IF(Table1[[#This Row],[customer_subscription]]=1,"Subscribed","Not Subscribed")</f>
        <v>Not Subscribed</v>
      </c>
      <c r="Z3119" t="s">
        <v>194</v>
      </c>
    </row>
    <row r="3120" spans="1:26" x14ac:dyDescent="0.25">
      <c r="A3120">
        <v>3119</v>
      </c>
      <c r="B3120">
        <v>61</v>
      </c>
      <c r="C3120" t="s">
        <v>156</v>
      </c>
      <c r="D3120">
        <v>3119</v>
      </c>
      <c r="E3120" t="s">
        <v>62</v>
      </c>
      <c r="F3120" t="s">
        <v>24</v>
      </c>
      <c r="G3120">
        <v>3119</v>
      </c>
      <c r="H3120">
        <v>3941</v>
      </c>
      <c r="I3120">
        <v>97</v>
      </c>
      <c r="J3120" t="s">
        <v>144</v>
      </c>
      <c r="K3120" t="s">
        <v>26</v>
      </c>
      <c r="L3120" t="s">
        <v>147</v>
      </c>
      <c r="M3120" t="s">
        <v>56</v>
      </c>
      <c r="N3120">
        <v>4.7</v>
      </c>
      <c r="O3120">
        <v>0</v>
      </c>
      <c r="P3120" t="s">
        <v>57</v>
      </c>
      <c r="Q3120" t="s">
        <v>155</v>
      </c>
      <c r="R3120" t="s">
        <v>155</v>
      </c>
      <c r="S3120">
        <v>31</v>
      </c>
      <c r="T3120" t="s">
        <v>89</v>
      </c>
      <c r="U3120" t="s">
        <v>61</v>
      </c>
      <c r="V3120" s="1">
        <v>45525</v>
      </c>
      <c r="W3120">
        <f>Table1[[#This Row],[customer_purchase count]]+1</f>
        <v>32</v>
      </c>
      <c r="X3120">
        <f>Table1[[#This Row],[customer_purchase count]]*Rules!$B$3</f>
        <v>1852.6951282051282</v>
      </c>
      <c r="Y3120" t="str">
        <f>IF(Table1[[#This Row],[customer_subscription]]=1,"Subscribed","Not Subscribed")</f>
        <v>Not Subscribed</v>
      </c>
    </row>
    <row r="3121" spans="1:26" x14ac:dyDescent="0.25">
      <c r="A3121">
        <v>3120</v>
      </c>
      <c r="B3121">
        <v>63</v>
      </c>
      <c r="C3121" t="s">
        <v>156</v>
      </c>
      <c r="D3121">
        <v>3120</v>
      </c>
      <c r="E3121" t="s">
        <v>44</v>
      </c>
      <c r="F3121" t="s">
        <v>45</v>
      </c>
      <c r="G3121">
        <v>3120</v>
      </c>
      <c r="H3121">
        <v>3943</v>
      </c>
      <c r="I3121">
        <v>79</v>
      </c>
      <c r="J3121" t="s">
        <v>63</v>
      </c>
      <c r="K3121" t="s">
        <v>95</v>
      </c>
      <c r="L3121" t="s">
        <v>68</v>
      </c>
      <c r="M3121" t="s">
        <v>28</v>
      </c>
      <c r="N3121">
        <v>4.7</v>
      </c>
      <c r="O3121">
        <v>0</v>
      </c>
      <c r="P3121" t="s">
        <v>73</v>
      </c>
      <c r="Q3121" t="s">
        <v>155</v>
      </c>
      <c r="R3121" t="s">
        <v>155</v>
      </c>
      <c r="S3121">
        <v>21</v>
      </c>
      <c r="T3121" t="s">
        <v>42</v>
      </c>
      <c r="U3121" t="s">
        <v>100</v>
      </c>
      <c r="V3121" s="1">
        <v>45633</v>
      </c>
      <c r="W3121">
        <f>Table1[[#This Row],[customer_purchase count]]+1</f>
        <v>22</v>
      </c>
      <c r="X3121">
        <f>Table1[[#This Row],[customer_purchase count]]*Rules!$B$3</f>
        <v>1255.0515384615385</v>
      </c>
      <c r="Y3121" t="str">
        <f>IF(Table1[[#This Row],[customer_subscription]]=1,"Subscribed","Not Subscribed")</f>
        <v>Not Subscribed</v>
      </c>
    </row>
    <row r="3122" spans="1:26" x14ac:dyDescent="0.25">
      <c r="A3122">
        <v>3121</v>
      </c>
      <c r="B3122">
        <v>46</v>
      </c>
      <c r="C3122" t="s">
        <v>156</v>
      </c>
      <c r="D3122">
        <v>3121</v>
      </c>
      <c r="E3122" t="s">
        <v>58</v>
      </c>
      <c r="F3122" t="s">
        <v>24</v>
      </c>
      <c r="G3122">
        <v>3121</v>
      </c>
      <c r="H3122">
        <v>3944</v>
      </c>
      <c r="I3122">
        <v>76</v>
      </c>
      <c r="J3122" t="s">
        <v>63</v>
      </c>
      <c r="K3122" t="s">
        <v>47</v>
      </c>
      <c r="L3122" t="s">
        <v>139</v>
      </c>
      <c r="M3122" t="s">
        <v>60</v>
      </c>
      <c r="N3122">
        <v>4</v>
      </c>
      <c r="O3122">
        <v>0</v>
      </c>
      <c r="P3122" t="s">
        <v>77</v>
      </c>
      <c r="Q3122" t="s">
        <v>155</v>
      </c>
      <c r="R3122" t="s">
        <v>155</v>
      </c>
      <c r="S3122">
        <v>32</v>
      </c>
      <c r="T3122" t="s">
        <v>89</v>
      </c>
      <c r="U3122" t="s">
        <v>32</v>
      </c>
      <c r="V3122" s="1">
        <v>45542</v>
      </c>
      <c r="W3122">
        <f>Table1[[#This Row],[customer_purchase count]]+1</f>
        <v>33</v>
      </c>
      <c r="X3122">
        <f>Table1[[#This Row],[customer_purchase count]]*Rules!$B$3</f>
        <v>1912.4594871794873</v>
      </c>
      <c r="Y3122" t="str">
        <f>IF(Table1[[#This Row],[customer_subscription]]=1,"Subscribed","Not Subscribed")</f>
        <v>Not Subscribed</v>
      </c>
    </row>
    <row r="3123" spans="1:26" x14ac:dyDescent="0.25">
      <c r="A3123">
        <v>3122</v>
      </c>
      <c r="B3123">
        <v>63</v>
      </c>
      <c r="C3123" t="s">
        <v>156</v>
      </c>
      <c r="D3123">
        <v>3122</v>
      </c>
      <c r="E3123" t="s">
        <v>107</v>
      </c>
      <c r="F3123" t="s">
        <v>24</v>
      </c>
      <c r="G3123">
        <v>3122</v>
      </c>
      <c r="H3123">
        <v>3945</v>
      </c>
      <c r="I3123">
        <v>38</v>
      </c>
      <c r="J3123" t="s">
        <v>63</v>
      </c>
      <c r="K3123" t="s">
        <v>26</v>
      </c>
      <c r="L3123" t="s">
        <v>97</v>
      </c>
      <c r="M3123" t="s">
        <v>60</v>
      </c>
      <c r="N3123">
        <v>2.6</v>
      </c>
      <c r="O3123">
        <v>0</v>
      </c>
      <c r="P3123" t="s">
        <v>57</v>
      </c>
      <c r="Q3123" t="s">
        <v>155</v>
      </c>
      <c r="R3123" t="s">
        <v>155</v>
      </c>
      <c r="S3123">
        <v>16</v>
      </c>
      <c r="T3123" t="s">
        <v>31</v>
      </c>
      <c r="U3123" t="s">
        <v>43</v>
      </c>
      <c r="V3123" s="1">
        <v>45608</v>
      </c>
      <c r="W3123">
        <f>Table1[[#This Row],[customer_purchase count]]+1</f>
        <v>17</v>
      </c>
      <c r="X3123">
        <f>Table1[[#This Row],[customer_purchase count]]*Rules!$B$3</f>
        <v>956.22974358974363</v>
      </c>
      <c r="Y3123" t="str">
        <f>IF(Table1[[#This Row],[customer_subscription]]=1,"Subscribed","Not Subscribed")</f>
        <v>Not Subscribed</v>
      </c>
      <c r="Z3123" t="s">
        <v>194</v>
      </c>
    </row>
    <row r="3124" spans="1:26" x14ac:dyDescent="0.25">
      <c r="A3124">
        <v>3123</v>
      </c>
      <c r="B3124">
        <v>23</v>
      </c>
      <c r="C3124" t="s">
        <v>156</v>
      </c>
      <c r="D3124">
        <v>3123</v>
      </c>
      <c r="E3124" t="s">
        <v>128</v>
      </c>
      <c r="F3124" t="s">
        <v>24</v>
      </c>
      <c r="G3124">
        <v>3123</v>
      </c>
      <c r="H3124">
        <v>3946</v>
      </c>
      <c r="I3124">
        <v>45</v>
      </c>
      <c r="J3124" t="s">
        <v>145</v>
      </c>
      <c r="K3124" t="s">
        <v>47</v>
      </c>
      <c r="L3124" t="s">
        <v>72</v>
      </c>
      <c r="M3124" t="s">
        <v>60</v>
      </c>
      <c r="N3124">
        <v>3</v>
      </c>
      <c r="O3124">
        <v>0</v>
      </c>
      <c r="P3124" t="s">
        <v>29</v>
      </c>
      <c r="Q3124" t="s">
        <v>155</v>
      </c>
      <c r="R3124" t="s">
        <v>155</v>
      </c>
      <c r="S3124">
        <v>34</v>
      </c>
      <c r="T3124" t="s">
        <v>42</v>
      </c>
      <c r="U3124" t="s">
        <v>32</v>
      </c>
      <c r="V3124" s="1">
        <v>45555</v>
      </c>
      <c r="W3124">
        <f>Table1[[#This Row],[customer_purchase count]]+1</f>
        <v>35</v>
      </c>
      <c r="X3124">
        <f>Table1[[#This Row],[customer_purchase count]]*Rules!$B$3</f>
        <v>2031.9882051282052</v>
      </c>
      <c r="Y3124" t="str">
        <f>IF(Table1[[#This Row],[customer_subscription]]=1,"Subscribed","Not Subscribed")</f>
        <v>Not Subscribed</v>
      </c>
    </row>
    <row r="3125" spans="1:26" x14ac:dyDescent="0.25">
      <c r="A3125">
        <v>3124</v>
      </c>
      <c r="B3125">
        <v>57</v>
      </c>
      <c r="C3125" t="s">
        <v>156</v>
      </c>
      <c r="D3125">
        <v>3124</v>
      </c>
      <c r="E3125" t="s">
        <v>69</v>
      </c>
      <c r="F3125" t="s">
        <v>70</v>
      </c>
      <c r="G3125">
        <v>3124</v>
      </c>
      <c r="H3125">
        <v>3947</v>
      </c>
      <c r="I3125">
        <v>77</v>
      </c>
      <c r="J3125" t="s">
        <v>149</v>
      </c>
      <c r="K3125" t="s">
        <v>95</v>
      </c>
      <c r="L3125" t="s">
        <v>111</v>
      </c>
      <c r="M3125" t="s">
        <v>60</v>
      </c>
      <c r="N3125">
        <v>3.3</v>
      </c>
      <c r="O3125">
        <v>0</v>
      </c>
      <c r="P3125" t="s">
        <v>48</v>
      </c>
      <c r="Q3125" t="s">
        <v>155</v>
      </c>
      <c r="R3125" t="s">
        <v>155</v>
      </c>
      <c r="S3125">
        <v>40</v>
      </c>
      <c r="T3125" t="s">
        <v>31</v>
      </c>
      <c r="U3125" t="s">
        <v>79</v>
      </c>
      <c r="V3125" s="1">
        <v>45598</v>
      </c>
      <c r="W3125">
        <f>Table1[[#This Row],[customer_purchase count]]+1</f>
        <v>41</v>
      </c>
      <c r="X3125">
        <f>Table1[[#This Row],[customer_purchase count]]*Rules!$B$3</f>
        <v>2390.5743589743593</v>
      </c>
      <c r="Y3125" t="str">
        <f>IF(Table1[[#This Row],[customer_subscription]]=1,"Subscribed","Not Subscribed")</f>
        <v>Not Subscribed</v>
      </c>
    </row>
    <row r="3126" spans="1:26" x14ac:dyDescent="0.25">
      <c r="A3126">
        <v>3125</v>
      </c>
      <c r="B3126">
        <v>57</v>
      </c>
      <c r="C3126" t="s">
        <v>156</v>
      </c>
      <c r="D3126">
        <v>3125</v>
      </c>
      <c r="E3126" t="s">
        <v>109</v>
      </c>
      <c r="F3126" t="s">
        <v>70</v>
      </c>
      <c r="G3126">
        <v>3125</v>
      </c>
      <c r="H3126">
        <v>3949</v>
      </c>
      <c r="I3126">
        <v>51</v>
      </c>
      <c r="J3126" t="s">
        <v>102</v>
      </c>
      <c r="K3126" t="s">
        <v>47</v>
      </c>
      <c r="L3126" t="s">
        <v>103</v>
      </c>
      <c r="M3126" t="s">
        <v>56</v>
      </c>
      <c r="N3126">
        <v>3.4</v>
      </c>
      <c r="O3126">
        <v>0</v>
      </c>
      <c r="P3126" t="s">
        <v>57</v>
      </c>
      <c r="Q3126" t="s">
        <v>155</v>
      </c>
      <c r="R3126" t="s">
        <v>155</v>
      </c>
      <c r="S3126">
        <v>4</v>
      </c>
      <c r="T3126" t="s">
        <v>36</v>
      </c>
      <c r="U3126" t="s">
        <v>100</v>
      </c>
      <c r="V3126" s="1">
        <v>45523</v>
      </c>
      <c r="W3126">
        <f>Table1[[#This Row],[customer_purchase count]]+1</f>
        <v>5</v>
      </c>
      <c r="X3126">
        <f>Table1[[#This Row],[customer_purchase count]]*Rules!$B$3</f>
        <v>239.05743589743591</v>
      </c>
      <c r="Y3126" t="str">
        <f>IF(Table1[[#This Row],[customer_subscription]]=1,"Subscribed","Not Subscribed")</f>
        <v>Not Subscribed</v>
      </c>
      <c r="Z3126" t="s">
        <v>194</v>
      </c>
    </row>
    <row r="3127" spans="1:26" x14ac:dyDescent="0.25">
      <c r="A3127">
        <v>3126</v>
      </c>
      <c r="B3127">
        <v>33</v>
      </c>
      <c r="C3127" t="s">
        <v>156</v>
      </c>
      <c r="D3127">
        <v>3126</v>
      </c>
      <c r="E3127" t="s">
        <v>65</v>
      </c>
      <c r="F3127" t="s">
        <v>66</v>
      </c>
      <c r="G3127">
        <v>3126</v>
      </c>
      <c r="H3127">
        <v>3950</v>
      </c>
      <c r="I3127">
        <v>26</v>
      </c>
      <c r="J3127" t="s">
        <v>50</v>
      </c>
      <c r="K3127" t="s">
        <v>26</v>
      </c>
      <c r="L3127" t="s">
        <v>96</v>
      </c>
      <c r="M3127" t="s">
        <v>40</v>
      </c>
      <c r="N3127">
        <v>4</v>
      </c>
      <c r="O3127">
        <v>0</v>
      </c>
      <c r="P3127" t="s">
        <v>57</v>
      </c>
      <c r="Q3127" t="s">
        <v>155</v>
      </c>
      <c r="R3127" t="s">
        <v>155</v>
      </c>
      <c r="S3127">
        <v>3</v>
      </c>
      <c r="T3127" t="s">
        <v>36</v>
      </c>
      <c r="U3127" t="s">
        <v>61</v>
      </c>
      <c r="V3127" s="1">
        <v>45355</v>
      </c>
      <c r="W3127">
        <f>Table1[[#This Row],[customer_purchase count]]+1</f>
        <v>4</v>
      </c>
      <c r="X3127">
        <f>Table1[[#This Row],[customer_purchase count]]*Rules!$B$3</f>
        <v>179.29307692307694</v>
      </c>
      <c r="Y3127" t="str">
        <f>IF(Table1[[#This Row],[customer_subscription]]=1,"Subscribed","Not Subscribed")</f>
        <v>Not Subscribed</v>
      </c>
      <c r="Z3127" t="s">
        <v>194</v>
      </c>
    </row>
    <row r="3128" spans="1:26" x14ac:dyDescent="0.25">
      <c r="A3128">
        <v>3127</v>
      </c>
      <c r="B3128">
        <v>57</v>
      </c>
      <c r="C3128" t="s">
        <v>156</v>
      </c>
      <c r="D3128">
        <v>3127</v>
      </c>
      <c r="E3128" t="s">
        <v>92</v>
      </c>
      <c r="F3128" t="s">
        <v>70</v>
      </c>
      <c r="G3128">
        <v>3127</v>
      </c>
      <c r="H3128">
        <v>3951</v>
      </c>
      <c r="I3128">
        <v>76</v>
      </c>
      <c r="J3128" t="s">
        <v>34</v>
      </c>
      <c r="K3128" t="s">
        <v>26</v>
      </c>
      <c r="L3128" t="s">
        <v>96</v>
      </c>
      <c r="M3128" t="s">
        <v>28</v>
      </c>
      <c r="N3128">
        <v>2.6</v>
      </c>
      <c r="O3128">
        <v>0</v>
      </c>
      <c r="P3128" t="s">
        <v>77</v>
      </c>
      <c r="Q3128" t="s">
        <v>155</v>
      </c>
      <c r="R3128" t="s">
        <v>155</v>
      </c>
      <c r="S3128">
        <v>28</v>
      </c>
      <c r="T3128" t="s">
        <v>78</v>
      </c>
      <c r="U3128" t="s">
        <v>79</v>
      </c>
      <c r="V3128" s="1">
        <v>45340</v>
      </c>
      <c r="W3128">
        <f>Table1[[#This Row],[customer_purchase count]]+1</f>
        <v>29</v>
      </c>
      <c r="X3128">
        <f>Table1[[#This Row],[customer_purchase count]]*Rules!$B$3</f>
        <v>1673.4020512820514</v>
      </c>
      <c r="Y3128" t="str">
        <f>IF(Table1[[#This Row],[customer_subscription]]=1,"Subscribed","Not Subscribed")</f>
        <v>Not Subscribed</v>
      </c>
    </row>
    <row r="3129" spans="1:26" x14ac:dyDescent="0.25">
      <c r="A3129">
        <v>3128</v>
      </c>
      <c r="B3129">
        <v>55</v>
      </c>
      <c r="C3129" t="s">
        <v>156</v>
      </c>
      <c r="D3129">
        <v>3128</v>
      </c>
      <c r="E3129" t="s">
        <v>146</v>
      </c>
      <c r="F3129" t="s">
        <v>70</v>
      </c>
      <c r="G3129">
        <v>3128</v>
      </c>
      <c r="H3129">
        <v>3952</v>
      </c>
      <c r="I3129">
        <v>94</v>
      </c>
      <c r="J3129" t="s">
        <v>63</v>
      </c>
      <c r="K3129" t="s">
        <v>47</v>
      </c>
      <c r="L3129" t="s">
        <v>121</v>
      </c>
      <c r="M3129" t="s">
        <v>28</v>
      </c>
      <c r="N3129">
        <v>3.4</v>
      </c>
      <c r="O3129">
        <v>0</v>
      </c>
      <c r="P3129" t="s">
        <v>41</v>
      </c>
      <c r="Q3129" t="s">
        <v>155</v>
      </c>
      <c r="R3129" t="s">
        <v>155</v>
      </c>
      <c r="S3129">
        <v>43</v>
      </c>
      <c r="T3129" t="s">
        <v>42</v>
      </c>
      <c r="U3129" t="s">
        <v>100</v>
      </c>
      <c r="V3129" s="1">
        <v>45310</v>
      </c>
      <c r="W3129">
        <f>Table1[[#This Row],[customer_purchase count]]+1</f>
        <v>44</v>
      </c>
      <c r="X3129">
        <f>Table1[[#This Row],[customer_purchase count]]*Rules!$B$3</f>
        <v>2569.8674358974358</v>
      </c>
      <c r="Y3129" t="str">
        <f>IF(Table1[[#This Row],[customer_subscription]]=1,"Subscribed","Not Subscribed")</f>
        <v>Not Subscribed</v>
      </c>
    </row>
    <row r="3130" spans="1:26" x14ac:dyDescent="0.25">
      <c r="A3130">
        <v>3129</v>
      </c>
      <c r="B3130">
        <v>65</v>
      </c>
      <c r="C3130" t="s">
        <v>156</v>
      </c>
      <c r="D3130">
        <v>3129</v>
      </c>
      <c r="E3130" t="s">
        <v>105</v>
      </c>
      <c r="F3130" t="s">
        <v>66</v>
      </c>
      <c r="G3130">
        <v>3129</v>
      </c>
      <c r="H3130">
        <v>3953</v>
      </c>
      <c r="I3130">
        <v>32</v>
      </c>
      <c r="J3130" t="s">
        <v>75</v>
      </c>
      <c r="K3130" t="s">
        <v>39</v>
      </c>
      <c r="L3130" t="s">
        <v>129</v>
      </c>
      <c r="M3130" t="s">
        <v>60</v>
      </c>
      <c r="N3130">
        <v>4.4000000000000004</v>
      </c>
      <c r="O3130">
        <v>0</v>
      </c>
      <c r="P3130" t="s">
        <v>57</v>
      </c>
      <c r="Q3130" t="s">
        <v>155</v>
      </c>
      <c r="R3130" t="s">
        <v>155</v>
      </c>
      <c r="S3130">
        <v>20</v>
      </c>
      <c r="T3130" t="s">
        <v>36</v>
      </c>
      <c r="U3130" t="s">
        <v>52</v>
      </c>
      <c r="V3130" s="1">
        <v>45598</v>
      </c>
      <c r="W3130">
        <f>Table1[[#This Row],[customer_purchase count]]+1</f>
        <v>21</v>
      </c>
      <c r="X3130">
        <f>Table1[[#This Row],[customer_purchase count]]*Rules!$B$3</f>
        <v>1195.2871794871796</v>
      </c>
      <c r="Y3130" t="str">
        <f>IF(Table1[[#This Row],[customer_subscription]]=1,"Subscribed","Not Subscribed")</f>
        <v>Not Subscribed</v>
      </c>
    </row>
    <row r="3131" spans="1:26" x14ac:dyDescent="0.25">
      <c r="A3131">
        <v>3130</v>
      </c>
      <c r="B3131">
        <v>60</v>
      </c>
      <c r="C3131" t="s">
        <v>156</v>
      </c>
      <c r="D3131">
        <v>3130</v>
      </c>
      <c r="E3131" t="s">
        <v>44</v>
      </c>
      <c r="F3131" t="s">
        <v>45</v>
      </c>
      <c r="G3131">
        <v>3130</v>
      </c>
      <c r="H3131">
        <v>3955</v>
      </c>
      <c r="I3131">
        <v>20</v>
      </c>
      <c r="J3131" t="s">
        <v>131</v>
      </c>
      <c r="K3131" t="s">
        <v>39</v>
      </c>
      <c r="L3131" t="s">
        <v>112</v>
      </c>
      <c r="M3131" t="s">
        <v>56</v>
      </c>
      <c r="N3131">
        <v>4.7</v>
      </c>
      <c r="O3131">
        <v>0</v>
      </c>
      <c r="P3131" t="s">
        <v>29</v>
      </c>
      <c r="Q3131" t="s">
        <v>155</v>
      </c>
      <c r="R3131" t="s">
        <v>155</v>
      </c>
      <c r="S3131">
        <v>40</v>
      </c>
      <c r="T3131" t="s">
        <v>31</v>
      </c>
      <c r="U3131" t="s">
        <v>100</v>
      </c>
      <c r="V3131" s="1">
        <v>45495</v>
      </c>
      <c r="W3131">
        <f>Table1[[#This Row],[customer_purchase count]]+1</f>
        <v>41</v>
      </c>
      <c r="X3131">
        <f>Table1[[#This Row],[customer_purchase count]]*Rules!$B$3</f>
        <v>2390.5743589743593</v>
      </c>
      <c r="Y3131" t="str">
        <f>IF(Table1[[#This Row],[customer_subscription]]=1,"Subscribed","Not Subscribed")</f>
        <v>Not Subscribed</v>
      </c>
    </row>
    <row r="3132" spans="1:26" x14ac:dyDescent="0.25">
      <c r="A3132">
        <v>3131</v>
      </c>
      <c r="B3132">
        <v>52</v>
      </c>
      <c r="C3132" t="s">
        <v>156</v>
      </c>
      <c r="D3132">
        <v>3131</v>
      </c>
      <c r="E3132" t="s">
        <v>98</v>
      </c>
      <c r="F3132" t="s">
        <v>24</v>
      </c>
      <c r="G3132">
        <v>3131</v>
      </c>
      <c r="H3132">
        <v>3956</v>
      </c>
      <c r="I3132">
        <v>20</v>
      </c>
      <c r="J3132" t="s">
        <v>132</v>
      </c>
      <c r="K3132" t="s">
        <v>47</v>
      </c>
      <c r="L3132" t="s">
        <v>137</v>
      </c>
      <c r="M3132" t="s">
        <v>56</v>
      </c>
      <c r="N3132">
        <v>4.5</v>
      </c>
      <c r="O3132">
        <v>0</v>
      </c>
      <c r="P3132" t="s">
        <v>77</v>
      </c>
      <c r="Q3132" t="s">
        <v>155</v>
      </c>
      <c r="R3132" t="s">
        <v>155</v>
      </c>
      <c r="S3132">
        <v>34</v>
      </c>
      <c r="T3132" t="s">
        <v>31</v>
      </c>
      <c r="U3132" t="s">
        <v>100</v>
      </c>
      <c r="V3132" s="1">
        <v>45526</v>
      </c>
      <c r="W3132">
        <f>Table1[[#This Row],[customer_purchase count]]+1</f>
        <v>35</v>
      </c>
      <c r="X3132">
        <f>Table1[[#This Row],[customer_purchase count]]*Rules!$B$3</f>
        <v>2031.9882051282052</v>
      </c>
      <c r="Y3132" t="str">
        <f>IF(Table1[[#This Row],[customer_subscription]]=1,"Subscribed","Not Subscribed")</f>
        <v>Not Subscribed</v>
      </c>
    </row>
    <row r="3133" spans="1:26" x14ac:dyDescent="0.25">
      <c r="A3133">
        <v>3132</v>
      </c>
      <c r="B3133">
        <v>34</v>
      </c>
      <c r="C3133" t="s">
        <v>156</v>
      </c>
      <c r="D3133">
        <v>3132</v>
      </c>
      <c r="E3133" t="s">
        <v>105</v>
      </c>
      <c r="F3133" t="s">
        <v>66</v>
      </c>
      <c r="G3133">
        <v>3132</v>
      </c>
      <c r="H3133">
        <v>3957</v>
      </c>
      <c r="I3133">
        <v>59</v>
      </c>
      <c r="J3133" t="s">
        <v>117</v>
      </c>
      <c r="K3133" t="s">
        <v>47</v>
      </c>
      <c r="L3133" t="s">
        <v>103</v>
      </c>
      <c r="M3133" t="s">
        <v>60</v>
      </c>
      <c r="N3133">
        <v>2.9</v>
      </c>
      <c r="O3133">
        <v>0</v>
      </c>
      <c r="P3133" t="s">
        <v>77</v>
      </c>
      <c r="Q3133" t="s">
        <v>155</v>
      </c>
      <c r="R3133" t="s">
        <v>155</v>
      </c>
      <c r="S3133">
        <v>11</v>
      </c>
      <c r="T3133" t="s">
        <v>78</v>
      </c>
      <c r="U3133" t="s">
        <v>100</v>
      </c>
      <c r="V3133" s="1">
        <v>45570</v>
      </c>
      <c r="W3133">
        <f>Table1[[#This Row],[customer_purchase count]]+1</f>
        <v>12</v>
      </c>
      <c r="X3133">
        <f>Table1[[#This Row],[customer_purchase count]]*Rules!$B$3</f>
        <v>657.40794871794878</v>
      </c>
      <c r="Y3133" t="str">
        <f>IF(Table1[[#This Row],[customer_subscription]]=1,"Subscribed","Not Subscribed")</f>
        <v>Not Subscribed</v>
      </c>
      <c r="Z3133" t="s">
        <v>194</v>
      </c>
    </row>
    <row r="3134" spans="1:26" x14ac:dyDescent="0.25">
      <c r="A3134">
        <v>3133</v>
      </c>
      <c r="B3134">
        <v>33</v>
      </c>
      <c r="C3134" t="s">
        <v>156</v>
      </c>
      <c r="D3134">
        <v>3133</v>
      </c>
      <c r="E3134" t="s">
        <v>33</v>
      </c>
      <c r="F3134" t="s">
        <v>24</v>
      </c>
      <c r="G3134">
        <v>3133</v>
      </c>
      <c r="H3134">
        <v>3958</v>
      </c>
      <c r="I3134">
        <v>97</v>
      </c>
      <c r="J3134" t="s">
        <v>154</v>
      </c>
      <c r="K3134" t="s">
        <v>47</v>
      </c>
      <c r="L3134" t="s">
        <v>137</v>
      </c>
      <c r="M3134" t="s">
        <v>56</v>
      </c>
      <c r="N3134">
        <v>4.2</v>
      </c>
      <c r="O3134">
        <v>0</v>
      </c>
      <c r="P3134" t="s">
        <v>29</v>
      </c>
      <c r="Q3134" t="s">
        <v>155</v>
      </c>
      <c r="R3134" t="s">
        <v>155</v>
      </c>
      <c r="S3134">
        <v>26</v>
      </c>
      <c r="T3134" t="s">
        <v>36</v>
      </c>
      <c r="U3134" t="s">
        <v>61</v>
      </c>
      <c r="V3134" s="1">
        <v>45474</v>
      </c>
      <c r="W3134">
        <f>Table1[[#This Row],[customer_purchase count]]+1</f>
        <v>27</v>
      </c>
      <c r="X3134">
        <f>Table1[[#This Row],[customer_purchase count]]*Rules!$B$3</f>
        <v>1553.8733333333334</v>
      </c>
      <c r="Y3134" t="str">
        <f>IF(Table1[[#This Row],[customer_subscription]]=1,"Subscribed","Not Subscribed")</f>
        <v>Not Subscribed</v>
      </c>
    </row>
    <row r="3135" spans="1:26" x14ac:dyDescent="0.25">
      <c r="A3135">
        <v>3134</v>
      </c>
      <c r="B3135">
        <v>58</v>
      </c>
      <c r="C3135" t="s">
        <v>156</v>
      </c>
      <c r="D3135">
        <v>3134</v>
      </c>
      <c r="E3135" t="s">
        <v>116</v>
      </c>
      <c r="F3135" t="s">
        <v>24</v>
      </c>
      <c r="G3135">
        <v>3134</v>
      </c>
      <c r="H3135">
        <v>3959</v>
      </c>
      <c r="I3135">
        <v>68</v>
      </c>
      <c r="J3135" t="s">
        <v>75</v>
      </c>
      <c r="K3135" t="s">
        <v>47</v>
      </c>
      <c r="L3135" t="s">
        <v>124</v>
      </c>
      <c r="M3135" t="s">
        <v>40</v>
      </c>
      <c r="N3135">
        <v>4.0999999999999996</v>
      </c>
      <c r="O3135">
        <v>0</v>
      </c>
      <c r="P3135" t="s">
        <v>48</v>
      </c>
      <c r="Q3135" t="s">
        <v>155</v>
      </c>
      <c r="R3135" t="s">
        <v>155</v>
      </c>
      <c r="S3135">
        <v>29</v>
      </c>
      <c r="T3135" t="s">
        <v>36</v>
      </c>
      <c r="U3135" t="s">
        <v>79</v>
      </c>
      <c r="V3135" s="1">
        <v>45366</v>
      </c>
      <c r="W3135">
        <f>Table1[[#This Row],[customer_purchase count]]+1</f>
        <v>30</v>
      </c>
      <c r="X3135">
        <f>Table1[[#This Row],[customer_purchase count]]*Rules!$B$3</f>
        <v>1733.1664102564102</v>
      </c>
      <c r="Y3135" t="str">
        <f>IF(Table1[[#This Row],[customer_subscription]]=1,"Subscribed","Not Subscribed")</f>
        <v>Not Subscribed</v>
      </c>
    </row>
    <row r="3136" spans="1:26" x14ac:dyDescent="0.25">
      <c r="A3136">
        <v>3135</v>
      </c>
      <c r="B3136">
        <v>35</v>
      </c>
      <c r="C3136" t="s">
        <v>156</v>
      </c>
      <c r="D3136">
        <v>3135</v>
      </c>
      <c r="E3136" t="s">
        <v>140</v>
      </c>
      <c r="F3136" t="s">
        <v>45</v>
      </c>
      <c r="G3136">
        <v>3135</v>
      </c>
      <c r="H3136">
        <v>3961</v>
      </c>
      <c r="I3136">
        <v>66</v>
      </c>
      <c r="J3136" t="s">
        <v>25</v>
      </c>
      <c r="K3136" t="s">
        <v>26</v>
      </c>
      <c r="L3136" t="s">
        <v>27</v>
      </c>
      <c r="M3136" t="s">
        <v>40</v>
      </c>
      <c r="N3136">
        <v>4.4000000000000004</v>
      </c>
      <c r="O3136">
        <v>0</v>
      </c>
      <c r="P3136" t="s">
        <v>77</v>
      </c>
      <c r="Q3136" t="s">
        <v>155</v>
      </c>
      <c r="R3136" t="s">
        <v>155</v>
      </c>
      <c r="S3136">
        <v>47</v>
      </c>
      <c r="T3136" t="s">
        <v>78</v>
      </c>
      <c r="U3136" t="s">
        <v>43</v>
      </c>
      <c r="V3136" s="1">
        <v>45429</v>
      </c>
      <c r="W3136">
        <f>Table1[[#This Row],[customer_purchase count]]+1</f>
        <v>48</v>
      </c>
      <c r="X3136">
        <f>Table1[[#This Row],[customer_purchase count]]*Rules!$B$3</f>
        <v>2808.9248717948717</v>
      </c>
      <c r="Y3136" t="str">
        <f>IF(Table1[[#This Row],[customer_subscription]]=1,"Subscribed","Not Subscribed")</f>
        <v>Not Subscribed</v>
      </c>
    </row>
    <row r="3137" spans="1:26" x14ac:dyDescent="0.25">
      <c r="A3137">
        <v>3136</v>
      </c>
      <c r="B3137">
        <v>68</v>
      </c>
      <c r="C3137" t="s">
        <v>156</v>
      </c>
      <c r="D3137">
        <v>3136</v>
      </c>
      <c r="E3137" t="s">
        <v>74</v>
      </c>
      <c r="F3137" t="s">
        <v>45</v>
      </c>
      <c r="G3137">
        <v>3136</v>
      </c>
      <c r="H3137">
        <v>3962</v>
      </c>
      <c r="I3137">
        <v>85</v>
      </c>
      <c r="J3137" t="s">
        <v>119</v>
      </c>
      <c r="K3137" t="s">
        <v>26</v>
      </c>
      <c r="L3137" t="s">
        <v>137</v>
      </c>
      <c r="M3137" t="s">
        <v>40</v>
      </c>
      <c r="N3137">
        <v>4.7</v>
      </c>
      <c r="O3137">
        <v>0</v>
      </c>
      <c r="P3137" t="s">
        <v>41</v>
      </c>
      <c r="Q3137" t="s">
        <v>155</v>
      </c>
      <c r="R3137" t="s">
        <v>155</v>
      </c>
      <c r="S3137">
        <v>48</v>
      </c>
      <c r="T3137" t="s">
        <v>31</v>
      </c>
      <c r="U3137" t="s">
        <v>32</v>
      </c>
      <c r="V3137" s="1">
        <v>45408</v>
      </c>
      <c r="W3137">
        <f>Table1[[#This Row],[customer_purchase count]]+1</f>
        <v>49</v>
      </c>
      <c r="X3137">
        <f>Table1[[#This Row],[customer_purchase count]]*Rules!$B$3</f>
        <v>2868.689230769231</v>
      </c>
      <c r="Y3137" t="str">
        <f>IF(Table1[[#This Row],[customer_subscription]]=1,"Subscribed","Not Subscribed")</f>
        <v>Not Subscribed</v>
      </c>
    </row>
    <row r="3138" spans="1:26" x14ac:dyDescent="0.25">
      <c r="A3138">
        <v>3137</v>
      </c>
      <c r="B3138">
        <v>58</v>
      </c>
      <c r="C3138" t="s">
        <v>156</v>
      </c>
      <c r="D3138">
        <v>3137</v>
      </c>
      <c r="E3138" t="s">
        <v>90</v>
      </c>
      <c r="F3138" t="s">
        <v>24</v>
      </c>
      <c r="G3138">
        <v>3137</v>
      </c>
      <c r="H3138">
        <v>3963</v>
      </c>
      <c r="I3138">
        <v>32</v>
      </c>
      <c r="J3138" t="s">
        <v>151</v>
      </c>
      <c r="K3138" t="s">
        <v>47</v>
      </c>
      <c r="L3138" t="s">
        <v>27</v>
      </c>
      <c r="M3138" t="s">
        <v>60</v>
      </c>
      <c r="N3138">
        <v>3.1</v>
      </c>
      <c r="O3138">
        <v>0</v>
      </c>
      <c r="P3138" t="s">
        <v>48</v>
      </c>
      <c r="Q3138" t="s">
        <v>155</v>
      </c>
      <c r="R3138" t="s">
        <v>155</v>
      </c>
      <c r="S3138">
        <v>29</v>
      </c>
      <c r="T3138" t="s">
        <v>36</v>
      </c>
      <c r="U3138" t="s">
        <v>79</v>
      </c>
      <c r="V3138" s="1">
        <v>45571</v>
      </c>
      <c r="W3138">
        <f>Table1[[#This Row],[customer_purchase count]]+1</f>
        <v>30</v>
      </c>
      <c r="X3138">
        <f>Table1[[#This Row],[customer_purchase count]]*Rules!$B$3</f>
        <v>1733.1664102564102</v>
      </c>
      <c r="Y3138" t="str">
        <f>IF(Table1[[#This Row],[customer_subscription]]=1,"Subscribed","Not Subscribed")</f>
        <v>Not Subscribed</v>
      </c>
    </row>
    <row r="3139" spans="1:26" x14ac:dyDescent="0.25">
      <c r="A3139">
        <v>3138</v>
      </c>
      <c r="B3139">
        <v>34</v>
      </c>
      <c r="C3139" t="s">
        <v>156</v>
      </c>
      <c r="D3139">
        <v>3138</v>
      </c>
      <c r="E3139" t="s">
        <v>65</v>
      </c>
      <c r="F3139" t="s">
        <v>66</v>
      </c>
      <c r="G3139">
        <v>3138</v>
      </c>
      <c r="H3139">
        <v>3964</v>
      </c>
      <c r="I3139">
        <v>44</v>
      </c>
      <c r="J3139" t="s">
        <v>63</v>
      </c>
      <c r="K3139" t="s">
        <v>47</v>
      </c>
      <c r="L3139" t="s">
        <v>51</v>
      </c>
      <c r="M3139" t="s">
        <v>40</v>
      </c>
      <c r="N3139">
        <v>2.7</v>
      </c>
      <c r="O3139">
        <v>0</v>
      </c>
      <c r="P3139" t="s">
        <v>73</v>
      </c>
      <c r="Q3139" t="s">
        <v>155</v>
      </c>
      <c r="R3139" t="s">
        <v>155</v>
      </c>
      <c r="S3139">
        <v>14</v>
      </c>
      <c r="T3139" t="s">
        <v>78</v>
      </c>
      <c r="U3139" t="s">
        <v>91</v>
      </c>
      <c r="V3139" s="1">
        <v>45407</v>
      </c>
      <c r="W3139">
        <f>Table1[[#This Row],[customer_purchase count]]+1</f>
        <v>15</v>
      </c>
      <c r="X3139">
        <f>Table1[[#This Row],[customer_purchase count]]*Rules!$B$3</f>
        <v>836.70102564102569</v>
      </c>
      <c r="Y3139" t="str">
        <f>IF(Table1[[#This Row],[customer_subscription]]=1,"Subscribed","Not Subscribed")</f>
        <v>Not Subscribed</v>
      </c>
      <c r="Z3139" t="s">
        <v>194</v>
      </c>
    </row>
    <row r="3140" spans="1:26" x14ac:dyDescent="0.25">
      <c r="A3140">
        <v>3139</v>
      </c>
      <c r="B3140">
        <v>47</v>
      </c>
      <c r="C3140" t="s">
        <v>156</v>
      </c>
      <c r="D3140">
        <v>3139</v>
      </c>
      <c r="E3140" t="s">
        <v>23</v>
      </c>
      <c r="F3140" t="s">
        <v>24</v>
      </c>
      <c r="G3140">
        <v>3139</v>
      </c>
      <c r="H3140">
        <v>3965</v>
      </c>
      <c r="I3140">
        <v>95</v>
      </c>
      <c r="J3140" t="s">
        <v>25</v>
      </c>
      <c r="K3140" t="s">
        <v>26</v>
      </c>
      <c r="L3140" t="s">
        <v>27</v>
      </c>
      <c r="M3140" t="s">
        <v>60</v>
      </c>
      <c r="N3140">
        <v>4.5999999999999996</v>
      </c>
      <c r="O3140">
        <v>0</v>
      </c>
      <c r="P3140" t="s">
        <v>48</v>
      </c>
      <c r="Q3140" t="s">
        <v>155</v>
      </c>
      <c r="R3140" t="s">
        <v>155</v>
      </c>
      <c r="S3140">
        <v>40</v>
      </c>
      <c r="T3140" t="s">
        <v>36</v>
      </c>
      <c r="U3140" t="s">
        <v>100</v>
      </c>
      <c r="V3140" s="1">
        <v>45589</v>
      </c>
      <c r="W3140">
        <f>Table1[[#This Row],[customer_purchase count]]+1</f>
        <v>41</v>
      </c>
      <c r="X3140">
        <f>Table1[[#This Row],[customer_purchase count]]*Rules!$B$3</f>
        <v>2390.5743589743593</v>
      </c>
      <c r="Y3140" t="str">
        <f>IF(Table1[[#This Row],[customer_subscription]]=1,"Subscribed","Not Subscribed")</f>
        <v>Not Subscribed</v>
      </c>
    </row>
    <row r="3141" spans="1:26" x14ac:dyDescent="0.25">
      <c r="A3141">
        <v>3140</v>
      </c>
      <c r="B3141">
        <v>35</v>
      </c>
      <c r="C3141" t="s">
        <v>156</v>
      </c>
      <c r="D3141">
        <v>3140</v>
      </c>
      <c r="E3141" t="s">
        <v>92</v>
      </c>
      <c r="F3141" t="s">
        <v>70</v>
      </c>
      <c r="G3141">
        <v>3140</v>
      </c>
      <c r="H3141">
        <v>3967</v>
      </c>
      <c r="I3141">
        <v>85</v>
      </c>
      <c r="J3141" t="s">
        <v>145</v>
      </c>
      <c r="K3141" t="s">
        <v>47</v>
      </c>
      <c r="L3141" t="s">
        <v>81</v>
      </c>
      <c r="M3141" t="s">
        <v>28</v>
      </c>
      <c r="N3141">
        <v>4.4000000000000004</v>
      </c>
      <c r="O3141">
        <v>0</v>
      </c>
      <c r="P3141" t="s">
        <v>48</v>
      </c>
      <c r="Q3141" t="s">
        <v>155</v>
      </c>
      <c r="R3141" t="s">
        <v>155</v>
      </c>
      <c r="S3141">
        <v>4</v>
      </c>
      <c r="T3141" t="s">
        <v>31</v>
      </c>
      <c r="U3141" t="s">
        <v>43</v>
      </c>
      <c r="V3141" s="1">
        <v>45650</v>
      </c>
      <c r="W3141">
        <f>Table1[[#This Row],[customer_purchase count]]+1</f>
        <v>5</v>
      </c>
      <c r="X3141">
        <f>Table1[[#This Row],[customer_purchase count]]*Rules!$B$3</f>
        <v>239.05743589743591</v>
      </c>
      <c r="Y3141" t="str">
        <f>IF(Table1[[#This Row],[customer_subscription]]=1,"Subscribed","Not Subscribed")</f>
        <v>Not Subscribed</v>
      </c>
      <c r="Z3141" t="s">
        <v>194</v>
      </c>
    </row>
    <row r="3142" spans="1:26" x14ac:dyDescent="0.25">
      <c r="A3142">
        <v>3141</v>
      </c>
      <c r="B3142">
        <v>34</v>
      </c>
      <c r="C3142" t="s">
        <v>156</v>
      </c>
      <c r="D3142">
        <v>3141</v>
      </c>
      <c r="E3142" t="s">
        <v>146</v>
      </c>
      <c r="F3142" t="s">
        <v>70</v>
      </c>
      <c r="G3142">
        <v>3141</v>
      </c>
      <c r="H3142">
        <v>3968</v>
      </c>
      <c r="I3142">
        <v>44</v>
      </c>
      <c r="J3142" t="s">
        <v>123</v>
      </c>
      <c r="K3142" t="s">
        <v>95</v>
      </c>
      <c r="L3142" t="s">
        <v>103</v>
      </c>
      <c r="M3142" t="s">
        <v>56</v>
      </c>
      <c r="N3142">
        <v>4.5999999999999996</v>
      </c>
      <c r="O3142">
        <v>0</v>
      </c>
      <c r="P3142" t="s">
        <v>41</v>
      </c>
      <c r="Q3142" t="s">
        <v>155</v>
      </c>
      <c r="R3142" t="s">
        <v>155</v>
      </c>
      <c r="S3142">
        <v>37</v>
      </c>
      <c r="T3142" t="s">
        <v>78</v>
      </c>
      <c r="U3142" t="s">
        <v>43</v>
      </c>
      <c r="V3142" s="1">
        <v>45499</v>
      </c>
      <c r="W3142">
        <f>Table1[[#This Row],[customer_purchase count]]+1</f>
        <v>38</v>
      </c>
      <c r="X3142">
        <f>Table1[[#This Row],[customer_purchase count]]*Rules!$B$3</f>
        <v>2211.2812820512822</v>
      </c>
      <c r="Y3142" t="str">
        <f>IF(Table1[[#This Row],[customer_subscription]]=1,"Subscribed","Not Subscribed")</f>
        <v>Not Subscribed</v>
      </c>
    </row>
    <row r="3143" spans="1:26" x14ac:dyDescent="0.25">
      <c r="A3143">
        <v>3142</v>
      </c>
      <c r="B3143">
        <v>36</v>
      </c>
      <c r="C3143" t="s">
        <v>156</v>
      </c>
      <c r="D3143">
        <v>3142</v>
      </c>
      <c r="E3143" t="s">
        <v>92</v>
      </c>
      <c r="F3143" t="s">
        <v>70</v>
      </c>
      <c r="G3143">
        <v>3142</v>
      </c>
      <c r="H3143">
        <v>3969</v>
      </c>
      <c r="I3143">
        <v>30</v>
      </c>
      <c r="J3143" t="s">
        <v>94</v>
      </c>
      <c r="K3143" t="s">
        <v>39</v>
      </c>
      <c r="L3143" t="s">
        <v>103</v>
      </c>
      <c r="M3143" t="s">
        <v>28</v>
      </c>
      <c r="N3143">
        <v>4.9000000000000004</v>
      </c>
      <c r="O3143">
        <v>0</v>
      </c>
      <c r="P3143" t="s">
        <v>29</v>
      </c>
      <c r="Q3143" t="s">
        <v>155</v>
      </c>
      <c r="R3143" t="s">
        <v>155</v>
      </c>
      <c r="S3143">
        <v>47</v>
      </c>
      <c r="T3143" t="s">
        <v>42</v>
      </c>
      <c r="U3143" t="s">
        <v>79</v>
      </c>
      <c r="V3143" s="1">
        <v>45631</v>
      </c>
      <c r="W3143">
        <f>Table1[[#This Row],[customer_purchase count]]+1</f>
        <v>48</v>
      </c>
      <c r="X3143">
        <f>Table1[[#This Row],[customer_purchase count]]*Rules!$B$3</f>
        <v>2808.9248717948717</v>
      </c>
      <c r="Y3143" t="str">
        <f>IF(Table1[[#This Row],[customer_subscription]]=1,"Subscribed","Not Subscribed")</f>
        <v>Not Subscribed</v>
      </c>
    </row>
    <row r="3144" spans="1:26" x14ac:dyDescent="0.25">
      <c r="A3144">
        <v>3143</v>
      </c>
      <c r="B3144">
        <v>23</v>
      </c>
      <c r="C3144" t="s">
        <v>156</v>
      </c>
      <c r="D3144">
        <v>3143</v>
      </c>
      <c r="E3144" t="s">
        <v>53</v>
      </c>
      <c r="F3144" t="s">
        <v>45</v>
      </c>
      <c r="G3144">
        <v>3143</v>
      </c>
      <c r="H3144">
        <v>3970</v>
      </c>
      <c r="I3144">
        <v>21</v>
      </c>
      <c r="J3144" t="s">
        <v>114</v>
      </c>
      <c r="K3144" t="s">
        <v>26</v>
      </c>
      <c r="L3144" t="s">
        <v>139</v>
      </c>
      <c r="M3144" t="s">
        <v>28</v>
      </c>
      <c r="N3144">
        <v>4</v>
      </c>
      <c r="O3144">
        <v>0</v>
      </c>
      <c r="P3144" t="s">
        <v>73</v>
      </c>
      <c r="Q3144" t="s">
        <v>155</v>
      </c>
      <c r="R3144" t="s">
        <v>155</v>
      </c>
      <c r="S3144">
        <v>1</v>
      </c>
      <c r="T3144" t="s">
        <v>31</v>
      </c>
      <c r="U3144" t="s">
        <v>61</v>
      </c>
      <c r="V3144" s="1">
        <v>45349</v>
      </c>
      <c r="W3144">
        <f>Table1[[#This Row],[customer_purchase count]]+1</f>
        <v>2</v>
      </c>
      <c r="X3144">
        <f>Table1[[#This Row],[customer_purchase count]]*Rules!$B$3</f>
        <v>59.764358974358977</v>
      </c>
      <c r="Y3144" t="str">
        <f>IF(Table1[[#This Row],[customer_subscription]]=1,"Subscribed","Not Subscribed")</f>
        <v>Not Subscribed</v>
      </c>
      <c r="Z3144" t="s">
        <v>194</v>
      </c>
    </row>
    <row r="3145" spans="1:26" x14ac:dyDescent="0.25">
      <c r="A3145">
        <v>3144</v>
      </c>
      <c r="B3145">
        <v>68</v>
      </c>
      <c r="C3145" t="s">
        <v>156</v>
      </c>
      <c r="D3145">
        <v>3144</v>
      </c>
      <c r="E3145" t="s">
        <v>107</v>
      </c>
      <c r="F3145" t="s">
        <v>24</v>
      </c>
      <c r="G3145">
        <v>3144</v>
      </c>
      <c r="H3145">
        <v>3971</v>
      </c>
      <c r="I3145">
        <v>22</v>
      </c>
      <c r="J3145" t="s">
        <v>120</v>
      </c>
      <c r="K3145" t="s">
        <v>47</v>
      </c>
      <c r="L3145" t="s">
        <v>76</v>
      </c>
      <c r="M3145" t="s">
        <v>56</v>
      </c>
      <c r="N3145">
        <v>2.9</v>
      </c>
      <c r="O3145">
        <v>0</v>
      </c>
      <c r="P3145" t="s">
        <v>77</v>
      </c>
      <c r="Q3145" t="s">
        <v>155</v>
      </c>
      <c r="R3145" t="s">
        <v>155</v>
      </c>
      <c r="S3145">
        <v>26</v>
      </c>
      <c r="T3145" t="s">
        <v>36</v>
      </c>
      <c r="U3145" t="s">
        <v>61</v>
      </c>
      <c r="V3145" s="1">
        <v>45528</v>
      </c>
      <c r="W3145">
        <f>Table1[[#This Row],[customer_purchase count]]+1</f>
        <v>27</v>
      </c>
      <c r="X3145">
        <f>Table1[[#This Row],[customer_purchase count]]*Rules!$B$3</f>
        <v>1553.8733333333334</v>
      </c>
      <c r="Y3145" t="str">
        <f>IF(Table1[[#This Row],[customer_subscription]]=1,"Subscribed","Not Subscribed")</f>
        <v>Not Subscribed</v>
      </c>
    </row>
    <row r="3146" spans="1:26" x14ac:dyDescent="0.25">
      <c r="A3146">
        <v>3145</v>
      </c>
      <c r="B3146">
        <v>23</v>
      </c>
      <c r="C3146" t="s">
        <v>156</v>
      </c>
      <c r="D3146">
        <v>3145</v>
      </c>
      <c r="E3146" t="s">
        <v>140</v>
      </c>
      <c r="F3146" t="s">
        <v>45</v>
      </c>
      <c r="G3146">
        <v>3145</v>
      </c>
      <c r="H3146">
        <v>3973</v>
      </c>
      <c r="I3146">
        <v>70</v>
      </c>
      <c r="J3146" t="s">
        <v>34</v>
      </c>
      <c r="K3146" t="s">
        <v>26</v>
      </c>
      <c r="L3146" t="s">
        <v>121</v>
      </c>
      <c r="M3146" t="s">
        <v>40</v>
      </c>
      <c r="N3146">
        <v>2.6</v>
      </c>
      <c r="O3146">
        <v>0</v>
      </c>
      <c r="P3146" t="s">
        <v>41</v>
      </c>
      <c r="Q3146" t="s">
        <v>155</v>
      </c>
      <c r="R3146" t="s">
        <v>155</v>
      </c>
      <c r="S3146">
        <v>12</v>
      </c>
      <c r="T3146" t="s">
        <v>89</v>
      </c>
      <c r="U3146" t="s">
        <v>61</v>
      </c>
      <c r="V3146" s="1">
        <v>45405</v>
      </c>
      <c r="W3146">
        <f>Table1[[#This Row],[customer_purchase count]]+1</f>
        <v>13</v>
      </c>
      <c r="X3146">
        <f>Table1[[#This Row],[customer_purchase count]]*Rules!$B$3</f>
        <v>717.17230769230775</v>
      </c>
      <c r="Y3146" t="str">
        <f>IF(Table1[[#This Row],[customer_subscription]]=1,"Subscribed","Not Subscribed")</f>
        <v>Not Subscribed</v>
      </c>
      <c r="Z3146" t="s">
        <v>187</v>
      </c>
    </row>
    <row r="3147" spans="1:26" x14ac:dyDescent="0.25">
      <c r="A3147">
        <v>3146</v>
      </c>
      <c r="B3147">
        <v>57</v>
      </c>
      <c r="C3147" t="s">
        <v>156</v>
      </c>
      <c r="D3147">
        <v>3146</v>
      </c>
      <c r="E3147" t="s">
        <v>69</v>
      </c>
      <c r="F3147" t="s">
        <v>70</v>
      </c>
      <c r="G3147">
        <v>3146</v>
      </c>
      <c r="H3147">
        <v>3974</v>
      </c>
      <c r="I3147">
        <v>29</v>
      </c>
      <c r="J3147" t="s">
        <v>108</v>
      </c>
      <c r="K3147" t="s">
        <v>95</v>
      </c>
      <c r="L3147" t="s">
        <v>76</v>
      </c>
      <c r="M3147" t="s">
        <v>40</v>
      </c>
      <c r="N3147">
        <v>4.5999999999999996</v>
      </c>
      <c r="O3147">
        <v>0</v>
      </c>
      <c r="P3147" t="s">
        <v>57</v>
      </c>
      <c r="Q3147" t="s">
        <v>155</v>
      </c>
      <c r="R3147" t="s">
        <v>155</v>
      </c>
      <c r="S3147">
        <v>16</v>
      </c>
      <c r="T3147" t="s">
        <v>49</v>
      </c>
      <c r="U3147" t="s">
        <v>32</v>
      </c>
      <c r="V3147" s="1">
        <v>45387</v>
      </c>
      <c r="W3147">
        <f>Table1[[#This Row],[customer_purchase count]]+1</f>
        <v>17</v>
      </c>
      <c r="X3147">
        <f>Table1[[#This Row],[customer_purchase count]]*Rules!$B$3</f>
        <v>956.22974358974363</v>
      </c>
      <c r="Y3147" t="str">
        <f>IF(Table1[[#This Row],[customer_subscription]]=1,"Subscribed","Not Subscribed")</f>
        <v>Not Subscribed</v>
      </c>
      <c r="Z3147" t="s">
        <v>194</v>
      </c>
    </row>
    <row r="3148" spans="1:26" x14ac:dyDescent="0.25">
      <c r="A3148">
        <v>3147</v>
      </c>
      <c r="B3148">
        <v>21</v>
      </c>
      <c r="C3148" t="s">
        <v>156</v>
      </c>
      <c r="D3148">
        <v>3147</v>
      </c>
      <c r="E3148" t="s">
        <v>58</v>
      </c>
      <c r="F3148" t="s">
        <v>24</v>
      </c>
      <c r="G3148">
        <v>3147</v>
      </c>
      <c r="H3148">
        <v>3975</v>
      </c>
      <c r="I3148">
        <v>83</v>
      </c>
      <c r="J3148" t="s">
        <v>144</v>
      </c>
      <c r="K3148" t="s">
        <v>39</v>
      </c>
      <c r="L3148" t="s">
        <v>137</v>
      </c>
      <c r="M3148" t="s">
        <v>28</v>
      </c>
      <c r="N3148">
        <v>4.9000000000000004</v>
      </c>
      <c r="O3148">
        <v>0</v>
      </c>
      <c r="P3148" t="s">
        <v>41</v>
      </c>
      <c r="Q3148" t="s">
        <v>155</v>
      </c>
      <c r="R3148" t="s">
        <v>155</v>
      </c>
      <c r="S3148">
        <v>19</v>
      </c>
      <c r="T3148" t="s">
        <v>49</v>
      </c>
      <c r="U3148" t="s">
        <v>52</v>
      </c>
      <c r="V3148" s="1">
        <v>45317</v>
      </c>
      <c r="W3148">
        <f>Table1[[#This Row],[customer_purchase count]]+1</f>
        <v>20</v>
      </c>
      <c r="X3148">
        <f>Table1[[#This Row],[customer_purchase count]]*Rules!$B$3</f>
        <v>1135.5228205128205</v>
      </c>
      <c r="Y3148" t="str">
        <f>IF(Table1[[#This Row],[customer_subscription]]=1,"Subscribed","Not Subscribed")</f>
        <v>Not Subscribed</v>
      </c>
    </row>
    <row r="3149" spans="1:26" x14ac:dyDescent="0.25">
      <c r="A3149">
        <v>3148</v>
      </c>
      <c r="B3149">
        <v>45</v>
      </c>
      <c r="C3149" t="s">
        <v>156</v>
      </c>
      <c r="D3149">
        <v>3148</v>
      </c>
      <c r="E3149" t="s">
        <v>33</v>
      </c>
      <c r="F3149" t="s">
        <v>24</v>
      </c>
      <c r="G3149">
        <v>3148</v>
      </c>
      <c r="H3149">
        <v>3976</v>
      </c>
      <c r="I3149">
        <v>99</v>
      </c>
      <c r="J3149" t="s">
        <v>117</v>
      </c>
      <c r="K3149" t="s">
        <v>47</v>
      </c>
      <c r="L3149" t="s">
        <v>72</v>
      </c>
      <c r="M3149" t="s">
        <v>28</v>
      </c>
      <c r="N3149">
        <v>4.3</v>
      </c>
      <c r="O3149">
        <v>0</v>
      </c>
      <c r="P3149" t="s">
        <v>29</v>
      </c>
      <c r="Q3149" t="s">
        <v>155</v>
      </c>
      <c r="R3149" t="s">
        <v>155</v>
      </c>
      <c r="S3149">
        <v>21</v>
      </c>
      <c r="T3149" t="s">
        <v>42</v>
      </c>
      <c r="U3149" t="s">
        <v>43</v>
      </c>
      <c r="V3149" s="1">
        <v>45294</v>
      </c>
      <c r="W3149">
        <f>Table1[[#This Row],[customer_purchase count]]+1</f>
        <v>22</v>
      </c>
      <c r="X3149">
        <f>Table1[[#This Row],[customer_purchase count]]*Rules!$B$3</f>
        <v>1255.0515384615385</v>
      </c>
      <c r="Y3149" t="str">
        <f>IF(Table1[[#This Row],[customer_subscription]]=1,"Subscribed","Not Subscribed")</f>
        <v>Not Subscribed</v>
      </c>
    </row>
    <row r="3150" spans="1:26" x14ac:dyDescent="0.25">
      <c r="A3150">
        <v>3149</v>
      </c>
      <c r="B3150">
        <v>37</v>
      </c>
      <c r="C3150" t="s">
        <v>156</v>
      </c>
      <c r="D3150">
        <v>3149</v>
      </c>
      <c r="E3150" t="s">
        <v>62</v>
      </c>
      <c r="F3150" t="s">
        <v>24</v>
      </c>
      <c r="G3150">
        <v>3149</v>
      </c>
      <c r="H3150">
        <v>3977</v>
      </c>
      <c r="I3150">
        <v>35</v>
      </c>
      <c r="J3150" t="s">
        <v>67</v>
      </c>
      <c r="K3150" t="s">
        <v>26</v>
      </c>
      <c r="L3150" t="s">
        <v>76</v>
      </c>
      <c r="M3150" t="s">
        <v>60</v>
      </c>
      <c r="N3150">
        <v>4.3</v>
      </c>
      <c r="O3150">
        <v>0</v>
      </c>
      <c r="P3150" t="s">
        <v>41</v>
      </c>
      <c r="Q3150" t="s">
        <v>155</v>
      </c>
      <c r="R3150" t="s">
        <v>155</v>
      </c>
      <c r="S3150">
        <v>15</v>
      </c>
      <c r="T3150" t="s">
        <v>31</v>
      </c>
      <c r="U3150" t="s">
        <v>43</v>
      </c>
      <c r="V3150" s="1">
        <v>45546</v>
      </c>
      <c r="W3150">
        <f>Table1[[#This Row],[customer_purchase count]]+1</f>
        <v>16</v>
      </c>
      <c r="X3150">
        <f>Table1[[#This Row],[customer_purchase count]]*Rules!$B$3</f>
        <v>896.46538461538466</v>
      </c>
      <c r="Y3150" t="str">
        <f>IF(Table1[[#This Row],[customer_subscription]]=1,"Subscribed","Not Subscribed")</f>
        <v>Not Subscribed</v>
      </c>
      <c r="Z3150" t="s">
        <v>194</v>
      </c>
    </row>
    <row r="3151" spans="1:26" x14ac:dyDescent="0.25">
      <c r="A3151">
        <v>3150</v>
      </c>
      <c r="B3151">
        <v>18</v>
      </c>
      <c r="C3151" t="s">
        <v>156</v>
      </c>
      <c r="D3151">
        <v>3150</v>
      </c>
      <c r="E3151" t="s">
        <v>136</v>
      </c>
      <c r="F3151" t="s">
        <v>70</v>
      </c>
      <c r="G3151">
        <v>3150</v>
      </c>
      <c r="H3151">
        <v>3979</v>
      </c>
      <c r="I3151">
        <v>40</v>
      </c>
      <c r="J3151" t="s">
        <v>101</v>
      </c>
      <c r="K3151" t="s">
        <v>47</v>
      </c>
      <c r="L3151" t="s">
        <v>96</v>
      </c>
      <c r="M3151" t="s">
        <v>28</v>
      </c>
      <c r="N3151">
        <v>4.5999999999999996</v>
      </c>
      <c r="O3151">
        <v>0</v>
      </c>
      <c r="P3151" t="s">
        <v>41</v>
      </c>
      <c r="Q3151" t="s">
        <v>155</v>
      </c>
      <c r="R3151" t="s">
        <v>155</v>
      </c>
      <c r="S3151">
        <v>9</v>
      </c>
      <c r="T3151" t="s">
        <v>31</v>
      </c>
      <c r="U3151" t="s">
        <v>52</v>
      </c>
      <c r="V3151" s="1">
        <v>45640</v>
      </c>
      <c r="W3151">
        <f>Table1[[#This Row],[customer_purchase count]]+1</f>
        <v>10</v>
      </c>
      <c r="X3151">
        <f>Table1[[#This Row],[customer_purchase count]]*Rules!$B$3</f>
        <v>537.87923076923084</v>
      </c>
      <c r="Y3151" t="str">
        <f>IF(Table1[[#This Row],[customer_subscription]]=1,"Subscribed","Not Subscribed")</f>
        <v>Not Subscribed</v>
      </c>
      <c r="Z3151" t="s">
        <v>187</v>
      </c>
    </row>
    <row r="3152" spans="1:26" x14ac:dyDescent="0.25">
      <c r="A3152">
        <v>3151</v>
      </c>
      <c r="B3152">
        <v>55</v>
      </c>
      <c r="C3152" t="s">
        <v>156</v>
      </c>
      <c r="D3152">
        <v>3151</v>
      </c>
      <c r="E3152" t="s">
        <v>23</v>
      </c>
      <c r="F3152" t="s">
        <v>24</v>
      </c>
      <c r="G3152">
        <v>3151</v>
      </c>
      <c r="H3152">
        <v>3980</v>
      </c>
      <c r="I3152">
        <v>25</v>
      </c>
      <c r="J3152" t="s">
        <v>145</v>
      </c>
      <c r="K3152" t="s">
        <v>47</v>
      </c>
      <c r="L3152" t="s">
        <v>103</v>
      </c>
      <c r="M3152" t="s">
        <v>40</v>
      </c>
      <c r="N3152">
        <v>2.6</v>
      </c>
      <c r="O3152">
        <v>0</v>
      </c>
      <c r="P3152" t="s">
        <v>29</v>
      </c>
      <c r="Q3152" t="s">
        <v>155</v>
      </c>
      <c r="R3152" t="s">
        <v>155</v>
      </c>
      <c r="S3152">
        <v>7</v>
      </c>
      <c r="T3152" t="s">
        <v>78</v>
      </c>
      <c r="U3152" t="s">
        <v>79</v>
      </c>
      <c r="V3152" s="1">
        <v>45404</v>
      </c>
      <c r="W3152">
        <f>Table1[[#This Row],[customer_purchase count]]+1</f>
        <v>8</v>
      </c>
      <c r="X3152">
        <f>Table1[[#This Row],[customer_purchase count]]*Rules!$B$3</f>
        <v>418.35051282051285</v>
      </c>
      <c r="Y3152" t="str">
        <f>IF(Table1[[#This Row],[customer_subscription]]=1,"Subscribed","Not Subscribed")</f>
        <v>Not Subscribed</v>
      </c>
      <c r="Z3152" t="s">
        <v>194</v>
      </c>
    </row>
    <row r="3153" spans="1:26" x14ac:dyDescent="0.25">
      <c r="A3153">
        <v>3152</v>
      </c>
      <c r="B3153">
        <v>52</v>
      </c>
      <c r="C3153" t="s">
        <v>156</v>
      </c>
      <c r="D3153">
        <v>3152</v>
      </c>
      <c r="E3153" t="s">
        <v>116</v>
      </c>
      <c r="F3153" t="s">
        <v>24</v>
      </c>
      <c r="G3153">
        <v>3152</v>
      </c>
      <c r="H3153">
        <v>3981</v>
      </c>
      <c r="I3153">
        <v>64</v>
      </c>
      <c r="J3153" t="s">
        <v>133</v>
      </c>
      <c r="K3153" t="s">
        <v>26</v>
      </c>
      <c r="L3153" t="s">
        <v>124</v>
      </c>
      <c r="M3153" t="s">
        <v>60</v>
      </c>
      <c r="N3153">
        <v>3.1</v>
      </c>
      <c r="O3153">
        <v>0</v>
      </c>
      <c r="P3153" t="s">
        <v>73</v>
      </c>
      <c r="Q3153" t="s">
        <v>155</v>
      </c>
      <c r="R3153" t="s">
        <v>155</v>
      </c>
      <c r="S3153">
        <v>47</v>
      </c>
      <c r="T3153" t="s">
        <v>78</v>
      </c>
      <c r="U3153" t="s">
        <v>61</v>
      </c>
      <c r="V3153" s="1">
        <v>45574</v>
      </c>
      <c r="W3153">
        <f>Table1[[#This Row],[customer_purchase count]]+1</f>
        <v>48</v>
      </c>
      <c r="X3153">
        <f>Table1[[#This Row],[customer_purchase count]]*Rules!$B$3</f>
        <v>2808.9248717948717</v>
      </c>
      <c r="Y3153" t="str">
        <f>IF(Table1[[#This Row],[customer_subscription]]=1,"Subscribed","Not Subscribed")</f>
        <v>Not Subscribed</v>
      </c>
    </row>
    <row r="3154" spans="1:26" x14ac:dyDescent="0.25">
      <c r="A3154">
        <v>3153</v>
      </c>
      <c r="B3154">
        <v>49</v>
      </c>
      <c r="C3154" t="s">
        <v>156</v>
      </c>
      <c r="D3154">
        <v>3153</v>
      </c>
      <c r="E3154" t="s">
        <v>136</v>
      </c>
      <c r="F3154" t="s">
        <v>70</v>
      </c>
      <c r="G3154">
        <v>3153</v>
      </c>
      <c r="H3154">
        <v>3982</v>
      </c>
      <c r="I3154">
        <v>90</v>
      </c>
      <c r="J3154" t="s">
        <v>101</v>
      </c>
      <c r="K3154" t="s">
        <v>47</v>
      </c>
      <c r="L3154" t="s">
        <v>111</v>
      </c>
      <c r="M3154" t="s">
        <v>60</v>
      </c>
      <c r="N3154">
        <v>3.1</v>
      </c>
      <c r="O3154">
        <v>0</v>
      </c>
      <c r="P3154" t="s">
        <v>77</v>
      </c>
      <c r="Q3154" t="s">
        <v>155</v>
      </c>
      <c r="R3154" t="s">
        <v>155</v>
      </c>
      <c r="S3154">
        <v>17</v>
      </c>
      <c r="T3154" t="s">
        <v>49</v>
      </c>
      <c r="U3154" t="s">
        <v>91</v>
      </c>
      <c r="V3154" s="1">
        <v>45543</v>
      </c>
      <c r="W3154">
        <f>Table1[[#This Row],[customer_purchase count]]+1</f>
        <v>18</v>
      </c>
      <c r="X3154">
        <f>Table1[[#This Row],[customer_purchase count]]*Rules!$B$3</f>
        <v>1015.9941025641026</v>
      </c>
      <c r="Y3154" t="str">
        <f>IF(Table1[[#This Row],[customer_subscription]]=1,"Subscribed","Not Subscribed")</f>
        <v>Not Subscribed</v>
      </c>
      <c r="Z3154" t="s">
        <v>194</v>
      </c>
    </row>
    <row r="3155" spans="1:26" x14ac:dyDescent="0.25">
      <c r="A3155">
        <v>3154</v>
      </c>
      <c r="B3155">
        <v>56</v>
      </c>
      <c r="C3155" t="s">
        <v>156</v>
      </c>
      <c r="D3155">
        <v>3154</v>
      </c>
      <c r="E3155" t="s">
        <v>128</v>
      </c>
      <c r="F3155" t="s">
        <v>24</v>
      </c>
      <c r="G3155">
        <v>3154</v>
      </c>
      <c r="H3155">
        <v>3983</v>
      </c>
      <c r="I3155">
        <v>88</v>
      </c>
      <c r="J3155" t="s">
        <v>93</v>
      </c>
      <c r="K3155" t="s">
        <v>26</v>
      </c>
      <c r="L3155" t="s">
        <v>111</v>
      </c>
      <c r="M3155" t="s">
        <v>60</v>
      </c>
      <c r="N3155">
        <v>3.1</v>
      </c>
      <c r="O3155">
        <v>0</v>
      </c>
      <c r="P3155" t="s">
        <v>48</v>
      </c>
      <c r="Q3155" t="s">
        <v>155</v>
      </c>
      <c r="R3155" t="s">
        <v>155</v>
      </c>
      <c r="S3155">
        <v>46</v>
      </c>
      <c r="T3155" t="s">
        <v>31</v>
      </c>
      <c r="U3155" t="s">
        <v>32</v>
      </c>
      <c r="V3155" s="1">
        <v>45556</v>
      </c>
      <c r="W3155">
        <f>Table1[[#This Row],[customer_purchase count]]+1</f>
        <v>47</v>
      </c>
      <c r="X3155">
        <f>Table1[[#This Row],[customer_purchase count]]*Rules!$B$3</f>
        <v>2749.1605128205128</v>
      </c>
      <c r="Y3155" t="str">
        <f>IF(Table1[[#This Row],[customer_subscription]]=1,"Subscribed","Not Subscribed")</f>
        <v>Not Subscribed</v>
      </c>
    </row>
    <row r="3156" spans="1:26" x14ac:dyDescent="0.25">
      <c r="A3156">
        <v>3155</v>
      </c>
      <c r="B3156">
        <v>27</v>
      </c>
      <c r="C3156" t="s">
        <v>156</v>
      </c>
      <c r="D3156">
        <v>3155</v>
      </c>
      <c r="E3156" t="s">
        <v>136</v>
      </c>
      <c r="F3156" t="s">
        <v>70</v>
      </c>
      <c r="G3156">
        <v>3155</v>
      </c>
      <c r="H3156">
        <v>3985</v>
      </c>
      <c r="I3156">
        <v>55</v>
      </c>
      <c r="J3156" t="s">
        <v>142</v>
      </c>
      <c r="K3156" t="s">
        <v>47</v>
      </c>
      <c r="L3156" t="s">
        <v>83</v>
      </c>
      <c r="M3156" t="s">
        <v>28</v>
      </c>
      <c r="N3156">
        <v>4.4000000000000004</v>
      </c>
      <c r="O3156">
        <v>0</v>
      </c>
      <c r="P3156" t="s">
        <v>57</v>
      </c>
      <c r="Q3156" t="s">
        <v>155</v>
      </c>
      <c r="R3156" t="s">
        <v>155</v>
      </c>
      <c r="S3156">
        <v>32</v>
      </c>
      <c r="T3156" t="s">
        <v>36</v>
      </c>
      <c r="U3156" t="s">
        <v>61</v>
      </c>
      <c r="V3156" s="1">
        <v>45635</v>
      </c>
      <c r="W3156">
        <f>Table1[[#This Row],[customer_purchase count]]+1</f>
        <v>33</v>
      </c>
      <c r="X3156">
        <f>Table1[[#This Row],[customer_purchase count]]*Rules!$B$3</f>
        <v>1912.4594871794873</v>
      </c>
      <c r="Y3156" t="str">
        <f>IF(Table1[[#This Row],[customer_subscription]]=1,"Subscribed","Not Subscribed")</f>
        <v>Not Subscribed</v>
      </c>
    </row>
    <row r="3157" spans="1:26" x14ac:dyDescent="0.25">
      <c r="A3157">
        <v>3156</v>
      </c>
      <c r="B3157">
        <v>22</v>
      </c>
      <c r="C3157" t="s">
        <v>156</v>
      </c>
      <c r="D3157">
        <v>3156</v>
      </c>
      <c r="E3157" t="s">
        <v>69</v>
      </c>
      <c r="F3157" t="s">
        <v>70</v>
      </c>
      <c r="G3157">
        <v>3156</v>
      </c>
      <c r="H3157">
        <v>3986</v>
      </c>
      <c r="I3157">
        <v>90</v>
      </c>
      <c r="J3157" t="s">
        <v>59</v>
      </c>
      <c r="K3157" t="s">
        <v>47</v>
      </c>
      <c r="L3157" t="s">
        <v>113</v>
      </c>
      <c r="M3157" t="s">
        <v>60</v>
      </c>
      <c r="N3157">
        <v>4.3</v>
      </c>
      <c r="O3157">
        <v>0</v>
      </c>
      <c r="P3157" t="s">
        <v>41</v>
      </c>
      <c r="Q3157" t="s">
        <v>155</v>
      </c>
      <c r="R3157" t="s">
        <v>155</v>
      </c>
      <c r="S3157">
        <v>34</v>
      </c>
      <c r="T3157" t="s">
        <v>36</v>
      </c>
      <c r="U3157" t="s">
        <v>52</v>
      </c>
      <c r="V3157" s="1">
        <v>45576</v>
      </c>
      <c r="W3157">
        <f>Table1[[#This Row],[customer_purchase count]]+1</f>
        <v>35</v>
      </c>
      <c r="X3157">
        <f>Table1[[#This Row],[customer_purchase count]]*Rules!$B$3</f>
        <v>2031.9882051282052</v>
      </c>
      <c r="Y3157" t="str">
        <f>IF(Table1[[#This Row],[customer_subscription]]=1,"Subscribed","Not Subscribed")</f>
        <v>Not Subscribed</v>
      </c>
    </row>
    <row r="3158" spans="1:26" x14ac:dyDescent="0.25">
      <c r="A3158">
        <v>3157</v>
      </c>
      <c r="B3158">
        <v>18</v>
      </c>
      <c r="C3158" t="s">
        <v>156</v>
      </c>
      <c r="D3158">
        <v>3157</v>
      </c>
      <c r="E3158" t="s">
        <v>58</v>
      </c>
      <c r="F3158" t="s">
        <v>24</v>
      </c>
      <c r="G3158">
        <v>3157</v>
      </c>
      <c r="H3158">
        <v>3987</v>
      </c>
      <c r="I3158">
        <v>50</v>
      </c>
      <c r="J3158" t="s">
        <v>59</v>
      </c>
      <c r="K3158" t="s">
        <v>47</v>
      </c>
      <c r="L3158" t="s">
        <v>97</v>
      </c>
      <c r="M3158" t="s">
        <v>28</v>
      </c>
      <c r="N3158">
        <v>3.1</v>
      </c>
      <c r="O3158">
        <v>0</v>
      </c>
      <c r="P3158" t="s">
        <v>73</v>
      </c>
      <c r="Q3158" t="s">
        <v>155</v>
      </c>
      <c r="R3158" t="s">
        <v>155</v>
      </c>
      <c r="S3158">
        <v>18</v>
      </c>
      <c r="T3158" t="s">
        <v>36</v>
      </c>
      <c r="U3158" t="s">
        <v>91</v>
      </c>
      <c r="V3158" s="1">
        <v>45643</v>
      </c>
      <c r="W3158">
        <f>Table1[[#This Row],[customer_purchase count]]+1</f>
        <v>19</v>
      </c>
      <c r="X3158">
        <f>Table1[[#This Row],[customer_purchase count]]*Rules!$B$3</f>
        <v>1075.7584615384617</v>
      </c>
      <c r="Y3158" t="str">
        <f>IF(Table1[[#This Row],[customer_subscription]]=1,"Subscribed","Not Subscribed")</f>
        <v>Not Subscribed</v>
      </c>
    </row>
    <row r="3159" spans="1:26" x14ac:dyDescent="0.25">
      <c r="A3159">
        <v>3158</v>
      </c>
      <c r="B3159">
        <v>21</v>
      </c>
      <c r="C3159" t="s">
        <v>156</v>
      </c>
      <c r="D3159">
        <v>3158</v>
      </c>
      <c r="E3159" t="s">
        <v>136</v>
      </c>
      <c r="F3159" t="s">
        <v>70</v>
      </c>
      <c r="G3159">
        <v>3158</v>
      </c>
      <c r="H3159">
        <v>3988</v>
      </c>
      <c r="I3159">
        <v>34</v>
      </c>
      <c r="J3159" t="s">
        <v>34</v>
      </c>
      <c r="K3159" t="s">
        <v>26</v>
      </c>
      <c r="L3159" t="s">
        <v>111</v>
      </c>
      <c r="M3159" t="s">
        <v>60</v>
      </c>
      <c r="N3159">
        <v>3.1</v>
      </c>
      <c r="O3159">
        <v>0</v>
      </c>
      <c r="P3159" t="s">
        <v>77</v>
      </c>
      <c r="Q3159" t="s">
        <v>155</v>
      </c>
      <c r="R3159" t="s">
        <v>155</v>
      </c>
      <c r="S3159">
        <v>5</v>
      </c>
      <c r="T3159" t="s">
        <v>89</v>
      </c>
      <c r="U3159" t="s">
        <v>32</v>
      </c>
      <c r="V3159" s="1">
        <v>45599</v>
      </c>
      <c r="W3159">
        <f>Table1[[#This Row],[customer_purchase count]]+1</f>
        <v>6</v>
      </c>
      <c r="X3159">
        <f>Table1[[#This Row],[customer_purchase count]]*Rules!$B$3</f>
        <v>298.82179487179491</v>
      </c>
      <c r="Y3159" t="str">
        <f>IF(Table1[[#This Row],[customer_subscription]]=1,"Subscribed","Not Subscribed")</f>
        <v>Not Subscribed</v>
      </c>
      <c r="Z3159" t="s">
        <v>194</v>
      </c>
    </row>
    <row r="3160" spans="1:26" x14ac:dyDescent="0.25">
      <c r="A3160">
        <v>3159</v>
      </c>
      <c r="B3160">
        <v>30</v>
      </c>
      <c r="C3160" t="s">
        <v>156</v>
      </c>
      <c r="D3160">
        <v>3159</v>
      </c>
      <c r="E3160" t="s">
        <v>109</v>
      </c>
      <c r="F3160" t="s">
        <v>70</v>
      </c>
      <c r="G3160">
        <v>3159</v>
      </c>
      <c r="H3160">
        <v>3989</v>
      </c>
      <c r="I3160">
        <v>77</v>
      </c>
      <c r="J3160" t="s">
        <v>94</v>
      </c>
      <c r="K3160" t="s">
        <v>47</v>
      </c>
      <c r="L3160" t="s">
        <v>27</v>
      </c>
      <c r="M3160" t="s">
        <v>28</v>
      </c>
      <c r="N3160">
        <v>4.9000000000000004</v>
      </c>
      <c r="O3160">
        <v>0</v>
      </c>
      <c r="P3160" t="s">
        <v>73</v>
      </c>
      <c r="Q3160" t="s">
        <v>155</v>
      </c>
      <c r="R3160" t="s">
        <v>155</v>
      </c>
      <c r="S3160">
        <v>44</v>
      </c>
      <c r="T3160" t="s">
        <v>42</v>
      </c>
      <c r="U3160" t="s">
        <v>91</v>
      </c>
      <c r="V3160" s="1">
        <v>45319</v>
      </c>
      <c r="W3160">
        <f>Table1[[#This Row],[customer_purchase count]]+1</f>
        <v>45</v>
      </c>
      <c r="X3160">
        <f>Table1[[#This Row],[customer_purchase count]]*Rules!$B$3</f>
        <v>2629.6317948717951</v>
      </c>
      <c r="Y3160" t="str">
        <f>IF(Table1[[#This Row],[customer_subscription]]=1,"Subscribed","Not Subscribed")</f>
        <v>Not Subscribed</v>
      </c>
    </row>
    <row r="3161" spans="1:26" x14ac:dyDescent="0.25">
      <c r="A3161">
        <v>3160</v>
      </c>
      <c r="B3161">
        <v>62</v>
      </c>
      <c r="C3161" t="s">
        <v>156</v>
      </c>
      <c r="D3161">
        <v>3160</v>
      </c>
      <c r="E3161" t="s">
        <v>127</v>
      </c>
      <c r="F3161" t="s">
        <v>70</v>
      </c>
      <c r="G3161">
        <v>3160</v>
      </c>
      <c r="H3161">
        <v>3991</v>
      </c>
      <c r="I3161">
        <v>89</v>
      </c>
      <c r="J3161" t="s">
        <v>63</v>
      </c>
      <c r="K3161" t="s">
        <v>26</v>
      </c>
      <c r="L3161" t="s">
        <v>72</v>
      </c>
      <c r="M3161" t="s">
        <v>28</v>
      </c>
      <c r="N3161">
        <v>2.9</v>
      </c>
      <c r="O3161">
        <v>0</v>
      </c>
      <c r="P3161" t="s">
        <v>77</v>
      </c>
      <c r="Q3161" t="s">
        <v>155</v>
      </c>
      <c r="R3161" t="s">
        <v>155</v>
      </c>
      <c r="S3161">
        <v>4</v>
      </c>
      <c r="T3161" t="s">
        <v>78</v>
      </c>
      <c r="U3161" t="s">
        <v>61</v>
      </c>
      <c r="V3161" s="1">
        <v>45349</v>
      </c>
      <c r="W3161">
        <f>Table1[[#This Row],[customer_purchase count]]+1</f>
        <v>5</v>
      </c>
      <c r="X3161">
        <f>Table1[[#This Row],[customer_purchase count]]*Rules!$B$3</f>
        <v>239.05743589743591</v>
      </c>
      <c r="Y3161" t="str">
        <f>IF(Table1[[#This Row],[customer_subscription]]=1,"Subscribed","Not Subscribed")</f>
        <v>Not Subscribed</v>
      </c>
      <c r="Z3161" t="s">
        <v>194</v>
      </c>
    </row>
    <row r="3162" spans="1:26" x14ac:dyDescent="0.25">
      <c r="A3162">
        <v>3161</v>
      </c>
      <c r="B3162">
        <v>28</v>
      </c>
      <c r="C3162" t="s">
        <v>156</v>
      </c>
      <c r="D3162">
        <v>3161</v>
      </c>
      <c r="E3162" t="s">
        <v>135</v>
      </c>
      <c r="F3162" t="s">
        <v>70</v>
      </c>
      <c r="G3162">
        <v>3161</v>
      </c>
      <c r="H3162">
        <v>3992</v>
      </c>
      <c r="I3162">
        <v>87</v>
      </c>
      <c r="J3162" t="s">
        <v>148</v>
      </c>
      <c r="K3162" t="s">
        <v>95</v>
      </c>
      <c r="L3162" t="s">
        <v>51</v>
      </c>
      <c r="M3162" t="s">
        <v>60</v>
      </c>
      <c r="N3162">
        <v>3.8</v>
      </c>
      <c r="O3162">
        <v>0</v>
      </c>
      <c r="P3162" t="s">
        <v>48</v>
      </c>
      <c r="Q3162" t="s">
        <v>155</v>
      </c>
      <c r="R3162" t="s">
        <v>155</v>
      </c>
      <c r="S3162">
        <v>37</v>
      </c>
      <c r="T3162" t="s">
        <v>36</v>
      </c>
      <c r="U3162" t="s">
        <v>32</v>
      </c>
      <c r="V3162" s="1">
        <v>45608</v>
      </c>
      <c r="W3162">
        <f>Table1[[#This Row],[customer_purchase count]]+1</f>
        <v>38</v>
      </c>
      <c r="X3162">
        <f>Table1[[#This Row],[customer_purchase count]]*Rules!$B$3</f>
        <v>2211.2812820512822</v>
      </c>
      <c r="Y3162" t="str">
        <f>IF(Table1[[#This Row],[customer_subscription]]=1,"Subscribed","Not Subscribed")</f>
        <v>Not Subscribed</v>
      </c>
    </row>
    <row r="3163" spans="1:26" x14ac:dyDescent="0.25">
      <c r="A3163">
        <v>3162</v>
      </c>
      <c r="B3163">
        <v>66</v>
      </c>
      <c r="C3163" t="s">
        <v>156</v>
      </c>
      <c r="D3163">
        <v>3162</v>
      </c>
      <c r="E3163" t="s">
        <v>84</v>
      </c>
      <c r="F3163" t="s">
        <v>24</v>
      </c>
      <c r="G3163">
        <v>3162</v>
      </c>
      <c r="H3163">
        <v>3993</v>
      </c>
      <c r="I3163">
        <v>77</v>
      </c>
      <c r="J3163" t="s">
        <v>38</v>
      </c>
      <c r="K3163" t="s">
        <v>39</v>
      </c>
      <c r="L3163" t="s">
        <v>64</v>
      </c>
      <c r="M3163" t="s">
        <v>28</v>
      </c>
      <c r="N3163">
        <v>4.2</v>
      </c>
      <c r="O3163">
        <v>0</v>
      </c>
      <c r="P3163" t="s">
        <v>73</v>
      </c>
      <c r="Q3163" t="s">
        <v>155</v>
      </c>
      <c r="R3163" t="s">
        <v>155</v>
      </c>
      <c r="S3163">
        <v>43</v>
      </c>
      <c r="T3163" t="s">
        <v>36</v>
      </c>
      <c r="U3163" t="s">
        <v>91</v>
      </c>
      <c r="V3163" s="1">
        <v>45631</v>
      </c>
      <c r="W3163">
        <f>Table1[[#This Row],[customer_purchase count]]+1</f>
        <v>44</v>
      </c>
      <c r="X3163">
        <f>Table1[[#This Row],[customer_purchase count]]*Rules!$B$3</f>
        <v>2569.8674358974358</v>
      </c>
      <c r="Y3163" t="str">
        <f>IF(Table1[[#This Row],[customer_subscription]]=1,"Subscribed","Not Subscribed")</f>
        <v>Not Subscribed</v>
      </c>
    </row>
    <row r="3164" spans="1:26" x14ac:dyDescent="0.25">
      <c r="A3164">
        <v>3163</v>
      </c>
      <c r="B3164">
        <v>66</v>
      </c>
      <c r="C3164" t="s">
        <v>156</v>
      </c>
      <c r="D3164">
        <v>3163</v>
      </c>
      <c r="E3164" t="s">
        <v>74</v>
      </c>
      <c r="F3164" t="s">
        <v>45</v>
      </c>
      <c r="G3164">
        <v>3163</v>
      </c>
      <c r="H3164">
        <v>3994</v>
      </c>
      <c r="I3164">
        <v>85</v>
      </c>
      <c r="J3164" t="s">
        <v>153</v>
      </c>
      <c r="K3164" t="s">
        <v>26</v>
      </c>
      <c r="L3164" t="s">
        <v>147</v>
      </c>
      <c r="M3164" t="s">
        <v>28</v>
      </c>
      <c r="N3164">
        <v>3.9</v>
      </c>
      <c r="O3164">
        <v>0</v>
      </c>
      <c r="P3164" t="s">
        <v>57</v>
      </c>
      <c r="Q3164" t="s">
        <v>155</v>
      </c>
      <c r="R3164" t="s">
        <v>155</v>
      </c>
      <c r="S3164">
        <v>28</v>
      </c>
      <c r="T3164" t="s">
        <v>78</v>
      </c>
      <c r="U3164" t="s">
        <v>61</v>
      </c>
      <c r="V3164" s="1">
        <v>45317</v>
      </c>
      <c r="W3164">
        <f>Table1[[#This Row],[customer_purchase count]]+1</f>
        <v>29</v>
      </c>
      <c r="X3164">
        <f>Table1[[#This Row],[customer_purchase count]]*Rules!$B$3</f>
        <v>1673.4020512820514</v>
      </c>
      <c r="Y3164" t="str">
        <f>IF(Table1[[#This Row],[customer_subscription]]=1,"Subscribed","Not Subscribed")</f>
        <v>Not Subscribed</v>
      </c>
    </row>
    <row r="3165" spans="1:26" x14ac:dyDescent="0.25">
      <c r="A3165">
        <v>3164</v>
      </c>
      <c r="B3165">
        <v>49</v>
      </c>
      <c r="C3165" t="s">
        <v>156</v>
      </c>
      <c r="D3165">
        <v>3164</v>
      </c>
      <c r="E3165" t="s">
        <v>98</v>
      </c>
      <c r="F3165" t="s">
        <v>24</v>
      </c>
      <c r="G3165">
        <v>3164</v>
      </c>
      <c r="H3165">
        <v>3995</v>
      </c>
      <c r="I3165">
        <v>66</v>
      </c>
      <c r="J3165" t="s">
        <v>148</v>
      </c>
      <c r="K3165" t="s">
        <v>95</v>
      </c>
      <c r="L3165" t="s">
        <v>51</v>
      </c>
      <c r="M3165" t="s">
        <v>56</v>
      </c>
      <c r="N3165">
        <v>2.8</v>
      </c>
      <c r="O3165">
        <v>0</v>
      </c>
      <c r="P3165" t="s">
        <v>29</v>
      </c>
      <c r="Q3165" t="s">
        <v>155</v>
      </c>
      <c r="R3165" t="s">
        <v>155</v>
      </c>
      <c r="S3165">
        <v>36</v>
      </c>
      <c r="T3165" t="s">
        <v>36</v>
      </c>
      <c r="U3165" t="s">
        <v>91</v>
      </c>
      <c r="V3165" s="1">
        <v>45451</v>
      </c>
      <c r="W3165">
        <f>Table1[[#This Row],[customer_purchase count]]+1</f>
        <v>37</v>
      </c>
      <c r="X3165">
        <f>Table1[[#This Row],[customer_purchase count]]*Rules!$B$3</f>
        <v>2151.5169230769234</v>
      </c>
      <c r="Y3165" t="str">
        <f>IF(Table1[[#This Row],[customer_subscription]]=1,"Subscribed","Not Subscribed")</f>
        <v>Not Subscribed</v>
      </c>
    </row>
    <row r="3166" spans="1:26" x14ac:dyDescent="0.25">
      <c r="A3166">
        <v>3165</v>
      </c>
      <c r="B3166">
        <v>40</v>
      </c>
      <c r="C3166" t="s">
        <v>156</v>
      </c>
      <c r="D3166">
        <v>3165</v>
      </c>
      <c r="E3166" t="s">
        <v>84</v>
      </c>
      <c r="F3166" t="s">
        <v>24</v>
      </c>
      <c r="G3166">
        <v>3165</v>
      </c>
      <c r="H3166">
        <v>3997</v>
      </c>
      <c r="I3166">
        <v>32</v>
      </c>
      <c r="J3166" t="s">
        <v>120</v>
      </c>
      <c r="K3166" t="s">
        <v>26</v>
      </c>
      <c r="L3166" t="s">
        <v>68</v>
      </c>
      <c r="M3166" t="s">
        <v>28</v>
      </c>
      <c r="N3166">
        <v>2.6</v>
      </c>
      <c r="O3166">
        <v>0</v>
      </c>
      <c r="P3166" t="s">
        <v>57</v>
      </c>
      <c r="Q3166" t="s">
        <v>155</v>
      </c>
      <c r="R3166" t="s">
        <v>155</v>
      </c>
      <c r="S3166">
        <v>16</v>
      </c>
      <c r="T3166" t="s">
        <v>42</v>
      </c>
      <c r="U3166" t="s">
        <v>52</v>
      </c>
      <c r="V3166" s="1">
        <v>45348</v>
      </c>
      <c r="W3166">
        <f>Table1[[#This Row],[customer_purchase count]]+1</f>
        <v>17</v>
      </c>
      <c r="X3166">
        <f>Table1[[#This Row],[customer_purchase count]]*Rules!$B$3</f>
        <v>956.22974358974363</v>
      </c>
      <c r="Y3166" t="str">
        <f>IF(Table1[[#This Row],[customer_subscription]]=1,"Subscribed","Not Subscribed")</f>
        <v>Not Subscribed</v>
      </c>
      <c r="Z3166" t="s">
        <v>194</v>
      </c>
    </row>
    <row r="3167" spans="1:26" x14ac:dyDescent="0.25">
      <c r="A3167">
        <v>3166</v>
      </c>
      <c r="B3167">
        <v>49</v>
      </c>
      <c r="C3167" t="s">
        <v>156</v>
      </c>
      <c r="D3167">
        <v>3166</v>
      </c>
      <c r="E3167" t="s">
        <v>105</v>
      </c>
      <c r="F3167" t="s">
        <v>66</v>
      </c>
      <c r="G3167">
        <v>3166</v>
      </c>
      <c r="H3167">
        <v>3998</v>
      </c>
      <c r="I3167">
        <v>92</v>
      </c>
      <c r="J3167" t="s">
        <v>80</v>
      </c>
      <c r="K3167" t="s">
        <v>47</v>
      </c>
      <c r="L3167" t="s">
        <v>96</v>
      </c>
      <c r="M3167" t="s">
        <v>40</v>
      </c>
      <c r="N3167">
        <v>3</v>
      </c>
      <c r="O3167">
        <v>0</v>
      </c>
      <c r="P3167" t="s">
        <v>77</v>
      </c>
      <c r="Q3167" t="s">
        <v>155</v>
      </c>
      <c r="R3167" t="s">
        <v>155</v>
      </c>
      <c r="S3167">
        <v>38</v>
      </c>
      <c r="T3167" t="s">
        <v>78</v>
      </c>
      <c r="U3167" t="s">
        <v>100</v>
      </c>
      <c r="V3167" s="1">
        <v>45431</v>
      </c>
      <c r="W3167">
        <f>Table1[[#This Row],[customer_purchase count]]+1</f>
        <v>39</v>
      </c>
      <c r="X3167">
        <f>Table1[[#This Row],[customer_purchase count]]*Rules!$B$3</f>
        <v>2271.0456410256411</v>
      </c>
      <c r="Y3167" t="str">
        <f>IF(Table1[[#This Row],[customer_subscription]]=1,"Subscribed","Not Subscribed")</f>
        <v>Not Subscribed</v>
      </c>
    </row>
    <row r="3168" spans="1:26" x14ac:dyDescent="0.25">
      <c r="A3168">
        <v>3167</v>
      </c>
      <c r="B3168">
        <v>19</v>
      </c>
      <c r="C3168" t="s">
        <v>156</v>
      </c>
      <c r="D3168">
        <v>3167</v>
      </c>
      <c r="E3168" t="s">
        <v>58</v>
      </c>
      <c r="F3168" t="s">
        <v>24</v>
      </c>
      <c r="G3168">
        <v>3167</v>
      </c>
      <c r="H3168">
        <v>3999</v>
      </c>
      <c r="I3168">
        <v>80</v>
      </c>
      <c r="J3168" t="s">
        <v>145</v>
      </c>
      <c r="K3168" t="s">
        <v>47</v>
      </c>
      <c r="L3168" t="s">
        <v>83</v>
      </c>
      <c r="M3168" t="s">
        <v>28</v>
      </c>
      <c r="N3168">
        <v>2.7</v>
      </c>
      <c r="O3168">
        <v>0</v>
      </c>
      <c r="P3168" t="s">
        <v>48</v>
      </c>
      <c r="Q3168" t="s">
        <v>155</v>
      </c>
      <c r="R3168" t="s">
        <v>155</v>
      </c>
      <c r="S3168">
        <v>37</v>
      </c>
      <c r="T3168" t="s">
        <v>78</v>
      </c>
      <c r="U3168" t="s">
        <v>32</v>
      </c>
      <c r="V3168" s="1">
        <v>45329</v>
      </c>
      <c r="W3168">
        <f>Table1[[#This Row],[customer_purchase count]]+1</f>
        <v>38</v>
      </c>
      <c r="X3168">
        <f>Table1[[#This Row],[customer_purchase count]]*Rules!$B$3</f>
        <v>2211.2812820512822</v>
      </c>
      <c r="Y3168" t="str">
        <f>IF(Table1[[#This Row],[customer_subscription]]=1,"Subscribed","Not Subscribed")</f>
        <v>Not Subscribed</v>
      </c>
    </row>
    <row r="3169" spans="1:26" x14ac:dyDescent="0.25">
      <c r="A3169">
        <v>3168</v>
      </c>
      <c r="B3169">
        <v>24</v>
      </c>
      <c r="C3169" t="s">
        <v>156</v>
      </c>
      <c r="D3169">
        <v>3168</v>
      </c>
      <c r="E3169" t="s">
        <v>84</v>
      </c>
      <c r="F3169" t="s">
        <v>24</v>
      </c>
      <c r="G3169">
        <v>3168</v>
      </c>
      <c r="H3169">
        <v>4000</v>
      </c>
      <c r="I3169">
        <v>78</v>
      </c>
      <c r="J3169" t="s">
        <v>50</v>
      </c>
      <c r="K3169" t="s">
        <v>47</v>
      </c>
      <c r="L3169" t="s">
        <v>147</v>
      </c>
      <c r="M3169" t="s">
        <v>60</v>
      </c>
      <c r="N3169">
        <v>2.8</v>
      </c>
      <c r="O3169">
        <v>0</v>
      </c>
      <c r="P3169" t="s">
        <v>73</v>
      </c>
      <c r="Q3169" t="s">
        <v>155</v>
      </c>
      <c r="R3169" t="s">
        <v>155</v>
      </c>
      <c r="S3169">
        <v>9</v>
      </c>
      <c r="T3169" t="s">
        <v>36</v>
      </c>
      <c r="U3169" t="s">
        <v>79</v>
      </c>
      <c r="V3169" s="1">
        <v>45558</v>
      </c>
      <c r="W3169">
        <f>Table1[[#This Row],[customer_purchase count]]+1</f>
        <v>10</v>
      </c>
      <c r="X3169">
        <f>Table1[[#This Row],[customer_purchase count]]*Rules!$B$3</f>
        <v>537.87923076923084</v>
      </c>
      <c r="Y3169" t="str">
        <f>IF(Table1[[#This Row],[customer_subscription]]=1,"Subscribed","Not Subscribed")</f>
        <v>Not Subscribed</v>
      </c>
      <c r="Z3169" t="s">
        <v>187</v>
      </c>
    </row>
    <row r="3170" spans="1:26" x14ac:dyDescent="0.25">
      <c r="A3170">
        <v>3169</v>
      </c>
      <c r="B3170">
        <v>31</v>
      </c>
      <c r="C3170" t="s">
        <v>156</v>
      </c>
      <c r="D3170">
        <v>3169</v>
      </c>
      <c r="E3170" t="s">
        <v>37</v>
      </c>
      <c r="F3170" t="s">
        <v>24</v>
      </c>
      <c r="G3170">
        <v>3169</v>
      </c>
      <c r="H3170">
        <v>4001</v>
      </c>
      <c r="I3170">
        <v>24</v>
      </c>
      <c r="J3170" t="s">
        <v>59</v>
      </c>
      <c r="K3170" t="s">
        <v>47</v>
      </c>
      <c r="L3170" t="s">
        <v>124</v>
      </c>
      <c r="M3170" t="s">
        <v>40</v>
      </c>
      <c r="N3170">
        <v>2.9</v>
      </c>
      <c r="O3170">
        <v>0</v>
      </c>
      <c r="P3170" t="s">
        <v>73</v>
      </c>
      <c r="Q3170" t="s">
        <v>155</v>
      </c>
      <c r="R3170" t="s">
        <v>155</v>
      </c>
      <c r="S3170">
        <v>14</v>
      </c>
      <c r="T3170" t="s">
        <v>49</v>
      </c>
      <c r="U3170" t="s">
        <v>32</v>
      </c>
      <c r="V3170" s="1">
        <v>45361</v>
      </c>
      <c r="W3170">
        <f>Table1[[#This Row],[customer_purchase count]]+1</f>
        <v>15</v>
      </c>
      <c r="X3170">
        <f>Table1[[#This Row],[customer_purchase count]]*Rules!$B$3</f>
        <v>836.70102564102569</v>
      </c>
      <c r="Y3170" t="str">
        <f>IF(Table1[[#This Row],[customer_subscription]]=1,"Subscribed","Not Subscribed")</f>
        <v>Not Subscribed</v>
      </c>
      <c r="Z3170" t="s">
        <v>194</v>
      </c>
    </row>
    <row r="3171" spans="1:26" x14ac:dyDescent="0.25">
      <c r="A3171">
        <v>3170</v>
      </c>
      <c r="B3171">
        <v>35</v>
      </c>
      <c r="C3171" t="s">
        <v>156</v>
      </c>
      <c r="D3171">
        <v>3170</v>
      </c>
      <c r="E3171" t="s">
        <v>116</v>
      </c>
      <c r="F3171" t="s">
        <v>24</v>
      </c>
      <c r="G3171">
        <v>3170</v>
      </c>
      <c r="H3171">
        <v>4003</v>
      </c>
      <c r="I3171">
        <v>59</v>
      </c>
      <c r="J3171" t="s">
        <v>145</v>
      </c>
      <c r="K3171" t="s">
        <v>47</v>
      </c>
      <c r="L3171" t="s">
        <v>55</v>
      </c>
      <c r="M3171" t="s">
        <v>60</v>
      </c>
      <c r="N3171">
        <v>3.8</v>
      </c>
      <c r="O3171">
        <v>0</v>
      </c>
      <c r="P3171" t="s">
        <v>41</v>
      </c>
      <c r="Q3171" t="s">
        <v>155</v>
      </c>
      <c r="R3171" t="s">
        <v>155</v>
      </c>
      <c r="S3171">
        <v>3</v>
      </c>
      <c r="T3171" t="s">
        <v>31</v>
      </c>
      <c r="U3171" t="s">
        <v>43</v>
      </c>
      <c r="V3171" s="1">
        <v>45540</v>
      </c>
      <c r="W3171">
        <f>Table1[[#This Row],[customer_purchase count]]+1</f>
        <v>4</v>
      </c>
      <c r="X3171">
        <f>Table1[[#This Row],[customer_purchase count]]*Rules!$B$3</f>
        <v>179.29307692307694</v>
      </c>
      <c r="Y3171" t="str">
        <f>IF(Table1[[#This Row],[customer_subscription]]=1,"Subscribed","Not Subscribed")</f>
        <v>Not Subscribed</v>
      </c>
      <c r="Z3171" t="s">
        <v>194</v>
      </c>
    </row>
    <row r="3172" spans="1:26" x14ac:dyDescent="0.25">
      <c r="A3172">
        <v>3171</v>
      </c>
      <c r="B3172">
        <v>65</v>
      </c>
      <c r="C3172" t="s">
        <v>156</v>
      </c>
      <c r="D3172">
        <v>3171</v>
      </c>
      <c r="E3172" t="s">
        <v>92</v>
      </c>
      <c r="F3172" t="s">
        <v>70</v>
      </c>
      <c r="G3172">
        <v>3171</v>
      </c>
      <c r="H3172">
        <v>4004</v>
      </c>
      <c r="I3172">
        <v>41</v>
      </c>
      <c r="J3172" t="s">
        <v>46</v>
      </c>
      <c r="K3172" t="s">
        <v>95</v>
      </c>
      <c r="L3172" t="s">
        <v>64</v>
      </c>
      <c r="M3172" t="s">
        <v>40</v>
      </c>
      <c r="N3172">
        <v>4.4000000000000004</v>
      </c>
      <c r="O3172">
        <v>0</v>
      </c>
      <c r="P3172" t="s">
        <v>29</v>
      </c>
      <c r="Q3172" t="s">
        <v>155</v>
      </c>
      <c r="R3172" t="s">
        <v>155</v>
      </c>
      <c r="S3172">
        <v>10</v>
      </c>
      <c r="T3172" t="s">
        <v>42</v>
      </c>
      <c r="U3172" t="s">
        <v>32</v>
      </c>
      <c r="V3172" s="1">
        <v>45436</v>
      </c>
      <c r="W3172">
        <f>Table1[[#This Row],[customer_purchase count]]+1</f>
        <v>11</v>
      </c>
      <c r="X3172">
        <f>Table1[[#This Row],[customer_purchase count]]*Rules!$B$3</f>
        <v>597.64358974358981</v>
      </c>
      <c r="Y3172" t="str">
        <f>IF(Table1[[#This Row],[customer_subscription]]=1,"Subscribed","Not Subscribed")</f>
        <v>Not Subscribed</v>
      </c>
      <c r="Z3172" t="s">
        <v>194</v>
      </c>
    </row>
    <row r="3173" spans="1:26" x14ac:dyDescent="0.25">
      <c r="A3173">
        <v>3172</v>
      </c>
      <c r="B3173">
        <v>68</v>
      </c>
      <c r="C3173" t="s">
        <v>156</v>
      </c>
      <c r="D3173">
        <v>3172</v>
      </c>
      <c r="E3173" t="s">
        <v>109</v>
      </c>
      <c r="F3173" t="s">
        <v>70</v>
      </c>
      <c r="G3173">
        <v>3172</v>
      </c>
      <c r="H3173">
        <v>4005</v>
      </c>
      <c r="I3173">
        <v>26</v>
      </c>
      <c r="J3173" t="s">
        <v>125</v>
      </c>
      <c r="K3173" t="s">
        <v>47</v>
      </c>
      <c r="L3173" t="s">
        <v>35</v>
      </c>
      <c r="M3173" t="s">
        <v>40</v>
      </c>
      <c r="N3173">
        <v>3.1</v>
      </c>
      <c r="O3173">
        <v>0</v>
      </c>
      <c r="P3173" t="s">
        <v>29</v>
      </c>
      <c r="Q3173" t="s">
        <v>155</v>
      </c>
      <c r="R3173" t="s">
        <v>155</v>
      </c>
      <c r="S3173">
        <v>26</v>
      </c>
      <c r="T3173" t="s">
        <v>78</v>
      </c>
      <c r="U3173" t="s">
        <v>79</v>
      </c>
      <c r="V3173" s="1">
        <v>45400</v>
      </c>
      <c r="W3173">
        <f>Table1[[#This Row],[customer_purchase count]]+1</f>
        <v>27</v>
      </c>
      <c r="X3173">
        <f>Table1[[#This Row],[customer_purchase count]]*Rules!$B$3</f>
        <v>1553.8733333333334</v>
      </c>
      <c r="Y3173" t="str">
        <f>IF(Table1[[#This Row],[customer_subscription]]=1,"Subscribed","Not Subscribed")</f>
        <v>Not Subscribed</v>
      </c>
    </row>
    <row r="3174" spans="1:26" x14ac:dyDescent="0.25">
      <c r="A3174">
        <v>3173</v>
      </c>
      <c r="B3174">
        <v>57</v>
      </c>
      <c r="C3174" t="s">
        <v>156</v>
      </c>
      <c r="D3174">
        <v>3173</v>
      </c>
      <c r="E3174" t="s">
        <v>128</v>
      </c>
      <c r="F3174" t="s">
        <v>24</v>
      </c>
      <c r="G3174">
        <v>3173</v>
      </c>
      <c r="H3174">
        <v>4006</v>
      </c>
      <c r="I3174">
        <v>52</v>
      </c>
      <c r="J3174" t="s">
        <v>71</v>
      </c>
      <c r="K3174" t="s">
        <v>47</v>
      </c>
      <c r="L3174" t="s">
        <v>81</v>
      </c>
      <c r="M3174" t="s">
        <v>60</v>
      </c>
      <c r="N3174">
        <v>3.7</v>
      </c>
      <c r="O3174">
        <v>0</v>
      </c>
      <c r="P3174" t="s">
        <v>57</v>
      </c>
      <c r="Q3174" t="s">
        <v>155</v>
      </c>
      <c r="R3174" t="s">
        <v>155</v>
      </c>
      <c r="S3174">
        <v>30</v>
      </c>
      <c r="T3174" t="s">
        <v>89</v>
      </c>
      <c r="U3174" t="s">
        <v>79</v>
      </c>
      <c r="V3174" s="1">
        <v>45604</v>
      </c>
      <c r="W3174">
        <f>Table1[[#This Row],[customer_purchase count]]+1</f>
        <v>31</v>
      </c>
      <c r="X3174">
        <f>Table1[[#This Row],[customer_purchase count]]*Rules!$B$3</f>
        <v>1792.9307692307693</v>
      </c>
      <c r="Y3174" t="str">
        <f>IF(Table1[[#This Row],[customer_subscription]]=1,"Subscribed","Not Subscribed")</f>
        <v>Not Subscribed</v>
      </c>
    </row>
    <row r="3175" spans="1:26" x14ac:dyDescent="0.25">
      <c r="A3175">
        <v>3174</v>
      </c>
      <c r="B3175">
        <v>69</v>
      </c>
      <c r="C3175" t="s">
        <v>156</v>
      </c>
      <c r="D3175">
        <v>3174</v>
      </c>
      <c r="E3175" t="s">
        <v>90</v>
      </c>
      <c r="F3175" t="s">
        <v>24</v>
      </c>
      <c r="G3175">
        <v>3174</v>
      </c>
      <c r="H3175">
        <v>4007</v>
      </c>
      <c r="I3175">
        <v>46</v>
      </c>
      <c r="J3175" t="s">
        <v>152</v>
      </c>
      <c r="K3175" t="s">
        <v>26</v>
      </c>
      <c r="L3175" t="s">
        <v>88</v>
      </c>
      <c r="M3175" t="s">
        <v>56</v>
      </c>
      <c r="N3175">
        <v>4.9000000000000004</v>
      </c>
      <c r="O3175">
        <v>0</v>
      </c>
      <c r="P3175" t="s">
        <v>48</v>
      </c>
      <c r="Q3175" t="s">
        <v>155</v>
      </c>
      <c r="R3175" t="s">
        <v>155</v>
      </c>
      <c r="S3175">
        <v>32</v>
      </c>
      <c r="T3175" t="s">
        <v>49</v>
      </c>
      <c r="U3175" t="s">
        <v>32</v>
      </c>
      <c r="V3175" s="1">
        <v>45524</v>
      </c>
      <c r="W3175">
        <f>Table1[[#This Row],[customer_purchase count]]+1</f>
        <v>33</v>
      </c>
      <c r="X3175">
        <f>Table1[[#This Row],[customer_purchase count]]*Rules!$B$3</f>
        <v>1912.4594871794873</v>
      </c>
      <c r="Y3175" t="str">
        <f>IF(Table1[[#This Row],[customer_subscription]]=1,"Subscribed","Not Subscribed")</f>
        <v>Not Subscribed</v>
      </c>
    </row>
    <row r="3176" spans="1:26" x14ac:dyDescent="0.25">
      <c r="A3176">
        <v>3175</v>
      </c>
      <c r="B3176">
        <v>45</v>
      </c>
      <c r="C3176" t="s">
        <v>156</v>
      </c>
      <c r="D3176">
        <v>3175</v>
      </c>
      <c r="E3176" t="s">
        <v>98</v>
      </c>
      <c r="F3176" t="s">
        <v>24</v>
      </c>
      <c r="G3176">
        <v>3175</v>
      </c>
      <c r="H3176">
        <v>4009</v>
      </c>
      <c r="I3176">
        <v>52</v>
      </c>
      <c r="J3176" t="s">
        <v>104</v>
      </c>
      <c r="K3176" t="s">
        <v>26</v>
      </c>
      <c r="L3176" t="s">
        <v>124</v>
      </c>
      <c r="M3176" t="s">
        <v>28</v>
      </c>
      <c r="N3176">
        <v>3.8</v>
      </c>
      <c r="O3176">
        <v>0</v>
      </c>
      <c r="P3176" t="s">
        <v>77</v>
      </c>
      <c r="Q3176" t="s">
        <v>155</v>
      </c>
      <c r="R3176" t="s">
        <v>155</v>
      </c>
      <c r="S3176">
        <v>35</v>
      </c>
      <c r="T3176" t="s">
        <v>49</v>
      </c>
      <c r="U3176" t="s">
        <v>91</v>
      </c>
      <c r="V3176" s="1">
        <v>45327</v>
      </c>
      <c r="W3176">
        <f>Table1[[#This Row],[customer_purchase count]]+1</f>
        <v>36</v>
      </c>
      <c r="X3176">
        <f>Table1[[#This Row],[customer_purchase count]]*Rules!$B$3</f>
        <v>2091.7525641025641</v>
      </c>
      <c r="Y3176" t="str">
        <f>IF(Table1[[#This Row],[customer_subscription]]=1,"Subscribed","Not Subscribed")</f>
        <v>Not Subscribed</v>
      </c>
    </row>
    <row r="3177" spans="1:26" x14ac:dyDescent="0.25">
      <c r="A3177">
        <v>3176</v>
      </c>
      <c r="B3177">
        <v>35</v>
      </c>
      <c r="C3177" t="s">
        <v>156</v>
      </c>
      <c r="D3177">
        <v>3176</v>
      </c>
      <c r="E3177" t="s">
        <v>128</v>
      </c>
      <c r="F3177" t="s">
        <v>24</v>
      </c>
      <c r="G3177">
        <v>3176</v>
      </c>
      <c r="H3177">
        <v>4010</v>
      </c>
      <c r="I3177">
        <v>42</v>
      </c>
      <c r="J3177" t="s">
        <v>142</v>
      </c>
      <c r="K3177" t="s">
        <v>47</v>
      </c>
      <c r="L3177" t="s">
        <v>35</v>
      </c>
      <c r="M3177" t="s">
        <v>60</v>
      </c>
      <c r="N3177">
        <v>3.4</v>
      </c>
      <c r="O3177">
        <v>0</v>
      </c>
      <c r="P3177" t="s">
        <v>77</v>
      </c>
      <c r="Q3177" t="s">
        <v>155</v>
      </c>
      <c r="R3177" t="s">
        <v>155</v>
      </c>
      <c r="S3177">
        <v>26</v>
      </c>
      <c r="T3177" t="s">
        <v>89</v>
      </c>
      <c r="U3177" t="s">
        <v>100</v>
      </c>
      <c r="V3177" s="1">
        <v>45617</v>
      </c>
      <c r="W3177">
        <f>Table1[[#This Row],[customer_purchase count]]+1</f>
        <v>27</v>
      </c>
      <c r="X3177">
        <f>Table1[[#This Row],[customer_purchase count]]*Rules!$B$3</f>
        <v>1553.8733333333334</v>
      </c>
      <c r="Y3177" t="str">
        <f>IF(Table1[[#This Row],[customer_subscription]]=1,"Subscribed","Not Subscribed")</f>
        <v>Not Subscribed</v>
      </c>
    </row>
    <row r="3178" spans="1:26" x14ac:dyDescent="0.25">
      <c r="A3178">
        <v>3177</v>
      </c>
      <c r="B3178">
        <v>36</v>
      </c>
      <c r="C3178" t="s">
        <v>156</v>
      </c>
      <c r="D3178">
        <v>3177</v>
      </c>
      <c r="E3178" t="s">
        <v>44</v>
      </c>
      <c r="F3178" t="s">
        <v>45</v>
      </c>
      <c r="G3178">
        <v>3177</v>
      </c>
      <c r="H3178">
        <v>4011</v>
      </c>
      <c r="I3178">
        <v>37</v>
      </c>
      <c r="J3178" t="s">
        <v>75</v>
      </c>
      <c r="K3178" t="s">
        <v>95</v>
      </c>
      <c r="L3178" t="s">
        <v>51</v>
      </c>
      <c r="M3178" t="s">
        <v>40</v>
      </c>
      <c r="N3178">
        <v>4.5999999999999996</v>
      </c>
      <c r="O3178">
        <v>0</v>
      </c>
      <c r="P3178" t="s">
        <v>73</v>
      </c>
      <c r="Q3178" t="s">
        <v>155</v>
      </c>
      <c r="R3178" t="s">
        <v>155</v>
      </c>
      <c r="S3178">
        <v>39</v>
      </c>
      <c r="T3178" t="s">
        <v>42</v>
      </c>
      <c r="U3178" t="s">
        <v>91</v>
      </c>
      <c r="V3178" s="1">
        <v>45431</v>
      </c>
      <c r="W3178">
        <f>Table1[[#This Row],[customer_purchase count]]+1</f>
        <v>40</v>
      </c>
      <c r="X3178">
        <f>Table1[[#This Row],[customer_purchase count]]*Rules!$B$3</f>
        <v>2330.81</v>
      </c>
      <c r="Y3178" t="str">
        <f>IF(Table1[[#This Row],[customer_subscription]]=1,"Subscribed","Not Subscribed")</f>
        <v>Not Subscribed</v>
      </c>
    </row>
    <row r="3179" spans="1:26" x14ac:dyDescent="0.25">
      <c r="A3179">
        <v>3178</v>
      </c>
      <c r="B3179">
        <v>55</v>
      </c>
      <c r="C3179" t="s">
        <v>156</v>
      </c>
      <c r="D3179">
        <v>3178</v>
      </c>
      <c r="E3179" t="s">
        <v>136</v>
      </c>
      <c r="F3179" t="s">
        <v>70</v>
      </c>
      <c r="G3179">
        <v>3178</v>
      </c>
      <c r="H3179">
        <v>4012</v>
      </c>
      <c r="I3179">
        <v>52</v>
      </c>
      <c r="J3179" t="s">
        <v>71</v>
      </c>
      <c r="K3179" t="s">
        <v>26</v>
      </c>
      <c r="L3179" t="s">
        <v>121</v>
      </c>
      <c r="M3179" t="s">
        <v>60</v>
      </c>
      <c r="N3179">
        <v>3.2</v>
      </c>
      <c r="O3179">
        <v>0</v>
      </c>
      <c r="P3179" t="s">
        <v>57</v>
      </c>
      <c r="Q3179" t="s">
        <v>155</v>
      </c>
      <c r="R3179" t="s">
        <v>155</v>
      </c>
      <c r="S3179">
        <v>31</v>
      </c>
      <c r="T3179" t="s">
        <v>42</v>
      </c>
      <c r="U3179" t="s">
        <v>91</v>
      </c>
      <c r="V3179" s="1">
        <v>45545</v>
      </c>
      <c r="W3179">
        <f>Table1[[#This Row],[customer_purchase count]]+1</f>
        <v>32</v>
      </c>
      <c r="X3179">
        <f>Table1[[#This Row],[customer_purchase count]]*Rules!$B$3</f>
        <v>1852.6951282051282</v>
      </c>
      <c r="Y3179" t="str">
        <f>IF(Table1[[#This Row],[customer_subscription]]=1,"Subscribed","Not Subscribed")</f>
        <v>Not Subscribed</v>
      </c>
    </row>
    <row r="3180" spans="1:26" x14ac:dyDescent="0.25">
      <c r="A3180">
        <v>3179</v>
      </c>
      <c r="B3180">
        <v>66</v>
      </c>
      <c r="C3180" t="s">
        <v>156</v>
      </c>
      <c r="D3180">
        <v>3179</v>
      </c>
      <c r="E3180" t="s">
        <v>44</v>
      </c>
      <c r="F3180" t="s">
        <v>45</v>
      </c>
      <c r="G3180">
        <v>3179</v>
      </c>
      <c r="H3180">
        <v>4013</v>
      </c>
      <c r="I3180">
        <v>34</v>
      </c>
      <c r="J3180" t="s">
        <v>152</v>
      </c>
      <c r="K3180" t="s">
        <v>26</v>
      </c>
      <c r="L3180" t="s">
        <v>121</v>
      </c>
      <c r="M3180" t="s">
        <v>40</v>
      </c>
      <c r="N3180">
        <v>2.7</v>
      </c>
      <c r="O3180">
        <v>0</v>
      </c>
      <c r="P3180" t="s">
        <v>41</v>
      </c>
      <c r="Q3180" t="s">
        <v>155</v>
      </c>
      <c r="R3180" t="s">
        <v>155</v>
      </c>
      <c r="S3180">
        <v>28</v>
      </c>
      <c r="T3180" t="s">
        <v>42</v>
      </c>
      <c r="U3180" t="s">
        <v>52</v>
      </c>
      <c r="V3180" s="1">
        <v>45430</v>
      </c>
      <c r="W3180">
        <f>Table1[[#This Row],[customer_purchase count]]+1</f>
        <v>29</v>
      </c>
      <c r="X3180">
        <f>Table1[[#This Row],[customer_purchase count]]*Rules!$B$3</f>
        <v>1673.4020512820514</v>
      </c>
      <c r="Y3180" t="str">
        <f>IF(Table1[[#This Row],[customer_subscription]]=1,"Subscribed","Not Subscribed")</f>
        <v>Not Subscribed</v>
      </c>
    </row>
    <row r="3181" spans="1:26" x14ac:dyDescent="0.25">
      <c r="A3181">
        <v>3180</v>
      </c>
      <c r="B3181">
        <v>57</v>
      </c>
      <c r="C3181" t="s">
        <v>156</v>
      </c>
      <c r="D3181">
        <v>3180</v>
      </c>
      <c r="E3181" t="s">
        <v>62</v>
      </c>
      <c r="F3181" t="s">
        <v>24</v>
      </c>
      <c r="G3181">
        <v>3180</v>
      </c>
      <c r="H3181">
        <v>4015</v>
      </c>
      <c r="I3181">
        <v>88</v>
      </c>
      <c r="J3181" t="s">
        <v>138</v>
      </c>
      <c r="K3181" t="s">
        <v>47</v>
      </c>
      <c r="L3181" t="s">
        <v>81</v>
      </c>
      <c r="M3181" t="s">
        <v>40</v>
      </c>
      <c r="N3181">
        <v>4.3</v>
      </c>
      <c r="O3181">
        <v>0</v>
      </c>
      <c r="P3181" t="s">
        <v>41</v>
      </c>
      <c r="Q3181" t="s">
        <v>155</v>
      </c>
      <c r="R3181" t="s">
        <v>155</v>
      </c>
      <c r="S3181">
        <v>12</v>
      </c>
      <c r="T3181" t="s">
        <v>89</v>
      </c>
      <c r="U3181" t="s">
        <v>79</v>
      </c>
      <c r="V3181" s="1">
        <v>45383</v>
      </c>
      <c r="W3181">
        <f>Table1[[#This Row],[customer_purchase count]]+1</f>
        <v>13</v>
      </c>
      <c r="X3181">
        <f>Table1[[#This Row],[customer_purchase count]]*Rules!$B$3</f>
        <v>717.17230769230775</v>
      </c>
      <c r="Y3181" t="str">
        <f>IF(Table1[[#This Row],[customer_subscription]]=1,"Subscribed","Not Subscribed")</f>
        <v>Not Subscribed</v>
      </c>
      <c r="Z3181" t="s">
        <v>194</v>
      </c>
    </row>
    <row r="3182" spans="1:26" x14ac:dyDescent="0.25">
      <c r="A3182">
        <v>3181</v>
      </c>
      <c r="B3182">
        <v>18</v>
      </c>
      <c r="C3182" t="s">
        <v>156</v>
      </c>
      <c r="D3182">
        <v>3181</v>
      </c>
      <c r="E3182" t="s">
        <v>69</v>
      </c>
      <c r="F3182" t="s">
        <v>70</v>
      </c>
      <c r="G3182">
        <v>3181</v>
      </c>
      <c r="H3182">
        <v>4016</v>
      </c>
      <c r="I3182">
        <v>88</v>
      </c>
      <c r="J3182" t="s">
        <v>59</v>
      </c>
      <c r="K3182" t="s">
        <v>26</v>
      </c>
      <c r="L3182" t="s">
        <v>51</v>
      </c>
      <c r="M3182" t="s">
        <v>60</v>
      </c>
      <c r="N3182">
        <v>3.8</v>
      </c>
      <c r="O3182">
        <v>0</v>
      </c>
      <c r="P3182" t="s">
        <v>57</v>
      </c>
      <c r="Q3182" t="s">
        <v>155</v>
      </c>
      <c r="R3182" t="s">
        <v>155</v>
      </c>
      <c r="S3182">
        <v>46</v>
      </c>
      <c r="T3182" t="s">
        <v>49</v>
      </c>
      <c r="U3182" t="s">
        <v>43</v>
      </c>
      <c r="V3182" s="1">
        <v>45566</v>
      </c>
      <c r="W3182">
        <f>Table1[[#This Row],[customer_purchase count]]+1</f>
        <v>47</v>
      </c>
      <c r="X3182">
        <f>Table1[[#This Row],[customer_purchase count]]*Rules!$B$3</f>
        <v>2749.1605128205128</v>
      </c>
      <c r="Y3182" t="str">
        <f>IF(Table1[[#This Row],[customer_subscription]]=1,"Subscribed","Not Subscribed")</f>
        <v>Not Subscribed</v>
      </c>
    </row>
    <row r="3183" spans="1:26" x14ac:dyDescent="0.25">
      <c r="A3183">
        <v>3182</v>
      </c>
      <c r="B3183">
        <v>31</v>
      </c>
      <c r="C3183" t="s">
        <v>156</v>
      </c>
      <c r="D3183">
        <v>3182</v>
      </c>
      <c r="E3183" t="s">
        <v>105</v>
      </c>
      <c r="F3183" t="s">
        <v>66</v>
      </c>
      <c r="G3183">
        <v>3182</v>
      </c>
      <c r="H3183">
        <v>4017</v>
      </c>
      <c r="I3183">
        <v>51</v>
      </c>
      <c r="J3183" t="s">
        <v>59</v>
      </c>
      <c r="K3183" t="s">
        <v>47</v>
      </c>
      <c r="L3183" t="s">
        <v>64</v>
      </c>
      <c r="M3183" t="s">
        <v>56</v>
      </c>
      <c r="N3183">
        <v>4.4000000000000004</v>
      </c>
      <c r="O3183">
        <v>0</v>
      </c>
      <c r="P3183" t="s">
        <v>41</v>
      </c>
      <c r="Q3183" t="s">
        <v>155</v>
      </c>
      <c r="R3183" t="s">
        <v>155</v>
      </c>
      <c r="S3183">
        <v>27</v>
      </c>
      <c r="T3183" t="s">
        <v>49</v>
      </c>
      <c r="U3183" t="s">
        <v>100</v>
      </c>
      <c r="V3183" s="1">
        <v>45470</v>
      </c>
      <c r="W3183">
        <f>Table1[[#This Row],[customer_purchase count]]+1</f>
        <v>28</v>
      </c>
      <c r="X3183">
        <f>Table1[[#This Row],[customer_purchase count]]*Rules!$B$3</f>
        <v>1613.6376923076923</v>
      </c>
      <c r="Y3183" t="str">
        <f>IF(Table1[[#This Row],[customer_subscription]]=1,"Subscribed","Not Subscribed")</f>
        <v>Not Subscribed</v>
      </c>
    </row>
    <row r="3184" spans="1:26" x14ac:dyDescent="0.25">
      <c r="A3184">
        <v>3183</v>
      </c>
      <c r="B3184">
        <v>50</v>
      </c>
      <c r="C3184" t="s">
        <v>156</v>
      </c>
      <c r="D3184">
        <v>3183</v>
      </c>
      <c r="E3184" t="s">
        <v>92</v>
      </c>
      <c r="F3184" t="s">
        <v>70</v>
      </c>
      <c r="G3184">
        <v>3183</v>
      </c>
      <c r="H3184">
        <v>4018</v>
      </c>
      <c r="I3184">
        <v>97</v>
      </c>
      <c r="J3184" t="s">
        <v>145</v>
      </c>
      <c r="K3184" t="s">
        <v>26</v>
      </c>
      <c r="L3184" t="s">
        <v>99</v>
      </c>
      <c r="M3184" t="s">
        <v>60</v>
      </c>
      <c r="N3184">
        <v>3.6</v>
      </c>
      <c r="O3184">
        <v>0</v>
      </c>
      <c r="P3184" t="s">
        <v>41</v>
      </c>
      <c r="Q3184" t="s">
        <v>155</v>
      </c>
      <c r="R3184" t="s">
        <v>155</v>
      </c>
      <c r="S3184">
        <v>4</v>
      </c>
      <c r="T3184" t="s">
        <v>42</v>
      </c>
      <c r="U3184" t="s">
        <v>52</v>
      </c>
      <c r="V3184" s="1">
        <v>45578</v>
      </c>
      <c r="W3184">
        <f>Table1[[#This Row],[customer_purchase count]]+1</f>
        <v>5</v>
      </c>
      <c r="X3184">
        <f>Table1[[#This Row],[customer_purchase count]]*Rules!$B$3</f>
        <v>239.05743589743591</v>
      </c>
      <c r="Y3184" t="str">
        <f>IF(Table1[[#This Row],[customer_subscription]]=1,"Subscribed","Not Subscribed")</f>
        <v>Not Subscribed</v>
      </c>
      <c r="Z3184" t="s">
        <v>194</v>
      </c>
    </row>
    <row r="3185" spans="1:26" x14ac:dyDescent="0.25">
      <c r="A3185">
        <v>3184</v>
      </c>
      <c r="B3185">
        <v>50</v>
      </c>
      <c r="C3185" t="s">
        <v>156</v>
      </c>
      <c r="D3185">
        <v>3184</v>
      </c>
      <c r="E3185" t="s">
        <v>53</v>
      </c>
      <c r="F3185" t="s">
        <v>45</v>
      </c>
      <c r="G3185">
        <v>3184</v>
      </c>
      <c r="H3185">
        <v>4019</v>
      </c>
      <c r="I3185">
        <v>56</v>
      </c>
      <c r="J3185" t="s">
        <v>94</v>
      </c>
      <c r="K3185" t="s">
        <v>47</v>
      </c>
      <c r="L3185" t="s">
        <v>99</v>
      </c>
      <c r="M3185" t="s">
        <v>28</v>
      </c>
      <c r="N3185">
        <v>3.5</v>
      </c>
      <c r="O3185">
        <v>0</v>
      </c>
      <c r="P3185" t="s">
        <v>57</v>
      </c>
      <c r="Q3185" t="s">
        <v>155</v>
      </c>
      <c r="R3185" t="s">
        <v>155</v>
      </c>
      <c r="S3185">
        <v>14</v>
      </c>
      <c r="T3185" t="s">
        <v>36</v>
      </c>
      <c r="U3185" t="s">
        <v>100</v>
      </c>
      <c r="V3185" s="1">
        <v>45350</v>
      </c>
      <c r="W3185">
        <f>Table1[[#This Row],[customer_purchase count]]+1</f>
        <v>15</v>
      </c>
      <c r="X3185">
        <f>Table1[[#This Row],[customer_purchase count]]*Rules!$B$3</f>
        <v>836.70102564102569</v>
      </c>
      <c r="Y3185" t="str">
        <f>IF(Table1[[#This Row],[customer_subscription]]=1,"Subscribed","Not Subscribed")</f>
        <v>Not Subscribed</v>
      </c>
      <c r="Z3185" t="s">
        <v>194</v>
      </c>
    </row>
    <row r="3186" spans="1:26" x14ac:dyDescent="0.25">
      <c r="A3186">
        <v>3185</v>
      </c>
      <c r="B3186">
        <v>61</v>
      </c>
      <c r="C3186" t="s">
        <v>156</v>
      </c>
      <c r="D3186">
        <v>3185</v>
      </c>
      <c r="E3186" t="s">
        <v>33</v>
      </c>
      <c r="F3186" t="s">
        <v>24</v>
      </c>
      <c r="G3186">
        <v>3185</v>
      </c>
      <c r="H3186">
        <v>4021</v>
      </c>
      <c r="I3186">
        <v>53</v>
      </c>
      <c r="J3186" t="s">
        <v>80</v>
      </c>
      <c r="K3186" t="s">
        <v>26</v>
      </c>
      <c r="L3186" t="s">
        <v>99</v>
      </c>
      <c r="M3186" t="s">
        <v>40</v>
      </c>
      <c r="N3186">
        <v>4.2</v>
      </c>
      <c r="O3186">
        <v>0</v>
      </c>
      <c r="P3186" t="s">
        <v>73</v>
      </c>
      <c r="Q3186" t="s">
        <v>155</v>
      </c>
      <c r="R3186" t="s">
        <v>155</v>
      </c>
      <c r="S3186">
        <v>30</v>
      </c>
      <c r="T3186" t="s">
        <v>31</v>
      </c>
      <c r="U3186" t="s">
        <v>61</v>
      </c>
      <c r="V3186" s="1">
        <v>45361</v>
      </c>
      <c r="W3186">
        <f>Table1[[#This Row],[customer_purchase count]]+1</f>
        <v>31</v>
      </c>
      <c r="X3186">
        <f>Table1[[#This Row],[customer_purchase count]]*Rules!$B$3</f>
        <v>1792.9307692307693</v>
      </c>
      <c r="Y3186" t="str">
        <f>IF(Table1[[#This Row],[customer_subscription]]=1,"Subscribed","Not Subscribed")</f>
        <v>Not Subscribed</v>
      </c>
    </row>
    <row r="3187" spans="1:26" x14ac:dyDescent="0.25">
      <c r="A3187">
        <v>3186</v>
      </c>
      <c r="B3187">
        <v>52</v>
      </c>
      <c r="C3187" t="s">
        <v>156</v>
      </c>
      <c r="D3187">
        <v>3186</v>
      </c>
      <c r="E3187" t="s">
        <v>90</v>
      </c>
      <c r="F3187" t="s">
        <v>24</v>
      </c>
      <c r="G3187">
        <v>3186</v>
      </c>
      <c r="H3187">
        <v>4022</v>
      </c>
      <c r="I3187">
        <v>71</v>
      </c>
      <c r="J3187" t="s">
        <v>126</v>
      </c>
      <c r="K3187" t="s">
        <v>26</v>
      </c>
      <c r="L3187" t="s">
        <v>83</v>
      </c>
      <c r="M3187" t="s">
        <v>60</v>
      </c>
      <c r="N3187">
        <v>4.7</v>
      </c>
      <c r="O3187">
        <v>0</v>
      </c>
      <c r="P3187" t="s">
        <v>29</v>
      </c>
      <c r="Q3187" t="s">
        <v>155</v>
      </c>
      <c r="R3187" t="s">
        <v>155</v>
      </c>
      <c r="S3187">
        <v>6</v>
      </c>
      <c r="T3187" t="s">
        <v>49</v>
      </c>
      <c r="U3187" t="s">
        <v>52</v>
      </c>
      <c r="V3187" s="1">
        <v>45575</v>
      </c>
      <c r="W3187">
        <f>Table1[[#This Row],[customer_purchase count]]+1</f>
        <v>7</v>
      </c>
      <c r="X3187">
        <f>Table1[[#This Row],[customer_purchase count]]*Rules!$B$3</f>
        <v>358.58615384615388</v>
      </c>
      <c r="Y3187" t="str">
        <f>IF(Table1[[#This Row],[customer_subscription]]=1,"Subscribed","Not Subscribed")</f>
        <v>Not Subscribed</v>
      </c>
      <c r="Z3187" t="s">
        <v>194</v>
      </c>
    </row>
    <row r="3188" spans="1:26" x14ac:dyDescent="0.25">
      <c r="A3188">
        <v>3187</v>
      </c>
      <c r="B3188">
        <v>38</v>
      </c>
      <c r="C3188" t="s">
        <v>156</v>
      </c>
      <c r="D3188">
        <v>3187</v>
      </c>
      <c r="E3188" t="s">
        <v>109</v>
      </c>
      <c r="F3188" t="s">
        <v>70</v>
      </c>
      <c r="G3188">
        <v>3187</v>
      </c>
      <c r="H3188">
        <v>4023</v>
      </c>
      <c r="I3188">
        <v>93</v>
      </c>
      <c r="J3188" t="s">
        <v>144</v>
      </c>
      <c r="K3188" t="s">
        <v>39</v>
      </c>
      <c r="L3188" t="s">
        <v>112</v>
      </c>
      <c r="M3188" t="s">
        <v>28</v>
      </c>
      <c r="N3188">
        <v>4.8</v>
      </c>
      <c r="O3188">
        <v>0</v>
      </c>
      <c r="P3188" t="s">
        <v>77</v>
      </c>
      <c r="Q3188" t="s">
        <v>155</v>
      </c>
      <c r="R3188" t="s">
        <v>155</v>
      </c>
      <c r="S3188">
        <v>43</v>
      </c>
      <c r="T3188" t="s">
        <v>31</v>
      </c>
      <c r="U3188" t="s">
        <v>52</v>
      </c>
      <c r="V3188" s="1">
        <v>45649</v>
      </c>
      <c r="W3188">
        <f>Table1[[#This Row],[customer_purchase count]]+1</f>
        <v>44</v>
      </c>
      <c r="X3188">
        <f>Table1[[#This Row],[customer_purchase count]]*Rules!$B$3</f>
        <v>2569.8674358974358</v>
      </c>
      <c r="Y3188" t="str">
        <f>IF(Table1[[#This Row],[customer_subscription]]=1,"Subscribed","Not Subscribed")</f>
        <v>Not Subscribed</v>
      </c>
    </row>
    <row r="3189" spans="1:26" x14ac:dyDescent="0.25">
      <c r="A3189">
        <v>3188</v>
      </c>
      <c r="B3189">
        <v>67</v>
      </c>
      <c r="C3189" t="s">
        <v>156</v>
      </c>
      <c r="D3189">
        <v>3188</v>
      </c>
      <c r="E3189" t="s">
        <v>23</v>
      </c>
      <c r="F3189" t="s">
        <v>24</v>
      </c>
      <c r="G3189">
        <v>3188</v>
      </c>
      <c r="H3189">
        <v>4024</v>
      </c>
      <c r="I3189">
        <v>72</v>
      </c>
      <c r="J3189" t="s">
        <v>108</v>
      </c>
      <c r="K3189" t="s">
        <v>26</v>
      </c>
      <c r="L3189" t="s">
        <v>129</v>
      </c>
      <c r="M3189" t="s">
        <v>28</v>
      </c>
      <c r="N3189">
        <v>3.2</v>
      </c>
      <c r="O3189">
        <v>0</v>
      </c>
      <c r="P3189" t="s">
        <v>41</v>
      </c>
      <c r="Q3189" t="s">
        <v>155</v>
      </c>
      <c r="R3189" t="s">
        <v>155</v>
      </c>
      <c r="S3189">
        <v>28</v>
      </c>
      <c r="T3189" t="s">
        <v>89</v>
      </c>
      <c r="U3189" t="s">
        <v>43</v>
      </c>
      <c r="V3189" s="1">
        <v>45309</v>
      </c>
      <c r="W3189">
        <f>Table1[[#This Row],[customer_purchase count]]+1</f>
        <v>29</v>
      </c>
      <c r="X3189">
        <f>Table1[[#This Row],[customer_purchase count]]*Rules!$B$3</f>
        <v>1673.4020512820514</v>
      </c>
      <c r="Y3189" t="str">
        <f>IF(Table1[[#This Row],[customer_subscription]]=1,"Subscribed","Not Subscribed")</f>
        <v>Not Subscribed</v>
      </c>
    </row>
    <row r="3190" spans="1:26" x14ac:dyDescent="0.25">
      <c r="A3190">
        <v>3189</v>
      </c>
      <c r="B3190">
        <v>42</v>
      </c>
      <c r="C3190" t="s">
        <v>156</v>
      </c>
      <c r="D3190">
        <v>3189</v>
      </c>
      <c r="E3190" t="s">
        <v>23</v>
      </c>
      <c r="F3190" t="s">
        <v>24</v>
      </c>
      <c r="G3190">
        <v>3189</v>
      </c>
      <c r="H3190">
        <v>4025</v>
      </c>
      <c r="I3190">
        <v>59</v>
      </c>
      <c r="J3190" t="s">
        <v>132</v>
      </c>
      <c r="K3190" t="s">
        <v>47</v>
      </c>
      <c r="L3190" t="s">
        <v>96</v>
      </c>
      <c r="M3190" t="s">
        <v>28</v>
      </c>
      <c r="N3190">
        <v>3.5</v>
      </c>
      <c r="O3190">
        <v>0</v>
      </c>
      <c r="P3190" t="s">
        <v>57</v>
      </c>
      <c r="Q3190" t="s">
        <v>155</v>
      </c>
      <c r="R3190" t="s">
        <v>155</v>
      </c>
      <c r="S3190">
        <v>39</v>
      </c>
      <c r="T3190" t="s">
        <v>78</v>
      </c>
      <c r="U3190" t="s">
        <v>91</v>
      </c>
      <c r="V3190" s="1">
        <v>45642</v>
      </c>
      <c r="W3190">
        <f>Table1[[#This Row],[customer_purchase count]]+1</f>
        <v>40</v>
      </c>
      <c r="X3190">
        <f>Table1[[#This Row],[customer_purchase count]]*Rules!$B$3</f>
        <v>2330.81</v>
      </c>
      <c r="Y3190" t="str">
        <f>IF(Table1[[#This Row],[customer_subscription]]=1,"Subscribed","Not Subscribed")</f>
        <v>Not Subscribed</v>
      </c>
    </row>
    <row r="3191" spans="1:26" x14ac:dyDescent="0.25">
      <c r="A3191">
        <v>3190</v>
      </c>
      <c r="B3191">
        <v>25</v>
      </c>
      <c r="C3191" t="s">
        <v>156</v>
      </c>
      <c r="D3191">
        <v>3190</v>
      </c>
      <c r="E3191" t="s">
        <v>140</v>
      </c>
      <c r="F3191" t="s">
        <v>45</v>
      </c>
      <c r="G3191">
        <v>3190</v>
      </c>
      <c r="H3191">
        <v>4027</v>
      </c>
      <c r="I3191">
        <v>87</v>
      </c>
      <c r="J3191" t="s">
        <v>114</v>
      </c>
      <c r="K3191" t="s">
        <v>47</v>
      </c>
      <c r="L3191" t="s">
        <v>121</v>
      </c>
      <c r="M3191" t="s">
        <v>56</v>
      </c>
      <c r="N3191">
        <v>4.2</v>
      </c>
      <c r="O3191">
        <v>0</v>
      </c>
      <c r="P3191" t="s">
        <v>77</v>
      </c>
      <c r="Q3191" t="s">
        <v>155</v>
      </c>
      <c r="R3191" t="s">
        <v>155</v>
      </c>
      <c r="S3191">
        <v>30</v>
      </c>
      <c r="T3191" t="s">
        <v>49</v>
      </c>
      <c r="U3191" t="s">
        <v>79</v>
      </c>
      <c r="V3191" s="1">
        <v>45451</v>
      </c>
      <c r="W3191">
        <f>Table1[[#This Row],[customer_purchase count]]+1</f>
        <v>31</v>
      </c>
      <c r="X3191">
        <f>Table1[[#This Row],[customer_purchase count]]*Rules!$B$3</f>
        <v>1792.9307692307693</v>
      </c>
      <c r="Y3191" t="str">
        <f>IF(Table1[[#This Row],[customer_subscription]]=1,"Subscribed","Not Subscribed")</f>
        <v>Not Subscribed</v>
      </c>
    </row>
    <row r="3192" spans="1:26" x14ac:dyDescent="0.25">
      <c r="A3192">
        <v>3191</v>
      </c>
      <c r="B3192">
        <v>41</v>
      </c>
      <c r="C3192" t="s">
        <v>156</v>
      </c>
      <c r="D3192">
        <v>3191</v>
      </c>
      <c r="E3192" t="s">
        <v>37</v>
      </c>
      <c r="F3192" t="s">
        <v>24</v>
      </c>
      <c r="G3192">
        <v>3191</v>
      </c>
      <c r="H3192">
        <v>4028</v>
      </c>
      <c r="I3192">
        <v>78</v>
      </c>
      <c r="J3192" t="s">
        <v>102</v>
      </c>
      <c r="K3192" t="s">
        <v>39</v>
      </c>
      <c r="L3192" t="s">
        <v>76</v>
      </c>
      <c r="M3192" t="s">
        <v>60</v>
      </c>
      <c r="N3192">
        <v>3.4</v>
      </c>
      <c r="O3192">
        <v>0</v>
      </c>
      <c r="P3192" t="s">
        <v>41</v>
      </c>
      <c r="Q3192" t="s">
        <v>155</v>
      </c>
      <c r="R3192" t="s">
        <v>155</v>
      </c>
      <c r="S3192">
        <v>5</v>
      </c>
      <c r="T3192" t="s">
        <v>42</v>
      </c>
      <c r="U3192" t="s">
        <v>32</v>
      </c>
      <c r="V3192" s="1">
        <v>45576</v>
      </c>
      <c r="W3192">
        <f>Table1[[#This Row],[customer_purchase count]]+1</f>
        <v>6</v>
      </c>
      <c r="X3192">
        <f>Table1[[#This Row],[customer_purchase count]]*Rules!$B$3</f>
        <v>298.82179487179491</v>
      </c>
      <c r="Y3192" t="str">
        <f>IF(Table1[[#This Row],[customer_subscription]]=1,"Subscribed","Not Subscribed")</f>
        <v>Not Subscribed</v>
      </c>
      <c r="Z3192" t="s">
        <v>194</v>
      </c>
    </row>
    <row r="3193" spans="1:26" x14ac:dyDescent="0.25">
      <c r="A3193">
        <v>3192</v>
      </c>
      <c r="B3193">
        <v>62</v>
      </c>
      <c r="C3193" t="s">
        <v>156</v>
      </c>
      <c r="D3193">
        <v>3192</v>
      </c>
      <c r="E3193" t="s">
        <v>107</v>
      </c>
      <c r="F3193" t="s">
        <v>24</v>
      </c>
      <c r="G3193">
        <v>3192</v>
      </c>
      <c r="H3193">
        <v>4029</v>
      </c>
      <c r="I3193">
        <v>68</v>
      </c>
      <c r="J3193" t="s">
        <v>94</v>
      </c>
      <c r="K3193" t="s">
        <v>95</v>
      </c>
      <c r="L3193" t="s">
        <v>35</v>
      </c>
      <c r="M3193" t="s">
        <v>28</v>
      </c>
      <c r="N3193">
        <v>4.7</v>
      </c>
      <c r="O3193">
        <v>0</v>
      </c>
      <c r="P3193" t="s">
        <v>77</v>
      </c>
      <c r="Q3193" t="s">
        <v>155</v>
      </c>
      <c r="R3193" t="s">
        <v>155</v>
      </c>
      <c r="S3193">
        <v>42</v>
      </c>
      <c r="T3193" t="s">
        <v>42</v>
      </c>
      <c r="U3193" t="s">
        <v>100</v>
      </c>
      <c r="V3193" s="1">
        <v>45627</v>
      </c>
      <c r="W3193">
        <f>Table1[[#This Row],[customer_purchase count]]+1</f>
        <v>43</v>
      </c>
      <c r="X3193">
        <f>Table1[[#This Row],[customer_purchase count]]*Rules!$B$3</f>
        <v>2510.103076923077</v>
      </c>
      <c r="Y3193" t="str">
        <f>IF(Table1[[#This Row],[customer_subscription]]=1,"Subscribed","Not Subscribed")</f>
        <v>Not Subscribed</v>
      </c>
    </row>
    <row r="3194" spans="1:26" x14ac:dyDescent="0.25">
      <c r="A3194">
        <v>3193</v>
      </c>
      <c r="B3194">
        <v>19</v>
      </c>
      <c r="C3194" t="s">
        <v>156</v>
      </c>
      <c r="D3194">
        <v>3193</v>
      </c>
      <c r="E3194" t="s">
        <v>33</v>
      </c>
      <c r="F3194" t="s">
        <v>24</v>
      </c>
      <c r="G3194">
        <v>3193</v>
      </c>
      <c r="H3194">
        <v>4030</v>
      </c>
      <c r="I3194">
        <v>76</v>
      </c>
      <c r="J3194" t="s">
        <v>149</v>
      </c>
      <c r="K3194" t="s">
        <v>39</v>
      </c>
      <c r="L3194" t="s">
        <v>35</v>
      </c>
      <c r="M3194" t="s">
        <v>60</v>
      </c>
      <c r="N3194">
        <v>3</v>
      </c>
      <c r="O3194">
        <v>0</v>
      </c>
      <c r="P3194" t="s">
        <v>41</v>
      </c>
      <c r="Q3194" t="s">
        <v>155</v>
      </c>
      <c r="R3194" t="s">
        <v>155</v>
      </c>
      <c r="S3194">
        <v>20</v>
      </c>
      <c r="T3194" t="s">
        <v>36</v>
      </c>
      <c r="U3194" t="s">
        <v>32</v>
      </c>
      <c r="V3194" s="1">
        <v>45546</v>
      </c>
      <c r="W3194">
        <f>Table1[[#This Row],[customer_purchase count]]+1</f>
        <v>21</v>
      </c>
      <c r="X3194">
        <f>Table1[[#This Row],[customer_purchase count]]*Rules!$B$3</f>
        <v>1195.2871794871796</v>
      </c>
      <c r="Y3194" t="str">
        <f>IF(Table1[[#This Row],[customer_subscription]]=1,"Subscribed","Not Subscribed")</f>
        <v>Not Subscribed</v>
      </c>
    </row>
    <row r="3195" spans="1:26" x14ac:dyDescent="0.25">
      <c r="A3195">
        <v>3194</v>
      </c>
      <c r="B3195">
        <v>63</v>
      </c>
      <c r="C3195" t="s">
        <v>156</v>
      </c>
      <c r="D3195">
        <v>3194</v>
      </c>
      <c r="E3195" t="s">
        <v>146</v>
      </c>
      <c r="F3195" t="s">
        <v>70</v>
      </c>
      <c r="G3195">
        <v>3194</v>
      </c>
      <c r="H3195">
        <v>4031</v>
      </c>
      <c r="I3195">
        <v>99</v>
      </c>
      <c r="J3195" t="s">
        <v>144</v>
      </c>
      <c r="K3195" t="s">
        <v>26</v>
      </c>
      <c r="L3195" t="s">
        <v>88</v>
      </c>
      <c r="M3195" t="s">
        <v>28</v>
      </c>
      <c r="N3195">
        <v>4</v>
      </c>
      <c r="O3195">
        <v>0</v>
      </c>
      <c r="P3195" t="s">
        <v>29</v>
      </c>
      <c r="Q3195" t="s">
        <v>155</v>
      </c>
      <c r="R3195" t="s">
        <v>155</v>
      </c>
      <c r="S3195">
        <v>35</v>
      </c>
      <c r="T3195" t="s">
        <v>42</v>
      </c>
      <c r="U3195" t="s">
        <v>32</v>
      </c>
      <c r="V3195" s="1">
        <v>45631</v>
      </c>
      <c r="W3195">
        <f>Table1[[#This Row],[customer_purchase count]]+1</f>
        <v>36</v>
      </c>
      <c r="X3195">
        <f>Table1[[#This Row],[customer_purchase count]]*Rules!$B$3</f>
        <v>2091.7525641025641</v>
      </c>
      <c r="Y3195" t="str">
        <f>IF(Table1[[#This Row],[customer_subscription]]=1,"Subscribed","Not Subscribed")</f>
        <v>Not Subscribed</v>
      </c>
    </row>
    <row r="3196" spans="1:26" x14ac:dyDescent="0.25">
      <c r="A3196">
        <v>3195</v>
      </c>
      <c r="B3196">
        <v>43</v>
      </c>
      <c r="C3196" t="s">
        <v>156</v>
      </c>
      <c r="D3196">
        <v>3195</v>
      </c>
      <c r="E3196" t="s">
        <v>53</v>
      </c>
      <c r="F3196" t="s">
        <v>45</v>
      </c>
      <c r="G3196">
        <v>3195</v>
      </c>
      <c r="H3196">
        <v>4033</v>
      </c>
      <c r="I3196">
        <v>52</v>
      </c>
      <c r="J3196" t="s">
        <v>131</v>
      </c>
      <c r="K3196" t="s">
        <v>26</v>
      </c>
      <c r="L3196" t="s">
        <v>83</v>
      </c>
      <c r="M3196" t="s">
        <v>56</v>
      </c>
      <c r="N3196">
        <v>4.5999999999999996</v>
      </c>
      <c r="O3196">
        <v>0</v>
      </c>
      <c r="P3196" t="s">
        <v>57</v>
      </c>
      <c r="Q3196" t="s">
        <v>155</v>
      </c>
      <c r="R3196" t="s">
        <v>155</v>
      </c>
      <c r="S3196">
        <v>10</v>
      </c>
      <c r="T3196" t="s">
        <v>42</v>
      </c>
      <c r="U3196" t="s">
        <v>79</v>
      </c>
      <c r="V3196" s="1">
        <v>45515</v>
      </c>
      <c r="W3196">
        <f>Table1[[#This Row],[customer_purchase count]]+1</f>
        <v>11</v>
      </c>
      <c r="X3196">
        <f>Table1[[#This Row],[customer_purchase count]]*Rules!$B$3</f>
        <v>597.64358974358981</v>
      </c>
      <c r="Y3196" t="str">
        <f>IF(Table1[[#This Row],[customer_subscription]]=1,"Subscribed","Not Subscribed")</f>
        <v>Not Subscribed</v>
      </c>
      <c r="Z3196" t="s">
        <v>194</v>
      </c>
    </row>
    <row r="3197" spans="1:26" x14ac:dyDescent="0.25">
      <c r="A3197">
        <v>3196</v>
      </c>
      <c r="B3197">
        <v>68</v>
      </c>
      <c r="C3197" t="s">
        <v>156</v>
      </c>
      <c r="D3197">
        <v>3196</v>
      </c>
      <c r="E3197" t="s">
        <v>92</v>
      </c>
      <c r="F3197" t="s">
        <v>70</v>
      </c>
      <c r="G3197">
        <v>3196</v>
      </c>
      <c r="H3197">
        <v>4034</v>
      </c>
      <c r="I3197">
        <v>58</v>
      </c>
      <c r="J3197" t="s">
        <v>71</v>
      </c>
      <c r="K3197" t="s">
        <v>39</v>
      </c>
      <c r="L3197" t="s">
        <v>111</v>
      </c>
      <c r="M3197" t="s">
        <v>40</v>
      </c>
      <c r="N3197">
        <v>4.9000000000000004</v>
      </c>
      <c r="O3197">
        <v>0</v>
      </c>
      <c r="P3197" t="s">
        <v>48</v>
      </c>
      <c r="Q3197" t="s">
        <v>155</v>
      </c>
      <c r="R3197" t="s">
        <v>155</v>
      </c>
      <c r="S3197">
        <v>36</v>
      </c>
      <c r="T3197" t="s">
        <v>42</v>
      </c>
      <c r="U3197" t="s">
        <v>61</v>
      </c>
      <c r="V3197" s="1">
        <v>45391</v>
      </c>
      <c r="W3197">
        <f>Table1[[#This Row],[customer_purchase count]]+1</f>
        <v>37</v>
      </c>
      <c r="X3197">
        <f>Table1[[#This Row],[customer_purchase count]]*Rules!$B$3</f>
        <v>2151.5169230769234</v>
      </c>
      <c r="Y3197" t="str">
        <f>IF(Table1[[#This Row],[customer_subscription]]=1,"Subscribed","Not Subscribed")</f>
        <v>Not Subscribed</v>
      </c>
    </row>
    <row r="3198" spans="1:26" x14ac:dyDescent="0.25">
      <c r="A3198">
        <v>3197</v>
      </c>
      <c r="B3198">
        <v>24</v>
      </c>
      <c r="C3198" t="s">
        <v>156</v>
      </c>
      <c r="D3198">
        <v>3197</v>
      </c>
      <c r="E3198" t="s">
        <v>136</v>
      </c>
      <c r="F3198" t="s">
        <v>70</v>
      </c>
      <c r="G3198">
        <v>3197</v>
      </c>
      <c r="H3198">
        <v>4035</v>
      </c>
      <c r="I3198">
        <v>59</v>
      </c>
      <c r="J3198" t="s">
        <v>153</v>
      </c>
      <c r="K3198" t="s">
        <v>26</v>
      </c>
      <c r="L3198" t="s">
        <v>35</v>
      </c>
      <c r="M3198" t="s">
        <v>28</v>
      </c>
      <c r="N3198">
        <v>2.8</v>
      </c>
      <c r="O3198">
        <v>0</v>
      </c>
      <c r="P3198" t="s">
        <v>29</v>
      </c>
      <c r="Q3198" t="s">
        <v>155</v>
      </c>
      <c r="R3198" t="s">
        <v>155</v>
      </c>
      <c r="S3198">
        <v>21</v>
      </c>
      <c r="T3198" t="s">
        <v>89</v>
      </c>
      <c r="U3198" t="s">
        <v>32</v>
      </c>
      <c r="V3198" s="1">
        <v>45348</v>
      </c>
      <c r="W3198">
        <f>Table1[[#This Row],[customer_purchase count]]+1</f>
        <v>22</v>
      </c>
      <c r="X3198">
        <f>Table1[[#This Row],[customer_purchase count]]*Rules!$B$3</f>
        <v>1255.0515384615385</v>
      </c>
      <c r="Y3198" t="str">
        <f>IF(Table1[[#This Row],[customer_subscription]]=1,"Subscribed","Not Subscribed")</f>
        <v>Not Subscribed</v>
      </c>
    </row>
    <row r="3199" spans="1:26" x14ac:dyDescent="0.25">
      <c r="A3199">
        <v>3198</v>
      </c>
      <c r="B3199">
        <v>27</v>
      </c>
      <c r="C3199" t="s">
        <v>156</v>
      </c>
      <c r="D3199">
        <v>3198</v>
      </c>
      <c r="E3199" t="s">
        <v>33</v>
      </c>
      <c r="F3199" t="s">
        <v>24</v>
      </c>
      <c r="G3199">
        <v>3198</v>
      </c>
      <c r="H3199">
        <v>4036</v>
      </c>
      <c r="I3199">
        <v>71</v>
      </c>
      <c r="J3199" t="s">
        <v>34</v>
      </c>
      <c r="K3199" t="s">
        <v>47</v>
      </c>
      <c r="L3199" t="s">
        <v>88</v>
      </c>
      <c r="M3199" t="s">
        <v>40</v>
      </c>
      <c r="N3199">
        <v>3.2</v>
      </c>
      <c r="O3199">
        <v>0</v>
      </c>
      <c r="P3199" t="s">
        <v>41</v>
      </c>
      <c r="Q3199" t="s">
        <v>155</v>
      </c>
      <c r="R3199" t="s">
        <v>155</v>
      </c>
      <c r="S3199">
        <v>29</v>
      </c>
      <c r="T3199" t="s">
        <v>42</v>
      </c>
      <c r="U3199" t="s">
        <v>100</v>
      </c>
      <c r="V3199" s="1">
        <v>45427</v>
      </c>
      <c r="W3199">
        <f>Table1[[#This Row],[customer_purchase count]]+1</f>
        <v>30</v>
      </c>
      <c r="X3199">
        <f>Table1[[#This Row],[customer_purchase count]]*Rules!$B$3</f>
        <v>1733.1664102564102</v>
      </c>
      <c r="Y3199" t="str">
        <f>IF(Table1[[#This Row],[customer_subscription]]=1,"Subscribed","Not Subscribed")</f>
        <v>Not Subscribed</v>
      </c>
    </row>
    <row r="3200" spans="1:26" x14ac:dyDescent="0.25">
      <c r="A3200">
        <v>3199</v>
      </c>
      <c r="B3200">
        <v>61</v>
      </c>
      <c r="C3200" t="s">
        <v>156</v>
      </c>
      <c r="D3200">
        <v>3199</v>
      </c>
      <c r="E3200" t="s">
        <v>146</v>
      </c>
      <c r="F3200" t="s">
        <v>70</v>
      </c>
      <c r="G3200">
        <v>3199</v>
      </c>
      <c r="H3200">
        <v>4037</v>
      </c>
      <c r="I3200">
        <v>94</v>
      </c>
      <c r="J3200" t="s">
        <v>141</v>
      </c>
      <c r="K3200" t="s">
        <v>26</v>
      </c>
      <c r="L3200" t="s">
        <v>103</v>
      </c>
      <c r="M3200" t="s">
        <v>28</v>
      </c>
      <c r="N3200">
        <v>2.8</v>
      </c>
      <c r="O3200">
        <v>0</v>
      </c>
      <c r="P3200" t="s">
        <v>41</v>
      </c>
      <c r="Q3200" t="s">
        <v>155</v>
      </c>
      <c r="R3200" t="s">
        <v>155</v>
      </c>
      <c r="S3200">
        <v>39</v>
      </c>
      <c r="T3200" t="s">
        <v>89</v>
      </c>
      <c r="U3200" t="s">
        <v>43</v>
      </c>
      <c r="V3200" s="1">
        <v>45310</v>
      </c>
      <c r="W3200">
        <f>Table1[[#This Row],[customer_purchase count]]+1</f>
        <v>40</v>
      </c>
      <c r="X3200">
        <f>Table1[[#This Row],[customer_purchase count]]*Rules!$B$3</f>
        <v>2330.81</v>
      </c>
      <c r="Y3200" t="str">
        <f>IF(Table1[[#This Row],[customer_subscription]]=1,"Subscribed","Not Subscribed")</f>
        <v>Not Subscribed</v>
      </c>
    </row>
    <row r="3201" spans="1:26" x14ac:dyDescent="0.25">
      <c r="A3201">
        <v>3200</v>
      </c>
      <c r="B3201">
        <v>59</v>
      </c>
      <c r="C3201" t="s">
        <v>156</v>
      </c>
      <c r="D3201">
        <v>3200</v>
      </c>
      <c r="E3201" t="s">
        <v>69</v>
      </c>
      <c r="F3201" t="s">
        <v>70</v>
      </c>
      <c r="G3201">
        <v>3200</v>
      </c>
      <c r="H3201">
        <v>4039</v>
      </c>
      <c r="I3201">
        <v>40</v>
      </c>
      <c r="J3201" t="s">
        <v>34</v>
      </c>
      <c r="K3201" t="s">
        <v>95</v>
      </c>
      <c r="L3201" t="s">
        <v>72</v>
      </c>
      <c r="M3201" t="s">
        <v>28</v>
      </c>
      <c r="N3201">
        <v>4.2</v>
      </c>
      <c r="O3201">
        <v>0</v>
      </c>
      <c r="P3201" t="s">
        <v>29</v>
      </c>
      <c r="Q3201" t="s">
        <v>155</v>
      </c>
      <c r="R3201" t="s">
        <v>155</v>
      </c>
      <c r="S3201">
        <v>16</v>
      </c>
      <c r="T3201" t="s">
        <v>49</v>
      </c>
      <c r="U3201" t="s">
        <v>91</v>
      </c>
      <c r="V3201" s="1">
        <v>45302</v>
      </c>
      <c r="W3201">
        <f>Table1[[#This Row],[customer_purchase count]]+1</f>
        <v>17</v>
      </c>
      <c r="X3201">
        <f>Table1[[#This Row],[customer_purchase count]]*Rules!$B$3</f>
        <v>956.22974358974363</v>
      </c>
      <c r="Y3201" t="str">
        <f>IF(Table1[[#This Row],[customer_subscription]]=1,"Subscribed","Not Subscribed")</f>
        <v>Not Subscribed</v>
      </c>
      <c r="Z3201" t="s">
        <v>194</v>
      </c>
    </row>
    <row r="3202" spans="1:26" x14ac:dyDescent="0.25">
      <c r="A3202">
        <v>3201</v>
      </c>
      <c r="B3202">
        <v>67</v>
      </c>
      <c r="C3202" t="s">
        <v>156</v>
      </c>
      <c r="D3202">
        <v>3201</v>
      </c>
      <c r="E3202" t="s">
        <v>128</v>
      </c>
      <c r="F3202" t="s">
        <v>24</v>
      </c>
      <c r="G3202">
        <v>3201</v>
      </c>
      <c r="H3202">
        <v>4040</v>
      </c>
      <c r="I3202">
        <v>24</v>
      </c>
      <c r="J3202" t="s">
        <v>71</v>
      </c>
      <c r="K3202" t="s">
        <v>26</v>
      </c>
      <c r="L3202" t="s">
        <v>97</v>
      </c>
      <c r="M3202" t="s">
        <v>40</v>
      </c>
      <c r="N3202">
        <v>4.8</v>
      </c>
      <c r="O3202">
        <v>0</v>
      </c>
      <c r="P3202" t="s">
        <v>41</v>
      </c>
      <c r="Q3202" t="s">
        <v>155</v>
      </c>
      <c r="R3202" t="s">
        <v>155</v>
      </c>
      <c r="S3202">
        <v>32</v>
      </c>
      <c r="T3202" t="s">
        <v>42</v>
      </c>
      <c r="U3202" t="s">
        <v>91</v>
      </c>
      <c r="V3202" s="1">
        <v>45415</v>
      </c>
      <c r="W3202">
        <f>Table1[[#This Row],[customer_purchase count]]+1</f>
        <v>33</v>
      </c>
      <c r="X3202">
        <f>Table1[[#This Row],[customer_purchase count]]*Rules!$B$3</f>
        <v>1912.4594871794873</v>
      </c>
      <c r="Y3202" t="str">
        <f>IF(Table1[[#This Row],[customer_subscription]]=1,"Subscribed","Not Subscribed")</f>
        <v>Not Subscribed</v>
      </c>
    </row>
    <row r="3203" spans="1:26" x14ac:dyDescent="0.25">
      <c r="A3203">
        <v>3202</v>
      </c>
      <c r="B3203">
        <v>46</v>
      </c>
      <c r="C3203" t="s">
        <v>156</v>
      </c>
      <c r="D3203">
        <v>3202</v>
      </c>
      <c r="E3203" t="s">
        <v>98</v>
      </c>
      <c r="F3203" t="s">
        <v>24</v>
      </c>
      <c r="G3203">
        <v>3202</v>
      </c>
      <c r="H3203">
        <v>4041</v>
      </c>
      <c r="I3203">
        <v>38</v>
      </c>
      <c r="J3203" t="s">
        <v>132</v>
      </c>
      <c r="K3203" t="s">
        <v>39</v>
      </c>
      <c r="L3203" t="s">
        <v>129</v>
      </c>
      <c r="M3203" t="s">
        <v>60</v>
      </c>
      <c r="N3203">
        <v>2.8</v>
      </c>
      <c r="O3203">
        <v>0</v>
      </c>
      <c r="P3203" t="s">
        <v>73</v>
      </c>
      <c r="Q3203" t="s">
        <v>155</v>
      </c>
      <c r="R3203" t="s">
        <v>155</v>
      </c>
      <c r="S3203">
        <v>34</v>
      </c>
      <c r="T3203" t="s">
        <v>36</v>
      </c>
      <c r="U3203" t="s">
        <v>91</v>
      </c>
      <c r="V3203" s="1">
        <v>45593</v>
      </c>
      <c r="W3203">
        <f>Table1[[#This Row],[customer_purchase count]]+1</f>
        <v>35</v>
      </c>
      <c r="X3203">
        <f>Table1[[#This Row],[customer_purchase count]]*Rules!$B$3</f>
        <v>2031.9882051282052</v>
      </c>
      <c r="Y3203" t="str">
        <f>IF(Table1[[#This Row],[customer_subscription]]=1,"Subscribed","Not Subscribed")</f>
        <v>Not Subscribed</v>
      </c>
    </row>
    <row r="3204" spans="1:26" x14ac:dyDescent="0.25">
      <c r="A3204">
        <v>3203</v>
      </c>
      <c r="B3204">
        <v>65</v>
      </c>
      <c r="C3204" t="s">
        <v>156</v>
      </c>
      <c r="D3204">
        <v>3203</v>
      </c>
      <c r="E3204" t="s">
        <v>122</v>
      </c>
      <c r="F3204" t="s">
        <v>70</v>
      </c>
      <c r="G3204">
        <v>3203</v>
      </c>
      <c r="H3204">
        <v>4042</v>
      </c>
      <c r="I3204">
        <v>37</v>
      </c>
      <c r="J3204" t="s">
        <v>153</v>
      </c>
      <c r="K3204" t="s">
        <v>26</v>
      </c>
      <c r="L3204" t="s">
        <v>99</v>
      </c>
      <c r="M3204" t="s">
        <v>60</v>
      </c>
      <c r="N3204">
        <v>4.5</v>
      </c>
      <c r="O3204">
        <v>0</v>
      </c>
      <c r="P3204" t="s">
        <v>57</v>
      </c>
      <c r="Q3204" t="s">
        <v>155</v>
      </c>
      <c r="R3204" t="s">
        <v>155</v>
      </c>
      <c r="S3204">
        <v>38</v>
      </c>
      <c r="T3204" t="s">
        <v>31</v>
      </c>
      <c r="U3204" t="s">
        <v>52</v>
      </c>
      <c r="V3204" s="1">
        <v>45583</v>
      </c>
      <c r="W3204">
        <f>Table1[[#This Row],[customer_purchase count]]+1</f>
        <v>39</v>
      </c>
      <c r="X3204">
        <f>Table1[[#This Row],[customer_purchase count]]*Rules!$B$3</f>
        <v>2271.0456410256411</v>
      </c>
      <c r="Y3204" t="str">
        <f>IF(Table1[[#This Row],[customer_subscription]]=1,"Subscribed","Not Subscribed")</f>
        <v>Not Subscribed</v>
      </c>
    </row>
    <row r="3205" spans="1:26" x14ac:dyDescent="0.25">
      <c r="A3205">
        <v>3204</v>
      </c>
      <c r="B3205">
        <v>63</v>
      </c>
      <c r="C3205" t="s">
        <v>156</v>
      </c>
      <c r="D3205">
        <v>3204</v>
      </c>
      <c r="E3205" t="s">
        <v>65</v>
      </c>
      <c r="F3205" t="s">
        <v>66</v>
      </c>
      <c r="G3205">
        <v>3204</v>
      </c>
      <c r="H3205">
        <v>4043</v>
      </c>
      <c r="I3205">
        <v>29</v>
      </c>
      <c r="J3205" t="s">
        <v>130</v>
      </c>
      <c r="K3205" t="s">
        <v>26</v>
      </c>
      <c r="L3205" t="s">
        <v>88</v>
      </c>
      <c r="M3205" t="s">
        <v>40</v>
      </c>
      <c r="N3205">
        <v>4.0999999999999996</v>
      </c>
      <c r="O3205">
        <v>0</v>
      </c>
      <c r="P3205" t="s">
        <v>29</v>
      </c>
      <c r="Q3205" t="s">
        <v>155</v>
      </c>
      <c r="R3205" t="s">
        <v>155</v>
      </c>
      <c r="S3205">
        <v>14</v>
      </c>
      <c r="T3205" t="s">
        <v>31</v>
      </c>
      <c r="U3205" t="s">
        <v>52</v>
      </c>
      <c r="V3205" s="1">
        <v>45438</v>
      </c>
      <c r="W3205">
        <f>Table1[[#This Row],[customer_purchase count]]+1</f>
        <v>15</v>
      </c>
      <c r="X3205">
        <f>Table1[[#This Row],[customer_purchase count]]*Rules!$B$3</f>
        <v>836.70102564102569</v>
      </c>
      <c r="Y3205" t="str">
        <f>IF(Table1[[#This Row],[customer_subscription]]=1,"Subscribed","Not Subscribed")</f>
        <v>Not Subscribed</v>
      </c>
      <c r="Z3205" t="s">
        <v>194</v>
      </c>
    </row>
    <row r="3206" spans="1:26" x14ac:dyDescent="0.25">
      <c r="A3206">
        <v>3205</v>
      </c>
      <c r="B3206">
        <v>57</v>
      </c>
      <c r="C3206" t="s">
        <v>156</v>
      </c>
      <c r="D3206">
        <v>3205</v>
      </c>
      <c r="E3206" t="s">
        <v>105</v>
      </c>
      <c r="F3206" t="s">
        <v>66</v>
      </c>
      <c r="G3206">
        <v>3205</v>
      </c>
      <c r="H3206">
        <v>4045</v>
      </c>
      <c r="I3206">
        <v>92</v>
      </c>
      <c r="J3206" t="s">
        <v>133</v>
      </c>
      <c r="K3206" t="s">
        <v>95</v>
      </c>
      <c r="L3206" t="s">
        <v>96</v>
      </c>
      <c r="M3206" t="s">
        <v>60</v>
      </c>
      <c r="N3206">
        <v>4.3</v>
      </c>
      <c r="O3206">
        <v>0</v>
      </c>
      <c r="P3206" t="s">
        <v>41</v>
      </c>
      <c r="Q3206" t="s">
        <v>155</v>
      </c>
      <c r="R3206" t="s">
        <v>155</v>
      </c>
      <c r="S3206">
        <v>23</v>
      </c>
      <c r="T3206" t="s">
        <v>89</v>
      </c>
      <c r="U3206" t="s">
        <v>79</v>
      </c>
      <c r="V3206" s="1">
        <v>45541</v>
      </c>
      <c r="W3206">
        <f>Table1[[#This Row],[customer_purchase count]]+1</f>
        <v>24</v>
      </c>
      <c r="X3206">
        <f>Table1[[#This Row],[customer_purchase count]]*Rules!$B$3</f>
        <v>1374.5802564102564</v>
      </c>
      <c r="Y3206" t="str">
        <f>IF(Table1[[#This Row],[customer_subscription]]=1,"Subscribed","Not Subscribed")</f>
        <v>Not Subscribed</v>
      </c>
    </row>
    <row r="3207" spans="1:26" x14ac:dyDescent="0.25">
      <c r="A3207">
        <v>3206</v>
      </c>
      <c r="B3207">
        <v>40</v>
      </c>
      <c r="C3207" t="s">
        <v>156</v>
      </c>
      <c r="D3207">
        <v>3206</v>
      </c>
      <c r="E3207" t="s">
        <v>107</v>
      </c>
      <c r="F3207" t="s">
        <v>24</v>
      </c>
      <c r="G3207">
        <v>3206</v>
      </c>
      <c r="H3207">
        <v>4046</v>
      </c>
      <c r="I3207">
        <v>24</v>
      </c>
      <c r="J3207" t="s">
        <v>115</v>
      </c>
      <c r="K3207" t="s">
        <v>95</v>
      </c>
      <c r="L3207" t="s">
        <v>139</v>
      </c>
      <c r="M3207" t="s">
        <v>60</v>
      </c>
      <c r="N3207">
        <v>4.4000000000000004</v>
      </c>
      <c r="O3207">
        <v>0</v>
      </c>
      <c r="P3207" t="s">
        <v>73</v>
      </c>
      <c r="Q3207" t="s">
        <v>155</v>
      </c>
      <c r="R3207" t="s">
        <v>155</v>
      </c>
      <c r="S3207">
        <v>50</v>
      </c>
      <c r="T3207" t="s">
        <v>78</v>
      </c>
      <c r="U3207" t="s">
        <v>100</v>
      </c>
      <c r="V3207" s="1">
        <v>45547</v>
      </c>
      <c r="W3207">
        <f>Table1[[#This Row],[customer_purchase count]]+1</f>
        <v>51</v>
      </c>
      <c r="X3207">
        <f>Table1[[#This Row],[customer_purchase count]]*Rules!$B$3</f>
        <v>2988.2179487179487</v>
      </c>
      <c r="Y3207" t="str">
        <f>IF(Table1[[#This Row],[customer_subscription]]=1,"Subscribed","Not Subscribed")</f>
        <v>Not Subscribed</v>
      </c>
    </row>
    <row r="3208" spans="1:26" x14ac:dyDescent="0.25">
      <c r="A3208">
        <v>3207</v>
      </c>
      <c r="B3208">
        <v>36</v>
      </c>
      <c r="C3208" t="s">
        <v>156</v>
      </c>
      <c r="D3208">
        <v>3207</v>
      </c>
      <c r="E3208" t="s">
        <v>140</v>
      </c>
      <c r="F3208" t="s">
        <v>45</v>
      </c>
      <c r="G3208">
        <v>3207</v>
      </c>
      <c r="H3208">
        <v>4047</v>
      </c>
      <c r="I3208">
        <v>52</v>
      </c>
      <c r="J3208" t="s">
        <v>102</v>
      </c>
      <c r="K3208" t="s">
        <v>47</v>
      </c>
      <c r="L3208" t="s">
        <v>113</v>
      </c>
      <c r="M3208" t="s">
        <v>28</v>
      </c>
      <c r="N3208">
        <v>3</v>
      </c>
      <c r="O3208">
        <v>0</v>
      </c>
      <c r="P3208" t="s">
        <v>41</v>
      </c>
      <c r="Q3208" t="s">
        <v>155</v>
      </c>
      <c r="R3208" t="s">
        <v>155</v>
      </c>
      <c r="S3208">
        <v>49</v>
      </c>
      <c r="T3208" t="s">
        <v>49</v>
      </c>
      <c r="U3208" t="s">
        <v>91</v>
      </c>
      <c r="V3208" s="1">
        <v>45647</v>
      </c>
      <c r="W3208">
        <f>Table1[[#This Row],[customer_purchase count]]+1</f>
        <v>50</v>
      </c>
      <c r="X3208">
        <f>Table1[[#This Row],[customer_purchase count]]*Rules!$B$3</f>
        <v>2928.4535897435899</v>
      </c>
      <c r="Y3208" t="str">
        <f>IF(Table1[[#This Row],[customer_subscription]]=1,"Subscribed","Not Subscribed")</f>
        <v>Not Subscribed</v>
      </c>
    </row>
    <row r="3209" spans="1:26" x14ac:dyDescent="0.25">
      <c r="A3209">
        <v>3208</v>
      </c>
      <c r="B3209">
        <v>67</v>
      </c>
      <c r="C3209" t="s">
        <v>156</v>
      </c>
      <c r="D3209">
        <v>3208</v>
      </c>
      <c r="E3209" t="s">
        <v>128</v>
      </c>
      <c r="F3209" t="s">
        <v>24</v>
      </c>
      <c r="G3209">
        <v>3208</v>
      </c>
      <c r="H3209">
        <v>4048</v>
      </c>
      <c r="I3209">
        <v>29</v>
      </c>
      <c r="J3209" t="s">
        <v>120</v>
      </c>
      <c r="K3209" t="s">
        <v>95</v>
      </c>
      <c r="L3209" t="s">
        <v>121</v>
      </c>
      <c r="M3209" t="s">
        <v>56</v>
      </c>
      <c r="N3209">
        <v>2.7</v>
      </c>
      <c r="O3209">
        <v>0</v>
      </c>
      <c r="P3209" t="s">
        <v>48</v>
      </c>
      <c r="Q3209" t="s">
        <v>155</v>
      </c>
      <c r="R3209" t="s">
        <v>155</v>
      </c>
      <c r="S3209">
        <v>14</v>
      </c>
      <c r="T3209" t="s">
        <v>49</v>
      </c>
      <c r="U3209" t="s">
        <v>52</v>
      </c>
      <c r="V3209" s="1">
        <v>45500</v>
      </c>
      <c r="W3209">
        <f>Table1[[#This Row],[customer_purchase count]]+1</f>
        <v>15</v>
      </c>
      <c r="X3209">
        <f>Table1[[#This Row],[customer_purchase count]]*Rules!$B$3</f>
        <v>836.70102564102569</v>
      </c>
      <c r="Y3209" t="str">
        <f>IF(Table1[[#This Row],[customer_subscription]]=1,"Subscribed","Not Subscribed")</f>
        <v>Not Subscribed</v>
      </c>
      <c r="Z3209" t="s">
        <v>194</v>
      </c>
    </row>
    <row r="3210" spans="1:26" x14ac:dyDescent="0.25">
      <c r="A3210">
        <v>3209</v>
      </c>
      <c r="B3210">
        <v>61</v>
      </c>
      <c r="C3210" t="s">
        <v>156</v>
      </c>
      <c r="D3210">
        <v>3209</v>
      </c>
      <c r="E3210" t="s">
        <v>109</v>
      </c>
      <c r="F3210" t="s">
        <v>70</v>
      </c>
      <c r="G3210">
        <v>3209</v>
      </c>
      <c r="H3210">
        <v>4049</v>
      </c>
      <c r="I3210">
        <v>30</v>
      </c>
      <c r="J3210" t="s">
        <v>119</v>
      </c>
      <c r="K3210" t="s">
        <v>26</v>
      </c>
      <c r="L3210" t="s">
        <v>129</v>
      </c>
      <c r="M3210" t="s">
        <v>28</v>
      </c>
      <c r="N3210">
        <v>3.3</v>
      </c>
      <c r="O3210">
        <v>0</v>
      </c>
      <c r="P3210" t="s">
        <v>73</v>
      </c>
      <c r="Q3210" t="s">
        <v>155</v>
      </c>
      <c r="R3210" t="s">
        <v>155</v>
      </c>
      <c r="S3210">
        <v>42</v>
      </c>
      <c r="T3210" t="s">
        <v>49</v>
      </c>
      <c r="U3210" t="s">
        <v>43</v>
      </c>
      <c r="V3210" s="1">
        <v>45636</v>
      </c>
      <c r="W3210">
        <f>Table1[[#This Row],[customer_purchase count]]+1</f>
        <v>43</v>
      </c>
      <c r="X3210">
        <f>Table1[[#This Row],[customer_purchase count]]*Rules!$B$3</f>
        <v>2510.103076923077</v>
      </c>
      <c r="Y3210" t="str">
        <f>IF(Table1[[#This Row],[customer_subscription]]=1,"Subscribed","Not Subscribed")</f>
        <v>Not Subscribed</v>
      </c>
    </row>
    <row r="3211" spans="1:26" x14ac:dyDescent="0.25">
      <c r="A3211">
        <v>3210</v>
      </c>
      <c r="B3211">
        <v>64</v>
      </c>
      <c r="C3211" t="s">
        <v>156</v>
      </c>
      <c r="D3211">
        <v>3210</v>
      </c>
      <c r="E3211" t="s">
        <v>74</v>
      </c>
      <c r="F3211" t="s">
        <v>45</v>
      </c>
      <c r="G3211">
        <v>3210</v>
      </c>
      <c r="H3211">
        <v>4051</v>
      </c>
      <c r="I3211">
        <v>31</v>
      </c>
      <c r="J3211" t="s">
        <v>75</v>
      </c>
      <c r="K3211" t="s">
        <v>26</v>
      </c>
      <c r="L3211" t="s">
        <v>103</v>
      </c>
      <c r="M3211" t="s">
        <v>60</v>
      </c>
      <c r="N3211">
        <v>4.3</v>
      </c>
      <c r="O3211">
        <v>0</v>
      </c>
      <c r="P3211" t="s">
        <v>57</v>
      </c>
      <c r="Q3211" t="s">
        <v>155</v>
      </c>
      <c r="R3211" t="s">
        <v>155</v>
      </c>
      <c r="S3211">
        <v>39</v>
      </c>
      <c r="T3211" t="s">
        <v>89</v>
      </c>
      <c r="U3211" t="s">
        <v>52</v>
      </c>
      <c r="V3211" s="1">
        <v>45624</v>
      </c>
      <c r="W3211">
        <f>Table1[[#This Row],[customer_purchase count]]+1</f>
        <v>40</v>
      </c>
      <c r="X3211">
        <f>Table1[[#This Row],[customer_purchase count]]*Rules!$B$3</f>
        <v>2330.81</v>
      </c>
      <c r="Y3211" t="str">
        <f>IF(Table1[[#This Row],[customer_subscription]]=1,"Subscribed","Not Subscribed")</f>
        <v>Not Subscribed</v>
      </c>
    </row>
    <row r="3212" spans="1:26" x14ac:dyDescent="0.25">
      <c r="A3212">
        <v>3211</v>
      </c>
      <c r="B3212">
        <v>30</v>
      </c>
      <c r="C3212" t="s">
        <v>156</v>
      </c>
      <c r="D3212">
        <v>3211</v>
      </c>
      <c r="E3212" t="s">
        <v>128</v>
      </c>
      <c r="F3212" t="s">
        <v>24</v>
      </c>
      <c r="G3212">
        <v>3211</v>
      </c>
      <c r="H3212">
        <v>4052</v>
      </c>
      <c r="I3212">
        <v>67</v>
      </c>
      <c r="J3212" t="s">
        <v>110</v>
      </c>
      <c r="K3212" t="s">
        <v>47</v>
      </c>
      <c r="L3212" t="s">
        <v>139</v>
      </c>
      <c r="M3212" t="s">
        <v>56</v>
      </c>
      <c r="N3212">
        <v>2.9</v>
      </c>
      <c r="O3212">
        <v>0</v>
      </c>
      <c r="P3212" t="s">
        <v>29</v>
      </c>
      <c r="Q3212" t="s">
        <v>155</v>
      </c>
      <c r="R3212" t="s">
        <v>155</v>
      </c>
      <c r="S3212">
        <v>43</v>
      </c>
      <c r="T3212" t="s">
        <v>31</v>
      </c>
      <c r="U3212" t="s">
        <v>79</v>
      </c>
      <c r="V3212" s="1">
        <v>45525</v>
      </c>
      <c r="W3212">
        <f>Table1[[#This Row],[customer_purchase count]]+1</f>
        <v>44</v>
      </c>
      <c r="X3212">
        <f>Table1[[#This Row],[customer_purchase count]]*Rules!$B$3</f>
        <v>2569.8674358974358</v>
      </c>
      <c r="Y3212" t="str">
        <f>IF(Table1[[#This Row],[customer_subscription]]=1,"Subscribed","Not Subscribed")</f>
        <v>Not Subscribed</v>
      </c>
    </row>
    <row r="3213" spans="1:26" x14ac:dyDescent="0.25">
      <c r="A3213">
        <v>3212</v>
      </c>
      <c r="B3213">
        <v>53</v>
      </c>
      <c r="C3213" t="s">
        <v>156</v>
      </c>
      <c r="D3213">
        <v>3212</v>
      </c>
      <c r="E3213" t="s">
        <v>98</v>
      </c>
      <c r="F3213" t="s">
        <v>24</v>
      </c>
      <c r="G3213">
        <v>3212</v>
      </c>
      <c r="H3213">
        <v>4053</v>
      </c>
      <c r="I3213">
        <v>65</v>
      </c>
      <c r="J3213" t="s">
        <v>46</v>
      </c>
      <c r="K3213" t="s">
        <v>26</v>
      </c>
      <c r="L3213" t="s">
        <v>51</v>
      </c>
      <c r="M3213" t="s">
        <v>28</v>
      </c>
      <c r="N3213">
        <v>4.9000000000000004</v>
      </c>
      <c r="O3213">
        <v>0</v>
      </c>
      <c r="P3213" t="s">
        <v>57</v>
      </c>
      <c r="Q3213" t="s">
        <v>155</v>
      </c>
      <c r="R3213" t="s">
        <v>155</v>
      </c>
      <c r="S3213">
        <v>12</v>
      </c>
      <c r="T3213" t="s">
        <v>36</v>
      </c>
      <c r="U3213" t="s">
        <v>91</v>
      </c>
      <c r="V3213" s="1">
        <v>45345</v>
      </c>
      <c r="W3213">
        <f>Table1[[#This Row],[customer_purchase count]]+1</f>
        <v>13</v>
      </c>
      <c r="X3213">
        <f>Table1[[#This Row],[customer_purchase count]]*Rules!$B$3</f>
        <v>717.17230769230775</v>
      </c>
      <c r="Y3213" t="str">
        <f>IF(Table1[[#This Row],[customer_subscription]]=1,"Subscribed","Not Subscribed")</f>
        <v>Not Subscribed</v>
      </c>
      <c r="Z3213" t="s">
        <v>194</v>
      </c>
    </row>
    <row r="3214" spans="1:26" x14ac:dyDescent="0.25">
      <c r="A3214">
        <v>3213</v>
      </c>
      <c r="B3214">
        <v>27</v>
      </c>
      <c r="C3214" t="s">
        <v>156</v>
      </c>
      <c r="D3214">
        <v>3213</v>
      </c>
      <c r="E3214" t="s">
        <v>53</v>
      </c>
      <c r="F3214" t="s">
        <v>45</v>
      </c>
      <c r="G3214">
        <v>3213</v>
      </c>
      <c r="H3214">
        <v>4054</v>
      </c>
      <c r="I3214">
        <v>22</v>
      </c>
      <c r="J3214" t="s">
        <v>54</v>
      </c>
      <c r="K3214" t="s">
        <v>47</v>
      </c>
      <c r="L3214" t="s">
        <v>129</v>
      </c>
      <c r="M3214" t="s">
        <v>28</v>
      </c>
      <c r="N3214">
        <v>3.6</v>
      </c>
      <c r="O3214">
        <v>0</v>
      </c>
      <c r="P3214" t="s">
        <v>73</v>
      </c>
      <c r="Q3214" t="s">
        <v>155</v>
      </c>
      <c r="R3214" t="s">
        <v>155</v>
      </c>
      <c r="S3214">
        <v>21</v>
      </c>
      <c r="T3214" t="s">
        <v>89</v>
      </c>
      <c r="U3214" t="s">
        <v>43</v>
      </c>
      <c r="V3214" s="1">
        <v>45631</v>
      </c>
      <c r="W3214">
        <f>Table1[[#This Row],[customer_purchase count]]+1</f>
        <v>22</v>
      </c>
      <c r="X3214">
        <f>Table1[[#This Row],[customer_purchase count]]*Rules!$B$3</f>
        <v>1255.0515384615385</v>
      </c>
      <c r="Y3214" t="str">
        <f>IF(Table1[[#This Row],[customer_subscription]]=1,"Subscribed","Not Subscribed")</f>
        <v>Not Subscribed</v>
      </c>
    </row>
    <row r="3215" spans="1:26" x14ac:dyDescent="0.25">
      <c r="A3215">
        <v>3214</v>
      </c>
      <c r="B3215">
        <v>27</v>
      </c>
      <c r="C3215" t="s">
        <v>156</v>
      </c>
      <c r="D3215">
        <v>3214</v>
      </c>
      <c r="E3215" t="s">
        <v>92</v>
      </c>
      <c r="F3215" t="s">
        <v>70</v>
      </c>
      <c r="G3215">
        <v>3214</v>
      </c>
      <c r="H3215">
        <v>4055</v>
      </c>
      <c r="I3215">
        <v>56</v>
      </c>
      <c r="J3215" t="s">
        <v>108</v>
      </c>
      <c r="K3215" t="s">
        <v>47</v>
      </c>
      <c r="L3215" t="s">
        <v>113</v>
      </c>
      <c r="M3215" t="s">
        <v>28</v>
      </c>
      <c r="N3215">
        <v>3.3</v>
      </c>
      <c r="O3215">
        <v>0</v>
      </c>
      <c r="P3215" t="s">
        <v>57</v>
      </c>
      <c r="Q3215" t="s">
        <v>155</v>
      </c>
      <c r="R3215" t="s">
        <v>155</v>
      </c>
      <c r="S3215">
        <v>33</v>
      </c>
      <c r="T3215" t="s">
        <v>42</v>
      </c>
      <c r="U3215" t="s">
        <v>91</v>
      </c>
      <c r="V3215" s="1">
        <v>45312</v>
      </c>
      <c r="W3215">
        <f>Table1[[#This Row],[customer_purchase count]]+1</f>
        <v>34</v>
      </c>
      <c r="X3215">
        <f>Table1[[#This Row],[customer_purchase count]]*Rules!$B$3</f>
        <v>1972.2238461538464</v>
      </c>
      <c r="Y3215" t="str">
        <f>IF(Table1[[#This Row],[customer_subscription]]=1,"Subscribed","Not Subscribed")</f>
        <v>Not Subscribed</v>
      </c>
    </row>
    <row r="3216" spans="1:26" x14ac:dyDescent="0.25">
      <c r="A3216">
        <v>3215</v>
      </c>
      <c r="B3216">
        <v>53</v>
      </c>
      <c r="C3216" t="s">
        <v>156</v>
      </c>
      <c r="D3216">
        <v>3215</v>
      </c>
      <c r="E3216" t="s">
        <v>90</v>
      </c>
      <c r="F3216" t="s">
        <v>24</v>
      </c>
      <c r="G3216">
        <v>3215</v>
      </c>
      <c r="H3216">
        <v>4057</v>
      </c>
      <c r="I3216">
        <v>78</v>
      </c>
      <c r="J3216" t="s">
        <v>152</v>
      </c>
      <c r="K3216" t="s">
        <v>47</v>
      </c>
      <c r="L3216" t="s">
        <v>137</v>
      </c>
      <c r="M3216" t="s">
        <v>40</v>
      </c>
      <c r="N3216">
        <v>3.1</v>
      </c>
      <c r="O3216">
        <v>0</v>
      </c>
      <c r="P3216" t="s">
        <v>41</v>
      </c>
      <c r="Q3216" t="s">
        <v>155</v>
      </c>
      <c r="R3216" t="s">
        <v>155</v>
      </c>
      <c r="S3216">
        <v>6</v>
      </c>
      <c r="T3216" t="s">
        <v>89</v>
      </c>
      <c r="U3216" t="s">
        <v>52</v>
      </c>
      <c r="V3216" s="1">
        <v>45421</v>
      </c>
      <c r="W3216">
        <f>Table1[[#This Row],[customer_purchase count]]+1</f>
        <v>7</v>
      </c>
      <c r="X3216">
        <f>Table1[[#This Row],[customer_purchase count]]*Rules!$B$3</f>
        <v>358.58615384615388</v>
      </c>
      <c r="Y3216" t="str">
        <f>IF(Table1[[#This Row],[customer_subscription]]=1,"Subscribed","Not Subscribed")</f>
        <v>Not Subscribed</v>
      </c>
      <c r="Z3216" t="s">
        <v>194</v>
      </c>
    </row>
    <row r="3217" spans="1:26" x14ac:dyDescent="0.25">
      <c r="A3217">
        <v>3216</v>
      </c>
      <c r="B3217">
        <v>34</v>
      </c>
      <c r="C3217" t="s">
        <v>156</v>
      </c>
      <c r="D3217">
        <v>3216</v>
      </c>
      <c r="E3217" t="s">
        <v>65</v>
      </c>
      <c r="F3217" t="s">
        <v>66</v>
      </c>
      <c r="G3217">
        <v>3216</v>
      </c>
      <c r="H3217">
        <v>4058</v>
      </c>
      <c r="I3217">
        <v>90</v>
      </c>
      <c r="J3217" t="s">
        <v>46</v>
      </c>
      <c r="K3217" t="s">
        <v>47</v>
      </c>
      <c r="L3217" t="s">
        <v>139</v>
      </c>
      <c r="M3217" t="s">
        <v>56</v>
      </c>
      <c r="N3217">
        <v>2.7</v>
      </c>
      <c r="O3217">
        <v>0</v>
      </c>
      <c r="P3217" t="s">
        <v>41</v>
      </c>
      <c r="Q3217" t="s">
        <v>155</v>
      </c>
      <c r="R3217" t="s">
        <v>155</v>
      </c>
      <c r="S3217">
        <v>10</v>
      </c>
      <c r="T3217" t="s">
        <v>49</v>
      </c>
      <c r="U3217" t="s">
        <v>100</v>
      </c>
      <c r="V3217" s="1">
        <v>45520</v>
      </c>
      <c r="W3217">
        <f>Table1[[#This Row],[customer_purchase count]]+1</f>
        <v>11</v>
      </c>
      <c r="X3217">
        <f>Table1[[#This Row],[customer_purchase count]]*Rules!$B$3</f>
        <v>597.64358974358981</v>
      </c>
      <c r="Y3217" t="str">
        <f>IF(Table1[[#This Row],[customer_subscription]]=1,"Subscribed","Not Subscribed")</f>
        <v>Not Subscribed</v>
      </c>
      <c r="Z3217" t="s">
        <v>194</v>
      </c>
    </row>
    <row r="3218" spans="1:26" x14ac:dyDescent="0.25">
      <c r="A3218">
        <v>3217</v>
      </c>
      <c r="B3218">
        <v>39</v>
      </c>
      <c r="C3218" t="s">
        <v>156</v>
      </c>
      <c r="D3218">
        <v>3217</v>
      </c>
      <c r="E3218" t="s">
        <v>107</v>
      </c>
      <c r="F3218" t="s">
        <v>24</v>
      </c>
      <c r="G3218">
        <v>3217</v>
      </c>
      <c r="H3218">
        <v>4059</v>
      </c>
      <c r="I3218">
        <v>85</v>
      </c>
      <c r="J3218" t="s">
        <v>118</v>
      </c>
      <c r="K3218" t="s">
        <v>39</v>
      </c>
      <c r="L3218" t="s">
        <v>81</v>
      </c>
      <c r="M3218" t="s">
        <v>28</v>
      </c>
      <c r="N3218">
        <v>3.4</v>
      </c>
      <c r="O3218">
        <v>0</v>
      </c>
      <c r="P3218" t="s">
        <v>48</v>
      </c>
      <c r="Q3218" t="s">
        <v>155</v>
      </c>
      <c r="R3218" t="s">
        <v>155</v>
      </c>
      <c r="S3218">
        <v>18</v>
      </c>
      <c r="T3218" t="s">
        <v>36</v>
      </c>
      <c r="U3218" t="s">
        <v>43</v>
      </c>
      <c r="V3218" s="1">
        <v>45350</v>
      </c>
      <c r="W3218">
        <f>Table1[[#This Row],[customer_purchase count]]+1</f>
        <v>19</v>
      </c>
      <c r="X3218">
        <f>Table1[[#This Row],[customer_purchase count]]*Rules!$B$3</f>
        <v>1075.7584615384617</v>
      </c>
      <c r="Y3218" t="str">
        <f>IF(Table1[[#This Row],[customer_subscription]]=1,"Subscribed","Not Subscribed")</f>
        <v>Not Subscribed</v>
      </c>
    </row>
    <row r="3219" spans="1:26" x14ac:dyDescent="0.25">
      <c r="A3219">
        <v>3218</v>
      </c>
      <c r="B3219">
        <v>44</v>
      </c>
      <c r="C3219" t="s">
        <v>156</v>
      </c>
      <c r="D3219">
        <v>3218</v>
      </c>
      <c r="E3219" t="s">
        <v>92</v>
      </c>
      <c r="F3219" t="s">
        <v>70</v>
      </c>
      <c r="G3219">
        <v>3218</v>
      </c>
      <c r="H3219">
        <v>4060</v>
      </c>
      <c r="I3219">
        <v>58</v>
      </c>
      <c r="J3219" t="s">
        <v>50</v>
      </c>
      <c r="K3219" t="s">
        <v>47</v>
      </c>
      <c r="L3219" t="s">
        <v>68</v>
      </c>
      <c r="M3219" t="s">
        <v>60</v>
      </c>
      <c r="N3219">
        <v>3.4</v>
      </c>
      <c r="O3219">
        <v>0</v>
      </c>
      <c r="P3219" t="s">
        <v>29</v>
      </c>
      <c r="Q3219" t="s">
        <v>155</v>
      </c>
      <c r="R3219" t="s">
        <v>155</v>
      </c>
      <c r="S3219">
        <v>46</v>
      </c>
      <c r="T3219" t="s">
        <v>31</v>
      </c>
      <c r="U3219" t="s">
        <v>43</v>
      </c>
      <c r="V3219" s="1">
        <v>45610</v>
      </c>
      <c r="W3219">
        <f>Table1[[#This Row],[customer_purchase count]]+1</f>
        <v>47</v>
      </c>
      <c r="X3219">
        <f>Table1[[#This Row],[customer_purchase count]]*Rules!$B$3</f>
        <v>2749.1605128205128</v>
      </c>
      <c r="Y3219" t="str">
        <f>IF(Table1[[#This Row],[customer_subscription]]=1,"Subscribed","Not Subscribed")</f>
        <v>Not Subscribed</v>
      </c>
    </row>
    <row r="3220" spans="1:26" x14ac:dyDescent="0.25">
      <c r="A3220">
        <v>3219</v>
      </c>
      <c r="B3220">
        <v>37</v>
      </c>
      <c r="C3220" t="s">
        <v>156</v>
      </c>
      <c r="D3220">
        <v>3219</v>
      </c>
      <c r="E3220" t="s">
        <v>90</v>
      </c>
      <c r="F3220" t="s">
        <v>24</v>
      </c>
      <c r="G3220">
        <v>3219</v>
      </c>
      <c r="H3220">
        <v>4061</v>
      </c>
      <c r="I3220">
        <v>34</v>
      </c>
      <c r="J3220" t="s">
        <v>106</v>
      </c>
      <c r="K3220" t="s">
        <v>47</v>
      </c>
      <c r="L3220" t="s">
        <v>88</v>
      </c>
      <c r="M3220" t="s">
        <v>60</v>
      </c>
      <c r="N3220">
        <v>3.9</v>
      </c>
      <c r="O3220">
        <v>0</v>
      </c>
      <c r="P3220" t="s">
        <v>29</v>
      </c>
      <c r="Q3220" t="s">
        <v>155</v>
      </c>
      <c r="R3220" t="s">
        <v>155</v>
      </c>
      <c r="S3220">
        <v>49</v>
      </c>
      <c r="T3220" t="s">
        <v>49</v>
      </c>
      <c r="U3220" t="s">
        <v>91</v>
      </c>
      <c r="V3220" s="1">
        <v>45583</v>
      </c>
      <c r="W3220">
        <f>Table1[[#This Row],[customer_purchase count]]+1</f>
        <v>50</v>
      </c>
      <c r="X3220">
        <f>Table1[[#This Row],[customer_purchase count]]*Rules!$B$3</f>
        <v>2928.4535897435899</v>
      </c>
      <c r="Y3220" t="str">
        <f>IF(Table1[[#This Row],[customer_subscription]]=1,"Subscribed","Not Subscribed")</f>
        <v>Not Subscribed</v>
      </c>
    </row>
    <row r="3221" spans="1:26" x14ac:dyDescent="0.25">
      <c r="A3221">
        <v>3220</v>
      </c>
      <c r="B3221">
        <v>57</v>
      </c>
      <c r="C3221" t="s">
        <v>156</v>
      </c>
      <c r="D3221">
        <v>3220</v>
      </c>
      <c r="E3221" t="s">
        <v>65</v>
      </c>
      <c r="F3221" t="s">
        <v>66</v>
      </c>
      <c r="G3221">
        <v>3220</v>
      </c>
      <c r="H3221">
        <v>4063</v>
      </c>
      <c r="I3221">
        <v>40</v>
      </c>
      <c r="J3221" t="s">
        <v>114</v>
      </c>
      <c r="K3221" t="s">
        <v>26</v>
      </c>
      <c r="L3221" t="s">
        <v>55</v>
      </c>
      <c r="M3221" t="s">
        <v>56</v>
      </c>
      <c r="N3221">
        <v>3.5</v>
      </c>
      <c r="O3221">
        <v>0</v>
      </c>
      <c r="P3221" t="s">
        <v>73</v>
      </c>
      <c r="Q3221" t="s">
        <v>155</v>
      </c>
      <c r="R3221" t="s">
        <v>155</v>
      </c>
      <c r="S3221">
        <v>39</v>
      </c>
      <c r="T3221" t="s">
        <v>42</v>
      </c>
      <c r="U3221" t="s">
        <v>43</v>
      </c>
      <c r="V3221" s="1">
        <v>45489</v>
      </c>
      <c r="W3221">
        <f>Table1[[#This Row],[customer_purchase count]]+1</f>
        <v>40</v>
      </c>
      <c r="X3221">
        <f>Table1[[#This Row],[customer_purchase count]]*Rules!$B$3</f>
        <v>2330.81</v>
      </c>
      <c r="Y3221" t="str">
        <f>IF(Table1[[#This Row],[customer_subscription]]=1,"Subscribed","Not Subscribed")</f>
        <v>Not Subscribed</v>
      </c>
    </row>
    <row r="3222" spans="1:26" x14ac:dyDescent="0.25">
      <c r="A3222">
        <v>3221</v>
      </c>
      <c r="B3222">
        <v>38</v>
      </c>
      <c r="C3222" t="s">
        <v>156</v>
      </c>
      <c r="D3222">
        <v>3221</v>
      </c>
      <c r="E3222" t="s">
        <v>69</v>
      </c>
      <c r="F3222" t="s">
        <v>70</v>
      </c>
      <c r="G3222">
        <v>3221</v>
      </c>
      <c r="H3222">
        <v>4064</v>
      </c>
      <c r="I3222">
        <v>29</v>
      </c>
      <c r="J3222" t="s">
        <v>117</v>
      </c>
      <c r="K3222" t="s">
        <v>47</v>
      </c>
      <c r="L3222" t="s">
        <v>147</v>
      </c>
      <c r="M3222" t="s">
        <v>60</v>
      </c>
      <c r="N3222">
        <v>4.0999999999999996</v>
      </c>
      <c r="O3222">
        <v>0</v>
      </c>
      <c r="P3222" t="s">
        <v>41</v>
      </c>
      <c r="Q3222" t="s">
        <v>155</v>
      </c>
      <c r="R3222" t="s">
        <v>155</v>
      </c>
      <c r="S3222">
        <v>16</v>
      </c>
      <c r="T3222" t="s">
        <v>36</v>
      </c>
      <c r="U3222" t="s">
        <v>91</v>
      </c>
      <c r="V3222" s="1">
        <v>45586</v>
      </c>
      <c r="W3222">
        <f>Table1[[#This Row],[customer_purchase count]]+1</f>
        <v>17</v>
      </c>
      <c r="X3222">
        <f>Table1[[#This Row],[customer_purchase count]]*Rules!$B$3</f>
        <v>956.22974358974363</v>
      </c>
      <c r="Y3222" t="str">
        <f>IF(Table1[[#This Row],[customer_subscription]]=1,"Subscribed","Not Subscribed")</f>
        <v>Not Subscribed</v>
      </c>
      <c r="Z3222" t="s">
        <v>194</v>
      </c>
    </row>
    <row r="3223" spans="1:26" x14ac:dyDescent="0.25">
      <c r="A3223">
        <v>3222</v>
      </c>
      <c r="B3223">
        <v>21</v>
      </c>
      <c r="C3223" t="s">
        <v>156</v>
      </c>
      <c r="D3223">
        <v>3222</v>
      </c>
      <c r="E3223" t="s">
        <v>116</v>
      </c>
      <c r="F3223" t="s">
        <v>24</v>
      </c>
      <c r="G3223">
        <v>3222</v>
      </c>
      <c r="H3223">
        <v>4065</v>
      </c>
      <c r="I3223">
        <v>76</v>
      </c>
      <c r="J3223" t="s">
        <v>85</v>
      </c>
      <c r="K3223" t="s">
        <v>47</v>
      </c>
      <c r="L3223" t="s">
        <v>137</v>
      </c>
      <c r="M3223" t="s">
        <v>28</v>
      </c>
      <c r="N3223">
        <v>3.2</v>
      </c>
      <c r="O3223">
        <v>0</v>
      </c>
      <c r="P3223" t="s">
        <v>57</v>
      </c>
      <c r="Q3223" t="s">
        <v>155</v>
      </c>
      <c r="R3223" t="s">
        <v>155</v>
      </c>
      <c r="S3223">
        <v>28</v>
      </c>
      <c r="T3223" t="s">
        <v>36</v>
      </c>
      <c r="U3223" t="s">
        <v>52</v>
      </c>
      <c r="V3223" s="1">
        <v>45340</v>
      </c>
      <c r="W3223">
        <f>Table1[[#This Row],[customer_purchase count]]+1</f>
        <v>29</v>
      </c>
      <c r="X3223">
        <f>Table1[[#This Row],[customer_purchase count]]*Rules!$B$3</f>
        <v>1673.4020512820514</v>
      </c>
      <c r="Y3223" t="str">
        <f>IF(Table1[[#This Row],[customer_subscription]]=1,"Subscribed","Not Subscribed")</f>
        <v>Not Subscribed</v>
      </c>
    </row>
    <row r="3224" spans="1:26" x14ac:dyDescent="0.25">
      <c r="A3224">
        <v>3223</v>
      </c>
      <c r="B3224">
        <v>45</v>
      </c>
      <c r="C3224" t="s">
        <v>156</v>
      </c>
      <c r="D3224">
        <v>3223</v>
      </c>
      <c r="E3224" t="s">
        <v>92</v>
      </c>
      <c r="F3224" t="s">
        <v>70</v>
      </c>
      <c r="G3224">
        <v>3223</v>
      </c>
      <c r="H3224">
        <v>4066</v>
      </c>
      <c r="I3224">
        <v>84</v>
      </c>
      <c r="J3224" t="s">
        <v>108</v>
      </c>
      <c r="K3224" t="s">
        <v>39</v>
      </c>
      <c r="L3224" t="s">
        <v>35</v>
      </c>
      <c r="M3224" t="s">
        <v>60</v>
      </c>
      <c r="N3224">
        <v>4.5999999999999996</v>
      </c>
      <c r="O3224">
        <v>0</v>
      </c>
      <c r="P3224" t="s">
        <v>77</v>
      </c>
      <c r="Q3224" t="s">
        <v>155</v>
      </c>
      <c r="R3224" t="s">
        <v>155</v>
      </c>
      <c r="S3224">
        <v>22</v>
      </c>
      <c r="T3224" t="s">
        <v>49</v>
      </c>
      <c r="U3224" t="s">
        <v>61</v>
      </c>
      <c r="V3224" s="1">
        <v>45554</v>
      </c>
      <c r="W3224">
        <f>Table1[[#This Row],[customer_purchase count]]+1</f>
        <v>23</v>
      </c>
      <c r="X3224">
        <f>Table1[[#This Row],[customer_purchase count]]*Rules!$B$3</f>
        <v>1314.8158974358976</v>
      </c>
      <c r="Y3224" t="str">
        <f>IF(Table1[[#This Row],[customer_subscription]]=1,"Subscribed","Not Subscribed")</f>
        <v>Not Subscribed</v>
      </c>
    </row>
    <row r="3225" spans="1:26" x14ac:dyDescent="0.25">
      <c r="A3225">
        <v>3224</v>
      </c>
      <c r="B3225">
        <v>68</v>
      </c>
      <c r="C3225" t="s">
        <v>156</v>
      </c>
      <c r="D3225">
        <v>3224</v>
      </c>
      <c r="E3225" t="s">
        <v>58</v>
      </c>
      <c r="F3225" t="s">
        <v>24</v>
      </c>
      <c r="G3225">
        <v>3224</v>
      </c>
      <c r="H3225">
        <v>4067</v>
      </c>
      <c r="I3225">
        <v>65</v>
      </c>
      <c r="J3225" t="s">
        <v>59</v>
      </c>
      <c r="K3225" t="s">
        <v>39</v>
      </c>
      <c r="L3225" t="s">
        <v>27</v>
      </c>
      <c r="M3225" t="s">
        <v>40</v>
      </c>
      <c r="N3225">
        <v>3.9</v>
      </c>
      <c r="O3225">
        <v>0</v>
      </c>
      <c r="P3225" t="s">
        <v>57</v>
      </c>
      <c r="Q3225" t="s">
        <v>155</v>
      </c>
      <c r="R3225" t="s">
        <v>155</v>
      </c>
      <c r="S3225">
        <v>36</v>
      </c>
      <c r="T3225" t="s">
        <v>31</v>
      </c>
      <c r="U3225" t="s">
        <v>79</v>
      </c>
      <c r="V3225" s="1">
        <v>45403</v>
      </c>
      <c r="W3225">
        <f>Table1[[#This Row],[customer_purchase count]]+1</f>
        <v>37</v>
      </c>
      <c r="X3225">
        <f>Table1[[#This Row],[customer_purchase count]]*Rules!$B$3</f>
        <v>2151.5169230769234</v>
      </c>
      <c r="Y3225" t="str">
        <f>IF(Table1[[#This Row],[customer_subscription]]=1,"Subscribed","Not Subscribed")</f>
        <v>Not Subscribed</v>
      </c>
    </row>
    <row r="3226" spans="1:26" x14ac:dyDescent="0.25">
      <c r="A3226">
        <v>3225</v>
      </c>
      <c r="B3226">
        <v>37</v>
      </c>
      <c r="C3226" t="s">
        <v>156</v>
      </c>
      <c r="D3226">
        <v>3225</v>
      </c>
      <c r="E3226" t="s">
        <v>107</v>
      </c>
      <c r="F3226" t="s">
        <v>24</v>
      </c>
      <c r="G3226">
        <v>3225</v>
      </c>
      <c r="H3226">
        <v>4069</v>
      </c>
      <c r="I3226">
        <v>80</v>
      </c>
      <c r="J3226" t="s">
        <v>82</v>
      </c>
      <c r="K3226" t="s">
        <v>26</v>
      </c>
      <c r="L3226" t="s">
        <v>129</v>
      </c>
      <c r="M3226" t="s">
        <v>28</v>
      </c>
      <c r="N3226">
        <v>2.7</v>
      </c>
      <c r="O3226">
        <v>0</v>
      </c>
      <c r="P3226" t="s">
        <v>41</v>
      </c>
      <c r="Q3226" t="s">
        <v>155</v>
      </c>
      <c r="R3226" t="s">
        <v>155</v>
      </c>
      <c r="S3226">
        <v>18</v>
      </c>
      <c r="T3226" t="s">
        <v>49</v>
      </c>
      <c r="U3226" t="s">
        <v>91</v>
      </c>
      <c r="V3226" s="1">
        <v>45350</v>
      </c>
      <c r="W3226">
        <f>Table1[[#This Row],[customer_purchase count]]+1</f>
        <v>19</v>
      </c>
      <c r="X3226">
        <f>Table1[[#This Row],[customer_purchase count]]*Rules!$B$3</f>
        <v>1075.7584615384617</v>
      </c>
      <c r="Y3226" t="str">
        <f>IF(Table1[[#This Row],[customer_subscription]]=1,"Subscribed","Not Subscribed")</f>
        <v>Not Subscribed</v>
      </c>
    </row>
    <row r="3227" spans="1:26" x14ac:dyDescent="0.25">
      <c r="A3227">
        <v>3226</v>
      </c>
      <c r="B3227">
        <v>53</v>
      </c>
      <c r="C3227" t="s">
        <v>156</v>
      </c>
      <c r="D3227">
        <v>3226</v>
      </c>
      <c r="E3227" t="s">
        <v>23</v>
      </c>
      <c r="F3227" t="s">
        <v>24</v>
      </c>
      <c r="G3227">
        <v>3226</v>
      </c>
      <c r="H3227">
        <v>4070</v>
      </c>
      <c r="I3227">
        <v>98</v>
      </c>
      <c r="J3227" t="s">
        <v>85</v>
      </c>
      <c r="K3227" t="s">
        <v>47</v>
      </c>
      <c r="L3227" t="s">
        <v>72</v>
      </c>
      <c r="M3227" t="s">
        <v>60</v>
      </c>
      <c r="N3227">
        <v>3</v>
      </c>
      <c r="O3227">
        <v>0</v>
      </c>
      <c r="P3227" t="s">
        <v>77</v>
      </c>
      <c r="Q3227" t="s">
        <v>155</v>
      </c>
      <c r="R3227" t="s">
        <v>155</v>
      </c>
      <c r="S3227">
        <v>31</v>
      </c>
      <c r="T3227" t="s">
        <v>42</v>
      </c>
      <c r="U3227" t="s">
        <v>43</v>
      </c>
      <c r="V3227" s="1">
        <v>45544</v>
      </c>
      <c r="W3227">
        <f>Table1[[#This Row],[customer_purchase count]]+1</f>
        <v>32</v>
      </c>
      <c r="X3227">
        <f>Table1[[#This Row],[customer_purchase count]]*Rules!$B$3</f>
        <v>1852.6951282051282</v>
      </c>
      <c r="Y3227" t="str">
        <f>IF(Table1[[#This Row],[customer_subscription]]=1,"Subscribed","Not Subscribed")</f>
        <v>Not Subscribed</v>
      </c>
    </row>
    <row r="3228" spans="1:26" x14ac:dyDescent="0.25">
      <c r="A3228">
        <v>3227</v>
      </c>
      <c r="B3228">
        <v>57</v>
      </c>
      <c r="C3228" t="s">
        <v>156</v>
      </c>
      <c r="D3228">
        <v>3227</v>
      </c>
      <c r="E3228" t="s">
        <v>53</v>
      </c>
      <c r="F3228" t="s">
        <v>45</v>
      </c>
      <c r="G3228">
        <v>3227</v>
      </c>
      <c r="H3228">
        <v>4071</v>
      </c>
      <c r="I3228">
        <v>71</v>
      </c>
      <c r="J3228" t="s">
        <v>151</v>
      </c>
      <c r="K3228" t="s">
        <v>95</v>
      </c>
      <c r="L3228" t="s">
        <v>121</v>
      </c>
      <c r="M3228" t="s">
        <v>40</v>
      </c>
      <c r="N3228">
        <v>3.3</v>
      </c>
      <c r="O3228">
        <v>0</v>
      </c>
      <c r="P3228" t="s">
        <v>48</v>
      </c>
      <c r="Q3228" t="s">
        <v>155</v>
      </c>
      <c r="R3228" t="s">
        <v>155</v>
      </c>
      <c r="S3228">
        <v>38</v>
      </c>
      <c r="T3228" t="s">
        <v>78</v>
      </c>
      <c r="U3228" t="s">
        <v>32</v>
      </c>
      <c r="V3228" s="1">
        <v>45386</v>
      </c>
      <c r="W3228">
        <f>Table1[[#This Row],[customer_purchase count]]+1</f>
        <v>39</v>
      </c>
      <c r="X3228">
        <f>Table1[[#This Row],[customer_purchase count]]*Rules!$B$3</f>
        <v>2271.0456410256411</v>
      </c>
      <c r="Y3228" t="str">
        <f>IF(Table1[[#This Row],[customer_subscription]]=1,"Subscribed","Not Subscribed")</f>
        <v>Not Subscribed</v>
      </c>
    </row>
    <row r="3229" spans="1:26" x14ac:dyDescent="0.25">
      <c r="A3229">
        <v>3228</v>
      </c>
      <c r="B3229">
        <v>28</v>
      </c>
      <c r="C3229" t="s">
        <v>156</v>
      </c>
      <c r="D3229">
        <v>3228</v>
      </c>
      <c r="E3229" t="s">
        <v>122</v>
      </c>
      <c r="F3229" t="s">
        <v>70</v>
      </c>
      <c r="G3229">
        <v>3228</v>
      </c>
      <c r="H3229">
        <v>4072</v>
      </c>
      <c r="I3229">
        <v>69</v>
      </c>
      <c r="J3229" t="s">
        <v>123</v>
      </c>
      <c r="K3229" t="s">
        <v>95</v>
      </c>
      <c r="L3229" t="s">
        <v>55</v>
      </c>
      <c r="M3229" t="s">
        <v>60</v>
      </c>
      <c r="N3229">
        <v>2.7</v>
      </c>
      <c r="O3229">
        <v>0</v>
      </c>
      <c r="P3229" t="s">
        <v>41</v>
      </c>
      <c r="Q3229" t="s">
        <v>155</v>
      </c>
      <c r="R3229" t="s">
        <v>155</v>
      </c>
      <c r="S3229">
        <v>42</v>
      </c>
      <c r="T3229" t="s">
        <v>89</v>
      </c>
      <c r="U3229" t="s">
        <v>61</v>
      </c>
      <c r="V3229" s="1">
        <v>45536</v>
      </c>
      <c r="W3229">
        <f>Table1[[#This Row],[customer_purchase count]]+1</f>
        <v>43</v>
      </c>
      <c r="X3229">
        <f>Table1[[#This Row],[customer_purchase count]]*Rules!$B$3</f>
        <v>2510.103076923077</v>
      </c>
      <c r="Y3229" t="str">
        <f>IF(Table1[[#This Row],[customer_subscription]]=1,"Subscribed","Not Subscribed")</f>
        <v>Not Subscribed</v>
      </c>
    </row>
    <row r="3230" spans="1:26" x14ac:dyDescent="0.25">
      <c r="A3230">
        <v>3229</v>
      </c>
      <c r="B3230">
        <v>37</v>
      </c>
      <c r="C3230" t="s">
        <v>156</v>
      </c>
      <c r="D3230">
        <v>3229</v>
      </c>
      <c r="E3230" t="s">
        <v>109</v>
      </c>
      <c r="F3230" t="s">
        <v>70</v>
      </c>
      <c r="G3230">
        <v>3229</v>
      </c>
      <c r="H3230">
        <v>4073</v>
      </c>
      <c r="I3230">
        <v>95</v>
      </c>
      <c r="J3230" t="s">
        <v>142</v>
      </c>
      <c r="K3230" t="s">
        <v>47</v>
      </c>
      <c r="L3230" t="s">
        <v>137</v>
      </c>
      <c r="M3230" t="s">
        <v>40</v>
      </c>
      <c r="N3230">
        <v>4.5999999999999996</v>
      </c>
      <c r="O3230">
        <v>0</v>
      </c>
      <c r="P3230" t="s">
        <v>73</v>
      </c>
      <c r="Q3230" t="s">
        <v>155</v>
      </c>
      <c r="R3230" t="s">
        <v>155</v>
      </c>
      <c r="S3230">
        <v>27</v>
      </c>
      <c r="T3230" t="s">
        <v>49</v>
      </c>
      <c r="U3230" t="s">
        <v>52</v>
      </c>
      <c r="V3230" s="1">
        <v>45392</v>
      </c>
      <c r="W3230">
        <f>Table1[[#This Row],[customer_purchase count]]+1</f>
        <v>28</v>
      </c>
      <c r="X3230">
        <f>Table1[[#This Row],[customer_purchase count]]*Rules!$B$3</f>
        <v>1613.6376923076923</v>
      </c>
      <c r="Y3230" t="str">
        <f>IF(Table1[[#This Row],[customer_subscription]]=1,"Subscribed","Not Subscribed")</f>
        <v>Not Subscribed</v>
      </c>
    </row>
    <row r="3231" spans="1:26" x14ac:dyDescent="0.25">
      <c r="A3231">
        <v>3230</v>
      </c>
      <c r="B3231">
        <v>54</v>
      </c>
      <c r="C3231" t="s">
        <v>156</v>
      </c>
      <c r="D3231">
        <v>3230</v>
      </c>
      <c r="E3231" t="s">
        <v>98</v>
      </c>
      <c r="F3231" t="s">
        <v>24</v>
      </c>
      <c r="G3231">
        <v>3230</v>
      </c>
      <c r="H3231">
        <v>4075</v>
      </c>
      <c r="I3231">
        <v>67</v>
      </c>
      <c r="J3231" t="s">
        <v>142</v>
      </c>
      <c r="K3231" t="s">
        <v>47</v>
      </c>
      <c r="L3231" t="s">
        <v>88</v>
      </c>
      <c r="M3231" t="s">
        <v>60</v>
      </c>
      <c r="N3231">
        <v>2.7</v>
      </c>
      <c r="O3231">
        <v>0</v>
      </c>
      <c r="P3231" t="s">
        <v>29</v>
      </c>
      <c r="Q3231" t="s">
        <v>155</v>
      </c>
      <c r="R3231" t="s">
        <v>155</v>
      </c>
      <c r="S3231">
        <v>24</v>
      </c>
      <c r="T3231" t="s">
        <v>36</v>
      </c>
      <c r="U3231" t="s">
        <v>91</v>
      </c>
      <c r="V3231" s="1">
        <v>45553</v>
      </c>
      <c r="W3231">
        <f>Table1[[#This Row],[customer_purchase count]]+1</f>
        <v>25</v>
      </c>
      <c r="X3231">
        <f>Table1[[#This Row],[customer_purchase count]]*Rules!$B$3</f>
        <v>1434.3446153846155</v>
      </c>
      <c r="Y3231" t="str">
        <f>IF(Table1[[#This Row],[customer_subscription]]=1,"Subscribed","Not Subscribed")</f>
        <v>Not Subscribed</v>
      </c>
    </row>
    <row r="3232" spans="1:26" x14ac:dyDescent="0.25">
      <c r="A3232">
        <v>3231</v>
      </c>
      <c r="B3232">
        <v>49</v>
      </c>
      <c r="C3232" t="s">
        <v>156</v>
      </c>
      <c r="D3232">
        <v>3231</v>
      </c>
      <c r="E3232" t="s">
        <v>53</v>
      </c>
      <c r="F3232" t="s">
        <v>45</v>
      </c>
      <c r="G3232">
        <v>3231</v>
      </c>
      <c r="H3232">
        <v>4076</v>
      </c>
      <c r="I3232">
        <v>49</v>
      </c>
      <c r="J3232" t="s">
        <v>114</v>
      </c>
      <c r="K3232" t="s">
        <v>47</v>
      </c>
      <c r="L3232" t="s">
        <v>81</v>
      </c>
      <c r="M3232" t="s">
        <v>56</v>
      </c>
      <c r="N3232">
        <v>2.5</v>
      </c>
      <c r="O3232">
        <v>0</v>
      </c>
      <c r="P3232" t="s">
        <v>48</v>
      </c>
      <c r="Q3232" t="s">
        <v>155</v>
      </c>
      <c r="R3232" t="s">
        <v>155</v>
      </c>
      <c r="S3232">
        <v>38</v>
      </c>
      <c r="T3232" t="s">
        <v>89</v>
      </c>
      <c r="U3232" t="s">
        <v>52</v>
      </c>
      <c r="V3232" s="1">
        <v>45521</v>
      </c>
      <c r="W3232">
        <f>Table1[[#This Row],[customer_purchase count]]+1</f>
        <v>39</v>
      </c>
      <c r="X3232">
        <f>Table1[[#This Row],[customer_purchase count]]*Rules!$B$3</f>
        <v>2271.0456410256411</v>
      </c>
      <c r="Y3232" t="str">
        <f>IF(Table1[[#This Row],[customer_subscription]]=1,"Subscribed","Not Subscribed")</f>
        <v>Not Subscribed</v>
      </c>
    </row>
    <row r="3233" spans="1:26" x14ac:dyDescent="0.25">
      <c r="A3233">
        <v>3232</v>
      </c>
      <c r="B3233">
        <v>62</v>
      </c>
      <c r="C3233" t="s">
        <v>156</v>
      </c>
      <c r="D3233">
        <v>3232</v>
      </c>
      <c r="E3233" t="s">
        <v>74</v>
      </c>
      <c r="F3233" t="s">
        <v>45</v>
      </c>
      <c r="G3233">
        <v>3232</v>
      </c>
      <c r="H3233">
        <v>4077</v>
      </c>
      <c r="I3233">
        <v>97</v>
      </c>
      <c r="J3233" t="s">
        <v>110</v>
      </c>
      <c r="K3233" t="s">
        <v>47</v>
      </c>
      <c r="L3233" t="s">
        <v>35</v>
      </c>
      <c r="M3233" t="s">
        <v>28</v>
      </c>
      <c r="N3233">
        <v>4.4000000000000004</v>
      </c>
      <c r="O3233">
        <v>0</v>
      </c>
      <c r="P3233" t="s">
        <v>41</v>
      </c>
      <c r="Q3233" t="s">
        <v>155</v>
      </c>
      <c r="R3233" t="s">
        <v>155</v>
      </c>
      <c r="S3233">
        <v>9</v>
      </c>
      <c r="T3233" t="s">
        <v>42</v>
      </c>
      <c r="U3233" t="s">
        <v>52</v>
      </c>
      <c r="V3233" s="1">
        <v>45300</v>
      </c>
      <c r="W3233">
        <f>Table1[[#This Row],[customer_purchase count]]+1</f>
        <v>10</v>
      </c>
      <c r="X3233">
        <f>Table1[[#This Row],[customer_purchase count]]*Rules!$B$3</f>
        <v>537.87923076923084</v>
      </c>
      <c r="Y3233" t="str">
        <f>IF(Table1[[#This Row],[customer_subscription]]=1,"Subscribed","Not Subscribed")</f>
        <v>Not Subscribed</v>
      </c>
      <c r="Z3233" t="s">
        <v>194</v>
      </c>
    </row>
    <row r="3234" spans="1:26" x14ac:dyDescent="0.25">
      <c r="A3234">
        <v>3233</v>
      </c>
      <c r="B3234">
        <v>45</v>
      </c>
      <c r="C3234" t="s">
        <v>156</v>
      </c>
      <c r="D3234">
        <v>3233</v>
      </c>
      <c r="E3234" t="s">
        <v>116</v>
      </c>
      <c r="F3234" t="s">
        <v>24</v>
      </c>
      <c r="G3234">
        <v>3233</v>
      </c>
      <c r="H3234">
        <v>4078</v>
      </c>
      <c r="I3234">
        <v>34</v>
      </c>
      <c r="J3234" t="s">
        <v>38</v>
      </c>
      <c r="K3234" t="s">
        <v>47</v>
      </c>
      <c r="L3234" t="s">
        <v>55</v>
      </c>
      <c r="M3234" t="s">
        <v>40</v>
      </c>
      <c r="N3234">
        <v>4</v>
      </c>
      <c r="O3234">
        <v>0</v>
      </c>
      <c r="P3234" t="s">
        <v>48</v>
      </c>
      <c r="Q3234" t="s">
        <v>155</v>
      </c>
      <c r="R3234" t="s">
        <v>155</v>
      </c>
      <c r="S3234">
        <v>19</v>
      </c>
      <c r="T3234" t="s">
        <v>78</v>
      </c>
      <c r="U3234" t="s">
        <v>91</v>
      </c>
      <c r="V3234" s="1">
        <v>45425</v>
      </c>
      <c r="W3234">
        <f>Table1[[#This Row],[customer_purchase count]]+1</f>
        <v>20</v>
      </c>
      <c r="X3234">
        <f>Table1[[#This Row],[customer_purchase count]]*Rules!$B$3</f>
        <v>1135.5228205128205</v>
      </c>
      <c r="Y3234" t="str">
        <f>IF(Table1[[#This Row],[customer_subscription]]=1,"Subscribed","Not Subscribed")</f>
        <v>Not Subscribed</v>
      </c>
    </row>
    <row r="3235" spans="1:26" x14ac:dyDescent="0.25">
      <c r="A3235">
        <v>3234</v>
      </c>
      <c r="B3235">
        <v>45</v>
      </c>
      <c r="C3235" t="s">
        <v>156</v>
      </c>
      <c r="D3235">
        <v>3234</v>
      </c>
      <c r="E3235" t="s">
        <v>136</v>
      </c>
      <c r="F3235" t="s">
        <v>70</v>
      </c>
      <c r="G3235">
        <v>3234</v>
      </c>
      <c r="H3235">
        <v>4079</v>
      </c>
      <c r="I3235">
        <v>74</v>
      </c>
      <c r="J3235" t="s">
        <v>119</v>
      </c>
      <c r="K3235" t="s">
        <v>47</v>
      </c>
      <c r="L3235" t="s">
        <v>96</v>
      </c>
      <c r="M3235" t="s">
        <v>60</v>
      </c>
      <c r="N3235">
        <v>3.8</v>
      </c>
      <c r="O3235">
        <v>0</v>
      </c>
      <c r="P3235" t="s">
        <v>29</v>
      </c>
      <c r="Q3235" t="s">
        <v>155</v>
      </c>
      <c r="R3235" t="s">
        <v>155</v>
      </c>
      <c r="S3235">
        <v>11</v>
      </c>
      <c r="T3235" t="s">
        <v>89</v>
      </c>
      <c r="U3235" t="s">
        <v>79</v>
      </c>
      <c r="V3235" s="1">
        <v>45583</v>
      </c>
      <c r="W3235">
        <f>Table1[[#This Row],[customer_purchase count]]+1</f>
        <v>12</v>
      </c>
      <c r="X3235">
        <f>Table1[[#This Row],[customer_purchase count]]*Rules!$B$3</f>
        <v>657.40794871794878</v>
      </c>
      <c r="Y3235" t="str">
        <f>IF(Table1[[#This Row],[customer_subscription]]=1,"Subscribed","Not Subscribed")</f>
        <v>Not Subscribed</v>
      </c>
      <c r="Z3235" t="s">
        <v>194</v>
      </c>
    </row>
    <row r="3236" spans="1:26" x14ac:dyDescent="0.25">
      <c r="A3236">
        <v>3235</v>
      </c>
      <c r="B3236">
        <v>49</v>
      </c>
      <c r="C3236" t="s">
        <v>156</v>
      </c>
      <c r="D3236">
        <v>3235</v>
      </c>
      <c r="E3236" t="s">
        <v>109</v>
      </c>
      <c r="F3236" t="s">
        <v>70</v>
      </c>
      <c r="G3236">
        <v>3235</v>
      </c>
      <c r="H3236">
        <v>4081</v>
      </c>
      <c r="I3236">
        <v>96</v>
      </c>
      <c r="J3236" t="s">
        <v>152</v>
      </c>
      <c r="K3236" t="s">
        <v>47</v>
      </c>
      <c r="L3236" t="s">
        <v>97</v>
      </c>
      <c r="M3236" t="s">
        <v>28</v>
      </c>
      <c r="N3236">
        <v>2.5</v>
      </c>
      <c r="O3236">
        <v>0</v>
      </c>
      <c r="P3236" t="s">
        <v>73</v>
      </c>
      <c r="Q3236" t="s">
        <v>155</v>
      </c>
      <c r="R3236" t="s">
        <v>155</v>
      </c>
      <c r="S3236">
        <v>16</v>
      </c>
      <c r="T3236" t="s">
        <v>89</v>
      </c>
      <c r="U3236" t="s">
        <v>61</v>
      </c>
      <c r="V3236" s="1">
        <v>45317</v>
      </c>
      <c r="W3236">
        <f>Table1[[#This Row],[customer_purchase count]]+1</f>
        <v>17</v>
      </c>
      <c r="X3236">
        <f>Table1[[#This Row],[customer_purchase count]]*Rules!$B$3</f>
        <v>956.22974358974363</v>
      </c>
      <c r="Y3236" t="str">
        <f>IF(Table1[[#This Row],[customer_subscription]]=1,"Subscribed","Not Subscribed")</f>
        <v>Not Subscribed</v>
      </c>
      <c r="Z3236" t="s">
        <v>194</v>
      </c>
    </row>
    <row r="3237" spans="1:26" x14ac:dyDescent="0.25">
      <c r="A3237">
        <v>3236</v>
      </c>
      <c r="B3237">
        <v>27</v>
      </c>
      <c r="C3237" t="s">
        <v>156</v>
      </c>
      <c r="D3237">
        <v>3236</v>
      </c>
      <c r="E3237" t="s">
        <v>136</v>
      </c>
      <c r="F3237" t="s">
        <v>70</v>
      </c>
      <c r="G3237">
        <v>3236</v>
      </c>
      <c r="H3237">
        <v>4082</v>
      </c>
      <c r="I3237">
        <v>68</v>
      </c>
      <c r="J3237" t="s">
        <v>114</v>
      </c>
      <c r="K3237" t="s">
        <v>47</v>
      </c>
      <c r="L3237" t="s">
        <v>99</v>
      </c>
      <c r="M3237" t="s">
        <v>56</v>
      </c>
      <c r="N3237">
        <v>4</v>
      </c>
      <c r="O3237">
        <v>0</v>
      </c>
      <c r="P3237" t="s">
        <v>41</v>
      </c>
      <c r="Q3237" t="s">
        <v>155</v>
      </c>
      <c r="R3237" t="s">
        <v>155</v>
      </c>
      <c r="S3237">
        <v>18</v>
      </c>
      <c r="T3237" t="s">
        <v>31</v>
      </c>
      <c r="U3237" t="s">
        <v>91</v>
      </c>
      <c r="V3237" s="1">
        <v>45525</v>
      </c>
      <c r="W3237">
        <f>Table1[[#This Row],[customer_purchase count]]+1</f>
        <v>19</v>
      </c>
      <c r="X3237">
        <f>Table1[[#This Row],[customer_purchase count]]*Rules!$B$3</f>
        <v>1075.7584615384617</v>
      </c>
      <c r="Y3237" t="str">
        <f>IF(Table1[[#This Row],[customer_subscription]]=1,"Subscribed","Not Subscribed")</f>
        <v>Not Subscribed</v>
      </c>
    </row>
    <row r="3238" spans="1:26" x14ac:dyDescent="0.25">
      <c r="A3238">
        <v>3237</v>
      </c>
      <c r="B3238">
        <v>63</v>
      </c>
      <c r="C3238" t="s">
        <v>156</v>
      </c>
      <c r="D3238">
        <v>3237</v>
      </c>
      <c r="E3238" t="s">
        <v>136</v>
      </c>
      <c r="F3238" t="s">
        <v>70</v>
      </c>
      <c r="G3238">
        <v>3237</v>
      </c>
      <c r="H3238">
        <v>4083</v>
      </c>
      <c r="I3238">
        <v>84</v>
      </c>
      <c r="J3238" t="s">
        <v>134</v>
      </c>
      <c r="K3238" t="s">
        <v>26</v>
      </c>
      <c r="L3238" t="s">
        <v>81</v>
      </c>
      <c r="M3238" t="s">
        <v>60</v>
      </c>
      <c r="N3238">
        <v>4.0999999999999996</v>
      </c>
      <c r="O3238">
        <v>0</v>
      </c>
      <c r="P3238" t="s">
        <v>48</v>
      </c>
      <c r="Q3238" t="s">
        <v>155</v>
      </c>
      <c r="R3238" t="s">
        <v>155</v>
      </c>
      <c r="S3238">
        <v>8</v>
      </c>
      <c r="T3238" t="s">
        <v>36</v>
      </c>
      <c r="U3238" t="s">
        <v>91</v>
      </c>
      <c r="V3238" s="1">
        <v>45577</v>
      </c>
      <c r="W3238">
        <f>Table1[[#This Row],[customer_purchase count]]+1</f>
        <v>9</v>
      </c>
      <c r="X3238">
        <f>Table1[[#This Row],[customer_purchase count]]*Rules!$B$3</f>
        <v>478.11487179487182</v>
      </c>
      <c r="Y3238" t="str">
        <f>IF(Table1[[#This Row],[customer_subscription]]=1,"Subscribed","Not Subscribed")</f>
        <v>Not Subscribed</v>
      </c>
      <c r="Z3238" t="s">
        <v>194</v>
      </c>
    </row>
    <row r="3239" spans="1:26" x14ac:dyDescent="0.25">
      <c r="A3239">
        <v>3238</v>
      </c>
      <c r="B3239">
        <v>61</v>
      </c>
      <c r="C3239" t="s">
        <v>156</v>
      </c>
      <c r="D3239">
        <v>3238</v>
      </c>
      <c r="E3239" t="s">
        <v>116</v>
      </c>
      <c r="F3239" t="s">
        <v>24</v>
      </c>
      <c r="G3239">
        <v>3238</v>
      </c>
      <c r="H3239">
        <v>4084</v>
      </c>
      <c r="I3239">
        <v>57</v>
      </c>
      <c r="J3239" t="s">
        <v>132</v>
      </c>
      <c r="K3239" t="s">
        <v>47</v>
      </c>
      <c r="L3239" t="s">
        <v>27</v>
      </c>
      <c r="M3239" t="s">
        <v>56</v>
      </c>
      <c r="N3239">
        <v>2.8</v>
      </c>
      <c r="O3239">
        <v>0</v>
      </c>
      <c r="P3239" t="s">
        <v>29</v>
      </c>
      <c r="Q3239" t="s">
        <v>155</v>
      </c>
      <c r="R3239" t="s">
        <v>155</v>
      </c>
      <c r="S3239">
        <v>4</v>
      </c>
      <c r="T3239" t="s">
        <v>36</v>
      </c>
      <c r="U3239" t="s">
        <v>43</v>
      </c>
      <c r="V3239" s="1">
        <v>45518</v>
      </c>
      <c r="W3239">
        <f>Table1[[#This Row],[customer_purchase count]]+1</f>
        <v>5</v>
      </c>
      <c r="X3239">
        <f>Table1[[#This Row],[customer_purchase count]]*Rules!$B$3</f>
        <v>239.05743589743591</v>
      </c>
      <c r="Y3239" t="str">
        <f>IF(Table1[[#This Row],[customer_subscription]]=1,"Subscribed","Not Subscribed")</f>
        <v>Not Subscribed</v>
      </c>
      <c r="Z3239" t="s">
        <v>194</v>
      </c>
    </row>
    <row r="3240" spans="1:26" x14ac:dyDescent="0.25">
      <c r="A3240">
        <v>3239</v>
      </c>
      <c r="B3240">
        <v>25</v>
      </c>
      <c r="C3240" t="s">
        <v>156</v>
      </c>
      <c r="D3240">
        <v>3239</v>
      </c>
      <c r="E3240" t="s">
        <v>53</v>
      </c>
      <c r="F3240" t="s">
        <v>45</v>
      </c>
      <c r="G3240">
        <v>3239</v>
      </c>
      <c r="H3240">
        <v>4085</v>
      </c>
      <c r="I3240">
        <v>84</v>
      </c>
      <c r="J3240" t="s">
        <v>54</v>
      </c>
      <c r="K3240" t="s">
        <v>95</v>
      </c>
      <c r="L3240" t="s">
        <v>88</v>
      </c>
      <c r="M3240" t="s">
        <v>60</v>
      </c>
      <c r="N3240">
        <v>3.4</v>
      </c>
      <c r="O3240">
        <v>0</v>
      </c>
      <c r="P3240" t="s">
        <v>73</v>
      </c>
      <c r="Q3240" t="s">
        <v>155</v>
      </c>
      <c r="R3240" t="s">
        <v>155</v>
      </c>
      <c r="S3240">
        <v>37</v>
      </c>
      <c r="T3240" t="s">
        <v>36</v>
      </c>
      <c r="U3240" t="s">
        <v>61</v>
      </c>
      <c r="V3240" s="1">
        <v>45546</v>
      </c>
      <c r="W3240">
        <f>Table1[[#This Row],[customer_purchase count]]+1</f>
        <v>38</v>
      </c>
      <c r="X3240">
        <f>Table1[[#This Row],[customer_purchase count]]*Rules!$B$3</f>
        <v>2211.2812820512822</v>
      </c>
      <c r="Y3240" t="str">
        <f>IF(Table1[[#This Row],[customer_subscription]]=1,"Subscribed","Not Subscribed")</f>
        <v>Not Subscribed</v>
      </c>
    </row>
    <row r="3241" spans="1:26" x14ac:dyDescent="0.25">
      <c r="A3241">
        <v>3240</v>
      </c>
      <c r="B3241">
        <v>33</v>
      </c>
      <c r="C3241" t="s">
        <v>156</v>
      </c>
      <c r="D3241">
        <v>3240</v>
      </c>
      <c r="E3241" t="s">
        <v>92</v>
      </c>
      <c r="F3241" t="s">
        <v>70</v>
      </c>
      <c r="G3241">
        <v>3240</v>
      </c>
      <c r="H3241">
        <v>4087</v>
      </c>
      <c r="I3241">
        <v>32</v>
      </c>
      <c r="J3241" t="s">
        <v>115</v>
      </c>
      <c r="K3241" t="s">
        <v>47</v>
      </c>
      <c r="L3241" t="s">
        <v>64</v>
      </c>
      <c r="M3241" t="s">
        <v>60</v>
      </c>
      <c r="N3241">
        <v>2.7</v>
      </c>
      <c r="O3241">
        <v>0</v>
      </c>
      <c r="P3241" t="s">
        <v>73</v>
      </c>
      <c r="Q3241" t="s">
        <v>155</v>
      </c>
      <c r="R3241" t="s">
        <v>155</v>
      </c>
      <c r="S3241">
        <v>30</v>
      </c>
      <c r="T3241" t="s">
        <v>36</v>
      </c>
      <c r="U3241" t="s">
        <v>91</v>
      </c>
      <c r="V3241" s="1">
        <v>45585</v>
      </c>
      <c r="W3241">
        <f>Table1[[#This Row],[customer_purchase count]]+1</f>
        <v>31</v>
      </c>
      <c r="X3241">
        <f>Table1[[#This Row],[customer_purchase count]]*Rules!$B$3</f>
        <v>1792.9307692307693</v>
      </c>
      <c r="Y3241" t="str">
        <f>IF(Table1[[#This Row],[customer_subscription]]=1,"Subscribed","Not Subscribed")</f>
        <v>Not Subscribed</v>
      </c>
    </row>
    <row r="3242" spans="1:26" x14ac:dyDescent="0.25">
      <c r="A3242">
        <v>3241</v>
      </c>
      <c r="B3242">
        <v>56</v>
      </c>
      <c r="C3242" t="s">
        <v>156</v>
      </c>
      <c r="D3242">
        <v>3241</v>
      </c>
      <c r="E3242" t="s">
        <v>44</v>
      </c>
      <c r="F3242" t="s">
        <v>45</v>
      </c>
      <c r="G3242">
        <v>3241</v>
      </c>
      <c r="H3242">
        <v>4088</v>
      </c>
      <c r="I3242">
        <v>37</v>
      </c>
      <c r="J3242" t="s">
        <v>67</v>
      </c>
      <c r="K3242" t="s">
        <v>47</v>
      </c>
      <c r="L3242" t="s">
        <v>86</v>
      </c>
      <c r="M3242" t="s">
        <v>60</v>
      </c>
      <c r="N3242">
        <v>3.8</v>
      </c>
      <c r="O3242">
        <v>0</v>
      </c>
      <c r="P3242" t="s">
        <v>73</v>
      </c>
      <c r="Q3242" t="s">
        <v>155</v>
      </c>
      <c r="R3242" t="s">
        <v>155</v>
      </c>
      <c r="S3242">
        <v>37</v>
      </c>
      <c r="T3242" t="s">
        <v>78</v>
      </c>
      <c r="U3242" t="s">
        <v>91</v>
      </c>
      <c r="V3242" s="1">
        <v>45550</v>
      </c>
      <c r="W3242">
        <f>Table1[[#This Row],[customer_purchase count]]+1</f>
        <v>38</v>
      </c>
      <c r="X3242">
        <f>Table1[[#This Row],[customer_purchase count]]*Rules!$B$3</f>
        <v>2211.2812820512822</v>
      </c>
      <c r="Y3242" t="str">
        <f>IF(Table1[[#This Row],[customer_subscription]]=1,"Subscribed","Not Subscribed")</f>
        <v>Not Subscribed</v>
      </c>
    </row>
    <row r="3243" spans="1:26" x14ac:dyDescent="0.25">
      <c r="A3243">
        <v>3242</v>
      </c>
      <c r="B3243">
        <v>50</v>
      </c>
      <c r="C3243" t="s">
        <v>156</v>
      </c>
      <c r="D3243">
        <v>3242</v>
      </c>
      <c r="E3243" t="s">
        <v>69</v>
      </c>
      <c r="F3243" t="s">
        <v>70</v>
      </c>
      <c r="G3243">
        <v>3242</v>
      </c>
      <c r="H3243">
        <v>4089</v>
      </c>
      <c r="I3243">
        <v>58</v>
      </c>
      <c r="J3243" t="s">
        <v>142</v>
      </c>
      <c r="K3243" t="s">
        <v>47</v>
      </c>
      <c r="L3243" t="s">
        <v>96</v>
      </c>
      <c r="M3243" t="s">
        <v>56</v>
      </c>
      <c r="N3243">
        <v>4.4000000000000004</v>
      </c>
      <c r="O3243">
        <v>0</v>
      </c>
      <c r="P3243" t="s">
        <v>77</v>
      </c>
      <c r="Q3243" t="s">
        <v>155</v>
      </c>
      <c r="R3243" t="s">
        <v>155</v>
      </c>
      <c r="S3243">
        <v>30</v>
      </c>
      <c r="T3243" t="s">
        <v>49</v>
      </c>
      <c r="U3243" t="s">
        <v>61</v>
      </c>
      <c r="V3243" s="1">
        <v>45480</v>
      </c>
      <c r="W3243">
        <f>Table1[[#This Row],[customer_purchase count]]+1</f>
        <v>31</v>
      </c>
      <c r="X3243">
        <f>Table1[[#This Row],[customer_purchase count]]*Rules!$B$3</f>
        <v>1792.9307692307693</v>
      </c>
      <c r="Y3243" t="str">
        <f>IF(Table1[[#This Row],[customer_subscription]]=1,"Subscribed","Not Subscribed")</f>
        <v>Not Subscribed</v>
      </c>
    </row>
    <row r="3244" spans="1:26" x14ac:dyDescent="0.25">
      <c r="A3244">
        <v>3243</v>
      </c>
      <c r="B3244">
        <v>45</v>
      </c>
      <c r="C3244" t="s">
        <v>156</v>
      </c>
      <c r="D3244">
        <v>3243</v>
      </c>
      <c r="E3244" t="s">
        <v>128</v>
      </c>
      <c r="F3244" t="s">
        <v>24</v>
      </c>
      <c r="G3244">
        <v>3243</v>
      </c>
      <c r="H3244">
        <v>4090</v>
      </c>
      <c r="I3244">
        <v>74</v>
      </c>
      <c r="J3244" t="s">
        <v>50</v>
      </c>
      <c r="K3244" t="s">
        <v>39</v>
      </c>
      <c r="L3244" t="s">
        <v>121</v>
      </c>
      <c r="M3244" t="s">
        <v>60</v>
      </c>
      <c r="N3244">
        <v>2.8</v>
      </c>
      <c r="O3244">
        <v>0</v>
      </c>
      <c r="P3244" t="s">
        <v>29</v>
      </c>
      <c r="Q3244" t="s">
        <v>155</v>
      </c>
      <c r="R3244" t="s">
        <v>155</v>
      </c>
      <c r="S3244">
        <v>17</v>
      </c>
      <c r="T3244" t="s">
        <v>31</v>
      </c>
      <c r="U3244" t="s">
        <v>43</v>
      </c>
      <c r="V3244" s="1">
        <v>45615</v>
      </c>
      <c r="W3244">
        <f>Table1[[#This Row],[customer_purchase count]]+1</f>
        <v>18</v>
      </c>
      <c r="X3244">
        <f>Table1[[#This Row],[customer_purchase count]]*Rules!$B$3</f>
        <v>1015.9941025641026</v>
      </c>
      <c r="Y3244" t="str">
        <f>IF(Table1[[#This Row],[customer_subscription]]=1,"Subscribed","Not Subscribed")</f>
        <v>Not Subscribed</v>
      </c>
      <c r="Z3244" t="s">
        <v>194</v>
      </c>
    </row>
    <row r="3245" spans="1:26" x14ac:dyDescent="0.25">
      <c r="A3245">
        <v>3244</v>
      </c>
      <c r="B3245">
        <v>45</v>
      </c>
      <c r="C3245" t="s">
        <v>156</v>
      </c>
      <c r="D3245">
        <v>3244</v>
      </c>
      <c r="E3245" t="s">
        <v>107</v>
      </c>
      <c r="F3245" t="s">
        <v>24</v>
      </c>
      <c r="G3245">
        <v>3244</v>
      </c>
      <c r="H3245">
        <v>4091</v>
      </c>
      <c r="I3245">
        <v>99</v>
      </c>
      <c r="J3245" t="s">
        <v>138</v>
      </c>
      <c r="K3245" t="s">
        <v>26</v>
      </c>
      <c r="L3245" t="s">
        <v>97</v>
      </c>
      <c r="M3245" t="s">
        <v>56</v>
      </c>
      <c r="N3245">
        <v>5</v>
      </c>
      <c r="O3245">
        <v>0</v>
      </c>
      <c r="P3245" t="s">
        <v>77</v>
      </c>
      <c r="Q3245" t="s">
        <v>155</v>
      </c>
      <c r="R3245" t="s">
        <v>155</v>
      </c>
      <c r="S3245">
        <v>11</v>
      </c>
      <c r="T3245" t="s">
        <v>78</v>
      </c>
      <c r="U3245" t="s">
        <v>100</v>
      </c>
      <c r="V3245" s="1">
        <v>45513</v>
      </c>
      <c r="W3245">
        <f>Table1[[#This Row],[customer_purchase count]]+1</f>
        <v>12</v>
      </c>
      <c r="X3245">
        <f>Table1[[#This Row],[customer_purchase count]]*Rules!$B$3</f>
        <v>657.40794871794878</v>
      </c>
      <c r="Y3245" t="str">
        <f>IF(Table1[[#This Row],[customer_subscription]]=1,"Subscribed","Not Subscribed")</f>
        <v>Not Subscribed</v>
      </c>
      <c r="Z3245" t="s">
        <v>194</v>
      </c>
    </row>
    <row r="3246" spans="1:26" x14ac:dyDescent="0.25">
      <c r="A3246">
        <v>3245</v>
      </c>
      <c r="B3246">
        <v>65</v>
      </c>
      <c r="C3246" t="s">
        <v>156</v>
      </c>
      <c r="D3246">
        <v>3245</v>
      </c>
      <c r="E3246" t="s">
        <v>33</v>
      </c>
      <c r="F3246" t="s">
        <v>24</v>
      </c>
      <c r="G3246">
        <v>3245</v>
      </c>
      <c r="H3246">
        <v>4093</v>
      </c>
      <c r="I3246">
        <v>81</v>
      </c>
      <c r="J3246" t="s">
        <v>75</v>
      </c>
      <c r="K3246" t="s">
        <v>47</v>
      </c>
      <c r="L3246" t="s">
        <v>97</v>
      </c>
      <c r="M3246" t="s">
        <v>60</v>
      </c>
      <c r="N3246">
        <v>4.7</v>
      </c>
      <c r="O3246">
        <v>0</v>
      </c>
      <c r="P3246" t="s">
        <v>29</v>
      </c>
      <c r="Q3246" t="s">
        <v>155</v>
      </c>
      <c r="R3246" t="s">
        <v>155</v>
      </c>
      <c r="S3246">
        <v>42</v>
      </c>
      <c r="T3246" t="s">
        <v>42</v>
      </c>
      <c r="U3246" t="s">
        <v>52</v>
      </c>
      <c r="V3246" s="1">
        <v>45542</v>
      </c>
      <c r="W3246">
        <f>Table1[[#This Row],[customer_purchase count]]+1</f>
        <v>43</v>
      </c>
      <c r="X3246">
        <f>Table1[[#This Row],[customer_purchase count]]*Rules!$B$3</f>
        <v>2510.103076923077</v>
      </c>
      <c r="Y3246" t="str">
        <f>IF(Table1[[#This Row],[customer_subscription]]=1,"Subscribed","Not Subscribed")</f>
        <v>Not Subscribed</v>
      </c>
    </row>
    <row r="3247" spans="1:26" x14ac:dyDescent="0.25">
      <c r="A3247">
        <v>3246</v>
      </c>
      <c r="B3247">
        <v>63</v>
      </c>
      <c r="C3247" t="s">
        <v>156</v>
      </c>
      <c r="D3247">
        <v>3246</v>
      </c>
      <c r="E3247" t="s">
        <v>98</v>
      </c>
      <c r="F3247" t="s">
        <v>24</v>
      </c>
      <c r="G3247">
        <v>3246</v>
      </c>
      <c r="H3247">
        <v>4094</v>
      </c>
      <c r="I3247">
        <v>76</v>
      </c>
      <c r="J3247" t="s">
        <v>114</v>
      </c>
      <c r="K3247" t="s">
        <v>47</v>
      </c>
      <c r="L3247" t="s">
        <v>76</v>
      </c>
      <c r="M3247" t="s">
        <v>60</v>
      </c>
      <c r="N3247">
        <v>3.2</v>
      </c>
      <c r="O3247">
        <v>0</v>
      </c>
      <c r="P3247" t="s">
        <v>48</v>
      </c>
      <c r="Q3247" t="s">
        <v>155</v>
      </c>
      <c r="R3247" t="s">
        <v>155</v>
      </c>
      <c r="S3247">
        <v>20</v>
      </c>
      <c r="T3247" t="s">
        <v>36</v>
      </c>
      <c r="U3247" t="s">
        <v>43</v>
      </c>
      <c r="V3247" s="1">
        <v>45552</v>
      </c>
      <c r="W3247">
        <f>Table1[[#This Row],[customer_purchase count]]+1</f>
        <v>21</v>
      </c>
      <c r="X3247">
        <f>Table1[[#This Row],[customer_purchase count]]*Rules!$B$3</f>
        <v>1195.2871794871796</v>
      </c>
      <c r="Y3247" t="str">
        <f>IF(Table1[[#This Row],[customer_subscription]]=1,"Subscribed","Not Subscribed")</f>
        <v>Not Subscribed</v>
      </c>
    </row>
    <row r="3248" spans="1:26" x14ac:dyDescent="0.25">
      <c r="A3248">
        <v>3247</v>
      </c>
      <c r="B3248">
        <v>70</v>
      </c>
      <c r="C3248" t="s">
        <v>156</v>
      </c>
      <c r="D3248">
        <v>3247</v>
      </c>
      <c r="E3248" t="s">
        <v>53</v>
      </c>
      <c r="F3248" t="s">
        <v>45</v>
      </c>
      <c r="G3248">
        <v>3247</v>
      </c>
      <c r="H3248">
        <v>4095</v>
      </c>
      <c r="I3248">
        <v>98</v>
      </c>
      <c r="J3248" t="s">
        <v>154</v>
      </c>
      <c r="K3248" t="s">
        <v>47</v>
      </c>
      <c r="L3248" t="s">
        <v>139</v>
      </c>
      <c r="M3248" t="s">
        <v>56</v>
      </c>
      <c r="N3248">
        <v>2.9</v>
      </c>
      <c r="O3248">
        <v>0</v>
      </c>
      <c r="P3248" t="s">
        <v>77</v>
      </c>
      <c r="Q3248" t="s">
        <v>155</v>
      </c>
      <c r="R3248" t="s">
        <v>155</v>
      </c>
      <c r="S3248">
        <v>37</v>
      </c>
      <c r="T3248" t="s">
        <v>36</v>
      </c>
      <c r="U3248" t="s">
        <v>91</v>
      </c>
      <c r="V3248" s="1">
        <v>45498</v>
      </c>
      <c r="W3248">
        <f>Table1[[#This Row],[customer_purchase count]]+1</f>
        <v>38</v>
      </c>
      <c r="X3248">
        <f>Table1[[#This Row],[customer_purchase count]]*Rules!$B$3</f>
        <v>2211.2812820512822</v>
      </c>
      <c r="Y3248" t="str">
        <f>IF(Table1[[#This Row],[customer_subscription]]=1,"Subscribed","Not Subscribed")</f>
        <v>Not Subscribed</v>
      </c>
    </row>
    <row r="3249" spans="1:26" x14ac:dyDescent="0.25">
      <c r="A3249">
        <v>3248</v>
      </c>
      <c r="B3249">
        <v>53</v>
      </c>
      <c r="C3249" t="s">
        <v>156</v>
      </c>
      <c r="D3249">
        <v>3248</v>
      </c>
      <c r="E3249" t="s">
        <v>146</v>
      </c>
      <c r="F3249" t="s">
        <v>70</v>
      </c>
      <c r="G3249">
        <v>3248</v>
      </c>
      <c r="H3249">
        <v>4096</v>
      </c>
      <c r="I3249">
        <v>91</v>
      </c>
      <c r="J3249" t="s">
        <v>75</v>
      </c>
      <c r="K3249" t="s">
        <v>47</v>
      </c>
      <c r="L3249" t="s">
        <v>88</v>
      </c>
      <c r="M3249" t="s">
        <v>56</v>
      </c>
      <c r="N3249">
        <v>3.7</v>
      </c>
      <c r="O3249">
        <v>0</v>
      </c>
      <c r="P3249" t="s">
        <v>29</v>
      </c>
      <c r="Q3249" t="s">
        <v>155</v>
      </c>
      <c r="R3249" t="s">
        <v>155</v>
      </c>
      <c r="S3249">
        <v>12</v>
      </c>
      <c r="T3249" t="s">
        <v>49</v>
      </c>
      <c r="U3249" t="s">
        <v>32</v>
      </c>
      <c r="V3249" s="1">
        <v>45481</v>
      </c>
      <c r="W3249">
        <f>Table1[[#This Row],[customer_purchase count]]+1</f>
        <v>13</v>
      </c>
      <c r="X3249">
        <f>Table1[[#This Row],[customer_purchase count]]*Rules!$B$3</f>
        <v>717.17230769230775</v>
      </c>
      <c r="Y3249" t="str">
        <f>IF(Table1[[#This Row],[customer_subscription]]=1,"Subscribed","Not Subscribed")</f>
        <v>Not Subscribed</v>
      </c>
      <c r="Z3249" t="s">
        <v>194</v>
      </c>
    </row>
    <row r="3250" spans="1:26" x14ac:dyDescent="0.25">
      <c r="A3250">
        <v>3249</v>
      </c>
      <c r="B3250">
        <v>22</v>
      </c>
      <c r="C3250" t="s">
        <v>156</v>
      </c>
      <c r="D3250">
        <v>3249</v>
      </c>
      <c r="E3250" t="s">
        <v>116</v>
      </c>
      <c r="F3250" t="s">
        <v>24</v>
      </c>
      <c r="G3250">
        <v>3249</v>
      </c>
      <c r="H3250">
        <v>4097</v>
      </c>
      <c r="I3250">
        <v>79</v>
      </c>
      <c r="J3250" t="s">
        <v>141</v>
      </c>
      <c r="K3250" t="s">
        <v>39</v>
      </c>
      <c r="L3250" t="s">
        <v>88</v>
      </c>
      <c r="M3250" t="s">
        <v>56</v>
      </c>
      <c r="N3250">
        <v>4.2</v>
      </c>
      <c r="O3250">
        <v>0</v>
      </c>
      <c r="P3250" t="s">
        <v>41</v>
      </c>
      <c r="Q3250" t="s">
        <v>155</v>
      </c>
      <c r="R3250" t="s">
        <v>155</v>
      </c>
      <c r="S3250">
        <v>41</v>
      </c>
      <c r="T3250" t="s">
        <v>78</v>
      </c>
      <c r="U3250" t="s">
        <v>61</v>
      </c>
      <c r="V3250" s="1">
        <v>45458</v>
      </c>
      <c r="W3250">
        <f>Table1[[#This Row],[customer_purchase count]]+1</f>
        <v>42</v>
      </c>
      <c r="X3250">
        <f>Table1[[#This Row],[customer_purchase count]]*Rules!$B$3</f>
        <v>2450.3387179487181</v>
      </c>
      <c r="Y3250" t="str">
        <f>IF(Table1[[#This Row],[customer_subscription]]=1,"Subscribed","Not Subscribed")</f>
        <v>Not Subscribed</v>
      </c>
    </row>
    <row r="3251" spans="1:26" x14ac:dyDescent="0.25">
      <c r="A3251">
        <v>3250</v>
      </c>
      <c r="B3251">
        <v>26</v>
      </c>
      <c r="C3251" t="s">
        <v>156</v>
      </c>
      <c r="D3251">
        <v>3250</v>
      </c>
      <c r="E3251" t="s">
        <v>135</v>
      </c>
      <c r="F3251" t="s">
        <v>70</v>
      </c>
      <c r="G3251">
        <v>3250</v>
      </c>
      <c r="H3251">
        <v>4099</v>
      </c>
      <c r="I3251">
        <v>83</v>
      </c>
      <c r="J3251" t="s">
        <v>144</v>
      </c>
      <c r="K3251" t="s">
        <v>47</v>
      </c>
      <c r="L3251" t="s">
        <v>72</v>
      </c>
      <c r="M3251" t="s">
        <v>56</v>
      </c>
      <c r="N3251">
        <v>3.4</v>
      </c>
      <c r="O3251">
        <v>0</v>
      </c>
      <c r="P3251" t="s">
        <v>29</v>
      </c>
      <c r="Q3251" t="s">
        <v>155</v>
      </c>
      <c r="R3251" t="s">
        <v>155</v>
      </c>
      <c r="S3251">
        <v>32</v>
      </c>
      <c r="T3251" t="s">
        <v>42</v>
      </c>
      <c r="U3251" t="s">
        <v>61</v>
      </c>
      <c r="V3251" s="1">
        <v>45466</v>
      </c>
      <c r="W3251">
        <f>Table1[[#This Row],[customer_purchase count]]+1</f>
        <v>33</v>
      </c>
      <c r="X3251">
        <f>Table1[[#This Row],[customer_purchase count]]*Rules!$B$3</f>
        <v>1912.4594871794873</v>
      </c>
      <c r="Y3251" t="str">
        <f>IF(Table1[[#This Row],[customer_subscription]]=1,"Subscribed","Not Subscribed")</f>
        <v>Not Subscribed</v>
      </c>
    </row>
    <row r="3252" spans="1:26" x14ac:dyDescent="0.25">
      <c r="A3252">
        <v>3251</v>
      </c>
      <c r="B3252">
        <v>23</v>
      </c>
      <c r="C3252" t="s">
        <v>156</v>
      </c>
      <c r="D3252">
        <v>3251</v>
      </c>
      <c r="E3252" t="s">
        <v>65</v>
      </c>
      <c r="F3252" t="s">
        <v>66</v>
      </c>
      <c r="G3252">
        <v>3251</v>
      </c>
      <c r="H3252">
        <v>4100</v>
      </c>
      <c r="I3252">
        <v>90</v>
      </c>
      <c r="J3252" t="s">
        <v>151</v>
      </c>
      <c r="K3252" t="s">
        <v>47</v>
      </c>
      <c r="L3252" t="s">
        <v>88</v>
      </c>
      <c r="M3252" t="s">
        <v>40</v>
      </c>
      <c r="N3252">
        <v>2.9</v>
      </c>
      <c r="O3252">
        <v>0</v>
      </c>
      <c r="P3252" t="s">
        <v>73</v>
      </c>
      <c r="Q3252" t="s">
        <v>155</v>
      </c>
      <c r="R3252" t="s">
        <v>155</v>
      </c>
      <c r="S3252">
        <v>15</v>
      </c>
      <c r="T3252" t="s">
        <v>31</v>
      </c>
      <c r="U3252" t="s">
        <v>43</v>
      </c>
      <c r="V3252" s="1">
        <v>45366</v>
      </c>
      <c r="W3252">
        <f>Table1[[#This Row],[customer_purchase count]]+1</f>
        <v>16</v>
      </c>
      <c r="X3252">
        <f>Table1[[#This Row],[customer_purchase count]]*Rules!$B$3</f>
        <v>896.46538461538466</v>
      </c>
      <c r="Y3252" t="str">
        <f>IF(Table1[[#This Row],[customer_subscription]]=1,"Subscribed","Not Subscribed")</f>
        <v>Not Subscribed</v>
      </c>
      <c r="Z3252" t="s">
        <v>187</v>
      </c>
    </row>
    <row r="3253" spans="1:26" x14ac:dyDescent="0.25">
      <c r="A3253">
        <v>3252</v>
      </c>
      <c r="B3253">
        <v>25</v>
      </c>
      <c r="C3253" t="s">
        <v>156</v>
      </c>
      <c r="D3253">
        <v>3252</v>
      </c>
      <c r="E3253" t="s">
        <v>65</v>
      </c>
      <c r="F3253" t="s">
        <v>66</v>
      </c>
      <c r="G3253">
        <v>3252</v>
      </c>
      <c r="H3253">
        <v>4101</v>
      </c>
      <c r="I3253">
        <v>20</v>
      </c>
      <c r="J3253" t="s">
        <v>110</v>
      </c>
      <c r="K3253" t="s">
        <v>47</v>
      </c>
      <c r="L3253" t="s">
        <v>83</v>
      </c>
      <c r="M3253" t="s">
        <v>28</v>
      </c>
      <c r="N3253">
        <v>3.7</v>
      </c>
      <c r="O3253">
        <v>0</v>
      </c>
      <c r="P3253" t="s">
        <v>57</v>
      </c>
      <c r="Q3253" t="s">
        <v>155</v>
      </c>
      <c r="R3253" t="s">
        <v>155</v>
      </c>
      <c r="S3253">
        <v>39</v>
      </c>
      <c r="T3253" t="s">
        <v>31</v>
      </c>
      <c r="U3253" t="s">
        <v>61</v>
      </c>
      <c r="V3253" s="1">
        <v>45648</v>
      </c>
      <c r="W3253">
        <f>Table1[[#This Row],[customer_purchase count]]+1</f>
        <v>40</v>
      </c>
      <c r="X3253">
        <f>Table1[[#This Row],[customer_purchase count]]*Rules!$B$3</f>
        <v>2330.81</v>
      </c>
      <c r="Y3253" t="str">
        <f>IF(Table1[[#This Row],[customer_subscription]]=1,"Subscribed","Not Subscribed")</f>
        <v>Not Subscribed</v>
      </c>
    </row>
    <row r="3254" spans="1:26" x14ac:dyDescent="0.25">
      <c r="A3254">
        <v>3253</v>
      </c>
      <c r="B3254">
        <v>69</v>
      </c>
      <c r="C3254" t="s">
        <v>156</v>
      </c>
      <c r="D3254">
        <v>3253</v>
      </c>
      <c r="E3254" t="s">
        <v>44</v>
      </c>
      <c r="F3254" t="s">
        <v>45</v>
      </c>
      <c r="G3254">
        <v>3253</v>
      </c>
      <c r="H3254">
        <v>4102</v>
      </c>
      <c r="I3254">
        <v>21</v>
      </c>
      <c r="J3254" t="s">
        <v>59</v>
      </c>
      <c r="K3254" t="s">
        <v>26</v>
      </c>
      <c r="L3254" t="s">
        <v>113</v>
      </c>
      <c r="M3254" t="s">
        <v>40</v>
      </c>
      <c r="N3254">
        <v>2.7</v>
      </c>
      <c r="O3254">
        <v>0</v>
      </c>
      <c r="P3254" t="s">
        <v>77</v>
      </c>
      <c r="Q3254" t="s">
        <v>155</v>
      </c>
      <c r="R3254" t="s">
        <v>155</v>
      </c>
      <c r="S3254">
        <v>48</v>
      </c>
      <c r="T3254" t="s">
        <v>42</v>
      </c>
      <c r="U3254" t="s">
        <v>32</v>
      </c>
      <c r="V3254" s="1">
        <v>45396</v>
      </c>
      <c r="W3254">
        <f>Table1[[#This Row],[customer_purchase count]]+1</f>
        <v>49</v>
      </c>
      <c r="X3254">
        <f>Table1[[#This Row],[customer_purchase count]]*Rules!$B$3</f>
        <v>2868.689230769231</v>
      </c>
      <c r="Y3254" t="str">
        <f>IF(Table1[[#This Row],[customer_subscription]]=1,"Subscribed","Not Subscribed")</f>
        <v>Not Subscribed</v>
      </c>
    </row>
    <row r="3255" spans="1:26" x14ac:dyDescent="0.25">
      <c r="A3255">
        <v>3254</v>
      </c>
      <c r="B3255">
        <v>36</v>
      </c>
      <c r="C3255" t="s">
        <v>156</v>
      </c>
      <c r="D3255">
        <v>3254</v>
      </c>
      <c r="E3255" t="s">
        <v>135</v>
      </c>
      <c r="F3255" t="s">
        <v>70</v>
      </c>
      <c r="G3255">
        <v>3254</v>
      </c>
      <c r="H3255">
        <v>4103</v>
      </c>
      <c r="I3255">
        <v>60</v>
      </c>
      <c r="J3255" t="s">
        <v>148</v>
      </c>
      <c r="K3255" t="s">
        <v>47</v>
      </c>
      <c r="L3255" t="s">
        <v>113</v>
      </c>
      <c r="M3255" t="s">
        <v>60</v>
      </c>
      <c r="N3255">
        <v>3.2</v>
      </c>
      <c r="O3255">
        <v>0</v>
      </c>
      <c r="P3255" t="s">
        <v>73</v>
      </c>
      <c r="Q3255" t="s">
        <v>155</v>
      </c>
      <c r="R3255" t="s">
        <v>155</v>
      </c>
      <c r="S3255">
        <v>8</v>
      </c>
      <c r="T3255" t="s">
        <v>31</v>
      </c>
      <c r="U3255" t="s">
        <v>32</v>
      </c>
      <c r="V3255" s="1">
        <v>45552</v>
      </c>
      <c r="W3255">
        <f>Table1[[#This Row],[customer_purchase count]]+1</f>
        <v>9</v>
      </c>
      <c r="X3255">
        <f>Table1[[#This Row],[customer_purchase count]]*Rules!$B$3</f>
        <v>478.11487179487182</v>
      </c>
      <c r="Y3255" t="str">
        <f>IF(Table1[[#This Row],[customer_subscription]]=1,"Subscribed","Not Subscribed")</f>
        <v>Not Subscribed</v>
      </c>
      <c r="Z3255" t="s">
        <v>194</v>
      </c>
    </row>
    <row r="3256" spans="1:26" x14ac:dyDescent="0.25">
      <c r="A3256">
        <v>3255</v>
      </c>
      <c r="B3256">
        <v>21</v>
      </c>
      <c r="C3256" t="s">
        <v>156</v>
      </c>
      <c r="D3256">
        <v>3255</v>
      </c>
      <c r="E3256" t="s">
        <v>33</v>
      </c>
      <c r="F3256" t="s">
        <v>24</v>
      </c>
      <c r="G3256">
        <v>3255</v>
      </c>
      <c r="H3256">
        <v>4105</v>
      </c>
      <c r="I3256">
        <v>31</v>
      </c>
      <c r="J3256" t="s">
        <v>119</v>
      </c>
      <c r="K3256" t="s">
        <v>39</v>
      </c>
      <c r="L3256" t="s">
        <v>139</v>
      </c>
      <c r="M3256" t="s">
        <v>28</v>
      </c>
      <c r="N3256">
        <v>4.9000000000000004</v>
      </c>
      <c r="O3256">
        <v>0</v>
      </c>
      <c r="P3256" t="s">
        <v>77</v>
      </c>
      <c r="Q3256" t="s">
        <v>155</v>
      </c>
      <c r="R3256" t="s">
        <v>155</v>
      </c>
      <c r="S3256">
        <v>11</v>
      </c>
      <c r="T3256" t="s">
        <v>78</v>
      </c>
      <c r="U3256" t="s">
        <v>100</v>
      </c>
      <c r="V3256" s="1">
        <v>45634</v>
      </c>
      <c r="W3256">
        <f>Table1[[#This Row],[customer_purchase count]]+1</f>
        <v>12</v>
      </c>
      <c r="X3256">
        <f>Table1[[#This Row],[customer_purchase count]]*Rules!$B$3</f>
        <v>657.40794871794878</v>
      </c>
      <c r="Y3256" t="str">
        <f>IF(Table1[[#This Row],[customer_subscription]]=1,"Subscribed","Not Subscribed")</f>
        <v>Not Subscribed</v>
      </c>
      <c r="Z3256" t="s">
        <v>187</v>
      </c>
    </row>
    <row r="3257" spans="1:26" x14ac:dyDescent="0.25">
      <c r="A3257">
        <v>3256</v>
      </c>
      <c r="B3257">
        <v>57</v>
      </c>
      <c r="C3257" t="s">
        <v>156</v>
      </c>
      <c r="D3257">
        <v>3256</v>
      </c>
      <c r="E3257" t="s">
        <v>62</v>
      </c>
      <c r="F3257" t="s">
        <v>24</v>
      </c>
      <c r="G3257">
        <v>3256</v>
      </c>
      <c r="H3257">
        <v>4106</v>
      </c>
      <c r="I3257">
        <v>40</v>
      </c>
      <c r="J3257" t="s">
        <v>130</v>
      </c>
      <c r="K3257" t="s">
        <v>47</v>
      </c>
      <c r="L3257" t="s">
        <v>97</v>
      </c>
      <c r="M3257" t="s">
        <v>60</v>
      </c>
      <c r="N3257">
        <v>2.8</v>
      </c>
      <c r="O3257">
        <v>0</v>
      </c>
      <c r="P3257" t="s">
        <v>48</v>
      </c>
      <c r="Q3257" t="s">
        <v>155</v>
      </c>
      <c r="R3257" t="s">
        <v>155</v>
      </c>
      <c r="S3257">
        <v>36</v>
      </c>
      <c r="T3257" t="s">
        <v>78</v>
      </c>
      <c r="U3257" t="s">
        <v>91</v>
      </c>
      <c r="V3257" s="1">
        <v>45593</v>
      </c>
      <c r="W3257">
        <f>Table1[[#This Row],[customer_purchase count]]+1</f>
        <v>37</v>
      </c>
      <c r="X3257">
        <f>Table1[[#This Row],[customer_purchase count]]*Rules!$B$3</f>
        <v>2151.5169230769234</v>
      </c>
      <c r="Y3257" t="str">
        <f>IF(Table1[[#This Row],[customer_subscription]]=1,"Subscribed","Not Subscribed")</f>
        <v>Not Subscribed</v>
      </c>
    </row>
    <row r="3258" spans="1:26" x14ac:dyDescent="0.25">
      <c r="A3258">
        <v>3257</v>
      </c>
      <c r="B3258">
        <v>60</v>
      </c>
      <c r="C3258" t="s">
        <v>156</v>
      </c>
      <c r="D3258">
        <v>3257</v>
      </c>
      <c r="E3258" t="s">
        <v>92</v>
      </c>
      <c r="F3258" t="s">
        <v>70</v>
      </c>
      <c r="G3258">
        <v>3257</v>
      </c>
      <c r="H3258">
        <v>4107</v>
      </c>
      <c r="I3258">
        <v>26</v>
      </c>
      <c r="J3258" t="s">
        <v>153</v>
      </c>
      <c r="K3258" t="s">
        <v>26</v>
      </c>
      <c r="L3258" t="s">
        <v>88</v>
      </c>
      <c r="M3258" t="s">
        <v>28</v>
      </c>
      <c r="N3258">
        <v>4.7</v>
      </c>
      <c r="O3258">
        <v>0</v>
      </c>
      <c r="P3258" t="s">
        <v>41</v>
      </c>
      <c r="Q3258" t="s">
        <v>155</v>
      </c>
      <c r="R3258" t="s">
        <v>155</v>
      </c>
      <c r="S3258">
        <v>50</v>
      </c>
      <c r="T3258" t="s">
        <v>31</v>
      </c>
      <c r="U3258" t="s">
        <v>100</v>
      </c>
      <c r="V3258" s="1">
        <v>45643</v>
      </c>
      <c r="W3258">
        <f>Table1[[#This Row],[customer_purchase count]]+1</f>
        <v>51</v>
      </c>
      <c r="X3258">
        <f>Table1[[#This Row],[customer_purchase count]]*Rules!$B$3</f>
        <v>2988.2179487179487</v>
      </c>
      <c r="Y3258" t="str">
        <f>IF(Table1[[#This Row],[customer_subscription]]=1,"Subscribed","Not Subscribed")</f>
        <v>Not Subscribed</v>
      </c>
    </row>
    <row r="3259" spans="1:26" x14ac:dyDescent="0.25">
      <c r="A3259">
        <v>3258</v>
      </c>
      <c r="B3259">
        <v>44</v>
      </c>
      <c r="C3259" t="s">
        <v>156</v>
      </c>
      <c r="D3259">
        <v>3258</v>
      </c>
      <c r="E3259" t="s">
        <v>58</v>
      </c>
      <c r="F3259" t="s">
        <v>24</v>
      </c>
      <c r="G3259">
        <v>3258</v>
      </c>
      <c r="H3259">
        <v>4108</v>
      </c>
      <c r="I3259">
        <v>98</v>
      </c>
      <c r="J3259" t="s">
        <v>151</v>
      </c>
      <c r="K3259" t="s">
        <v>47</v>
      </c>
      <c r="L3259" t="s">
        <v>113</v>
      </c>
      <c r="M3259" t="s">
        <v>60</v>
      </c>
      <c r="N3259">
        <v>3.3</v>
      </c>
      <c r="O3259">
        <v>0</v>
      </c>
      <c r="P3259" t="s">
        <v>29</v>
      </c>
      <c r="Q3259" t="s">
        <v>155</v>
      </c>
      <c r="R3259" t="s">
        <v>155</v>
      </c>
      <c r="S3259">
        <v>39</v>
      </c>
      <c r="T3259" t="s">
        <v>31</v>
      </c>
      <c r="U3259" t="s">
        <v>100</v>
      </c>
      <c r="V3259" s="1">
        <v>45571</v>
      </c>
      <c r="W3259">
        <f>Table1[[#This Row],[customer_purchase count]]+1</f>
        <v>40</v>
      </c>
      <c r="X3259">
        <f>Table1[[#This Row],[customer_purchase count]]*Rules!$B$3</f>
        <v>2330.81</v>
      </c>
      <c r="Y3259" t="str">
        <f>IF(Table1[[#This Row],[customer_subscription]]=1,"Subscribed","Not Subscribed")</f>
        <v>Not Subscribed</v>
      </c>
    </row>
    <row r="3260" spans="1:26" x14ac:dyDescent="0.25">
      <c r="A3260">
        <v>3259</v>
      </c>
      <c r="B3260">
        <v>31</v>
      </c>
      <c r="C3260" t="s">
        <v>156</v>
      </c>
      <c r="D3260">
        <v>3259</v>
      </c>
      <c r="E3260" t="s">
        <v>74</v>
      </c>
      <c r="F3260" t="s">
        <v>45</v>
      </c>
      <c r="G3260">
        <v>3259</v>
      </c>
      <c r="H3260">
        <v>4109</v>
      </c>
      <c r="I3260">
        <v>51</v>
      </c>
      <c r="J3260" t="s">
        <v>130</v>
      </c>
      <c r="K3260" t="s">
        <v>47</v>
      </c>
      <c r="L3260" t="s">
        <v>139</v>
      </c>
      <c r="M3260" t="s">
        <v>40</v>
      </c>
      <c r="N3260">
        <v>4.3</v>
      </c>
      <c r="O3260">
        <v>0</v>
      </c>
      <c r="P3260" t="s">
        <v>29</v>
      </c>
      <c r="Q3260" t="s">
        <v>155</v>
      </c>
      <c r="R3260" t="s">
        <v>155</v>
      </c>
      <c r="S3260">
        <v>11</v>
      </c>
      <c r="T3260" t="s">
        <v>42</v>
      </c>
      <c r="U3260" t="s">
        <v>79</v>
      </c>
      <c r="V3260" s="1">
        <v>45421</v>
      </c>
      <c r="W3260">
        <f>Table1[[#This Row],[customer_purchase count]]+1</f>
        <v>12</v>
      </c>
      <c r="X3260">
        <f>Table1[[#This Row],[customer_purchase count]]*Rules!$B$3</f>
        <v>657.40794871794878</v>
      </c>
      <c r="Y3260" t="str">
        <f>IF(Table1[[#This Row],[customer_subscription]]=1,"Subscribed","Not Subscribed")</f>
        <v>Not Subscribed</v>
      </c>
      <c r="Z3260" t="s">
        <v>194</v>
      </c>
    </row>
    <row r="3261" spans="1:26" x14ac:dyDescent="0.25">
      <c r="A3261">
        <v>3260</v>
      </c>
      <c r="B3261">
        <v>57</v>
      </c>
      <c r="C3261" t="s">
        <v>156</v>
      </c>
      <c r="D3261">
        <v>3260</v>
      </c>
      <c r="E3261" t="s">
        <v>127</v>
      </c>
      <c r="F3261" t="s">
        <v>70</v>
      </c>
      <c r="G3261">
        <v>3260</v>
      </c>
      <c r="H3261">
        <v>4111</v>
      </c>
      <c r="I3261">
        <v>95</v>
      </c>
      <c r="J3261" t="s">
        <v>104</v>
      </c>
      <c r="K3261" t="s">
        <v>95</v>
      </c>
      <c r="L3261" t="s">
        <v>129</v>
      </c>
      <c r="M3261" t="s">
        <v>60</v>
      </c>
      <c r="N3261">
        <v>3.7</v>
      </c>
      <c r="O3261">
        <v>0</v>
      </c>
      <c r="P3261" t="s">
        <v>73</v>
      </c>
      <c r="Q3261" t="s">
        <v>155</v>
      </c>
      <c r="R3261" t="s">
        <v>155</v>
      </c>
      <c r="S3261">
        <v>5</v>
      </c>
      <c r="T3261" t="s">
        <v>89</v>
      </c>
      <c r="U3261" t="s">
        <v>100</v>
      </c>
      <c r="V3261" s="1">
        <v>45602</v>
      </c>
      <c r="W3261">
        <f>Table1[[#This Row],[customer_purchase count]]+1</f>
        <v>6</v>
      </c>
      <c r="X3261">
        <f>Table1[[#This Row],[customer_purchase count]]*Rules!$B$3</f>
        <v>298.82179487179491</v>
      </c>
      <c r="Y3261" t="str">
        <f>IF(Table1[[#This Row],[customer_subscription]]=1,"Subscribed","Not Subscribed")</f>
        <v>Not Subscribed</v>
      </c>
      <c r="Z3261" t="s">
        <v>194</v>
      </c>
    </row>
    <row r="3262" spans="1:26" x14ac:dyDescent="0.25">
      <c r="A3262">
        <v>3261</v>
      </c>
      <c r="B3262">
        <v>39</v>
      </c>
      <c r="C3262" t="s">
        <v>156</v>
      </c>
      <c r="D3262">
        <v>3261</v>
      </c>
      <c r="E3262" t="s">
        <v>122</v>
      </c>
      <c r="F3262" t="s">
        <v>70</v>
      </c>
      <c r="G3262">
        <v>3261</v>
      </c>
      <c r="H3262">
        <v>4112</v>
      </c>
      <c r="I3262">
        <v>36</v>
      </c>
      <c r="J3262" t="s">
        <v>153</v>
      </c>
      <c r="K3262" t="s">
        <v>47</v>
      </c>
      <c r="L3262" t="s">
        <v>86</v>
      </c>
      <c r="M3262" t="s">
        <v>56</v>
      </c>
      <c r="N3262">
        <v>4.5</v>
      </c>
      <c r="O3262">
        <v>0</v>
      </c>
      <c r="P3262" t="s">
        <v>73</v>
      </c>
      <c r="Q3262" t="s">
        <v>155</v>
      </c>
      <c r="R3262" t="s">
        <v>155</v>
      </c>
      <c r="S3262">
        <v>7</v>
      </c>
      <c r="T3262" t="s">
        <v>42</v>
      </c>
      <c r="U3262" t="s">
        <v>52</v>
      </c>
      <c r="V3262" s="1">
        <v>45466</v>
      </c>
      <c r="W3262">
        <f>Table1[[#This Row],[customer_purchase count]]+1</f>
        <v>8</v>
      </c>
      <c r="X3262">
        <f>Table1[[#This Row],[customer_purchase count]]*Rules!$B$3</f>
        <v>418.35051282051285</v>
      </c>
      <c r="Y3262" t="str">
        <f>IF(Table1[[#This Row],[customer_subscription]]=1,"Subscribed","Not Subscribed")</f>
        <v>Not Subscribed</v>
      </c>
      <c r="Z3262" t="s">
        <v>194</v>
      </c>
    </row>
    <row r="3263" spans="1:26" x14ac:dyDescent="0.25">
      <c r="A3263">
        <v>3262</v>
      </c>
      <c r="B3263">
        <v>48</v>
      </c>
      <c r="C3263" t="s">
        <v>156</v>
      </c>
      <c r="D3263">
        <v>3262</v>
      </c>
      <c r="E3263" t="s">
        <v>136</v>
      </c>
      <c r="F3263" t="s">
        <v>70</v>
      </c>
      <c r="G3263">
        <v>3262</v>
      </c>
      <c r="H3263">
        <v>4113</v>
      </c>
      <c r="I3263">
        <v>52</v>
      </c>
      <c r="J3263" t="s">
        <v>46</v>
      </c>
      <c r="K3263" t="s">
        <v>26</v>
      </c>
      <c r="L3263" t="s">
        <v>112</v>
      </c>
      <c r="M3263" t="s">
        <v>28</v>
      </c>
      <c r="N3263">
        <v>3.4</v>
      </c>
      <c r="O3263">
        <v>0</v>
      </c>
      <c r="P3263" t="s">
        <v>77</v>
      </c>
      <c r="Q3263" t="s">
        <v>155</v>
      </c>
      <c r="R3263" t="s">
        <v>155</v>
      </c>
      <c r="S3263">
        <v>50</v>
      </c>
      <c r="T3263" t="s">
        <v>89</v>
      </c>
      <c r="U3263" t="s">
        <v>43</v>
      </c>
      <c r="V3263" s="1">
        <v>45305</v>
      </c>
      <c r="W3263">
        <f>Table1[[#This Row],[customer_purchase count]]+1</f>
        <v>51</v>
      </c>
      <c r="X3263">
        <f>Table1[[#This Row],[customer_purchase count]]*Rules!$B$3</f>
        <v>2988.2179487179487</v>
      </c>
      <c r="Y3263" t="str">
        <f>IF(Table1[[#This Row],[customer_subscription]]=1,"Subscribed","Not Subscribed")</f>
        <v>Not Subscribed</v>
      </c>
    </row>
    <row r="3264" spans="1:26" x14ac:dyDescent="0.25">
      <c r="A3264">
        <v>3263</v>
      </c>
      <c r="B3264">
        <v>42</v>
      </c>
      <c r="C3264" t="s">
        <v>156</v>
      </c>
      <c r="D3264">
        <v>3263</v>
      </c>
      <c r="E3264" t="s">
        <v>116</v>
      </c>
      <c r="F3264" t="s">
        <v>24</v>
      </c>
      <c r="G3264">
        <v>3263</v>
      </c>
      <c r="H3264">
        <v>4114</v>
      </c>
      <c r="I3264">
        <v>35</v>
      </c>
      <c r="J3264" t="s">
        <v>119</v>
      </c>
      <c r="K3264" t="s">
        <v>47</v>
      </c>
      <c r="L3264" t="s">
        <v>86</v>
      </c>
      <c r="M3264" t="s">
        <v>40</v>
      </c>
      <c r="N3264">
        <v>2.7</v>
      </c>
      <c r="O3264">
        <v>0</v>
      </c>
      <c r="P3264" t="s">
        <v>57</v>
      </c>
      <c r="Q3264" t="s">
        <v>155</v>
      </c>
      <c r="R3264" t="s">
        <v>155</v>
      </c>
      <c r="S3264">
        <v>21</v>
      </c>
      <c r="T3264" t="s">
        <v>36</v>
      </c>
      <c r="U3264" t="s">
        <v>100</v>
      </c>
      <c r="V3264" s="1">
        <v>45415</v>
      </c>
      <c r="W3264">
        <f>Table1[[#This Row],[customer_purchase count]]+1</f>
        <v>22</v>
      </c>
      <c r="X3264">
        <f>Table1[[#This Row],[customer_purchase count]]*Rules!$B$3</f>
        <v>1255.0515384615385</v>
      </c>
      <c r="Y3264" t="str">
        <f>IF(Table1[[#This Row],[customer_subscription]]=1,"Subscribed","Not Subscribed")</f>
        <v>Not Subscribed</v>
      </c>
    </row>
    <row r="3265" spans="1:26" x14ac:dyDescent="0.25">
      <c r="A3265">
        <v>3264</v>
      </c>
      <c r="B3265">
        <v>56</v>
      </c>
      <c r="C3265" t="s">
        <v>156</v>
      </c>
      <c r="D3265">
        <v>3264</v>
      </c>
      <c r="E3265" t="s">
        <v>62</v>
      </c>
      <c r="F3265" t="s">
        <v>24</v>
      </c>
      <c r="G3265">
        <v>3264</v>
      </c>
      <c r="H3265">
        <v>4115</v>
      </c>
      <c r="I3265">
        <v>68</v>
      </c>
      <c r="J3265" t="s">
        <v>132</v>
      </c>
      <c r="K3265" t="s">
        <v>39</v>
      </c>
      <c r="L3265" t="s">
        <v>97</v>
      </c>
      <c r="M3265" t="s">
        <v>60</v>
      </c>
      <c r="N3265">
        <v>4.4000000000000004</v>
      </c>
      <c r="O3265">
        <v>0</v>
      </c>
      <c r="P3265" t="s">
        <v>29</v>
      </c>
      <c r="Q3265" t="s">
        <v>155</v>
      </c>
      <c r="R3265" t="s">
        <v>155</v>
      </c>
      <c r="S3265">
        <v>31</v>
      </c>
      <c r="T3265" t="s">
        <v>89</v>
      </c>
      <c r="U3265" t="s">
        <v>32</v>
      </c>
      <c r="V3265" s="1">
        <v>45542</v>
      </c>
      <c r="W3265">
        <f>Table1[[#This Row],[customer_purchase count]]+1</f>
        <v>32</v>
      </c>
      <c r="X3265">
        <f>Table1[[#This Row],[customer_purchase count]]*Rules!$B$3</f>
        <v>1852.6951282051282</v>
      </c>
      <c r="Y3265" t="str">
        <f>IF(Table1[[#This Row],[customer_subscription]]=1,"Subscribed","Not Subscribed")</f>
        <v>Not Subscribed</v>
      </c>
    </row>
    <row r="3266" spans="1:26" x14ac:dyDescent="0.25">
      <c r="A3266">
        <v>3265</v>
      </c>
      <c r="B3266">
        <v>28</v>
      </c>
      <c r="C3266" t="s">
        <v>156</v>
      </c>
      <c r="D3266">
        <v>3265</v>
      </c>
      <c r="E3266" t="s">
        <v>98</v>
      </c>
      <c r="F3266" t="s">
        <v>24</v>
      </c>
      <c r="G3266">
        <v>3265</v>
      </c>
      <c r="H3266">
        <v>4117</v>
      </c>
      <c r="I3266">
        <v>50</v>
      </c>
      <c r="J3266" t="s">
        <v>34</v>
      </c>
      <c r="K3266" t="s">
        <v>39</v>
      </c>
      <c r="L3266" t="s">
        <v>64</v>
      </c>
      <c r="M3266" t="s">
        <v>28</v>
      </c>
      <c r="N3266">
        <v>4</v>
      </c>
      <c r="O3266">
        <v>0</v>
      </c>
      <c r="P3266" t="s">
        <v>29</v>
      </c>
      <c r="Q3266" t="s">
        <v>155</v>
      </c>
      <c r="R3266" t="s">
        <v>155</v>
      </c>
      <c r="S3266">
        <v>39</v>
      </c>
      <c r="T3266" t="s">
        <v>36</v>
      </c>
      <c r="U3266" t="s">
        <v>79</v>
      </c>
      <c r="V3266" s="1">
        <v>45638</v>
      </c>
      <c r="W3266">
        <f>Table1[[#This Row],[customer_purchase count]]+1</f>
        <v>40</v>
      </c>
      <c r="X3266">
        <f>Table1[[#This Row],[customer_purchase count]]*Rules!$B$3</f>
        <v>2330.81</v>
      </c>
      <c r="Y3266" t="str">
        <f>IF(Table1[[#This Row],[customer_subscription]]=1,"Subscribed","Not Subscribed")</f>
        <v>Not Subscribed</v>
      </c>
    </row>
    <row r="3267" spans="1:26" x14ac:dyDescent="0.25">
      <c r="A3267">
        <v>3266</v>
      </c>
      <c r="B3267">
        <v>40</v>
      </c>
      <c r="C3267" t="s">
        <v>156</v>
      </c>
      <c r="D3267">
        <v>3266</v>
      </c>
      <c r="E3267" t="s">
        <v>92</v>
      </c>
      <c r="F3267" t="s">
        <v>70</v>
      </c>
      <c r="G3267">
        <v>3266</v>
      </c>
      <c r="H3267">
        <v>4118</v>
      </c>
      <c r="I3267">
        <v>100</v>
      </c>
      <c r="J3267" t="s">
        <v>93</v>
      </c>
      <c r="K3267" t="s">
        <v>47</v>
      </c>
      <c r="L3267" t="s">
        <v>55</v>
      </c>
      <c r="M3267" t="s">
        <v>28</v>
      </c>
      <c r="N3267">
        <v>3.2</v>
      </c>
      <c r="O3267">
        <v>0</v>
      </c>
      <c r="P3267" t="s">
        <v>29</v>
      </c>
      <c r="Q3267" t="s">
        <v>155</v>
      </c>
      <c r="R3267" t="s">
        <v>155</v>
      </c>
      <c r="S3267">
        <v>28</v>
      </c>
      <c r="T3267" t="s">
        <v>42</v>
      </c>
      <c r="U3267" t="s">
        <v>32</v>
      </c>
      <c r="V3267" s="1">
        <v>45338</v>
      </c>
      <c r="W3267">
        <f>Table1[[#This Row],[customer_purchase count]]+1</f>
        <v>29</v>
      </c>
      <c r="X3267">
        <f>Table1[[#This Row],[customer_purchase count]]*Rules!$B$3</f>
        <v>1673.4020512820514</v>
      </c>
      <c r="Y3267" t="str">
        <f>IF(Table1[[#This Row],[customer_subscription]]=1,"Subscribed","Not Subscribed")</f>
        <v>Not Subscribed</v>
      </c>
    </row>
    <row r="3268" spans="1:26" x14ac:dyDescent="0.25">
      <c r="A3268">
        <v>3267</v>
      </c>
      <c r="B3268">
        <v>49</v>
      </c>
      <c r="C3268" t="s">
        <v>156</v>
      </c>
      <c r="D3268">
        <v>3267</v>
      </c>
      <c r="E3268" t="s">
        <v>65</v>
      </c>
      <c r="F3268" t="s">
        <v>66</v>
      </c>
      <c r="G3268">
        <v>3267</v>
      </c>
      <c r="H3268">
        <v>4119</v>
      </c>
      <c r="I3268">
        <v>74</v>
      </c>
      <c r="J3268" t="s">
        <v>93</v>
      </c>
      <c r="K3268" t="s">
        <v>39</v>
      </c>
      <c r="L3268" t="s">
        <v>27</v>
      </c>
      <c r="M3268" t="s">
        <v>28</v>
      </c>
      <c r="N3268">
        <v>4.2</v>
      </c>
      <c r="O3268">
        <v>0</v>
      </c>
      <c r="P3268" t="s">
        <v>48</v>
      </c>
      <c r="Q3268" t="s">
        <v>155</v>
      </c>
      <c r="R3268" t="s">
        <v>155</v>
      </c>
      <c r="S3268">
        <v>33</v>
      </c>
      <c r="T3268" t="s">
        <v>78</v>
      </c>
      <c r="U3268" t="s">
        <v>43</v>
      </c>
      <c r="V3268" s="1">
        <v>45644</v>
      </c>
      <c r="W3268">
        <f>Table1[[#This Row],[customer_purchase count]]+1</f>
        <v>34</v>
      </c>
      <c r="X3268">
        <f>Table1[[#This Row],[customer_purchase count]]*Rules!$B$3</f>
        <v>1972.2238461538464</v>
      </c>
      <c r="Y3268" t="str">
        <f>IF(Table1[[#This Row],[customer_subscription]]=1,"Subscribed","Not Subscribed")</f>
        <v>Not Subscribed</v>
      </c>
    </row>
    <row r="3269" spans="1:26" x14ac:dyDescent="0.25">
      <c r="A3269">
        <v>3268</v>
      </c>
      <c r="B3269">
        <v>37</v>
      </c>
      <c r="C3269" t="s">
        <v>156</v>
      </c>
      <c r="D3269">
        <v>3268</v>
      </c>
      <c r="E3269" t="s">
        <v>107</v>
      </c>
      <c r="F3269" t="s">
        <v>24</v>
      </c>
      <c r="G3269">
        <v>3268</v>
      </c>
      <c r="H3269">
        <v>4120</v>
      </c>
      <c r="I3269">
        <v>45</v>
      </c>
      <c r="J3269" t="s">
        <v>138</v>
      </c>
      <c r="K3269" t="s">
        <v>26</v>
      </c>
      <c r="L3269" t="s">
        <v>72</v>
      </c>
      <c r="M3269" t="s">
        <v>28</v>
      </c>
      <c r="N3269">
        <v>3</v>
      </c>
      <c r="O3269">
        <v>0</v>
      </c>
      <c r="P3269" t="s">
        <v>77</v>
      </c>
      <c r="Q3269" t="s">
        <v>155</v>
      </c>
      <c r="R3269" t="s">
        <v>155</v>
      </c>
      <c r="S3269">
        <v>42</v>
      </c>
      <c r="T3269" t="s">
        <v>42</v>
      </c>
      <c r="U3269" t="s">
        <v>61</v>
      </c>
      <c r="V3269" s="1">
        <v>45339</v>
      </c>
      <c r="W3269">
        <f>Table1[[#This Row],[customer_purchase count]]+1</f>
        <v>43</v>
      </c>
      <c r="X3269">
        <f>Table1[[#This Row],[customer_purchase count]]*Rules!$B$3</f>
        <v>2510.103076923077</v>
      </c>
      <c r="Y3269" t="str">
        <f>IF(Table1[[#This Row],[customer_subscription]]=1,"Subscribed","Not Subscribed")</f>
        <v>Not Subscribed</v>
      </c>
    </row>
    <row r="3270" spans="1:26" x14ac:dyDescent="0.25">
      <c r="A3270">
        <v>3269</v>
      </c>
      <c r="B3270">
        <v>22</v>
      </c>
      <c r="C3270" t="s">
        <v>156</v>
      </c>
      <c r="D3270">
        <v>3269</v>
      </c>
      <c r="E3270" t="s">
        <v>84</v>
      </c>
      <c r="F3270" t="s">
        <v>24</v>
      </c>
      <c r="G3270">
        <v>3269</v>
      </c>
      <c r="H3270">
        <v>4121</v>
      </c>
      <c r="I3270">
        <v>97</v>
      </c>
      <c r="J3270" t="s">
        <v>75</v>
      </c>
      <c r="K3270" t="s">
        <v>47</v>
      </c>
      <c r="L3270" t="s">
        <v>112</v>
      </c>
      <c r="M3270" t="s">
        <v>60</v>
      </c>
      <c r="N3270">
        <v>2.8</v>
      </c>
      <c r="O3270">
        <v>0</v>
      </c>
      <c r="P3270" t="s">
        <v>41</v>
      </c>
      <c r="Q3270" t="s">
        <v>155</v>
      </c>
      <c r="R3270" t="s">
        <v>155</v>
      </c>
      <c r="S3270">
        <v>5</v>
      </c>
      <c r="T3270" t="s">
        <v>78</v>
      </c>
      <c r="U3270" t="s">
        <v>100</v>
      </c>
      <c r="V3270" s="1">
        <v>45536</v>
      </c>
      <c r="W3270">
        <f>Table1[[#This Row],[customer_purchase count]]+1</f>
        <v>6</v>
      </c>
      <c r="X3270">
        <f>Table1[[#This Row],[customer_purchase count]]*Rules!$B$3</f>
        <v>298.82179487179491</v>
      </c>
      <c r="Y3270" t="str">
        <f>IF(Table1[[#This Row],[customer_subscription]]=1,"Subscribed","Not Subscribed")</f>
        <v>Not Subscribed</v>
      </c>
      <c r="Z3270" t="s">
        <v>194</v>
      </c>
    </row>
    <row r="3271" spans="1:26" x14ac:dyDescent="0.25">
      <c r="A3271">
        <v>3270</v>
      </c>
      <c r="B3271">
        <v>27</v>
      </c>
      <c r="C3271" t="s">
        <v>156</v>
      </c>
      <c r="D3271">
        <v>3270</v>
      </c>
      <c r="E3271" t="s">
        <v>23</v>
      </c>
      <c r="F3271" t="s">
        <v>24</v>
      </c>
      <c r="G3271">
        <v>3270</v>
      </c>
      <c r="H3271">
        <v>4123</v>
      </c>
      <c r="I3271">
        <v>60</v>
      </c>
      <c r="J3271" t="s">
        <v>126</v>
      </c>
      <c r="K3271" t="s">
        <v>47</v>
      </c>
      <c r="L3271" t="s">
        <v>147</v>
      </c>
      <c r="M3271" t="s">
        <v>28</v>
      </c>
      <c r="N3271">
        <v>4.9000000000000004</v>
      </c>
      <c r="O3271">
        <v>0</v>
      </c>
      <c r="P3271" t="s">
        <v>29</v>
      </c>
      <c r="Q3271" t="s">
        <v>155</v>
      </c>
      <c r="R3271" t="s">
        <v>155</v>
      </c>
      <c r="S3271">
        <v>25</v>
      </c>
      <c r="T3271" t="s">
        <v>36</v>
      </c>
      <c r="U3271" t="s">
        <v>91</v>
      </c>
      <c r="V3271" s="1">
        <v>45299</v>
      </c>
      <c r="W3271">
        <f>Table1[[#This Row],[customer_purchase count]]+1</f>
        <v>26</v>
      </c>
      <c r="X3271">
        <f>Table1[[#This Row],[customer_purchase count]]*Rules!$B$3</f>
        <v>1494.1089743589744</v>
      </c>
      <c r="Y3271" t="str">
        <f>IF(Table1[[#This Row],[customer_subscription]]=1,"Subscribed","Not Subscribed")</f>
        <v>Not Subscribed</v>
      </c>
    </row>
    <row r="3272" spans="1:26" x14ac:dyDescent="0.25">
      <c r="A3272">
        <v>3271</v>
      </c>
      <c r="B3272">
        <v>59</v>
      </c>
      <c r="C3272" t="s">
        <v>156</v>
      </c>
      <c r="D3272">
        <v>3271</v>
      </c>
      <c r="E3272" t="s">
        <v>128</v>
      </c>
      <c r="F3272" t="s">
        <v>24</v>
      </c>
      <c r="G3272">
        <v>3271</v>
      </c>
      <c r="H3272">
        <v>4124</v>
      </c>
      <c r="I3272">
        <v>25</v>
      </c>
      <c r="J3272" t="s">
        <v>118</v>
      </c>
      <c r="K3272" t="s">
        <v>47</v>
      </c>
      <c r="L3272" t="s">
        <v>129</v>
      </c>
      <c r="M3272" t="s">
        <v>28</v>
      </c>
      <c r="N3272">
        <v>4.7</v>
      </c>
      <c r="O3272">
        <v>0</v>
      </c>
      <c r="P3272" t="s">
        <v>29</v>
      </c>
      <c r="Q3272" t="s">
        <v>155</v>
      </c>
      <c r="R3272" t="s">
        <v>155</v>
      </c>
      <c r="S3272">
        <v>48</v>
      </c>
      <c r="T3272" t="s">
        <v>49</v>
      </c>
      <c r="U3272" t="s">
        <v>52</v>
      </c>
      <c r="V3272" s="1">
        <v>45314</v>
      </c>
      <c r="W3272">
        <f>Table1[[#This Row],[customer_purchase count]]+1</f>
        <v>49</v>
      </c>
      <c r="X3272">
        <f>Table1[[#This Row],[customer_purchase count]]*Rules!$B$3</f>
        <v>2868.689230769231</v>
      </c>
      <c r="Y3272" t="str">
        <f>IF(Table1[[#This Row],[customer_subscription]]=1,"Subscribed","Not Subscribed")</f>
        <v>Not Subscribed</v>
      </c>
    </row>
    <row r="3273" spans="1:26" x14ac:dyDescent="0.25">
      <c r="A3273">
        <v>3272</v>
      </c>
      <c r="B3273">
        <v>35</v>
      </c>
      <c r="C3273" t="s">
        <v>156</v>
      </c>
      <c r="D3273">
        <v>3272</v>
      </c>
      <c r="E3273" t="s">
        <v>128</v>
      </c>
      <c r="F3273" t="s">
        <v>24</v>
      </c>
      <c r="G3273">
        <v>3272</v>
      </c>
      <c r="H3273">
        <v>4125</v>
      </c>
      <c r="I3273">
        <v>55</v>
      </c>
      <c r="J3273" t="s">
        <v>110</v>
      </c>
      <c r="K3273" t="s">
        <v>95</v>
      </c>
      <c r="L3273" t="s">
        <v>139</v>
      </c>
      <c r="M3273" t="s">
        <v>40</v>
      </c>
      <c r="N3273">
        <v>4.4000000000000004</v>
      </c>
      <c r="O3273">
        <v>0</v>
      </c>
      <c r="P3273" t="s">
        <v>57</v>
      </c>
      <c r="Q3273" t="s">
        <v>155</v>
      </c>
      <c r="R3273" t="s">
        <v>155</v>
      </c>
      <c r="S3273">
        <v>30</v>
      </c>
      <c r="T3273" t="s">
        <v>42</v>
      </c>
      <c r="U3273" t="s">
        <v>43</v>
      </c>
      <c r="V3273" s="1">
        <v>45437</v>
      </c>
      <c r="W3273">
        <f>Table1[[#This Row],[customer_purchase count]]+1</f>
        <v>31</v>
      </c>
      <c r="X3273">
        <f>Table1[[#This Row],[customer_purchase count]]*Rules!$B$3</f>
        <v>1792.9307692307693</v>
      </c>
      <c r="Y3273" t="str">
        <f>IF(Table1[[#This Row],[customer_subscription]]=1,"Subscribed","Not Subscribed")</f>
        <v>Not Subscribed</v>
      </c>
    </row>
    <row r="3274" spans="1:26" x14ac:dyDescent="0.25">
      <c r="A3274">
        <v>3273</v>
      </c>
      <c r="B3274">
        <v>58</v>
      </c>
      <c r="C3274" t="s">
        <v>156</v>
      </c>
      <c r="D3274">
        <v>3273</v>
      </c>
      <c r="E3274" t="s">
        <v>74</v>
      </c>
      <c r="F3274" t="s">
        <v>45</v>
      </c>
      <c r="G3274">
        <v>3273</v>
      </c>
      <c r="H3274">
        <v>4126</v>
      </c>
      <c r="I3274">
        <v>99</v>
      </c>
      <c r="J3274" t="s">
        <v>108</v>
      </c>
      <c r="K3274" t="s">
        <v>47</v>
      </c>
      <c r="L3274" t="s">
        <v>96</v>
      </c>
      <c r="M3274" t="s">
        <v>28</v>
      </c>
      <c r="N3274">
        <v>3.1</v>
      </c>
      <c r="O3274">
        <v>0</v>
      </c>
      <c r="P3274" t="s">
        <v>48</v>
      </c>
      <c r="Q3274" t="s">
        <v>155</v>
      </c>
      <c r="R3274" t="s">
        <v>155</v>
      </c>
      <c r="S3274">
        <v>34</v>
      </c>
      <c r="T3274" t="s">
        <v>49</v>
      </c>
      <c r="U3274" t="s">
        <v>61</v>
      </c>
      <c r="V3274" s="1">
        <v>45308</v>
      </c>
      <c r="W3274">
        <f>Table1[[#This Row],[customer_purchase count]]+1</f>
        <v>35</v>
      </c>
      <c r="X3274">
        <f>Table1[[#This Row],[customer_purchase count]]*Rules!$B$3</f>
        <v>2031.9882051282052</v>
      </c>
      <c r="Y3274" t="str">
        <f>IF(Table1[[#This Row],[customer_subscription]]=1,"Subscribed","Not Subscribed")</f>
        <v>Not Subscribed</v>
      </c>
    </row>
    <row r="3275" spans="1:26" x14ac:dyDescent="0.25">
      <c r="A3275">
        <v>3274</v>
      </c>
      <c r="B3275">
        <v>58</v>
      </c>
      <c r="C3275" t="s">
        <v>156</v>
      </c>
      <c r="D3275">
        <v>3274</v>
      </c>
      <c r="E3275" t="s">
        <v>136</v>
      </c>
      <c r="F3275" t="s">
        <v>70</v>
      </c>
      <c r="G3275">
        <v>3274</v>
      </c>
      <c r="H3275">
        <v>4127</v>
      </c>
      <c r="I3275">
        <v>45</v>
      </c>
      <c r="J3275" t="s">
        <v>110</v>
      </c>
      <c r="K3275" t="s">
        <v>39</v>
      </c>
      <c r="L3275" t="s">
        <v>124</v>
      </c>
      <c r="M3275" t="s">
        <v>56</v>
      </c>
      <c r="N3275">
        <v>2.6</v>
      </c>
      <c r="O3275">
        <v>0</v>
      </c>
      <c r="P3275" t="s">
        <v>41</v>
      </c>
      <c r="Q3275" t="s">
        <v>155</v>
      </c>
      <c r="R3275" t="s">
        <v>155</v>
      </c>
      <c r="S3275">
        <v>34</v>
      </c>
      <c r="T3275" t="s">
        <v>49</v>
      </c>
      <c r="U3275" t="s">
        <v>100</v>
      </c>
      <c r="V3275" s="1">
        <v>45471</v>
      </c>
      <c r="W3275">
        <f>Table1[[#This Row],[customer_purchase count]]+1</f>
        <v>35</v>
      </c>
      <c r="X3275">
        <f>Table1[[#This Row],[customer_purchase count]]*Rules!$B$3</f>
        <v>2031.9882051282052</v>
      </c>
      <c r="Y3275" t="str">
        <f>IF(Table1[[#This Row],[customer_subscription]]=1,"Subscribed","Not Subscribed")</f>
        <v>Not Subscribed</v>
      </c>
    </row>
    <row r="3276" spans="1:26" x14ac:dyDescent="0.25">
      <c r="A3276">
        <v>3275</v>
      </c>
      <c r="B3276">
        <v>46</v>
      </c>
      <c r="C3276" t="s">
        <v>156</v>
      </c>
      <c r="D3276">
        <v>3275</v>
      </c>
      <c r="E3276" t="s">
        <v>33</v>
      </c>
      <c r="F3276" t="s">
        <v>24</v>
      </c>
      <c r="G3276">
        <v>3275</v>
      </c>
      <c r="H3276">
        <v>4129</v>
      </c>
      <c r="I3276">
        <v>20</v>
      </c>
      <c r="J3276" t="s">
        <v>104</v>
      </c>
      <c r="K3276" t="s">
        <v>47</v>
      </c>
      <c r="L3276" t="s">
        <v>112</v>
      </c>
      <c r="M3276" t="s">
        <v>40</v>
      </c>
      <c r="N3276">
        <v>3.9</v>
      </c>
      <c r="O3276">
        <v>0</v>
      </c>
      <c r="P3276" t="s">
        <v>77</v>
      </c>
      <c r="Q3276" t="s">
        <v>155</v>
      </c>
      <c r="R3276" t="s">
        <v>155</v>
      </c>
      <c r="S3276">
        <v>14</v>
      </c>
      <c r="T3276" t="s">
        <v>36</v>
      </c>
      <c r="U3276" t="s">
        <v>32</v>
      </c>
      <c r="V3276" s="1">
        <v>45372</v>
      </c>
      <c r="W3276">
        <f>Table1[[#This Row],[customer_purchase count]]+1</f>
        <v>15</v>
      </c>
      <c r="X3276">
        <f>Table1[[#This Row],[customer_purchase count]]*Rules!$B$3</f>
        <v>836.70102564102569</v>
      </c>
      <c r="Y3276" t="str">
        <f>IF(Table1[[#This Row],[customer_subscription]]=1,"Subscribed","Not Subscribed")</f>
        <v>Not Subscribed</v>
      </c>
      <c r="Z3276" t="s">
        <v>194</v>
      </c>
    </row>
    <row r="3277" spans="1:26" x14ac:dyDescent="0.25">
      <c r="A3277">
        <v>3276</v>
      </c>
      <c r="B3277">
        <v>43</v>
      </c>
      <c r="C3277" t="s">
        <v>156</v>
      </c>
      <c r="D3277">
        <v>3276</v>
      </c>
      <c r="E3277" t="s">
        <v>98</v>
      </c>
      <c r="F3277" t="s">
        <v>24</v>
      </c>
      <c r="G3277">
        <v>3276</v>
      </c>
      <c r="H3277">
        <v>4130</v>
      </c>
      <c r="I3277">
        <v>88</v>
      </c>
      <c r="J3277" t="s">
        <v>93</v>
      </c>
      <c r="K3277" t="s">
        <v>95</v>
      </c>
      <c r="L3277" t="s">
        <v>99</v>
      </c>
      <c r="M3277" t="s">
        <v>56</v>
      </c>
      <c r="N3277">
        <v>2.6</v>
      </c>
      <c r="O3277">
        <v>0</v>
      </c>
      <c r="P3277" t="s">
        <v>73</v>
      </c>
      <c r="Q3277" t="s">
        <v>155</v>
      </c>
      <c r="R3277" t="s">
        <v>155</v>
      </c>
      <c r="S3277">
        <v>2</v>
      </c>
      <c r="T3277" t="s">
        <v>89</v>
      </c>
      <c r="U3277" t="s">
        <v>43</v>
      </c>
      <c r="V3277" s="1">
        <v>45509</v>
      </c>
      <c r="W3277">
        <f>Table1[[#This Row],[customer_purchase count]]+1</f>
        <v>3</v>
      </c>
      <c r="X3277">
        <f>Table1[[#This Row],[customer_purchase count]]*Rules!$B$3</f>
        <v>119.52871794871795</v>
      </c>
      <c r="Y3277" t="str">
        <f>IF(Table1[[#This Row],[customer_subscription]]=1,"Subscribed","Not Subscribed")</f>
        <v>Not Subscribed</v>
      </c>
      <c r="Z3277" t="s">
        <v>194</v>
      </c>
    </row>
    <row r="3278" spans="1:26" x14ac:dyDescent="0.25">
      <c r="A3278">
        <v>3277</v>
      </c>
      <c r="B3278">
        <v>39</v>
      </c>
      <c r="C3278" t="s">
        <v>156</v>
      </c>
      <c r="D3278">
        <v>3277</v>
      </c>
      <c r="E3278" t="s">
        <v>122</v>
      </c>
      <c r="F3278" t="s">
        <v>70</v>
      </c>
      <c r="G3278">
        <v>3277</v>
      </c>
      <c r="H3278">
        <v>4131</v>
      </c>
      <c r="I3278">
        <v>99</v>
      </c>
      <c r="J3278" t="s">
        <v>150</v>
      </c>
      <c r="K3278" t="s">
        <v>47</v>
      </c>
      <c r="L3278" t="s">
        <v>55</v>
      </c>
      <c r="M3278" t="s">
        <v>56</v>
      </c>
      <c r="N3278">
        <v>4</v>
      </c>
      <c r="O3278">
        <v>0</v>
      </c>
      <c r="P3278" t="s">
        <v>77</v>
      </c>
      <c r="Q3278" t="s">
        <v>155</v>
      </c>
      <c r="R3278" t="s">
        <v>155</v>
      </c>
      <c r="S3278">
        <v>41</v>
      </c>
      <c r="T3278" t="s">
        <v>49</v>
      </c>
      <c r="U3278" t="s">
        <v>100</v>
      </c>
      <c r="V3278" s="1">
        <v>45530</v>
      </c>
      <c r="W3278">
        <f>Table1[[#This Row],[customer_purchase count]]+1</f>
        <v>42</v>
      </c>
      <c r="X3278">
        <f>Table1[[#This Row],[customer_purchase count]]*Rules!$B$3</f>
        <v>2450.3387179487181</v>
      </c>
      <c r="Y3278" t="str">
        <f>IF(Table1[[#This Row],[customer_subscription]]=1,"Subscribed","Not Subscribed")</f>
        <v>Not Subscribed</v>
      </c>
    </row>
    <row r="3279" spans="1:26" x14ac:dyDescent="0.25">
      <c r="A3279">
        <v>3278</v>
      </c>
      <c r="B3279">
        <v>59</v>
      </c>
      <c r="C3279" t="s">
        <v>156</v>
      </c>
      <c r="D3279">
        <v>3278</v>
      </c>
      <c r="E3279" t="s">
        <v>90</v>
      </c>
      <c r="F3279" t="s">
        <v>24</v>
      </c>
      <c r="G3279">
        <v>3278</v>
      </c>
      <c r="H3279">
        <v>4132</v>
      </c>
      <c r="I3279">
        <v>86</v>
      </c>
      <c r="J3279" t="s">
        <v>108</v>
      </c>
      <c r="K3279" t="s">
        <v>47</v>
      </c>
      <c r="L3279" t="s">
        <v>147</v>
      </c>
      <c r="M3279" t="s">
        <v>40</v>
      </c>
      <c r="N3279">
        <v>4.9000000000000004</v>
      </c>
      <c r="O3279">
        <v>0</v>
      </c>
      <c r="P3279" t="s">
        <v>77</v>
      </c>
      <c r="Q3279" t="s">
        <v>155</v>
      </c>
      <c r="R3279" t="s">
        <v>155</v>
      </c>
      <c r="S3279">
        <v>3</v>
      </c>
      <c r="T3279" t="s">
        <v>42</v>
      </c>
      <c r="U3279" t="s">
        <v>91</v>
      </c>
      <c r="V3279" s="1">
        <v>45361</v>
      </c>
      <c r="W3279">
        <f>Table1[[#This Row],[customer_purchase count]]+1</f>
        <v>4</v>
      </c>
      <c r="X3279">
        <f>Table1[[#This Row],[customer_purchase count]]*Rules!$B$3</f>
        <v>179.29307692307694</v>
      </c>
      <c r="Y3279" t="str">
        <f>IF(Table1[[#This Row],[customer_subscription]]=1,"Subscribed","Not Subscribed")</f>
        <v>Not Subscribed</v>
      </c>
      <c r="Z3279" t="s">
        <v>194</v>
      </c>
    </row>
    <row r="3280" spans="1:26" x14ac:dyDescent="0.25">
      <c r="A3280">
        <v>3279</v>
      </c>
      <c r="B3280">
        <v>59</v>
      </c>
      <c r="C3280" t="s">
        <v>156</v>
      </c>
      <c r="D3280">
        <v>3279</v>
      </c>
      <c r="E3280" t="s">
        <v>84</v>
      </c>
      <c r="F3280" t="s">
        <v>24</v>
      </c>
      <c r="G3280">
        <v>3279</v>
      </c>
      <c r="H3280">
        <v>4133</v>
      </c>
      <c r="I3280">
        <v>70</v>
      </c>
      <c r="J3280" t="s">
        <v>59</v>
      </c>
      <c r="K3280" t="s">
        <v>47</v>
      </c>
      <c r="L3280" t="s">
        <v>97</v>
      </c>
      <c r="M3280" t="s">
        <v>56</v>
      </c>
      <c r="N3280">
        <v>3.3</v>
      </c>
      <c r="O3280">
        <v>0</v>
      </c>
      <c r="P3280" t="s">
        <v>73</v>
      </c>
      <c r="Q3280" t="s">
        <v>155</v>
      </c>
      <c r="R3280" t="s">
        <v>155</v>
      </c>
      <c r="S3280">
        <v>18</v>
      </c>
      <c r="T3280" t="s">
        <v>78</v>
      </c>
      <c r="U3280" t="s">
        <v>43</v>
      </c>
      <c r="V3280" s="1">
        <v>45499</v>
      </c>
      <c r="W3280">
        <f>Table1[[#This Row],[customer_purchase count]]+1</f>
        <v>19</v>
      </c>
      <c r="X3280">
        <f>Table1[[#This Row],[customer_purchase count]]*Rules!$B$3</f>
        <v>1075.7584615384617</v>
      </c>
      <c r="Y3280" t="str">
        <f>IF(Table1[[#This Row],[customer_subscription]]=1,"Subscribed","Not Subscribed")</f>
        <v>Not Subscribed</v>
      </c>
    </row>
    <row r="3281" spans="1:26" x14ac:dyDescent="0.25">
      <c r="A3281">
        <v>3280</v>
      </c>
      <c r="B3281">
        <v>59</v>
      </c>
      <c r="C3281" t="s">
        <v>156</v>
      </c>
      <c r="D3281">
        <v>3280</v>
      </c>
      <c r="E3281" t="s">
        <v>127</v>
      </c>
      <c r="F3281" t="s">
        <v>70</v>
      </c>
      <c r="G3281">
        <v>3280</v>
      </c>
      <c r="H3281">
        <v>4135</v>
      </c>
      <c r="I3281">
        <v>50</v>
      </c>
      <c r="J3281" t="s">
        <v>54</v>
      </c>
      <c r="K3281" t="s">
        <v>39</v>
      </c>
      <c r="L3281" t="s">
        <v>111</v>
      </c>
      <c r="M3281" t="s">
        <v>60</v>
      </c>
      <c r="N3281">
        <v>3</v>
      </c>
      <c r="O3281">
        <v>0</v>
      </c>
      <c r="P3281" t="s">
        <v>29</v>
      </c>
      <c r="Q3281" t="s">
        <v>155</v>
      </c>
      <c r="R3281" t="s">
        <v>155</v>
      </c>
      <c r="S3281">
        <v>1</v>
      </c>
      <c r="T3281" t="s">
        <v>89</v>
      </c>
      <c r="U3281" t="s">
        <v>32</v>
      </c>
      <c r="V3281" s="1">
        <v>45546</v>
      </c>
      <c r="W3281">
        <f>Table1[[#This Row],[customer_purchase count]]+1</f>
        <v>2</v>
      </c>
      <c r="X3281">
        <f>Table1[[#This Row],[customer_purchase count]]*Rules!$B$3</f>
        <v>59.764358974358977</v>
      </c>
      <c r="Y3281" t="str">
        <f>IF(Table1[[#This Row],[customer_subscription]]=1,"Subscribed","Not Subscribed")</f>
        <v>Not Subscribed</v>
      </c>
      <c r="Z3281" t="s">
        <v>194</v>
      </c>
    </row>
    <row r="3282" spans="1:26" x14ac:dyDescent="0.25">
      <c r="A3282">
        <v>3281</v>
      </c>
      <c r="B3282">
        <v>45</v>
      </c>
      <c r="C3282" t="s">
        <v>156</v>
      </c>
      <c r="D3282">
        <v>3281</v>
      </c>
      <c r="E3282" t="s">
        <v>69</v>
      </c>
      <c r="F3282" t="s">
        <v>70</v>
      </c>
      <c r="G3282">
        <v>3281</v>
      </c>
      <c r="H3282">
        <v>4136</v>
      </c>
      <c r="I3282">
        <v>57</v>
      </c>
      <c r="J3282" t="s">
        <v>87</v>
      </c>
      <c r="K3282" t="s">
        <v>26</v>
      </c>
      <c r="L3282" t="s">
        <v>111</v>
      </c>
      <c r="M3282" t="s">
        <v>28</v>
      </c>
      <c r="N3282">
        <v>2.7</v>
      </c>
      <c r="O3282">
        <v>0</v>
      </c>
      <c r="P3282" t="s">
        <v>48</v>
      </c>
      <c r="Q3282" t="s">
        <v>155</v>
      </c>
      <c r="R3282" t="s">
        <v>155</v>
      </c>
      <c r="S3282">
        <v>5</v>
      </c>
      <c r="T3282" t="s">
        <v>49</v>
      </c>
      <c r="U3282" t="s">
        <v>91</v>
      </c>
      <c r="V3282" s="1">
        <v>45339</v>
      </c>
      <c r="W3282">
        <f>Table1[[#This Row],[customer_purchase count]]+1</f>
        <v>6</v>
      </c>
      <c r="X3282">
        <f>Table1[[#This Row],[customer_purchase count]]*Rules!$B$3</f>
        <v>298.82179487179491</v>
      </c>
      <c r="Y3282" t="str">
        <f>IF(Table1[[#This Row],[customer_subscription]]=1,"Subscribed","Not Subscribed")</f>
        <v>Not Subscribed</v>
      </c>
      <c r="Z3282" t="s">
        <v>194</v>
      </c>
    </row>
    <row r="3283" spans="1:26" x14ac:dyDescent="0.25">
      <c r="A3283">
        <v>3282</v>
      </c>
      <c r="B3283">
        <v>27</v>
      </c>
      <c r="C3283" t="s">
        <v>156</v>
      </c>
      <c r="D3283">
        <v>3282</v>
      </c>
      <c r="E3283" t="s">
        <v>98</v>
      </c>
      <c r="F3283" t="s">
        <v>24</v>
      </c>
      <c r="G3283">
        <v>3282</v>
      </c>
      <c r="H3283">
        <v>4137</v>
      </c>
      <c r="I3283">
        <v>69</v>
      </c>
      <c r="J3283" t="s">
        <v>50</v>
      </c>
      <c r="K3283" t="s">
        <v>26</v>
      </c>
      <c r="L3283" t="s">
        <v>83</v>
      </c>
      <c r="M3283" t="s">
        <v>28</v>
      </c>
      <c r="N3283">
        <v>3.1</v>
      </c>
      <c r="O3283">
        <v>0</v>
      </c>
      <c r="P3283" t="s">
        <v>41</v>
      </c>
      <c r="Q3283" t="s">
        <v>155</v>
      </c>
      <c r="R3283" t="s">
        <v>155</v>
      </c>
      <c r="S3283">
        <v>41</v>
      </c>
      <c r="T3283" t="s">
        <v>78</v>
      </c>
      <c r="U3283" t="s">
        <v>52</v>
      </c>
      <c r="V3283" s="1">
        <v>45305</v>
      </c>
      <c r="W3283">
        <f>Table1[[#This Row],[customer_purchase count]]+1</f>
        <v>42</v>
      </c>
      <c r="X3283">
        <f>Table1[[#This Row],[customer_purchase count]]*Rules!$B$3</f>
        <v>2450.3387179487181</v>
      </c>
      <c r="Y3283" t="str">
        <f>IF(Table1[[#This Row],[customer_subscription]]=1,"Subscribed","Not Subscribed")</f>
        <v>Not Subscribed</v>
      </c>
    </row>
    <row r="3284" spans="1:26" x14ac:dyDescent="0.25">
      <c r="A3284">
        <v>3283</v>
      </c>
      <c r="B3284">
        <v>24</v>
      </c>
      <c r="C3284" t="s">
        <v>156</v>
      </c>
      <c r="D3284">
        <v>3283</v>
      </c>
      <c r="E3284" t="s">
        <v>116</v>
      </c>
      <c r="F3284" t="s">
        <v>24</v>
      </c>
      <c r="G3284">
        <v>3283</v>
      </c>
      <c r="H3284">
        <v>4138</v>
      </c>
      <c r="I3284">
        <v>94</v>
      </c>
      <c r="J3284" t="s">
        <v>102</v>
      </c>
      <c r="K3284" t="s">
        <v>47</v>
      </c>
      <c r="L3284" t="s">
        <v>111</v>
      </c>
      <c r="M3284" t="s">
        <v>60</v>
      </c>
      <c r="N3284">
        <v>4.8</v>
      </c>
      <c r="O3284">
        <v>0</v>
      </c>
      <c r="P3284" t="s">
        <v>48</v>
      </c>
      <c r="Q3284" t="s">
        <v>155</v>
      </c>
      <c r="R3284" t="s">
        <v>155</v>
      </c>
      <c r="S3284">
        <v>5</v>
      </c>
      <c r="T3284" t="s">
        <v>42</v>
      </c>
      <c r="U3284" t="s">
        <v>91</v>
      </c>
      <c r="V3284" s="1">
        <v>45539</v>
      </c>
      <c r="W3284">
        <f>Table1[[#This Row],[customer_purchase count]]+1</f>
        <v>6</v>
      </c>
      <c r="X3284">
        <f>Table1[[#This Row],[customer_purchase count]]*Rules!$B$3</f>
        <v>298.82179487179491</v>
      </c>
      <c r="Y3284" t="str">
        <f>IF(Table1[[#This Row],[customer_subscription]]=1,"Subscribed","Not Subscribed")</f>
        <v>Not Subscribed</v>
      </c>
      <c r="Z3284" t="s">
        <v>194</v>
      </c>
    </row>
    <row r="3285" spans="1:26" x14ac:dyDescent="0.25">
      <c r="A3285">
        <v>3284</v>
      </c>
      <c r="B3285">
        <v>47</v>
      </c>
      <c r="C3285" t="s">
        <v>156</v>
      </c>
      <c r="D3285">
        <v>3284</v>
      </c>
      <c r="E3285" t="s">
        <v>105</v>
      </c>
      <c r="F3285" t="s">
        <v>66</v>
      </c>
      <c r="G3285">
        <v>3284</v>
      </c>
      <c r="H3285">
        <v>4139</v>
      </c>
      <c r="I3285">
        <v>24</v>
      </c>
      <c r="J3285" t="s">
        <v>101</v>
      </c>
      <c r="K3285" t="s">
        <v>26</v>
      </c>
      <c r="L3285" t="s">
        <v>76</v>
      </c>
      <c r="M3285" t="s">
        <v>40</v>
      </c>
      <c r="N3285">
        <v>2.9</v>
      </c>
      <c r="O3285">
        <v>0</v>
      </c>
      <c r="P3285" t="s">
        <v>29</v>
      </c>
      <c r="Q3285" t="s">
        <v>155</v>
      </c>
      <c r="R3285" t="s">
        <v>155</v>
      </c>
      <c r="S3285">
        <v>10</v>
      </c>
      <c r="T3285" t="s">
        <v>89</v>
      </c>
      <c r="U3285" t="s">
        <v>100</v>
      </c>
      <c r="V3285" s="1">
        <v>45367</v>
      </c>
      <c r="W3285">
        <f>Table1[[#This Row],[customer_purchase count]]+1</f>
        <v>11</v>
      </c>
      <c r="X3285">
        <f>Table1[[#This Row],[customer_purchase count]]*Rules!$B$3</f>
        <v>597.64358974358981</v>
      </c>
      <c r="Y3285" t="str">
        <f>IF(Table1[[#This Row],[customer_subscription]]=1,"Subscribed","Not Subscribed")</f>
        <v>Not Subscribed</v>
      </c>
      <c r="Z3285" t="s">
        <v>194</v>
      </c>
    </row>
    <row r="3286" spans="1:26" x14ac:dyDescent="0.25">
      <c r="A3286">
        <v>3285</v>
      </c>
      <c r="B3286">
        <v>70</v>
      </c>
      <c r="C3286" t="s">
        <v>156</v>
      </c>
      <c r="D3286">
        <v>3285</v>
      </c>
      <c r="E3286" t="s">
        <v>122</v>
      </c>
      <c r="F3286" t="s">
        <v>70</v>
      </c>
      <c r="G3286">
        <v>3285</v>
      </c>
      <c r="H3286">
        <v>4141</v>
      </c>
      <c r="I3286">
        <v>79</v>
      </c>
      <c r="J3286" t="s">
        <v>25</v>
      </c>
      <c r="K3286" t="s">
        <v>26</v>
      </c>
      <c r="L3286" t="s">
        <v>55</v>
      </c>
      <c r="M3286" t="s">
        <v>40</v>
      </c>
      <c r="N3286">
        <v>4.5</v>
      </c>
      <c r="O3286">
        <v>0</v>
      </c>
      <c r="P3286" t="s">
        <v>73</v>
      </c>
      <c r="Q3286" t="s">
        <v>155</v>
      </c>
      <c r="R3286" t="s">
        <v>155</v>
      </c>
      <c r="S3286">
        <v>20</v>
      </c>
      <c r="T3286" t="s">
        <v>31</v>
      </c>
      <c r="U3286" t="s">
        <v>52</v>
      </c>
      <c r="V3286" s="1">
        <v>45408</v>
      </c>
      <c r="W3286">
        <f>Table1[[#This Row],[customer_purchase count]]+1</f>
        <v>21</v>
      </c>
      <c r="X3286">
        <f>Table1[[#This Row],[customer_purchase count]]*Rules!$B$3</f>
        <v>1195.2871794871796</v>
      </c>
      <c r="Y3286" t="str">
        <f>IF(Table1[[#This Row],[customer_subscription]]=1,"Subscribed","Not Subscribed")</f>
        <v>Not Subscribed</v>
      </c>
    </row>
    <row r="3287" spans="1:26" x14ac:dyDescent="0.25">
      <c r="A3287">
        <v>3286</v>
      </c>
      <c r="B3287">
        <v>58</v>
      </c>
      <c r="C3287" t="s">
        <v>156</v>
      </c>
      <c r="D3287">
        <v>3286</v>
      </c>
      <c r="E3287" t="s">
        <v>127</v>
      </c>
      <c r="F3287" t="s">
        <v>70</v>
      </c>
      <c r="G3287">
        <v>3286</v>
      </c>
      <c r="H3287">
        <v>4142</v>
      </c>
      <c r="I3287">
        <v>31</v>
      </c>
      <c r="J3287" t="s">
        <v>80</v>
      </c>
      <c r="K3287" t="s">
        <v>95</v>
      </c>
      <c r="L3287" t="s">
        <v>139</v>
      </c>
      <c r="M3287" t="s">
        <v>60</v>
      </c>
      <c r="N3287">
        <v>4.5999999999999996</v>
      </c>
      <c r="O3287">
        <v>0</v>
      </c>
      <c r="P3287" t="s">
        <v>41</v>
      </c>
      <c r="Q3287" t="s">
        <v>155</v>
      </c>
      <c r="R3287" t="s">
        <v>155</v>
      </c>
      <c r="S3287">
        <v>11</v>
      </c>
      <c r="T3287" t="s">
        <v>36</v>
      </c>
      <c r="U3287" t="s">
        <v>43</v>
      </c>
      <c r="V3287" s="1">
        <v>45592</v>
      </c>
      <c r="W3287">
        <f>Table1[[#This Row],[customer_purchase count]]+1</f>
        <v>12</v>
      </c>
      <c r="X3287">
        <f>Table1[[#This Row],[customer_purchase count]]*Rules!$B$3</f>
        <v>657.40794871794878</v>
      </c>
      <c r="Y3287" t="str">
        <f>IF(Table1[[#This Row],[customer_subscription]]=1,"Subscribed","Not Subscribed")</f>
        <v>Not Subscribed</v>
      </c>
      <c r="Z3287" t="s">
        <v>194</v>
      </c>
    </row>
    <row r="3288" spans="1:26" x14ac:dyDescent="0.25">
      <c r="A3288">
        <v>3287</v>
      </c>
      <c r="B3288">
        <v>45</v>
      </c>
      <c r="C3288" t="s">
        <v>156</v>
      </c>
      <c r="D3288">
        <v>3287</v>
      </c>
      <c r="E3288" t="s">
        <v>105</v>
      </c>
      <c r="F3288" t="s">
        <v>66</v>
      </c>
      <c r="G3288">
        <v>3287</v>
      </c>
      <c r="H3288">
        <v>4143</v>
      </c>
      <c r="I3288">
        <v>67</v>
      </c>
      <c r="J3288" t="s">
        <v>118</v>
      </c>
      <c r="K3288" t="s">
        <v>26</v>
      </c>
      <c r="L3288" t="s">
        <v>72</v>
      </c>
      <c r="M3288" t="s">
        <v>28</v>
      </c>
      <c r="N3288">
        <v>5</v>
      </c>
      <c r="O3288">
        <v>0</v>
      </c>
      <c r="P3288" t="s">
        <v>29</v>
      </c>
      <c r="Q3288" t="s">
        <v>155</v>
      </c>
      <c r="R3288" t="s">
        <v>155</v>
      </c>
      <c r="S3288">
        <v>4</v>
      </c>
      <c r="T3288" t="s">
        <v>31</v>
      </c>
      <c r="U3288" t="s">
        <v>32</v>
      </c>
      <c r="V3288" s="1">
        <v>45338</v>
      </c>
      <c r="W3288">
        <f>Table1[[#This Row],[customer_purchase count]]+1</f>
        <v>5</v>
      </c>
      <c r="X3288">
        <f>Table1[[#This Row],[customer_purchase count]]*Rules!$B$3</f>
        <v>239.05743589743591</v>
      </c>
      <c r="Y3288" t="str">
        <f>IF(Table1[[#This Row],[customer_subscription]]=1,"Subscribed","Not Subscribed")</f>
        <v>Not Subscribed</v>
      </c>
      <c r="Z3288" t="s">
        <v>194</v>
      </c>
    </row>
    <row r="3289" spans="1:26" x14ac:dyDescent="0.25">
      <c r="A3289">
        <v>3288</v>
      </c>
      <c r="B3289">
        <v>24</v>
      </c>
      <c r="C3289" t="s">
        <v>156</v>
      </c>
      <c r="D3289">
        <v>3288</v>
      </c>
      <c r="E3289" t="s">
        <v>90</v>
      </c>
      <c r="F3289" t="s">
        <v>24</v>
      </c>
      <c r="G3289">
        <v>3288</v>
      </c>
      <c r="H3289">
        <v>4144</v>
      </c>
      <c r="I3289">
        <v>63</v>
      </c>
      <c r="J3289" t="s">
        <v>67</v>
      </c>
      <c r="K3289" t="s">
        <v>26</v>
      </c>
      <c r="L3289" t="s">
        <v>97</v>
      </c>
      <c r="M3289" t="s">
        <v>40</v>
      </c>
      <c r="N3289">
        <v>4.3</v>
      </c>
      <c r="O3289">
        <v>0</v>
      </c>
      <c r="P3289" t="s">
        <v>73</v>
      </c>
      <c r="Q3289" t="s">
        <v>155</v>
      </c>
      <c r="R3289" t="s">
        <v>155</v>
      </c>
      <c r="S3289">
        <v>38</v>
      </c>
      <c r="T3289" t="s">
        <v>42</v>
      </c>
      <c r="U3289" t="s">
        <v>43</v>
      </c>
      <c r="V3289" s="1">
        <v>45396</v>
      </c>
      <c r="W3289">
        <f>Table1[[#This Row],[customer_purchase count]]+1</f>
        <v>39</v>
      </c>
      <c r="X3289">
        <f>Table1[[#This Row],[customer_purchase count]]*Rules!$B$3</f>
        <v>2271.0456410256411</v>
      </c>
      <c r="Y3289" t="str">
        <f>IF(Table1[[#This Row],[customer_subscription]]=1,"Subscribed","Not Subscribed")</f>
        <v>Not Subscribed</v>
      </c>
    </row>
    <row r="3290" spans="1:26" x14ac:dyDescent="0.25">
      <c r="A3290">
        <v>3289</v>
      </c>
      <c r="B3290">
        <v>67</v>
      </c>
      <c r="C3290" t="s">
        <v>156</v>
      </c>
      <c r="D3290">
        <v>3289</v>
      </c>
      <c r="E3290" t="s">
        <v>69</v>
      </c>
      <c r="F3290" t="s">
        <v>70</v>
      </c>
      <c r="G3290">
        <v>3289</v>
      </c>
      <c r="H3290">
        <v>4145</v>
      </c>
      <c r="I3290">
        <v>61</v>
      </c>
      <c r="J3290" t="s">
        <v>134</v>
      </c>
      <c r="K3290" t="s">
        <v>95</v>
      </c>
      <c r="L3290" t="s">
        <v>55</v>
      </c>
      <c r="M3290" t="s">
        <v>40</v>
      </c>
      <c r="N3290">
        <v>4.9000000000000004</v>
      </c>
      <c r="O3290">
        <v>0</v>
      </c>
      <c r="P3290" t="s">
        <v>48</v>
      </c>
      <c r="Q3290" t="s">
        <v>155</v>
      </c>
      <c r="R3290" t="s">
        <v>155</v>
      </c>
      <c r="S3290">
        <v>19</v>
      </c>
      <c r="T3290" t="s">
        <v>42</v>
      </c>
      <c r="U3290" t="s">
        <v>79</v>
      </c>
      <c r="V3290" s="1">
        <v>45397</v>
      </c>
      <c r="W3290">
        <f>Table1[[#This Row],[customer_purchase count]]+1</f>
        <v>20</v>
      </c>
      <c r="X3290">
        <f>Table1[[#This Row],[customer_purchase count]]*Rules!$B$3</f>
        <v>1135.5228205128205</v>
      </c>
      <c r="Y3290" t="str">
        <f>IF(Table1[[#This Row],[customer_subscription]]=1,"Subscribed","Not Subscribed")</f>
        <v>Not Subscribed</v>
      </c>
    </row>
    <row r="3291" spans="1:26" x14ac:dyDescent="0.25">
      <c r="A3291">
        <v>3290</v>
      </c>
      <c r="B3291">
        <v>31</v>
      </c>
      <c r="C3291" t="s">
        <v>156</v>
      </c>
      <c r="D3291">
        <v>3290</v>
      </c>
      <c r="E3291" t="s">
        <v>135</v>
      </c>
      <c r="F3291" t="s">
        <v>70</v>
      </c>
      <c r="G3291">
        <v>3290</v>
      </c>
      <c r="H3291">
        <v>4147</v>
      </c>
      <c r="I3291">
        <v>50</v>
      </c>
      <c r="J3291" t="s">
        <v>59</v>
      </c>
      <c r="K3291" t="s">
        <v>47</v>
      </c>
      <c r="L3291" t="s">
        <v>35</v>
      </c>
      <c r="M3291" t="s">
        <v>56</v>
      </c>
      <c r="N3291">
        <v>4</v>
      </c>
      <c r="O3291">
        <v>0</v>
      </c>
      <c r="P3291" t="s">
        <v>73</v>
      </c>
      <c r="Q3291" t="s">
        <v>155</v>
      </c>
      <c r="R3291" t="s">
        <v>155</v>
      </c>
      <c r="S3291">
        <v>16</v>
      </c>
      <c r="T3291" t="s">
        <v>31</v>
      </c>
      <c r="U3291" t="s">
        <v>100</v>
      </c>
      <c r="V3291" s="1">
        <v>45444</v>
      </c>
      <c r="W3291">
        <f>Table1[[#This Row],[customer_purchase count]]+1</f>
        <v>17</v>
      </c>
      <c r="X3291">
        <f>Table1[[#This Row],[customer_purchase count]]*Rules!$B$3</f>
        <v>956.22974358974363</v>
      </c>
      <c r="Y3291" t="str">
        <f>IF(Table1[[#This Row],[customer_subscription]]=1,"Subscribed","Not Subscribed")</f>
        <v>Not Subscribed</v>
      </c>
      <c r="Z3291" t="s">
        <v>194</v>
      </c>
    </row>
    <row r="3292" spans="1:26" x14ac:dyDescent="0.25">
      <c r="A3292">
        <v>3291</v>
      </c>
      <c r="B3292">
        <v>52</v>
      </c>
      <c r="C3292" t="s">
        <v>156</v>
      </c>
      <c r="D3292">
        <v>3291</v>
      </c>
      <c r="E3292" t="s">
        <v>65</v>
      </c>
      <c r="F3292" t="s">
        <v>66</v>
      </c>
      <c r="G3292">
        <v>3291</v>
      </c>
      <c r="H3292">
        <v>4148</v>
      </c>
      <c r="I3292">
        <v>82</v>
      </c>
      <c r="J3292" t="s">
        <v>117</v>
      </c>
      <c r="K3292" t="s">
        <v>26</v>
      </c>
      <c r="L3292" t="s">
        <v>97</v>
      </c>
      <c r="M3292" t="s">
        <v>40</v>
      </c>
      <c r="N3292">
        <v>3.1</v>
      </c>
      <c r="O3292">
        <v>0</v>
      </c>
      <c r="P3292" t="s">
        <v>41</v>
      </c>
      <c r="Q3292" t="s">
        <v>155</v>
      </c>
      <c r="R3292" t="s">
        <v>155</v>
      </c>
      <c r="S3292">
        <v>2</v>
      </c>
      <c r="T3292" t="s">
        <v>49</v>
      </c>
      <c r="U3292" t="s">
        <v>91</v>
      </c>
      <c r="V3292" s="1">
        <v>45415</v>
      </c>
      <c r="W3292">
        <f>Table1[[#This Row],[customer_purchase count]]+1</f>
        <v>3</v>
      </c>
      <c r="X3292">
        <f>Table1[[#This Row],[customer_purchase count]]*Rules!$B$3</f>
        <v>119.52871794871795</v>
      </c>
      <c r="Y3292" t="str">
        <f>IF(Table1[[#This Row],[customer_subscription]]=1,"Subscribed","Not Subscribed")</f>
        <v>Not Subscribed</v>
      </c>
      <c r="Z3292" t="s">
        <v>194</v>
      </c>
    </row>
    <row r="3293" spans="1:26" x14ac:dyDescent="0.25">
      <c r="A3293">
        <v>3292</v>
      </c>
      <c r="B3293">
        <v>29</v>
      </c>
      <c r="C3293" t="s">
        <v>156</v>
      </c>
      <c r="D3293">
        <v>3292</v>
      </c>
      <c r="E3293" t="s">
        <v>136</v>
      </c>
      <c r="F3293" t="s">
        <v>70</v>
      </c>
      <c r="G3293">
        <v>3292</v>
      </c>
      <c r="H3293">
        <v>4149</v>
      </c>
      <c r="I3293">
        <v>51</v>
      </c>
      <c r="J3293" t="s">
        <v>133</v>
      </c>
      <c r="K3293" t="s">
        <v>26</v>
      </c>
      <c r="L3293" t="s">
        <v>81</v>
      </c>
      <c r="M3293" t="s">
        <v>60</v>
      </c>
      <c r="N3293">
        <v>2.6</v>
      </c>
      <c r="O3293">
        <v>0</v>
      </c>
      <c r="P3293" t="s">
        <v>73</v>
      </c>
      <c r="Q3293" t="s">
        <v>155</v>
      </c>
      <c r="R3293" t="s">
        <v>155</v>
      </c>
      <c r="S3293">
        <v>11</v>
      </c>
      <c r="T3293" t="s">
        <v>36</v>
      </c>
      <c r="U3293" t="s">
        <v>91</v>
      </c>
      <c r="V3293" s="1">
        <v>45611</v>
      </c>
      <c r="W3293">
        <f>Table1[[#This Row],[customer_purchase count]]+1</f>
        <v>12</v>
      </c>
      <c r="X3293">
        <f>Table1[[#This Row],[customer_purchase count]]*Rules!$B$3</f>
        <v>657.40794871794878</v>
      </c>
      <c r="Y3293" t="str">
        <f>IF(Table1[[#This Row],[customer_subscription]]=1,"Subscribed","Not Subscribed")</f>
        <v>Not Subscribed</v>
      </c>
      <c r="Z3293" t="s">
        <v>187</v>
      </c>
    </row>
    <row r="3294" spans="1:26" x14ac:dyDescent="0.25">
      <c r="A3294">
        <v>3293</v>
      </c>
      <c r="B3294">
        <v>62</v>
      </c>
      <c r="C3294" t="s">
        <v>156</v>
      </c>
      <c r="D3294">
        <v>3293</v>
      </c>
      <c r="E3294" t="s">
        <v>69</v>
      </c>
      <c r="F3294" t="s">
        <v>70</v>
      </c>
      <c r="G3294">
        <v>3293</v>
      </c>
      <c r="H3294">
        <v>4150</v>
      </c>
      <c r="I3294">
        <v>23</v>
      </c>
      <c r="J3294" t="s">
        <v>71</v>
      </c>
      <c r="K3294" t="s">
        <v>26</v>
      </c>
      <c r="L3294" t="s">
        <v>27</v>
      </c>
      <c r="M3294" t="s">
        <v>40</v>
      </c>
      <c r="N3294">
        <v>4.9000000000000004</v>
      </c>
      <c r="O3294">
        <v>0</v>
      </c>
      <c r="P3294" t="s">
        <v>57</v>
      </c>
      <c r="Q3294" t="s">
        <v>155</v>
      </c>
      <c r="R3294" t="s">
        <v>155</v>
      </c>
      <c r="S3294">
        <v>18</v>
      </c>
      <c r="T3294" t="s">
        <v>78</v>
      </c>
      <c r="U3294" t="s">
        <v>32</v>
      </c>
      <c r="V3294" s="1">
        <v>45393</v>
      </c>
      <c r="W3294">
        <f>Table1[[#This Row],[customer_purchase count]]+1</f>
        <v>19</v>
      </c>
      <c r="X3294">
        <f>Table1[[#This Row],[customer_purchase count]]*Rules!$B$3</f>
        <v>1075.7584615384617</v>
      </c>
      <c r="Y3294" t="str">
        <f>IF(Table1[[#This Row],[customer_subscription]]=1,"Subscribed","Not Subscribed")</f>
        <v>Not Subscribed</v>
      </c>
    </row>
    <row r="3295" spans="1:26" x14ac:dyDescent="0.25">
      <c r="A3295">
        <v>3294</v>
      </c>
      <c r="B3295">
        <v>19</v>
      </c>
      <c r="C3295" t="s">
        <v>156</v>
      </c>
      <c r="D3295">
        <v>3294</v>
      </c>
      <c r="E3295" t="s">
        <v>65</v>
      </c>
      <c r="F3295" t="s">
        <v>66</v>
      </c>
      <c r="G3295">
        <v>3294</v>
      </c>
      <c r="H3295">
        <v>4151</v>
      </c>
      <c r="I3295">
        <v>91</v>
      </c>
      <c r="J3295" t="s">
        <v>67</v>
      </c>
      <c r="K3295" t="s">
        <v>47</v>
      </c>
      <c r="L3295" t="s">
        <v>83</v>
      </c>
      <c r="M3295" t="s">
        <v>40</v>
      </c>
      <c r="N3295">
        <v>3.5</v>
      </c>
      <c r="O3295">
        <v>0</v>
      </c>
      <c r="P3295" t="s">
        <v>73</v>
      </c>
      <c r="Q3295" t="s">
        <v>155</v>
      </c>
      <c r="R3295" t="s">
        <v>155</v>
      </c>
      <c r="S3295">
        <v>47</v>
      </c>
      <c r="T3295" t="s">
        <v>42</v>
      </c>
      <c r="U3295" t="s">
        <v>32</v>
      </c>
      <c r="V3295" s="1">
        <v>45367</v>
      </c>
      <c r="W3295">
        <f>Table1[[#This Row],[customer_purchase count]]+1</f>
        <v>48</v>
      </c>
      <c r="X3295">
        <f>Table1[[#This Row],[customer_purchase count]]*Rules!$B$3</f>
        <v>2808.9248717948717</v>
      </c>
      <c r="Y3295" t="str">
        <f>IF(Table1[[#This Row],[customer_subscription]]=1,"Subscribed","Not Subscribed")</f>
        <v>Not Subscribed</v>
      </c>
    </row>
    <row r="3296" spans="1:26" x14ac:dyDescent="0.25">
      <c r="A3296">
        <v>3295</v>
      </c>
      <c r="B3296">
        <v>62</v>
      </c>
      <c r="C3296" t="s">
        <v>156</v>
      </c>
      <c r="D3296">
        <v>3295</v>
      </c>
      <c r="E3296" t="s">
        <v>33</v>
      </c>
      <c r="F3296" t="s">
        <v>24</v>
      </c>
      <c r="G3296">
        <v>3295</v>
      </c>
      <c r="H3296">
        <v>4153</v>
      </c>
      <c r="I3296">
        <v>60</v>
      </c>
      <c r="J3296" t="s">
        <v>134</v>
      </c>
      <c r="K3296" t="s">
        <v>39</v>
      </c>
      <c r="L3296" t="s">
        <v>139</v>
      </c>
      <c r="M3296" t="s">
        <v>40</v>
      </c>
      <c r="N3296">
        <v>4.5</v>
      </c>
      <c r="O3296">
        <v>0</v>
      </c>
      <c r="P3296" t="s">
        <v>77</v>
      </c>
      <c r="Q3296" t="s">
        <v>155</v>
      </c>
      <c r="R3296" t="s">
        <v>155</v>
      </c>
      <c r="S3296">
        <v>15</v>
      </c>
      <c r="T3296" t="s">
        <v>78</v>
      </c>
      <c r="U3296" t="s">
        <v>79</v>
      </c>
      <c r="V3296" s="1">
        <v>45359</v>
      </c>
      <c r="W3296">
        <f>Table1[[#This Row],[customer_purchase count]]+1</f>
        <v>16</v>
      </c>
      <c r="X3296">
        <f>Table1[[#This Row],[customer_purchase count]]*Rules!$B$3</f>
        <v>896.46538461538466</v>
      </c>
      <c r="Y3296" t="str">
        <f>IF(Table1[[#This Row],[customer_subscription]]=1,"Subscribed","Not Subscribed")</f>
        <v>Not Subscribed</v>
      </c>
      <c r="Z3296" t="s">
        <v>194</v>
      </c>
    </row>
    <row r="3297" spans="1:26" x14ac:dyDescent="0.25">
      <c r="A3297">
        <v>3296</v>
      </c>
      <c r="B3297">
        <v>70</v>
      </c>
      <c r="C3297" t="s">
        <v>156</v>
      </c>
      <c r="D3297">
        <v>3296</v>
      </c>
      <c r="E3297" t="s">
        <v>23</v>
      </c>
      <c r="F3297" t="s">
        <v>24</v>
      </c>
      <c r="G3297">
        <v>3296</v>
      </c>
      <c r="H3297">
        <v>4154</v>
      </c>
      <c r="I3297">
        <v>34</v>
      </c>
      <c r="J3297" t="s">
        <v>67</v>
      </c>
      <c r="K3297" t="s">
        <v>39</v>
      </c>
      <c r="L3297" t="s">
        <v>96</v>
      </c>
      <c r="M3297" t="s">
        <v>56</v>
      </c>
      <c r="N3297">
        <v>2.8</v>
      </c>
      <c r="O3297">
        <v>0</v>
      </c>
      <c r="P3297" t="s">
        <v>48</v>
      </c>
      <c r="Q3297" t="s">
        <v>155</v>
      </c>
      <c r="R3297" t="s">
        <v>155</v>
      </c>
      <c r="S3297">
        <v>15</v>
      </c>
      <c r="T3297" t="s">
        <v>36</v>
      </c>
      <c r="U3297" t="s">
        <v>43</v>
      </c>
      <c r="V3297" s="1">
        <v>45461</v>
      </c>
      <c r="W3297">
        <f>Table1[[#This Row],[customer_purchase count]]+1</f>
        <v>16</v>
      </c>
      <c r="X3297">
        <f>Table1[[#This Row],[customer_purchase count]]*Rules!$B$3</f>
        <v>896.46538461538466</v>
      </c>
      <c r="Y3297" t="str">
        <f>IF(Table1[[#This Row],[customer_subscription]]=1,"Subscribed","Not Subscribed")</f>
        <v>Not Subscribed</v>
      </c>
      <c r="Z3297" t="s">
        <v>194</v>
      </c>
    </row>
    <row r="3298" spans="1:26" x14ac:dyDescent="0.25">
      <c r="A3298">
        <v>3297</v>
      </c>
      <c r="B3298">
        <v>20</v>
      </c>
      <c r="C3298" t="s">
        <v>156</v>
      </c>
      <c r="D3298">
        <v>3297</v>
      </c>
      <c r="E3298" t="s">
        <v>23</v>
      </c>
      <c r="F3298" t="s">
        <v>24</v>
      </c>
      <c r="G3298">
        <v>3297</v>
      </c>
      <c r="H3298">
        <v>4155</v>
      </c>
      <c r="I3298">
        <v>23</v>
      </c>
      <c r="J3298" t="s">
        <v>123</v>
      </c>
      <c r="K3298" t="s">
        <v>47</v>
      </c>
      <c r="L3298" t="s">
        <v>99</v>
      </c>
      <c r="M3298" t="s">
        <v>40</v>
      </c>
      <c r="N3298">
        <v>4.2</v>
      </c>
      <c r="O3298">
        <v>0</v>
      </c>
      <c r="P3298" t="s">
        <v>48</v>
      </c>
      <c r="Q3298" t="s">
        <v>155</v>
      </c>
      <c r="R3298" t="s">
        <v>155</v>
      </c>
      <c r="S3298">
        <v>47</v>
      </c>
      <c r="T3298" t="s">
        <v>31</v>
      </c>
      <c r="U3298" t="s">
        <v>61</v>
      </c>
      <c r="V3298" s="1">
        <v>45364</v>
      </c>
      <c r="W3298">
        <f>Table1[[#This Row],[customer_purchase count]]+1</f>
        <v>48</v>
      </c>
      <c r="X3298">
        <f>Table1[[#This Row],[customer_purchase count]]*Rules!$B$3</f>
        <v>2808.9248717948717</v>
      </c>
      <c r="Y3298" t="str">
        <f>IF(Table1[[#This Row],[customer_subscription]]=1,"Subscribed","Not Subscribed")</f>
        <v>Not Subscribed</v>
      </c>
    </row>
    <row r="3299" spans="1:26" x14ac:dyDescent="0.25">
      <c r="A3299">
        <v>3298</v>
      </c>
      <c r="B3299">
        <v>67</v>
      </c>
      <c r="C3299" t="s">
        <v>156</v>
      </c>
      <c r="D3299">
        <v>3298</v>
      </c>
      <c r="E3299" t="s">
        <v>136</v>
      </c>
      <c r="F3299" t="s">
        <v>70</v>
      </c>
      <c r="G3299">
        <v>3298</v>
      </c>
      <c r="H3299">
        <v>4156</v>
      </c>
      <c r="I3299">
        <v>82</v>
      </c>
      <c r="J3299" t="s">
        <v>67</v>
      </c>
      <c r="K3299" t="s">
        <v>47</v>
      </c>
      <c r="L3299" t="s">
        <v>86</v>
      </c>
      <c r="M3299" t="s">
        <v>60</v>
      </c>
      <c r="N3299">
        <v>4.0999999999999996</v>
      </c>
      <c r="O3299">
        <v>0</v>
      </c>
      <c r="P3299" t="s">
        <v>41</v>
      </c>
      <c r="Q3299" t="s">
        <v>155</v>
      </c>
      <c r="R3299" t="s">
        <v>155</v>
      </c>
      <c r="S3299">
        <v>47</v>
      </c>
      <c r="T3299" t="s">
        <v>49</v>
      </c>
      <c r="U3299" t="s">
        <v>91</v>
      </c>
      <c r="V3299" s="1">
        <v>45604</v>
      </c>
      <c r="W3299">
        <f>Table1[[#This Row],[customer_purchase count]]+1</f>
        <v>48</v>
      </c>
      <c r="X3299">
        <f>Table1[[#This Row],[customer_purchase count]]*Rules!$B$3</f>
        <v>2808.9248717948717</v>
      </c>
      <c r="Y3299" t="str">
        <f>IF(Table1[[#This Row],[customer_subscription]]=1,"Subscribed","Not Subscribed")</f>
        <v>Not Subscribed</v>
      </c>
    </row>
    <row r="3300" spans="1:26" x14ac:dyDescent="0.25">
      <c r="A3300">
        <v>3299</v>
      </c>
      <c r="B3300">
        <v>65</v>
      </c>
      <c r="C3300" t="s">
        <v>156</v>
      </c>
      <c r="D3300">
        <v>3299</v>
      </c>
      <c r="E3300" t="s">
        <v>105</v>
      </c>
      <c r="F3300" t="s">
        <v>66</v>
      </c>
      <c r="G3300">
        <v>3299</v>
      </c>
      <c r="H3300">
        <v>4157</v>
      </c>
      <c r="I3300">
        <v>73</v>
      </c>
      <c r="J3300" t="s">
        <v>133</v>
      </c>
      <c r="K3300" t="s">
        <v>47</v>
      </c>
      <c r="L3300" t="s">
        <v>113</v>
      </c>
      <c r="M3300" t="s">
        <v>60</v>
      </c>
      <c r="N3300">
        <v>3.5</v>
      </c>
      <c r="O3300">
        <v>0</v>
      </c>
      <c r="P3300" t="s">
        <v>29</v>
      </c>
      <c r="Q3300" t="s">
        <v>155</v>
      </c>
      <c r="R3300" t="s">
        <v>155</v>
      </c>
      <c r="S3300">
        <v>6</v>
      </c>
      <c r="T3300" t="s">
        <v>78</v>
      </c>
      <c r="U3300" t="s">
        <v>100</v>
      </c>
      <c r="V3300" s="1">
        <v>45610</v>
      </c>
      <c r="W3300">
        <f>Table1[[#This Row],[customer_purchase count]]+1</f>
        <v>7</v>
      </c>
      <c r="X3300">
        <f>Table1[[#This Row],[customer_purchase count]]*Rules!$B$3</f>
        <v>358.58615384615388</v>
      </c>
      <c r="Y3300" t="str">
        <f>IF(Table1[[#This Row],[customer_subscription]]=1,"Subscribed","Not Subscribed")</f>
        <v>Not Subscribed</v>
      </c>
      <c r="Z3300" t="s">
        <v>194</v>
      </c>
    </row>
    <row r="3301" spans="1:26" x14ac:dyDescent="0.25">
      <c r="A3301">
        <v>3300</v>
      </c>
      <c r="B3301">
        <v>45</v>
      </c>
      <c r="C3301" t="s">
        <v>156</v>
      </c>
      <c r="D3301">
        <v>3300</v>
      </c>
      <c r="E3301" t="s">
        <v>62</v>
      </c>
      <c r="F3301" t="s">
        <v>24</v>
      </c>
      <c r="G3301">
        <v>3300</v>
      </c>
      <c r="H3301">
        <v>4159</v>
      </c>
      <c r="I3301">
        <v>32</v>
      </c>
      <c r="J3301" t="s">
        <v>150</v>
      </c>
      <c r="K3301" t="s">
        <v>26</v>
      </c>
      <c r="L3301" t="s">
        <v>88</v>
      </c>
      <c r="M3301" t="s">
        <v>40</v>
      </c>
      <c r="N3301">
        <v>4</v>
      </c>
      <c r="O3301">
        <v>0</v>
      </c>
      <c r="P3301" t="s">
        <v>73</v>
      </c>
      <c r="Q3301" t="s">
        <v>155</v>
      </c>
      <c r="R3301" t="s">
        <v>155</v>
      </c>
      <c r="S3301">
        <v>18</v>
      </c>
      <c r="T3301" t="s">
        <v>31</v>
      </c>
      <c r="U3301" t="s">
        <v>91</v>
      </c>
      <c r="V3301" s="1">
        <v>45415</v>
      </c>
      <c r="W3301">
        <f>Table1[[#This Row],[customer_purchase count]]+1</f>
        <v>19</v>
      </c>
      <c r="X3301">
        <f>Table1[[#This Row],[customer_purchase count]]*Rules!$B$3</f>
        <v>1075.7584615384617</v>
      </c>
      <c r="Y3301" t="str">
        <f>IF(Table1[[#This Row],[customer_subscription]]=1,"Subscribed","Not Subscribed")</f>
        <v>Not Subscribed</v>
      </c>
    </row>
    <row r="3302" spans="1:26" x14ac:dyDescent="0.25">
      <c r="A3302">
        <v>3301</v>
      </c>
      <c r="B3302">
        <v>26</v>
      </c>
      <c r="C3302" t="s">
        <v>156</v>
      </c>
      <c r="D3302">
        <v>3301</v>
      </c>
      <c r="E3302" t="s">
        <v>127</v>
      </c>
      <c r="F3302" t="s">
        <v>70</v>
      </c>
      <c r="G3302">
        <v>3301</v>
      </c>
      <c r="H3302">
        <v>4160</v>
      </c>
      <c r="I3302">
        <v>80</v>
      </c>
      <c r="J3302" t="s">
        <v>104</v>
      </c>
      <c r="K3302" t="s">
        <v>47</v>
      </c>
      <c r="L3302" t="s">
        <v>64</v>
      </c>
      <c r="M3302" t="s">
        <v>40</v>
      </c>
      <c r="N3302">
        <v>4</v>
      </c>
      <c r="O3302">
        <v>0</v>
      </c>
      <c r="P3302" t="s">
        <v>29</v>
      </c>
      <c r="Q3302" t="s">
        <v>155</v>
      </c>
      <c r="R3302" t="s">
        <v>155</v>
      </c>
      <c r="S3302">
        <v>40</v>
      </c>
      <c r="T3302" t="s">
        <v>78</v>
      </c>
      <c r="U3302" t="s">
        <v>79</v>
      </c>
      <c r="V3302" s="1">
        <v>45376</v>
      </c>
      <c r="W3302">
        <f>Table1[[#This Row],[customer_purchase count]]+1</f>
        <v>41</v>
      </c>
      <c r="X3302">
        <f>Table1[[#This Row],[customer_purchase count]]*Rules!$B$3</f>
        <v>2390.5743589743593</v>
      </c>
      <c r="Y3302" t="str">
        <f>IF(Table1[[#This Row],[customer_subscription]]=1,"Subscribed","Not Subscribed")</f>
        <v>Not Subscribed</v>
      </c>
    </row>
    <row r="3303" spans="1:26" x14ac:dyDescent="0.25">
      <c r="A3303">
        <v>3302</v>
      </c>
      <c r="B3303">
        <v>36</v>
      </c>
      <c r="C3303" t="s">
        <v>156</v>
      </c>
      <c r="D3303">
        <v>3302</v>
      </c>
      <c r="E3303" t="s">
        <v>98</v>
      </c>
      <c r="F3303" t="s">
        <v>24</v>
      </c>
      <c r="G3303">
        <v>3302</v>
      </c>
      <c r="H3303">
        <v>4161</v>
      </c>
      <c r="I3303">
        <v>58</v>
      </c>
      <c r="J3303" t="s">
        <v>104</v>
      </c>
      <c r="K3303" t="s">
        <v>95</v>
      </c>
      <c r="L3303" t="s">
        <v>64</v>
      </c>
      <c r="M3303" t="s">
        <v>56</v>
      </c>
      <c r="N3303">
        <v>2.5</v>
      </c>
      <c r="O3303">
        <v>0</v>
      </c>
      <c r="P3303" t="s">
        <v>41</v>
      </c>
      <c r="Q3303" t="s">
        <v>155</v>
      </c>
      <c r="R3303" t="s">
        <v>155</v>
      </c>
      <c r="S3303">
        <v>31</v>
      </c>
      <c r="T3303" t="s">
        <v>42</v>
      </c>
      <c r="U3303" t="s">
        <v>32</v>
      </c>
      <c r="V3303" s="1">
        <v>45488</v>
      </c>
      <c r="W3303">
        <f>Table1[[#This Row],[customer_purchase count]]+1</f>
        <v>32</v>
      </c>
      <c r="X3303">
        <f>Table1[[#This Row],[customer_purchase count]]*Rules!$B$3</f>
        <v>1852.6951282051282</v>
      </c>
      <c r="Y3303" t="str">
        <f>IF(Table1[[#This Row],[customer_subscription]]=1,"Subscribed","Not Subscribed")</f>
        <v>Not Subscribed</v>
      </c>
    </row>
    <row r="3304" spans="1:26" x14ac:dyDescent="0.25">
      <c r="A3304">
        <v>3303</v>
      </c>
      <c r="B3304">
        <v>36</v>
      </c>
      <c r="C3304" t="s">
        <v>156</v>
      </c>
      <c r="D3304">
        <v>3303</v>
      </c>
      <c r="E3304" t="s">
        <v>23</v>
      </c>
      <c r="F3304" t="s">
        <v>24</v>
      </c>
      <c r="G3304">
        <v>3303</v>
      </c>
      <c r="H3304">
        <v>4162</v>
      </c>
      <c r="I3304">
        <v>82</v>
      </c>
      <c r="J3304" t="s">
        <v>93</v>
      </c>
      <c r="K3304" t="s">
        <v>95</v>
      </c>
      <c r="L3304" t="s">
        <v>121</v>
      </c>
      <c r="M3304" t="s">
        <v>28</v>
      </c>
      <c r="N3304">
        <v>4.2</v>
      </c>
      <c r="O3304">
        <v>0</v>
      </c>
      <c r="P3304" t="s">
        <v>57</v>
      </c>
      <c r="Q3304" t="s">
        <v>155</v>
      </c>
      <c r="R3304" t="s">
        <v>155</v>
      </c>
      <c r="S3304">
        <v>31</v>
      </c>
      <c r="T3304" t="s">
        <v>31</v>
      </c>
      <c r="U3304" t="s">
        <v>79</v>
      </c>
      <c r="V3304" s="1">
        <v>45294</v>
      </c>
      <c r="W3304">
        <f>Table1[[#This Row],[customer_purchase count]]+1</f>
        <v>32</v>
      </c>
      <c r="X3304">
        <f>Table1[[#This Row],[customer_purchase count]]*Rules!$B$3</f>
        <v>1852.6951282051282</v>
      </c>
      <c r="Y3304" t="str">
        <f>IF(Table1[[#This Row],[customer_subscription]]=1,"Subscribed","Not Subscribed")</f>
        <v>Not Subscribed</v>
      </c>
    </row>
    <row r="3305" spans="1:26" x14ac:dyDescent="0.25">
      <c r="A3305">
        <v>3304</v>
      </c>
      <c r="B3305">
        <v>20</v>
      </c>
      <c r="C3305" t="s">
        <v>156</v>
      </c>
      <c r="D3305">
        <v>3304</v>
      </c>
      <c r="E3305" t="s">
        <v>136</v>
      </c>
      <c r="F3305" t="s">
        <v>70</v>
      </c>
      <c r="G3305">
        <v>3304</v>
      </c>
      <c r="H3305">
        <v>4163</v>
      </c>
      <c r="I3305">
        <v>60</v>
      </c>
      <c r="J3305" t="s">
        <v>94</v>
      </c>
      <c r="K3305" t="s">
        <v>39</v>
      </c>
      <c r="L3305" t="s">
        <v>51</v>
      </c>
      <c r="M3305" t="s">
        <v>56</v>
      </c>
      <c r="N3305">
        <v>3.4</v>
      </c>
      <c r="O3305">
        <v>0</v>
      </c>
      <c r="P3305" t="s">
        <v>48</v>
      </c>
      <c r="Q3305" t="s">
        <v>155</v>
      </c>
      <c r="R3305" t="s">
        <v>155</v>
      </c>
      <c r="S3305">
        <v>4</v>
      </c>
      <c r="T3305" t="s">
        <v>42</v>
      </c>
      <c r="U3305" t="s">
        <v>32</v>
      </c>
      <c r="V3305" s="1">
        <v>45447</v>
      </c>
      <c r="W3305">
        <f>Table1[[#This Row],[customer_purchase count]]+1</f>
        <v>5</v>
      </c>
      <c r="X3305">
        <f>Table1[[#This Row],[customer_purchase count]]*Rules!$B$3</f>
        <v>239.05743589743591</v>
      </c>
      <c r="Y3305" t="str">
        <f>IF(Table1[[#This Row],[customer_subscription]]=1,"Subscribed","Not Subscribed")</f>
        <v>Not Subscribed</v>
      </c>
      <c r="Z3305" t="s">
        <v>194</v>
      </c>
    </row>
    <row r="3306" spans="1:26" x14ac:dyDescent="0.25">
      <c r="A3306">
        <v>3305</v>
      </c>
      <c r="B3306">
        <v>30</v>
      </c>
      <c r="C3306" t="s">
        <v>156</v>
      </c>
      <c r="D3306">
        <v>3305</v>
      </c>
      <c r="E3306" t="s">
        <v>69</v>
      </c>
      <c r="F3306" t="s">
        <v>70</v>
      </c>
      <c r="G3306">
        <v>3305</v>
      </c>
      <c r="H3306">
        <v>4165</v>
      </c>
      <c r="I3306">
        <v>79</v>
      </c>
      <c r="J3306" t="s">
        <v>94</v>
      </c>
      <c r="K3306" t="s">
        <v>95</v>
      </c>
      <c r="L3306" t="s">
        <v>124</v>
      </c>
      <c r="M3306" t="s">
        <v>60</v>
      </c>
      <c r="N3306">
        <v>4.8</v>
      </c>
      <c r="O3306">
        <v>0</v>
      </c>
      <c r="P3306" t="s">
        <v>48</v>
      </c>
      <c r="Q3306" t="s">
        <v>155</v>
      </c>
      <c r="R3306" t="s">
        <v>155</v>
      </c>
      <c r="S3306">
        <v>36</v>
      </c>
      <c r="T3306" t="s">
        <v>78</v>
      </c>
      <c r="U3306" t="s">
        <v>100</v>
      </c>
      <c r="V3306" s="1">
        <v>45553</v>
      </c>
      <c r="W3306">
        <f>Table1[[#This Row],[customer_purchase count]]+1</f>
        <v>37</v>
      </c>
      <c r="X3306">
        <f>Table1[[#This Row],[customer_purchase count]]*Rules!$B$3</f>
        <v>2151.5169230769234</v>
      </c>
      <c r="Y3306" t="str">
        <f>IF(Table1[[#This Row],[customer_subscription]]=1,"Subscribed","Not Subscribed")</f>
        <v>Not Subscribed</v>
      </c>
    </row>
    <row r="3307" spans="1:26" x14ac:dyDescent="0.25">
      <c r="A3307">
        <v>3306</v>
      </c>
      <c r="B3307">
        <v>34</v>
      </c>
      <c r="C3307" t="s">
        <v>156</v>
      </c>
      <c r="D3307">
        <v>3306</v>
      </c>
      <c r="E3307" t="s">
        <v>107</v>
      </c>
      <c r="F3307" t="s">
        <v>24</v>
      </c>
      <c r="G3307">
        <v>3306</v>
      </c>
      <c r="H3307">
        <v>4166</v>
      </c>
      <c r="I3307">
        <v>41</v>
      </c>
      <c r="J3307" t="s">
        <v>148</v>
      </c>
      <c r="K3307" t="s">
        <v>26</v>
      </c>
      <c r="L3307" t="s">
        <v>112</v>
      </c>
      <c r="M3307" t="s">
        <v>56</v>
      </c>
      <c r="N3307">
        <v>4.9000000000000004</v>
      </c>
      <c r="O3307">
        <v>0</v>
      </c>
      <c r="P3307" t="s">
        <v>57</v>
      </c>
      <c r="Q3307" t="s">
        <v>155</v>
      </c>
      <c r="R3307" t="s">
        <v>155</v>
      </c>
      <c r="S3307">
        <v>31</v>
      </c>
      <c r="T3307" t="s">
        <v>49</v>
      </c>
      <c r="U3307" t="s">
        <v>79</v>
      </c>
      <c r="V3307" s="1">
        <v>45481</v>
      </c>
      <c r="W3307">
        <f>Table1[[#This Row],[customer_purchase count]]+1</f>
        <v>32</v>
      </c>
      <c r="X3307">
        <f>Table1[[#This Row],[customer_purchase count]]*Rules!$B$3</f>
        <v>1852.6951282051282</v>
      </c>
      <c r="Y3307" t="str">
        <f>IF(Table1[[#This Row],[customer_subscription]]=1,"Subscribed","Not Subscribed")</f>
        <v>Not Subscribed</v>
      </c>
    </row>
    <row r="3308" spans="1:26" x14ac:dyDescent="0.25">
      <c r="A3308">
        <v>3307</v>
      </c>
      <c r="B3308">
        <v>63</v>
      </c>
      <c r="C3308" t="s">
        <v>156</v>
      </c>
      <c r="D3308">
        <v>3307</v>
      </c>
      <c r="E3308" t="s">
        <v>105</v>
      </c>
      <c r="F3308" t="s">
        <v>66</v>
      </c>
      <c r="G3308">
        <v>3307</v>
      </c>
      <c r="H3308">
        <v>4167</v>
      </c>
      <c r="I3308">
        <v>39</v>
      </c>
      <c r="J3308" t="s">
        <v>115</v>
      </c>
      <c r="K3308" t="s">
        <v>26</v>
      </c>
      <c r="L3308" t="s">
        <v>124</v>
      </c>
      <c r="M3308" t="s">
        <v>56</v>
      </c>
      <c r="N3308">
        <v>3.6</v>
      </c>
      <c r="O3308">
        <v>0</v>
      </c>
      <c r="P3308" t="s">
        <v>77</v>
      </c>
      <c r="Q3308" t="s">
        <v>155</v>
      </c>
      <c r="R3308" t="s">
        <v>155</v>
      </c>
      <c r="S3308">
        <v>6</v>
      </c>
      <c r="T3308" t="s">
        <v>31</v>
      </c>
      <c r="U3308" t="s">
        <v>32</v>
      </c>
      <c r="V3308" s="1">
        <v>45449</v>
      </c>
      <c r="W3308">
        <f>Table1[[#This Row],[customer_purchase count]]+1</f>
        <v>7</v>
      </c>
      <c r="X3308">
        <f>Table1[[#This Row],[customer_purchase count]]*Rules!$B$3</f>
        <v>358.58615384615388</v>
      </c>
      <c r="Y3308" t="str">
        <f>IF(Table1[[#This Row],[customer_subscription]]=1,"Subscribed","Not Subscribed")</f>
        <v>Not Subscribed</v>
      </c>
      <c r="Z3308" t="s">
        <v>194</v>
      </c>
    </row>
    <row r="3309" spans="1:26" x14ac:dyDescent="0.25">
      <c r="A3309">
        <v>3308</v>
      </c>
      <c r="B3309">
        <v>18</v>
      </c>
      <c r="C3309" t="s">
        <v>156</v>
      </c>
      <c r="D3309">
        <v>3308</v>
      </c>
      <c r="E3309" t="s">
        <v>122</v>
      </c>
      <c r="F3309" t="s">
        <v>70</v>
      </c>
      <c r="G3309">
        <v>3308</v>
      </c>
      <c r="H3309">
        <v>4168</v>
      </c>
      <c r="I3309">
        <v>36</v>
      </c>
      <c r="J3309" t="s">
        <v>141</v>
      </c>
      <c r="K3309" t="s">
        <v>39</v>
      </c>
      <c r="L3309" t="s">
        <v>99</v>
      </c>
      <c r="M3309" t="s">
        <v>28</v>
      </c>
      <c r="N3309">
        <v>4</v>
      </c>
      <c r="O3309">
        <v>0</v>
      </c>
      <c r="P3309" t="s">
        <v>77</v>
      </c>
      <c r="Q3309" t="s">
        <v>155</v>
      </c>
      <c r="R3309" t="s">
        <v>155</v>
      </c>
      <c r="S3309">
        <v>1</v>
      </c>
      <c r="T3309" t="s">
        <v>36</v>
      </c>
      <c r="U3309" t="s">
        <v>91</v>
      </c>
      <c r="V3309" s="1">
        <v>45337</v>
      </c>
      <c r="W3309">
        <f>Table1[[#This Row],[customer_purchase count]]+1</f>
        <v>2</v>
      </c>
      <c r="X3309">
        <f>Table1[[#This Row],[customer_purchase count]]*Rules!$B$3</f>
        <v>59.764358974358977</v>
      </c>
      <c r="Y3309" t="str">
        <f>IF(Table1[[#This Row],[customer_subscription]]=1,"Subscribed","Not Subscribed")</f>
        <v>Not Subscribed</v>
      </c>
      <c r="Z3309" t="s">
        <v>194</v>
      </c>
    </row>
    <row r="3310" spans="1:26" x14ac:dyDescent="0.25">
      <c r="A3310">
        <v>3309</v>
      </c>
      <c r="B3310">
        <v>55</v>
      </c>
      <c r="C3310" t="s">
        <v>156</v>
      </c>
      <c r="D3310">
        <v>3309</v>
      </c>
      <c r="E3310" t="s">
        <v>37</v>
      </c>
      <c r="F3310" t="s">
        <v>24</v>
      </c>
      <c r="G3310">
        <v>3309</v>
      </c>
      <c r="H3310">
        <v>4169</v>
      </c>
      <c r="I3310">
        <v>70</v>
      </c>
      <c r="J3310" t="s">
        <v>143</v>
      </c>
      <c r="K3310" t="s">
        <v>47</v>
      </c>
      <c r="L3310" t="s">
        <v>72</v>
      </c>
      <c r="M3310" t="s">
        <v>60</v>
      </c>
      <c r="N3310">
        <v>2.6</v>
      </c>
      <c r="O3310">
        <v>0</v>
      </c>
      <c r="P3310" t="s">
        <v>29</v>
      </c>
      <c r="Q3310" t="s">
        <v>155</v>
      </c>
      <c r="R3310" t="s">
        <v>155</v>
      </c>
      <c r="S3310">
        <v>29</v>
      </c>
      <c r="T3310" t="s">
        <v>36</v>
      </c>
      <c r="U3310" t="s">
        <v>91</v>
      </c>
      <c r="V3310" s="1">
        <v>45575</v>
      </c>
      <c r="W3310">
        <f>Table1[[#This Row],[customer_purchase count]]+1</f>
        <v>30</v>
      </c>
      <c r="X3310">
        <f>Table1[[#This Row],[customer_purchase count]]*Rules!$B$3</f>
        <v>1733.1664102564102</v>
      </c>
      <c r="Y3310" t="str">
        <f>IF(Table1[[#This Row],[customer_subscription]]=1,"Subscribed","Not Subscribed")</f>
        <v>Not Subscribed</v>
      </c>
    </row>
    <row r="3311" spans="1:26" x14ac:dyDescent="0.25">
      <c r="A3311">
        <v>3310</v>
      </c>
      <c r="B3311">
        <v>48</v>
      </c>
      <c r="C3311" t="s">
        <v>156</v>
      </c>
      <c r="D3311">
        <v>3310</v>
      </c>
      <c r="E3311" t="s">
        <v>69</v>
      </c>
      <c r="F3311" t="s">
        <v>70</v>
      </c>
      <c r="G3311">
        <v>3310</v>
      </c>
      <c r="H3311">
        <v>4171</v>
      </c>
      <c r="I3311">
        <v>47</v>
      </c>
      <c r="J3311" t="s">
        <v>38</v>
      </c>
      <c r="K3311" t="s">
        <v>47</v>
      </c>
      <c r="L3311" t="s">
        <v>147</v>
      </c>
      <c r="M3311" t="s">
        <v>56</v>
      </c>
      <c r="N3311">
        <v>3.1</v>
      </c>
      <c r="O3311">
        <v>0</v>
      </c>
      <c r="P3311" t="s">
        <v>77</v>
      </c>
      <c r="Q3311" t="s">
        <v>155</v>
      </c>
      <c r="R3311" t="s">
        <v>155</v>
      </c>
      <c r="S3311">
        <v>19</v>
      </c>
      <c r="T3311" t="s">
        <v>49</v>
      </c>
      <c r="U3311" t="s">
        <v>91</v>
      </c>
      <c r="V3311" s="1">
        <v>45449</v>
      </c>
      <c r="W3311">
        <f>Table1[[#This Row],[customer_purchase count]]+1</f>
        <v>20</v>
      </c>
      <c r="X3311">
        <f>Table1[[#This Row],[customer_purchase count]]*Rules!$B$3</f>
        <v>1135.5228205128205</v>
      </c>
      <c r="Y3311" t="str">
        <f>IF(Table1[[#This Row],[customer_subscription]]=1,"Subscribed","Not Subscribed")</f>
        <v>Not Subscribed</v>
      </c>
    </row>
    <row r="3312" spans="1:26" x14ac:dyDescent="0.25">
      <c r="A3312">
        <v>3311</v>
      </c>
      <c r="B3312">
        <v>45</v>
      </c>
      <c r="C3312" t="s">
        <v>156</v>
      </c>
      <c r="D3312">
        <v>3311</v>
      </c>
      <c r="E3312" t="s">
        <v>105</v>
      </c>
      <c r="F3312" t="s">
        <v>66</v>
      </c>
      <c r="G3312">
        <v>3311</v>
      </c>
      <c r="H3312">
        <v>4172</v>
      </c>
      <c r="I3312">
        <v>27</v>
      </c>
      <c r="J3312" t="s">
        <v>149</v>
      </c>
      <c r="K3312" t="s">
        <v>47</v>
      </c>
      <c r="L3312" t="s">
        <v>72</v>
      </c>
      <c r="M3312" t="s">
        <v>28</v>
      </c>
      <c r="N3312">
        <v>3.6</v>
      </c>
      <c r="O3312">
        <v>0</v>
      </c>
      <c r="P3312" t="s">
        <v>41</v>
      </c>
      <c r="Q3312" t="s">
        <v>155</v>
      </c>
      <c r="R3312" t="s">
        <v>155</v>
      </c>
      <c r="S3312">
        <v>12</v>
      </c>
      <c r="T3312" t="s">
        <v>49</v>
      </c>
      <c r="U3312" t="s">
        <v>32</v>
      </c>
      <c r="V3312" s="1">
        <v>45336</v>
      </c>
      <c r="W3312">
        <f>Table1[[#This Row],[customer_purchase count]]+1</f>
        <v>13</v>
      </c>
      <c r="X3312">
        <f>Table1[[#This Row],[customer_purchase count]]*Rules!$B$3</f>
        <v>717.17230769230775</v>
      </c>
      <c r="Y3312" t="str">
        <f>IF(Table1[[#This Row],[customer_subscription]]=1,"Subscribed","Not Subscribed")</f>
        <v>Not Subscribed</v>
      </c>
      <c r="Z3312" t="s">
        <v>194</v>
      </c>
    </row>
    <row r="3313" spans="1:26" x14ac:dyDescent="0.25">
      <c r="A3313">
        <v>3312</v>
      </c>
      <c r="B3313">
        <v>29</v>
      </c>
      <c r="C3313" t="s">
        <v>156</v>
      </c>
      <c r="D3313">
        <v>3312</v>
      </c>
      <c r="E3313" t="s">
        <v>127</v>
      </c>
      <c r="F3313" t="s">
        <v>70</v>
      </c>
      <c r="G3313">
        <v>3312</v>
      </c>
      <c r="H3313">
        <v>4173</v>
      </c>
      <c r="I3313">
        <v>52</v>
      </c>
      <c r="J3313" t="s">
        <v>106</v>
      </c>
      <c r="K3313" t="s">
        <v>26</v>
      </c>
      <c r="L3313" t="s">
        <v>147</v>
      </c>
      <c r="M3313" t="s">
        <v>56</v>
      </c>
      <c r="N3313">
        <v>4</v>
      </c>
      <c r="O3313">
        <v>0</v>
      </c>
      <c r="P3313" t="s">
        <v>29</v>
      </c>
      <c r="Q3313" t="s">
        <v>155</v>
      </c>
      <c r="R3313" t="s">
        <v>155</v>
      </c>
      <c r="S3313">
        <v>18</v>
      </c>
      <c r="T3313" t="s">
        <v>78</v>
      </c>
      <c r="U3313" t="s">
        <v>52</v>
      </c>
      <c r="V3313" s="1">
        <v>45463</v>
      </c>
      <c r="W3313">
        <f>Table1[[#This Row],[customer_purchase count]]+1</f>
        <v>19</v>
      </c>
      <c r="X3313">
        <f>Table1[[#This Row],[customer_purchase count]]*Rules!$B$3</f>
        <v>1075.7584615384617</v>
      </c>
      <c r="Y3313" t="str">
        <f>IF(Table1[[#This Row],[customer_subscription]]=1,"Subscribed","Not Subscribed")</f>
        <v>Not Subscribed</v>
      </c>
    </row>
    <row r="3314" spans="1:26" x14ac:dyDescent="0.25">
      <c r="A3314">
        <v>3313</v>
      </c>
      <c r="B3314">
        <v>55</v>
      </c>
      <c r="C3314" t="s">
        <v>156</v>
      </c>
      <c r="D3314">
        <v>3313</v>
      </c>
      <c r="E3314" t="s">
        <v>53</v>
      </c>
      <c r="F3314" t="s">
        <v>45</v>
      </c>
      <c r="G3314">
        <v>3313</v>
      </c>
      <c r="H3314">
        <v>4174</v>
      </c>
      <c r="I3314">
        <v>75</v>
      </c>
      <c r="J3314" t="s">
        <v>63</v>
      </c>
      <c r="K3314" t="s">
        <v>26</v>
      </c>
      <c r="L3314" t="s">
        <v>97</v>
      </c>
      <c r="M3314" t="s">
        <v>56</v>
      </c>
      <c r="N3314">
        <v>3.9</v>
      </c>
      <c r="O3314">
        <v>0</v>
      </c>
      <c r="P3314" t="s">
        <v>48</v>
      </c>
      <c r="Q3314" t="s">
        <v>155</v>
      </c>
      <c r="R3314" t="s">
        <v>155</v>
      </c>
      <c r="S3314">
        <v>45</v>
      </c>
      <c r="T3314" t="s">
        <v>36</v>
      </c>
      <c r="U3314" t="s">
        <v>61</v>
      </c>
      <c r="V3314" s="1">
        <v>45489</v>
      </c>
      <c r="W3314">
        <f>Table1[[#This Row],[customer_purchase count]]+1</f>
        <v>46</v>
      </c>
      <c r="X3314">
        <f>Table1[[#This Row],[customer_purchase count]]*Rules!$B$3</f>
        <v>2689.396153846154</v>
      </c>
      <c r="Y3314" t="str">
        <f>IF(Table1[[#This Row],[customer_subscription]]=1,"Subscribed","Not Subscribed")</f>
        <v>Not Subscribed</v>
      </c>
    </row>
    <row r="3315" spans="1:26" x14ac:dyDescent="0.25">
      <c r="A3315">
        <v>3314</v>
      </c>
      <c r="B3315">
        <v>55</v>
      </c>
      <c r="C3315" t="s">
        <v>156</v>
      </c>
      <c r="D3315">
        <v>3314</v>
      </c>
      <c r="E3315" t="s">
        <v>127</v>
      </c>
      <c r="F3315" t="s">
        <v>70</v>
      </c>
      <c r="G3315">
        <v>3314</v>
      </c>
      <c r="H3315">
        <v>4175</v>
      </c>
      <c r="I3315">
        <v>30</v>
      </c>
      <c r="J3315" t="s">
        <v>114</v>
      </c>
      <c r="K3315" t="s">
        <v>95</v>
      </c>
      <c r="L3315" t="s">
        <v>97</v>
      </c>
      <c r="M3315" t="s">
        <v>60</v>
      </c>
      <c r="N3315">
        <v>3.9</v>
      </c>
      <c r="O3315">
        <v>0</v>
      </c>
      <c r="P3315" t="s">
        <v>29</v>
      </c>
      <c r="Q3315" t="s">
        <v>155</v>
      </c>
      <c r="R3315" t="s">
        <v>155</v>
      </c>
      <c r="S3315">
        <v>45</v>
      </c>
      <c r="T3315" t="s">
        <v>42</v>
      </c>
      <c r="U3315" t="s">
        <v>91</v>
      </c>
      <c r="V3315" s="1">
        <v>45573</v>
      </c>
      <c r="W3315">
        <f>Table1[[#This Row],[customer_purchase count]]+1</f>
        <v>46</v>
      </c>
      <c r="X3315">
        <f>Table1[[#This Row],[customer_purchase count]]*Rules!$B$3</f>
        <v>2689.396153846154</v>
      </c>
      <c r="Y3315" t="str">
        <f>IF(Table1[[#This Row],[customer_subscription]]=1,"Subscribed","Not Subscribed")</f>
        <v>Not Subscribed</v>
      </c>
    </row>
    <row r="3316" spans="1:26" x14ac:dyDescent="0.25">
      <c r="A3316">
        <v>3315</v>
      </c>
      <c r="B3316">
        <v>55</v>
      </c>
      <c r="C3316" t="s">
        <v>156</v>
      </c>
      <c r="D3316">
        <v>3315</v>
      </c>
      <c r="E3316" t="s">
        <v>128</v>
      </c>
      <c r="F3316" t="s">
        <v>24</v>
      </c>
      <c r="G3316">
        <v>3315</v>
      </c>
      <c r="H3316">
        <v>4177</v>
      </c>
      <c r="I3316">
        <v>94</v>
      </c>
      <c r="J3316" t="s">
        <v>114</v>
      </c>
      <c r="K3316" t="s">
        <v>47</v>
      </c>
      <c r="L3316" t="s">
        <v>86</v>
      </c>
      <c r="M3316" t="s">
        <v>40</v>
      </c>
      <c r="N3316">
        <v>3.3</v>
      </c>
      <c r="O3316">
        <v>0</v>
      </c>
      <c r="P3316" t="s">
        <v>57</v>
      </c>
      <c r="Q3316" t="s">
        <v>155</v>
      </c>
      <c r="R3316" t="s">
        <v>155</v>
      </c>
      <c r="S3316">
        <v>8</v>
      </c>
      <c r="T3316" t="s">
        <v>42</v>
      </c>
      <c r="U3316" t="s">
        <v>61</v>
      </c>
      <c r="V3316" s="1">
        <v>45369</v>
      </c>
      <c r="W3316">
        <f>Table1[[#This Row],[customer_purchase count]]+1</f>
        <v>9</v>
      </c>
      <c r="X3316">
        <f>Table1[[#This Row],[customer_purchase count]]*Rules!$B$3</f>
        <v>478.11487179487182</v>
      </c>
      <c r="Y3316" t="str">
        <f>IF(Table1[[#This Row],[customer_subscription]]=1,"Subscribed","Not Subscribed")</f>
        <v>Not Subscribed</v>
      </c>
      <c r="Z3316" t="s">
        <v>194</v>
      </c>
    </row>
    <row r="3317" spans="1:26" x14ac:dyDescent="0.25">
      <c r="A3317">
        <v>3316</v>
      </c>
      <c r="B3317">
        <v>48</v>
      </c>
      <c r="C3317" t="s">
        <v>156</v>
      </c>
      <c r="D3317">
        <v>3316</v>
      </c>
      <c r="E3317" t="s">
        <v>122</v>
      </c>
      <c r="F3317" t="s">
        <v>70</v>
      </c>
      <c r="G3317">
        <v>3316</v>
      </c>
      <c r="H3317">
        <v>4178</v>
      </c>
      <c r="I3317">
        <v>68</v>
      </c>
      <c r="J3317" t="s">
        <v>25</v>
      </c>
      <c r="K3317" t="s">
        <v>39</v>
      </c>
      <c r="L3317" t="s">
        <v>83</v>
      </c>
      <c r="M3317" t="s">
        <v>56</v>
      </c>
      <c r="N3317">
        <v>2.9</v>
      </c>
      <c r="O3317">
        <v>0</v>
      </c>
      <c r="P3317" t="s">
        <v>57</v>
      </c>
      <c r="Q3317" t="s">
        <v>155</v>
      </c>
      <c r="R3317" t="s">
        <v>155</v>
      </c>
      <c r="S3317">
        <v>4</v>
      </c>
      <c r="T3317" t="s">
        <v>49</v>
      </c>
      <c r="U3317" t="s">
        <v>100</v>
      </c>
      <c r="V3317" s="1">
        <v>45498</v>
      </c>
      <c r="W3317">
        <f>Table1[[#This Row],[customer_purchase count]]+1</f>
        <v>5</v>
      </c>
      <c r="X3317">
        <f>Table1[[#This Row],[customer_purchase count]]*Rules!$B$3</f>
        <v>239.05743589743591</v>
      </c>
      <c r="Y3317" t="str">
        <f>IF(Table1[[#This Row],[customer_subscription]]=1,"Subscribed","Not Subscribed")</f>
        <v>Not Subscribed</v>
      </c>
      <c r="Z3317" t="s">
        <v>194</v>
      </c>
    </row>
    <row r="3318" spans="1:26" x14ac:dyDescent="0.25">
      <c r="A3318">
        <v>3317</v>
      </c>
      <c r="B3318">
        <v>42</v>
      </c>
      <c r="C3318" t="s">
        <v>156</v>
      </c>
      <c r="D3318">
        <v>3317</v>
      </c>
      <c r="E3318" t="s">
        <v>128</v>
      </c>
      <c r="F3318" t="s">
        <v>24</v>
      </c>
      <c r="G3318">
        <v>3317</v>
      </c>
      <c r="H3318">
        <v>4179</v>
      </c>
      <c r="I3318">
        <v>45</v>
      </c>
      <c r="J3318" t="s">
        <v>133</v>
      </c>
      <c r="K3318" t="s">
        <v>47</v>
      </c>
      <c r="L3318" t="s">
        <v>81</v>
      </c>
      <c r="M3318" t="s">
        <v>56</v>
      </c>
      <c r="N3318">
        <v>3.1</v>
      </c>
      <c r="O3318">
        <v>0</v>
      </c>
      <c r="P3318" t="s">
        <v>41</v>
      </c>
      <c r="Q3318" t="s">
        <v>155</v>
      </c>
      <c r="R3318" t="s">
        <v>155</v>
      </c>
      <c r="S3318">
        <v>5</v>
      </c>
      <c r="T3318" t="s">
        <v>89</v>
      </c>
      <c r="U3318" t="s">
        <v>32</v>
      </c>
      <c r="V3318" s="1">
        <v>45494</v>
      </c>
      <c r="W3318">
        <f>Table1[[#This Row],[customer_purchase count]]+1</f>
        <v>6</v>
      </c>
      <c r="X3318">
        <f>Table1[[#This Row],[customer_purchase count]]*Rules!$B$3</f>
        <v>298.82179487179491</v>
      </c>
      <c r="Y3318" t="str">
        <f>IF(Table1[[#This Row],[customer_subscription]]=1,"Subscribed","Not Subscribed")</f>
        <v>Not Subscribed</v>
      </c>
      <c r="Z3318" t="s">
        <v>194</v>
      </c>
    </row>
    <row r="3319" spans="1:26" x14ac:dyDescent="0.25">
      <c r="A3319">
        <v>3318</v>
      </c>
      <c r="B3319">
        <v>21</v>
      </c>
      <c r="C3319" t="s">
        <v>156</v>
      </c>
      <c r="D3319">
        <v>3318</v>
      </c>
      <c r="E3319" t="s">
        <v>127</v>
      </c>
      <c r="F3319" t="s">
        <v>70</v>
      </c>
      <c r="G3319">
        <v>3318</v>
      </c>
      <c r="H3319">
        <v>4180</v>
      </c>
      <c r="I3319">
        <v>67</v>
      </c>
      <c r="J3319" t="s">
        <v>101</v>
      </c>
      <c r="K3319" t="s">
        <v>95</v>
      </c>
      <c r="L3319" t="s">
        <v>72</v>
      </c>
      <c r="M3319" t="s">
        <v>56</v>
      </c>
      <c r="N3319">
        <v>4.7</v>
      </c>
      <c r="O3319">
        <v>0</v>
      </c>
      <c r="P3319" t="s">
        <v>57</v>
      </c>
      <c r="Q3319" t="s">
        <v>155</v>
      </c>
      <c r="R3319" t="s">
        <v>155</v>
      </c>
      <c r="S3319">
        <v>30</v>
      </c>
      <c r="T3319" t="s">
        <v>36</v>
      </c>
      <c r="U3319" t="s">
        <v>61</v>
      </c>
      <c r="V3319" s="1">
        <v>45488</v>
      </c>
      <c r="W3319">
        <f>Table1[[#This Row],[customer_purchase count]]+1</f>
        <v>31</v>
      </c>
      <c r="X3319">
        <f>Table1[[#This Row],[customer_purchase count]]*Rules!$B$3</f>
        <v>1792.9307692307693</v>
      </c>
      <c r="Y3319" t="str">
        <f>IF(Table1[[#This Row],[customer_subscription]]=1,"Subscribed","Not Subscribed")</f>
        <v>Not Subscribed</v>
      </c>
    </row>
    <row r="3320" spans="1:26" x14ac:dyDescent="0.25">
      <c r="A3320">
        <v>3319</v>
      </c>
      <c r="B3320">
        <v>45</v>
      </c>
      <c r="C3320" t="s">
        <v>156</v>
      </c>
      <c r="D3320">
        <v>3319</v>
      </c>
      <c r="E3320" t="s">
        <v>105</v>
      </c>
      <c r="F3320" t="s">
        <v>66</v>
      </c>
      <c r="G3320">
        <v>3319</v>
      </c>
      <c r="H3320">
        <v>4181</v>
      </c>
      <c r="I3320">
        <v>46</v>
      </c>
      <c r="J3320" t="s">
        <v>117</v>
      </c>
      <c r="K3320" t="s">
        <v>47</v>
      </c>
      <c r="L3320" t="s">
        <v>81</v>
      </c>
      <c r="M3320" t="s">
        <v>56</v>
      </c>
      <c r="N3320">
        <v>3.9</v>
      </c>
      <c r="O3320">
        <v>0</v>
      </c>
      <c r="P3320" t="s">
        <v>41</v>
      </c>
      <c r="Q3320" t="s">
        <v>155</v>
      </c>
      <c r="R3320" t="s">
        <v>155</v>
      </c>
      <c r="S3320">
        <v>15</v>
      </c>
      <c r="T3320" t="s">
        <v>49</v>
      </c>
      <c r="U3320" t="s">
        <v>91</v>
      </c>
      <c r="V3320" s="1">
        <v>45510</v>
      </c>
      <c r="W3320">
        <f>Table1[[#This Row],[customer_purchase count]]+1</f>
        <v>16</v>
      </c>
      <c r="X3320">
        <f>Table1[[#This Row],[customer_purchase count]]*Rules!$B$3</f>
        <v>896.46538461538466</v>
      </c>
      <c r="Y3320" t="str">
        <f>IF(Table1[[#This Row],[customer_subscription]]=1,"Subscribed","Not Subscribed")</f>
        <v>Not Subscribed</v>
      </c>
      <c r="Z3320" t="s">
        <v>194</v>
      </c>
    </row>
    <row r="3321" spans="1:26" x14ac:dyDescent="0.25">
      <c r="A3321">
        <v>3320</v>
      </c>
      <c r="B3321">
        <v>23</v>
      </c>
      <c r="C3321" t="s">
        <v>156</v>
      </c>
      <c r="D3321">
        <v>3320</v>
      </c>
      <c r="E3321" t="s">
        <v>62</v>
      </c>
      <c r="F3321" t="s">
        <v>24</v>
      </c>
      <c r="G3321">
        <v>3320</v>
      </c>
      <c r="H3321">
        <v>4183</v>
      </c>
      <c r="I3321">
        <v>31</v>
      </c>
      <c r="J3321" t="s">
        <v>117</v>
      </c>
      <c r="K3321" t="s">
        <v>47</v>
      </c>
      <c r="L3321" t="s">
        <v>129</v>
      </c>
      <c r="M3321" t="s">
        <v>56</v>
      </c>
      <c r="N3321">
        <v>4.3</v>
      </c>
      <c r="O3321">
        <v>0</v>
      </c>
      <c r="P3321" t="s">
        <v>48</v>
      </c>
      <c r="Q3321" t="s">
        <v>155</v>
      </c>
      <c r="R3321" t="s">
        <v>155</v>
      </c>
      <c r="S3321">
        <v>17</v>
      </c>
      <c r="T3321" t="s">
        <v>42</v>
      </c>
      <c r="U3321" t="s">
        <v>100</v>
      </c>
      <c r="V3321" s="1">
        <v>45459</v>
      </c>
      <c r="W3321">
        <f>Table1[[#This Row],[customer_purchase count]]+1</f>
        <v>18</v>
      </c>
      <c r="X3321">
        <f>Table1[[#This Row],[customer_purchase count]]*Rules!$B$3</f>
        <v>1015.9941025641026</v>
      </c>
      <c r="Y3321" t="str">
        <f>IF(Table1[[#This Row],[customer_subscription]]=1,"Subscribed","Not Subscribed")</f>
        <v>Not Subscribed</v>
      </c>
      <c r="Z3321" t="s">
        <v>187</v>
      </c>
    </row>
    <row r="3322" spans="1:26" x14ac:dyDescent="0.25">
      <c r="A3322">
        <v>3321</v>
      </c>
      <c r="B3322">
        <v>66</v>
      </c>
      <c r="C3322" t="s">
        <v>156</v>
      </c>
      <c r="D3322">
        <v>3321</v>
      </c>
      <c r="E3322" t="s">
        <v>23</v>
      </c>
      <c r="F3322" t="s">
        <v>24</v>
      </c>
      <c r="G3322">
        <v>3321</v>
      </c>
      <c r="H3322">
        <v>4184</v>
      </c>
      <c r="I3322">
        <v>44</v>
      </c>
      <c r="J3322" t="s">
        <v>118</v>
      </c>
      <c r="K3322" t="s">
        <v>95</v>
      </c>
      <c r="L3322" t="s">
        <v>68</v>
      </c>
      <c r="M3322" t="s">
        <v>60</v>
      </c>
      <c r="N3322">
        <v>4.2</v>
      </c>
      <c r="O3322">
        <v>0</v>
      </c>
      <c r="P3322" t="s">
        <v>73</v>
      </c>
      <c r="Q3322" t="s">
        <v>155</v>
      </c>
      <c r="R3322" t="s">
        <v>155</v>
      </c>
      <c r="S3322">
        <v>45</v>
      </c>
      <c r="T3322" t="s">
        <v>36</v>
      </c>
      <c r="U3322" t="s">
        <v>100</v>
      </c>
      <c r="V3322" s="1">
        <v>45608</v>
      </c>
      <c r="W3322">
        <f>Table1[[#This Row],[customer_purchase count]]+1</f>
        <v>46</v>
      </c>
      <c r="X3322">
        <f>Table1[[#This Row],[customer_purchase count]]*Rules!$B$3</f>
        <v>2689.396153846154</v>
      </c>
      <c r="Y3322" t="str">
        <f>IF(Table1[[#This Row],[customer_subscription]]=1,"Subscribed","Not Subscribed")</f>
        <v>Not Subscribed</v>
      </c>
    </row>
    <row r="3323" spans="1:26" x14ac:dyDescent="0.25">
      <c r="A3323">
        <v>3322</v>
      </c>
      <c r="B3323">
        <v>32</v>
      </c>
      <c r="C3323" t="s">
        <v>156</v>
      </c>
      <c r="D3323">
        <v>3322</v>
      </c>
      <c r="E3323" t="s">
        <v>65</v>
      </c>
      <c r="F3323" t="s">
        <v>66</v>
      </c>
      <c r="G3323">
        <v>3322</v>
      </c>
      <c r="H3323">
        <v>4185</v>
      </c>
      <c r="I3323">
        <v>100</v>
      </c>
      <c r="J3323" t="s">
        <v>34</v>
      </c>
      <c r="K3323" t="s">
        <v>39</v>
      </c>
      <c r="L3323" t="s">
        <v>64</v>
      </c>
      <c r="M3323" t="s">
        <v>28</v>
      </c>
      <c r="N3323">
        <v>4.3</v>
      </c>
      <c r="O3323">
        <v>0</v>
      </c>
      <c r="P3323" t="s">
        <v>48</v>
      </c>
      <c r="Q3323" t="s">
        <v>155</v>
      </c>
      <c r="R3323" t="s">
        <v>155</v>
      </c>
      <c r="S3323">
        <v>3</v>
      </c>
      <c r="T3323" t="s">
        <v>31</v>
      </c>
      <c r="U3323" t="s">
        <v>52</v>
      </c>
      <c r="V3323" s="1">
        <v>45649</v>
      </c>
      <c r="W3323">
        <f>Table1[[#This Row],[customer_purchase count]]+1</f>
        <v>4</v>
      </c>
      <c r="X3323">
        <f>Table1[[#This Row],[customer_purchase count]]*Rules!$B$3</f>
        <v>179.29307692307694</v>
      </c>
      <c r="Y3323" t="str">
        <f>IF(Table1[[#This Row],[customer_subscription]]=1,"Subscribed","Not Subscribed")</f>
        <v>Not Subscribed</v>
      </c>
      <c r="Z3323" t="s">
        <v>194</v>
      </c>
    </row>
    <row r="3324" spans="1:26" x14ac:dyDescent="0.25">
      <c r="A3324">
        <v>3323</v>
      </c>
      <c r="B3324">
        <v>52</v>
      </c>
      <c r="C3324" t="s">
        <v>156</v>
      </c>
      <c r="D3324">
        <v>3323</v>
      </c>
      <c r="E3324" t="s">
        <v>33</v>
      </c>
      <c r="F3324" t="s">
        <v>24</v>
      </c>
      <c r="G3324">
        <v>3323</v>
      </c>
      <c r="H3324">
        <v>4186</v>
      </c>
      <c r="I3324">
        <v>92</v>
      </c>
      <c r="J3324" t="s">
        <v>119</v>
      </c>
      <c r="K3324" t="s">
        <v>95</v>
      </c>
      <c r="L3324" t="s">
        <v>124</v>
      </c>
      <c r="M3324" t="s">
        <v>28</v>
      </c>
      <c r="N3324">
        <v>4.5999999999999996</v>
      </c>
      <c r="O3324">
        <v>0</v>
      </c>
      <c r="P3324" t="s">
        <v>48</v>
      </c>
      <c r="Q3324" t="s">
        <v>155</v>
      </c>
      <c r="R3324" t="s">
        <v>155</v>
      </c>
      <c r="S3324">
        <v>43</v>
      </c>
      <c r="T3324" t="s">
        <v>49</v>
      </c>
      <c r="U3324" t="s">
        <v>43</v>
      </c>
      <c r="V3324" s="1">
        <v>45347</v>
      </c>
      <c r="W3324">
        <f>Table1[[#This Row],[customer_purchase count]]+1</f>
        <v>44</v>
      </c>
      <c r="X3324">
        <f>Table1[[#This Row],[customer_purchase count]]*Rules!$B$3</f>
        <v>2569.8674358974358</v>
      </c>
      <c r="Y3324" t="str">
        <f>IF(Table1[[#This Row],[customer_subscription]]=1,"Subscribed","Not Subscribed")</f>
        <v>Not Subscribed</v>
      </c>
    </row>
    <row r="3325" spans="1:26" x14ac:dyDescent="0.25">
      <c r="A3325">
        <v>3324</v>
      </c>
      <c r="B3325">
        <v>54</v>
      </c>
      <c r="C3325" t="s">
        <v>156</v>
      </c>
      <c r="D3325">
        <v>3324</v>
      </c>
      <c r="E3325" t="s">
        <v>69</v>
      </c>
      <c r="F3325" t="s">
        <v>70</v>
      </c>
      <c r="G3325">
        <v>3324</v>
      </c>
      <c r="H3325">
        <v>4187</v>
      </c>
      <c r="I3325">
        <v>78</v>
      </c>
      <c r="J3325" t="s">
        <v>117</v>
      </c>
      <c r="K3325" t="s">
        <v>47</v>
      </c>
      <c r="L3325" t="s">
        <v>137</v>
      </c>
      <c r="M3325" t="s">
        <v>28</v>
      </c>
      <c r="N3325">
        <v>3.8</v>
      </c>
      <c r="O3325">
        <v>0</v>
      </c>
      <c r="P3325" t="s">
        <v>41</v>
      </c>
      <c r="Q3325" t="s">
        <v>155</v>
      </c>
      <c r="R3325" t="s">
        <v>155</v>
      </c>
      <c r="S3325">
        <v>4</v>
      </c>
      <c r="T3325" t="s">
        <v>42</v>
      </c>
      <c r="U3325" t="s">
        <v>91</v>
      </c>
      <c r="V3325" s="1">
        <v>45347</v>
      </c>
      <c r="W3325">
        <f>Table1[[#This Row],[customer_purchase count]]+1</f>
        <v>5</v>
      </c>
      <c r="X3325">
        <f>Table1[[#This Row],[customer_purchase count]]*Rules!$B$3</f>
        <v>239.05743589743591</v>
      </c>
      <c r="Y3325" t="str">
        <f>IF(Table1[[#This Row],[customer_subscription]]=1,"Subscribed","Not Subscribed")</f>
        <v>Not Subscribed</v>
      </c>
      <c r="Z3325" t="s">
        <v>194</v>
      </c>
    </row>
    <row r="3326" spans="1:26" x14ac:dyDescent="0.25">
      <c r="A3326">
        <v>3325</v>
      </c>
      <c r="B3326">
        <v>37</v>
      </c>
      <c r="C3326" t="s">
        <v>156</v>
      </c>
      <c r="D3326">
        <v>3325</v>
      </c>
      <c r="E3326" t="s">
        <v>116</v>
      </c>
      <c r="F3326" t="s">
        <v>24</v>
      </c>
      <c r="G3326">
        <v>3325</v>
      </c>
      <c r="H3326">
        <v>4189</v>
      </c>
      <c r="I3326">
        <v>32</v>
      </c>
      <c r="J3326" t="s">
        <v>71</v>
      </c>
      <c r="K3326" t="s">
        <v>39</v>
      </c>
      <c r="L3326" t="s">
        <v>111</v>
      </c>
      <c r="M3326" t="s">
        <v>60</v>
      </c>
      <c r="N3326">
        <v>3.3</v>
      </c>
      <c r="O3326">
        <v>0</v>
      </c>
      <c r="P3326" t="s">
        <v>57</v>
      </c>
      <c r="Q3326" t="s">
        <v>155</v>
      </c>
      <c r="R3326" t="s">
        <v>155</v>
      </c>
      <c r="S3326">
        <v>41</v>
      </c>
      <c r="T3326" t="s">
        <v>31</v>
      </c>
      <c r="U3326" t="s">
        <v>43</v>
      </c>
      <c r="V3326" s="1">
        <v>45568</v>
      </c>
      <c r="W3326">
        <f>Table1[[#This Row],[customer_purchase count]]+1</f>
        <v>42</v>
      </c>
      <c r="X3326">
        <f>Table1[[#This Row],[customer_purchase count]]*Rules!$B$3</f>
        <v>2450.3387179487181</v>
      </c>
      <c r="Y3326" t="str">
        <f>IF(Table1[[#This Row],[customer_subscription]]=1,"Subscribed","Not Subscribed")</f>
        <v>Not Subscribed</v>
      </c>
    </row>
    <row r="3327" spans="1:26" x14ac:dyDescent="0.25">
      <c r="A3327">
        <v>3326</v>
      </c>
      <c r="B3327">
        <v>29</v>
      </c>
      <c r="C3327" t="s">
        <v>156</v>
      </c>
      <c r="D3327">
        <v>3326</v>
      </c>
      <c r="E3327" t="s">
        <v>44</v>
      </c>
      <c r="F3327" t="s">
        <v>45</v>
      </c>
      <c r="G3327">
        <v>3326</v>
      </c>
      <c r="H3327">
        <v>4190</v>
      </c>
      <c r="I3327">
        <v>97</v>
      </c>
      <c r="J3327" t="s">
        <v>123</v>
      </c>
      <c r="K3327" t="s">
        <v>47</v>
      </c>
      <c r="L3327" t="s">
        <v>35</v>
      </c>
      <c r="M3327" t="s">
        <v>60</v>
      </c>
      <c r="N3327">
        <v>3.7</v>
      </c>
      <c r="O3327">
        <v>0</v>
      </c>
      <c r="P3327" t="s">
        <v>73</v>
      </c>
      <c r="Q3327" t="s">
        <v>155</v>
      </c>
      <c r="R3327" t="s">
        <v>155</v>
      </c>
      <c r="S3327">
        <v>16</v>
      </c>
      <c r="T3327" t="s">
        <v>31</v>
      </c>
      <c r="U3327" t="s">
        <v>91</v>
      </c>
      <c r="V3327" s="1">
        <v>45598</v>
      </c>
      <c r="W3327">
        <f>Table1[[#This Row],[customer_purchase count]]+1</f>
        <v>17</v>
      </c>
      <c r="X3327">
        <f>Table1[[#This Row],[customer_purchase count]]*Rules!$B$3</f>
        <v>956.22974358974363</v>
      </c>
      <c r="Y3327" t="str">
        <f>IF(Table1[[#This Row],[customer_subscription]]=1,"Subscribed","Not Subscribed")</f>
        <v>Not Subscribed</v>
      </c>
      <c r="Z3327" t="s">
        <v>187</v>
      </c>
    </row>
    <row r="3328" spans="1:26" x14ac:dyDescent="0.25">
      <c r="A3328">
        <v>3327</v>
      </c>
      <c r="B3328">
        <v>47</v>
      </c>
      <c r="C3328" t="s">
        <v>156</v>
      </c>
      <c r="D3328">
        <v>3327</v>
      </c>
      <c r="E3328" t="s">
        <v>146</v>
      </c>
      <c r="F3328" t="s">
        <v>70</v>
      </c>
      <c r="G3328">
        <v>3327</v>
      </c>
      <c r="H3328">
        <v>4191</v>
      </c>
      <c r="I3328">
        <v>95</v>
      </c>
      <c r="J3328" t="s">
        <v>117</v>
      </c>
      <c r="K3328" t="s">
        <v>47</v>
      </c>
      <c r="L3328" t="s">
        <v>139</v>
      </c>
      <c r="M3328" t="s">
        <v>56</v>
      </c>
      <c r="N3328">
        <v>4.3</v>
      </c>
      <c r="O3328">
        <v>0</v>
      </c>
      <c r="P3328" t="s">
        <v>57</v>
      </c>
      <c r="Q3328" t="s">
        <v>155</v>
      </c>
      <c r="R3328" t="s">
        <v>155</v>
      </c>
      <c r="S3328">
        <v>10</v>
      </c>
      <c r="T3328" t="s">
        <v>89</v>
      </c>
      <c r="U3328" t="s">
        <v>52</v>
      </c>
      <c r="V3328" s="1">
        <v>45449</v>
      </c>
      <c r="W3328">
        <f>Table1[[#This Row],[customer_purchase count]]+1</f>
        <v>11</v>
      </c>
      <c r="X3328">
        <f>Table1[[#This Row],[customer_purchase count]]*Rules!$B$3</f>
        <v>597.64358974358981</v>
      </c>
      <c r="Y3328" t="str">
        <f>IF(Table1[[#This Row],[customer_subscription]]=1,"Subscribed","Not Subscribed")</f>
        <v>Not Subscribed</v>
      </c>
      <c r="Z3328" t="s">
        <v>194</v>
      </c>
    </row>
    <row r="3329" spans="1:26" x14ac:dyDescent="0.25">
      <c r="A3329">
        <v>3328</v>
      </c>
      <c r="B3329">
        <v>47</v>
      </c>
      <c r="C3329" t="s">
        <v>156</v>
      </c>
      <c r="D3329">
        <v>3328</v>
      </c>
      <c r="E3329" t="s">
        <v>62</v>
      </c>
      <c r="F3329" t="s">
        <v>24</v>
      </c>
      <c r="G3329">
        <v>3328</v>
      </c>
      <c r="H3329">
        <v>4192</v>
      </c>
      <c r="I3329">
        <v>64</v>
      </c>
      <c r="J3329" t="s">
        <v>142</v>
      </c>
      <c r="K3329" t="s">
        <v>47</v>
      </c>
      <c r="L3329" t="s">
        <v>97</v>
      </c>
      <c r="M3329" t="s">
        <v>40</v>
      </c>
      <c r="N3329">
        <v>4.0999999999999996</v>
      </c>
      <c r="O3329">
        <v>0</v>
      </c>
      <c r="P3329" t="s">
        <v>29</v>
      </c>
      <c r="Q3329" t="s">
        <v>155</v>
      </c>
      <c r="R3329" t="s">
        <v>155</v>
      </c>
      <c r="S3329">
        <v>2</v>
      </c>
      <c r="T3329" t="s">
        <v>89</v>
      </c>
      <c r="U3329" t="s">
        <v>61</v>
      </c>
      <c r="V3329" s="1">
        <v>45394</v>
      </c>
      <c r="W3329">
        <f>Table1[[#This Row],[customer_purchase count]]+1</f>
        <v>3</v>
      </c>
      <c r="X3329">
        <f>Table1[[#This Row],[customer_purchase count]]*Rules!$B$3</f>
        <v>119.52871794871795</v>
      </c>
      <c r="Y3329" t="str">
        <f>IF(Table1[[#This Row],[customer_subscription]]=1,"Subscribed","Not Subscribed")</f>
        <v>Not Subscribed</v>
      </c>
      <c r="Z3329" t="s">
        <v>194</v>
      </c>
    </row>
    <row r="3330" spans="1:26" x14ac:dyDescent="0.25">
      <c r="A3330">
        <v>3329</v>
      </c>
      <c r="B3330">
        <v>42</v>
      </c>
      <c r="C3330" t="s">
        <v>156</v>
      </c>
      <c r="D3330">
        <v>3329</v>
      </c>
      <c r="E3330" t="s">
        <v>44</v>
      </c>
      <c r="F3330" t="s">
        <v>45</v>
      </c>
      <c r="G3330">
        <v>3329</v>
      </c>
      <c r="H3330">
        <v>4193</v>
      </c>
      <c r="I3330">
        <v>35</v>
      </c>
      <c r="J3330" t="s">
        <v>153</v>
      </c>
      <c r="K3330" t="s">
        <v>47</v>
      </c>
      <c r="L3330" t="s">
        <v>86</v>
      </c>
      <c r="M3330" t="s">
        <v>40</v>
      </c>
      <c r="N3330">
        <v>3.2</v>
      </c>
      <c r="O3330">
        <v>0</v>
      </c>
      <c r="P3330" t="s">
        <v>41</v>
      </c>
      <c r="Q3330" t="s">
        <v>155</v>
      </c>
      <c r="R3330" t="s">
        <v>155</v>
      </c>
      <c r="S3330">
        <v>11</v>
      </c>
      <c r="T3330" t="s">
        <v>36</v>
      </c>
      <c r="U3330" t="s">
        <v>79</v>
      </c>
      <c r="V3330" s="1">
        <v>45388</v>
      </c>
      <c r="W3330">
        <f>Table1[[#This Row],[customer_purchase count]]+1</f>
        <v>12</v>
      </c>
      <c r="X3330">
        <f>Table1[[#This Row],[customer_purchase count]]*Rules!$B$3</f>
        <v>657.40794871794878</v>
      </c>
      <c r="Y3330" t="str">
        <f>IF(Table1[[#This Row],[customer_subscription]]=1,"Subscribed","Not Subscribed")</f>
        <v>Not Subscribed</v>
      </c>
      <c r="Z3330" t="s">
        <v>194</v>
      </c>
    </row>
    <row r="3331" spans="1:26" x14ac:dyDescent="0.25">
      <c r="A3331">
        <v>3330</v>
      </c>
      <c r="B3331">
        <v>34</v>
      </c>
      <c r="C3331" t="s">
        <v>156</v>
      </c>
      <c r="D3331">
        <v>3330</v>
      </c>
      <c r="E3331" t="s">
        <v>135</v>
      </c>
      <c r="F3331" t="s">
        <v>70</v>
      </c>
      <c r="G3331">
        <v>3330</v>
      </c>
      <c r="H3331">
        <v>4195</v>
      </c>
      <c r="I3331">
        <v>54</v>
      </c>
      <c r="J3331" t="s">
        <v>130</v>
      </c>
      <c r="K3331" t="s">
        <v>47</v>
      </c>
      <c r="L3331" t="s">
        <v>27</v>
      </c>
      <c r="M3331" t="s">
        <v>28</v>
      </c>
      <c r="N3331">
        <v>3.8</v>
      </c>
      <c r="O3331">
        <v>0</v>
      </c>
      <c r="P3331" t="s">
        <v>29</v>
      </c>
      <c r="Q3331" t="s">
        <v>155</v>
      </c>
      <c r="R3331" t="s">
        <v>155</v>
      </c>
      <c r="S3331">
        <v>1</v>
      </c>
      <c r="T3331" t="s">
        <v>89</v>
      </c>
      <c r="U3331" t="s">
        <v>79</v>
      </c>
      <c r="V3331" s="1">
        <v>45306</v>
      </c>
      <c r="W3331">
        <f>Table1[[#This Row],[customer_purchase count]]+1</f>
        <v>2</v>
      </c>
      <c r="X3331">
        <f>Table1[[#This Row],[customer_purchase count]]*Rules!$B$3</f>
        <v>59.764358974358977</v>
      </c>
      <c r="Y3331" t="str">
        <f>IF(Table1[[#This Row],[customer_subscription]]=1,"Subscribed","Not Subscribed")</f>
        <v>Not Subscribed</v>
      </c>
      <c r="Z3331" t="s">
        <v>194</v>
      </c>
    </row>
    <row r="3332" spans="1:26" x14ac:dyDescent="0.25">
      <c r="A3332">
        <v>3331</v>
      </c>
      <c r="B3332">
        <v>38</v>
      </c>
      <c r="C3332" t="s">
        <v>156</v>
      </c>
      <c r="D3332">
        <v>3331</v>
      </c>
      <c r="E3332" t="s">
        <v>53</v>
      </c>
      <c r="F3332" t="s">
        <v>45</v>
      </c>
      <c r="G3332">
        <v>3331</v>
      </c>
      <c r="H3332">
        <v>4196</v>
      </c>
      <c r="I3332">
        <v>96</v>
      </c>
      <c r="J3332" t="s">
        <v>71</v>
      </c>
      <c r="K3332" t="s">
        <v>47</v>
      </c>
      <c r="L3332" t="s">
        <v>97</v>
      </c>
      <c r="M3332" t="s">
        <v>40</v>
      </c>
      <c r="N3332">
        <v>3.2</v>
      </c>
      <c r="O3332">
        <v>0</v>
      </c>
      <c r="P3332" t="s">
        <v>73</v>
      </c>
      <c r="Q3332" t="s">
        <v>155</v>
      </c>
      <c r="R3332" t="s">
        <v>155</v>
      </c>
      <c r="S3332">
        <v>41</v>
      </c>
      <c r="T3332" t="s">
        <v>78</v>
      </c>
      <c r="U3332" t="s">
        <v>61</v>
      </c>
      <c r="V3332" s="1">
        <v>45358</v>
      </c>
      <c r="W3332">
        <f>Table1[[#This Row],[customer_purchase count]]+1</f>
        <v>42</v>
      </c>
      <c r="X3332">
        <f>Table1[[#This Row],[customer_purchase count]]*Rules!$B$3</f>
        <v>2450.3387179487181</v>
      </c>
      <c r="Y3332" t="str">
        <f>IF(Table1[[#This Row],[customer_subscription]]=1,"Subscribed","Not Subscribed")</f>
        <v>Not Subscribed</v>
      </c>
    </row>
    <row r="3333" spans="1:26" x14ac:dyDescent="0.25">
      <c r="A3333">
        <v>3332</v>
      </c>
      <c r="B3333">
        <v>55</v>
      </c>
      <c r="C3333" t="s">
        <v>156</v>
      </c>
      <c r="D3333">
        <v>3332</v>
      </c>
      <c r="E3333" t="s">
        <v>92</v>
      </c>
      <c r="F3333" t="s">
        <v>70</v>
      </c>
      <c r="G3333">
        <v>3332</v>
      </c>
      <c r="H3333">
        <v>4197</v>
      </c>
      <c r="I3333">
        <v>58</v>
      </c>
      <c r="J3333" t="s">
        <v>102</v>
      </c>
      <c r="K3333" t="s">
        <v>47</v>
      </c>
      <c r="L3333" t="s">
        <v>72</v>
      </c>
      <c r="M3333" t="s">
        <v>56</v>
      </c>
      <c r="N3333">
        <v>3.5</v>
      </c>
      <c r="O3333">
        <v>0</v>
      </c>
      <c r="P3333" t="s">
        <v>41</v>
      </c>
      <c r="Q3333" t="s">
        <v>155</v>
      </c>
      <c r="R3333" t="s">
        <v>155</v>
      </c>
      <c r="S3333">
        <v>39</v>
      </c>
      <c r="T3333" t="s">
        <v>49</v>
      </c>
      <c r="U3333" t="s">
        <v>61</v>
      </c>
      <c r="V3333" s="1">
        <v>45495</v>
      </c>
      <c r="W3333">
        <f>Table1[[#This Row],[customer_purchase count]]+1</f>
        <v>40</v>
      </c>
      <c r="X3333">
        <f>Table1[[#This Row],[customer_purchase count]]*Rules!$B$3</f>
        <v>2330.81</v>
      </c>
      <c r="Y3333" t="str">
        <f>IF(Table1[[#This Row],[customer_subscription]]=1,"Subscribed","Not Subscribed")</f>
        <v>Not Subscribed</v>
      </c>
    </row>
    <row r="3334" spans="1:26" x14ac:dyDescent="0.25">
      <c r="A3334">
        <v>3333</v>
      </c>
      <c r="B3334">
        <v>27</v>
      </c>
      <c r="C3334" t="s">
        <v>156</v>
      </c>
      <c r="D3334">
        <v>3333</v>
      </c>
      <c r="E3334" t="s">
        <v>116</v>
      </c>
      <c r="F3334" t="s">
        <v>24</v>
      </c>
      <c r="G3334">
        <v>3333</v>
      </c>
      <c r="H3334">
        <v>4198</v>
      </c>
      <c r="I3334">
        <v>23</v>
      </c>
      <c r="J3334" t="s">
        <v>152</v>
      </c>
      <c r="K3334" t="s">
        <v>47</v>
      </c>
      <c r="L3334" t="s">
        <v>68</v>
      </c>
      <c r="M3334" t="s">
        <v>56</v>
      </c>
      <c r="N3334">
        <v>3.1</v>
      </c>
      <c r="O3334">
        <v>0</v>
      </c>
      <c r="P3334" t="s">
        <v>73</v>
      </c>
      <c r="Q3334" t="s">
        <v>155</v>
      </c>
      <c r="R3334" t="s">
        <v>155</v>
      </c>
      <c r="S3334">
        <v>1</v>
      </c>
      <c r="T3334" t="s">
        <v>49</v>
      </c>
      <c r="U3334" t="s">
        <v>79</v>
      </c>
      <c r="V3334" s="1">
        <v>45531</v>
      </c>
      <c r="W3334">
        <f>Table1[[#This Row],[customer_purchase count]]+1</f>
        <v>2</v>
      </c>
      <c r="X3334">
        <f>Table1[[#This Row],[customer_purchase count]]*Rules!$B$3</f>
        <v>59.764358974358977</v>
      </c>
      <c r="Y3334" t="str">
        <f>IF(Table1[[#This Row],[customer_subscription]]=1,"Subscribed","Not Subscribed")</f>
        <v>Not Subscribed</v>
      </c>
      <c r="Z3334" t="s">
        <v>194</v>
      </c>
    </row>
    <row r="3335" spans="1:26" x14ac:dyDescent="0.25">
      <c r="A3335">
        <v>3334</v>
      </c>
      <c r="B3335">
        <v>55</v>
      </c>
      <c r="C3335" t="s">
        <v>156</v>
      </c>
      <c r="D3335">
        <v>3334</v>
      </c>
      <c r="E3335" t="s">
        <v>37</v>
      </c>
      <c r="F3335" t="s">
        <v>24</v>
      </c>
      <c r="G3335">
        <v>3334</v>
      </c>
      <c r="H3335">
        <v>4199</v>
      </c>
      <c r="I3335">
        <v>35</v>
      </c>
      <c r="J3335" t="s">
        <v>151</v>
      </c>
      <c r="K3335" t="s">
        <v>47</v>
      </c>
      <c r="L3335" t="s">
        <v>86</v>
      </c>
      <c r="M3335" t="s">
        <v>40</v>
      </c>
      <c r="N3335">
        <v>4.2</v>
      </c>
      <c r="O3335">
        <v>0</v>
      </c>
      <c r="P3335" t="s">
        <v>29</v>
      </c>
      <c r="Q3335" t="s">
        <v>155</v>
      </c>
      <c r="R3335" t="s">
        <v>155</v>
      </c>
      <c r="S3335">
        <v>3</v>
      </c>
      <c r="T3335" t="s">
        <v>49</v>
      </c>
      <c r="U3335" t="s">
        <v>91</v>
      </c>
      <c r="V3335" s="1">
        <v>45353</v>
      </c>
      <c r="W3335">
        <f>Table1[[#This Row],[customer_purchase count]]+1</f>
        <v>4</v>
      </c>
      <c r="X3335">
        <f>Table1[[#This Row],[customer_purchase count]]*Rules!$B$3</f>
        <v>179.29307692307694</v>
      </c>
      <c r="Y3335" t="str">
        <f>IF(Table1[[#This Row],[customer_subscription]]=1,"Subscribed","Not Subscribed")</f>
        <v>Not Subscribed</v>
      </c>
      <c r="Z3335" t="s">
        <v>194</v>
      </c>
    </row>
    <row r="3336" spans="1:26" x14ac:dyDescent="0.25">
      <c r="A3336">
        <v>3335</v>
      </c>
      <c r="B3336">
        <v>66</v>
      </c>
      <c r="C3336" t="s">
        <v>156</v>
      </c>
      <c r="D3336">
        <v>3335</v>
      </c>
      <c r="E3336" t="s">
        <v>58</v>
      </c>
      <c r="F3336" t="s">
        <v>24</v>
      </c>
      <c r="G3336">
        <v>3335</v>
      </c>
      <c r="H3336">
        <v>4201</v>
      </c>
      <c r="I3336">
        <v>23</v>
      </c>
      <c r="J3336" t="s">
        <v>102</v>
      </c>
      <c r="K3336" t="s">
        <v>47</v>
      </c>
      <c r="L3336" t="s">
        <v>121</v>
      </c>
      <c r="M3336" t="s">
        <v>56</v>
      </c>
      <c r="N3336">
        <v>3.4</v>
      </c>
      <c r="O3336">
        <v>0</v>
      </c>
      <c r="P3336" t="s">
        <v>41</v>
      </c>
      <c r="Q3336" t="s">
        <v>155</v>
      </c>
      <c r="R3336" t="s">
        <v>155</v>
      </c>
      <c r="S3336">
        <v>21</v>
      </c>
      <c r="T3336" t="s">
        <v>42</v>
      </c>
      <c r="U3336" t="s">
        <v>52</v>
      </c>
      <c r="V3336" s="1">
        <v>45490</v>
      </c>
      <c r="W3336">
        <f>Table1[[#This Row],[customer_purchase count]]+1</f>
        <v>22</v>
      </c>
      <c r="X3336">
        <f>Table1[[#This Row],[customer_purchase count]]*Rules!$B$3</f>
        <v>1255.0515384615385</v>
      </c>
      <c r="Y3336" t="str">
        <f>IF(Table1[[#This Row],[customer_subscription]]=1,"Subscribed","Not Subscribed")</f>
        <v>Not Subscribed</v>
      </c>
    </row>
    <row r="3337" spans="1:26" x14ac:dyDescent="0.25">
      <c r="A3337">
        <v>3336</v>
      </c>
      <c r="B3337">
        <v>44</v>
      </c>
      <c r="C3337" t="s">
        <v>156</v>
      </c>
      <c r="D3337">
        <v>3336</v>
      </c>
      <c r="E3337" t="s">
        <v>127</v>
      </c>
      <c r="F3337" t="s">
        <v>70</v>
      </c>
      <c r="G3337">
        <v>3336</v>
      </c>
      <c r="H3337">
        <v>4202</v>
      </c>
      <c r="I3337">
        <v>94</v>
      </c>
      <c r="J3337" t="s">
        <v>108</v>
      </c>
      <c r="K3337" t="s">
        <v>95</v>
      </c>
      <c r="L3337" t="s">
        <v>112</v>
      </c>
      <c r="M3337" t="s">
        <v>28</v>
      </c>
      <c r="N3337">
        <v>3.5</v>
      </c>
      <c r="O3337">
        <v>0</v>
      </c>
      <c r="P3337" t="s">
        <v>29</v>
      </c>
      <c r="Q3337" t="s">
        <v>155</v>
      </c>
      <c r="R3337" t="s">
        <v>155</v>
      </c>
      <c r="S3337">
        <v>48</v>
      </c>
      <c r="T3337" t="s">
        <v>78</v>
      </c>
      <c r="U3337" t="s">
        <v>61</v>
      </c>
      <c r="V3337" s="1">
        <v>45309</v>
      </c>
      <c r="W3337">
        <f>Table1[[#This Row],[customer_purchase count]]+1</f>
        <v>49</v>
      </c>
      <c r="X3337">
        <f>Table1[[#This Row],[customer_purchase count]]*Rules!$B$3</f>
        <v>2868.689230769231</v>
      </c>
      <c r="Y3337" t="str">
        <f>IF(Table1[[#This Row],[customer_subscription]]=1,"Subscribed","Not Subscribed")</f>
        <v>Not Subscribed</v>
      </c>
    </row>
    <row r="3338" spans="1:26" x14ac:dyDescent="0.25">
      <c r="A3338">
        <v>3337</v>
      </c>
      <c r="B3338">
        <v>39</v>
      </c>
      <c r="C3338" t="s">
        <v>156</v>
      </c>
      <c r="D3338">
        <v>3337</v>
      </c>
      <c r="E3338" t="s">
        <v>23</v>
      </c>
      <c r="F3338" t="s">
        <v>24</v>
      </c>
      <c r="G3338">
        <v>3337</v>
      </c>
      <c r="H3338">
        <v>4203</v>
      </c>
      <c r="I3338">
        <v>45</v>
      </c>
      <c r="J3338" t="s">
        <v>59</v>
      </c>
      <c r="K3338" t="s">
        <v>47</v>
      </c>
      <c r="L3338" t="s">
        <v>113</v>
      </c>
      <c r="M3338" t="s">
        <v>60</v>
      </c>
      <c r="N3338">
        <v>4</v>
      </c>
      <c r="O3338">
        <v>0</v>
      </c>
      <c r="P3338" t="s">
        <v>41</v>
      </c>
      <c r="Q3338" t="s">
        <v>155</v>
      </c>
      <c r="R3338" t="s">
        <v>155</v>
      </c>
      <c r="S3338">
        <v>24</v>
      </c>
      <c r="T3338" t="s">
        <v>89</v>
      </c>
      <c r="U3338" t="s">
        <v>52</v>
      </c>
      <c r="V3338" s="1">
        <v>45585</v>
      </c>
      <c r="W3338">
        <f>Table1[[#This Row],[customer_purchase count]]+1</f>
        <v>25</v>
      </c>
      <c r="X3338">
        <f>Table1[[#This Row],[customer_purchase count]]*Rules!$B$3</f>
        <v>1434.3446153846155</v>
      </c>
      <c r="Y3338" t="str">
        <f>IF(Table1[[#This Row],[customer_subscription]]=1,"Subscribed","Not Subscribed")</f>
        <v>Not Subscribed</v>
      </c>
    </row>
    <row r="3339" spans="1:26" x14ac:dyDescent="0.25">
      <c r="A3339">
        <v>3338</v>
      </c>
      <c r="B3339">
        <v>23</v>
      </c>
      <c r="C3339" t="s">
        <v>156</v>
      </c>
      <c r="D3339">
        <v>3338</v>
      </c>
      <c r="E3339" t="s">
        <v>105</v>
      </c>
      <c r="F3339" t="s">
        <v>66</v>
      </c>
      <c r="G3339">
        <v>3338</v>
      </c>
      <c r="H3339">
        <v>4204</v>
      </c>
      <c r="I3339">
        <v>23</v>
      </c>
      <c r="J3339" t="s">
        <v>120</v>
      </c>
      <c r="K3339" t="s">
        <v>26</v>
      </c>
      <c r="L3339" t="s">
        <v>147</v>
      </c>
      <c r="M3339" t="s">
        <v>28</v>
      </c>
      <c r="N3339">
        <v>4.4000000000000004</v>
      </c>
      <c r="O3339">
        <v>0</v>
      </c>
      <c r="P3339" t="s">
        <v>73</v>
      </c>
      <c r="Q3339" t="s">
        <v>155</v>
      </c>
      <c r="R3339" t="s">
        <v>155</v>
      </c>
      <c r="S3339">
        <v>45</v>
      </c>
      <c r="T3339" t="s">
        <v>78</v>
      </c>
      <c r="U3339" t="s">
        <v>79</v>
      </c>
      <c r="V3339" s="1">
        <v>45349</v>
      </c>
      <c r="W3339">
        <f>Table1[[#This Row],[customer_purchase count]]+1</f>
        <v>46</v>
      </c>
      <c r="X3339">
        <f>Table1[[#This Row],[customer_purchase count]]*Rules!$B$3</f>
        <v>2689.396153846154</v>
      </c>
      <c r="Y3339" t="str">
        <f>IF(Table1[[#This Row],[customer_subscription]]=1,"Subscribed","Not Subscribed")</f>
        <v>Not Subscribed</v>
      </c>
    </row>
    <row r="3340" spans="1:26" x14ac:dyDescent="0.25">
      <c r="A3340">
        <v>3339</v>
      </c>
      <c r="B3340">
        <v>29</v>
      </c>
      <c r="C3340" t="s">
        <v>156</v>
      </c>
      <c r="D3340">
        <v>3339</v>
      </c>
      <c r="E3340" t="s">
        <v>90</v>
      </c>
      <c r="F3340" t="s">
        <v>24</v>
      </c>
      <c r="G3340">
        <v>3339</v>
      </c>
      <c r="H3340">
        <v>4205</v>
      </c>
      <c r="I3340">
        <v>94</v>
      </c>
      <c r="J3340" t="s">
        <v>151</v>
      </c>
      <c r="K3340" t="s">
        <v>26</v>
      </c>
      <c r="L3340" t="s">
        <v>55</v>
      </c>
      <c r="M3340" t="s">
        <v>28</v>
      </c>
      <c r="N3340">
        <v>2.9</v>
      </c>
      <c r="O3340">
        <v>0</v>
      </c>
      <c r="P3340" t="s">
        <v>73</v>
      </c>
      <c r="Q3340" t="s">
        <v>155</v>
      </c>
      <c r="R3340" t="s">
        <v>155</v>
      </c>
      <c r="S3340">
        <v>46</v>
      </c>
      <c r="T3340" t="s">
        <v>42</v>
      </c>
      <c r="U3340" t="s">
        <v>91</v>
      </c>
      <c r="V3340" s="1">
        <v>45314</v>
      </c>
      <c r="W3340">
        <f>Table1[[#This Row],[customer_purchase count]]+1</f>
        <v>47</v>
      </c>
      <c r="X3340">
        <f>Table1[[#This Row],[customer_purchase count]]*Rules!$B$3</f>
        <v>2749.1605128205128</v>
      </c>
      <c r="Y3340" t="str">
        <f>IF(Table1[[#This Row],[customer_subscription]]=1,"Subscribed","Not Subscribed")</f>
        <v>Not Subscribed</v>
      </c>
    </row>
    <row r="3341" spans="1:26" x14ac:dyDescent="0.25">
      <c r="A3341">
        <v>3340</v>
      </c>
      <c r="B3341">
        <v>20</v>
      </c>
      <c r="C3341" t="s">
        <v>156</v>
      </c>
      <c r="D3341">
        <v>3340</v>
      </c>
      <c r="E3341" t="s">
        <v>146</v>
      </c>
      <c r="F3341" t="s">
        <v>70</v>
      </c>
      <c r="G3341">
        <v>3340</v>
      </c>
      <c r="H3341">
        <v>4207</v>
      </c>
      <c r="I3341">
        <v>99</v>
      </c>
      <c r="J3341" t="s">
        <v>148</v>
      </c>
      <c r="K3341" t="s">
        <v>47</v>
      </c>
      <c r="L3341" t="s">
        <v>112</v>
      </c>
      <c r="M3341" t="s">
        <v>60</v>
      </c>
      <c r="N3341">
        <v>3.6</v>
      </c>
      <c r="O3341">
        <v>0</v>
      </c>
      <c r="P3341" t="s">
        <v>77</v>
      </c>
      <c r="Q3341" t="s">
        <v>155</v>
      </c>
      <c r="R3341" t="s">
        <v>155</v>
      </c>
      <c r="S3341">
        <v>35</v>
      </c>
      <c r="T3341" t="s">
        <v>36</v>
      </c>
      <c r="U3341" t="s">
        <v>32</v>
      </c>
      <c r="V3341" s="1">
        <v>45549</v>
      </c>
      <c r="W3341">
        <f>Table1[[#This Row],[customer_purchase count]]+1</f>
        <v>36</v>
      </c>
      <c r="X3341">
        <f>Table1[[#This Row],[customer_purchase count]]*Rules!$B$3</f>
        <v>2091.7525641025641</v>
      </c>
      <c r="Y3341" t="str">
        <f>IF(Table1[[#This Row],[customer_subscription]]=1,"Subscribed","Not Subscribed")</f>
        <v>Not Subscribed</v>
      </c>
    </row>
    <row r="3342" spans="1:26" x14ac:dyDescent="0.25">
      <c r="A3342">
        <v>3341</v>
      </c>
      <c r="B3342">
        <v>42</v>
      </c>
      <c r="C3342" t="s">
        <v>156</v>
      </c>
      <c r="D3342">
        <v>3341</v>
      </c>
      <c r="E3342" t="s">
        <v>116</v>
      </c>
      <c r="F3342" t="s">
        <v>24</v>
      </c>
      <c r="G3342">
        <v>3341</v>
      </c>
      <c r="H3342">
        <v>4208</v>
      </c>
      <c r="I3342">
        <v>36</v>
      </c>
      <c r="J3342" t="s">
        <v>144</v>
      </c>
      <c r="K3342" t="s">
        <v>95</v>
      </c>
      <c r="L3342" t="s">
        <v>35</v>
      </c>
      <c r="M3342" t="s">
        <v>60</v>
      </c>
      <c r="N3342">
        <v>4.4000000000000004</v>
      </c>
      <c r="O3342">
        <v>0</v>
      </c>
      <c r="P3342" t="s">
        <v>41</v>
      </c>
      <c r="Q3342" t="s">
        <v>155</v>
      </c>
      <c r="R3342" t="s">
        <v>155</v>
      </c>
      <c r="S3342">
        <v>47</v>
      </c>
      <c r="T3342" t="s">
        <v>42</v>
      </c>
      <c r="U3342" t="s">
        <v>32</v>
      </c>
      <c r="V3342" s="1">
        <v>45619</v>
      </c>
      <c r="W3342">
        <f>Table1[[#This Row],[customer_purchase count]]+1</f>
        <v>48</v>
      </c>
      <c r="X3342">
        <f>Table1[[#This Row],[customer_purchase count]]*Rules!$B$3</f>
        <v>2808.9248717948717</v>
      </c>
      <c r="Y3342" t="str">
        <f>IF(Table1[[#This Row],[customer_subscription]]=1,"Subscribed","Not Subscribed")</f>
        <v>Not Subscribed</v>
      </c>
    </row>
    <row r="3343" spans="1:26" x14ac:dyDescent="0.25">
      <c r="A3343">
        <v>3342</v>
      </c>
      <c r="B3343">
        <v>55</v>
      </c>
      <c r="C3343" t="s">
        <v>156</v>
      </c>
      <c r="D3343">
        <v>3342</v>
      </c>
      <c r="E3343" t="s">
        <v>105</v>
      </c>
      <c r="F3343" t="s">
        <v>66</v>
      </c>
      <c r="G3343">
        <v>3342</v>
      </c>
      <c r="H3343">
        <v>4209</v>
      </c>
      <c r="I3343">
        <v>50</v>
      </c>
      <c r="J3343" t="s">
        <v>142</v>
      </c>
      <c r="K3343" t="s">
        <v>95</v>
      </c>
      <c r="L3343" t="s">
        <v>81</v>
      </c>
      <c r="M3343" t="s">
        <v>56</v>
      </c>
      <c r="N3343">
        <v>4.5</v>
      </c>
      <c r="O3343">
        <v>0</v>
      </c>
      <c r="P3343" t="s">
        <v>57</v>
      </c>
      <c r="Q3343" t="s">
        <v>155</v>
      </c>
      <c r="R3343" t="s">
        <v>155</v>
      </c>
      <c r="S3343">
        <v>35</v>
      </c>
      <c r="T3343" t="s">
        <v>42</v>
      </c>
      <c r="U3343" t="s">
        <v>91</v>
      </c>
      <c r="V3343" s="1">
        <v>45515</v>
      </c>
      <c r="W3343">
        <f>Table1[[#This Row],[customer_purchase count]]+1</f>
        <v>36</v>
      </c>
      <c r="X3343">
        <f>Table1[[#This Row],[customer_purchase count]]*Rules!$B$3</f>
        <v>2091.7525641025641</v>
      </c>
      <c r="Y3343" t="str">
        <f>IF(Table1[[#This Row],[customer_subscription]]=1,"Subscribed","Not Subscribed")</f>
        <v>Not Subscribed</v>
      </c>
    </row>
    <row r="3344" spans="1:26" x14ac:dyDescent="0.25">
      <c r="A3344">
        <v>3343</v>
      </c>
      <c r="B3344">
        <v>66</v>
      </c>
      <c r="C3344" t="s">
        <v>156</v>
      </c>
      <c r="D3344">
        <v>3343</v>
      </c>
      <c r="E3344" t="s">
        <v>105</v>
      </c>
      <c r="F3344" t="s">
        <v>66</v>
      </c>
      <c r="G3344">
        <v>3343</v>
      </c>
      <c r="H3344">
        <v>4210</v>
      </c>
      <c r="I3344">
        <v>81</v>
      </c>
      <c r="J3344" t="s">
        <v>130</v>
      </c>
      <c r="K3344" t="s">
        <v>47</v>
      </c>
      <c r="L3344" t="s">
        <v>86</v>
      </c>
      <c r="M3344" t="s">
        <v>40</v>
      </c>
      <c r="N3344">
        <v>3.8</v>
      </c>
      <c r="O3344">
        <v>0</v>
      </c>
      <c r="P3344" t="s">
        <v>41</v>
      </c>
      <c r="Q3344" t="s">
        <v>155</v>
      </c>
      <c r="R3344" t="s">
        <v>155</v>
      </c>
      <c r="S3344">
        <v>45</v>
      </c>
      <c r="T3344" t="s">
        <v>42</v>
      </c>
      <c r="U3344" t="s">
        <v>43</v>
      </c>
      <c r="V3344" s="1">
        <v>45383</v>
      </c>
      <c r="W3344">
        <f>Table1[[#This Row],[customer_purchase count]]+1</f>
        <v>46</v>
      </c>
      <c r="X3344">
        <f>Table1[[#This Row],[customer_purchase count]]*Rules!$B$3</f>
        <v>2689.396153846154</v>
      </c>
      <c r="Y3344" t="str">
        <f>IF(Table1[[#This Row],[customer_subscription]]=1,"Subscribed","Not Subscribed")</f>
        <v>Not Subscribed</v>
      </c>
    </row>
    <row r="3345" spans="1:26" x14ac:dyDescent="0.25">
      <c r="A3345">
        <v>3344</v>
      </c>
      <c r="B3345">
        <v>24</v>
      </c>
      <c r="C3345" t="s">
        <v>156</v>
      </c>
      <c r="D3345">
        <v>3344</v>
      </c>
      <c r="E3345" t="s">
        <v>62</v>
      </c>
      <c r="F3345" t="s">
        <v>24</v>
      </c>
      <c r="G3345">
        <v>3344</v>
      </c>
      <c r="H3345">
        <v>4211</v>
      </c>
      <c r="I3345">
        <v>31</v>
      </c>
      <c r="J3345" t="s">
        <v>25</v>
      </c>
      <c r="K3345" t="s">
        <v>95</v>
      </c>
      <c r="L3345" t="s">
        <v>99</v>
      </c>
      <c r="M3345" t="s">
        <v>28</v>
      </c>
      <c r="N3345">
        <v>3.6</v>
      </c>
      <c r="O3345">
        <v>0</v>
      </c>
      <c r="P3345" t="s">
        <v>73</v>
      </c>
      <c r="Q3345" t="s">
        <v>155</v>
      </c>
      <c r="R3345" t="s">
        <v>155</v>
      </c>
      <c r="S3345">
        <v>6</v>
      </c>
      <c r="T3345" t="s">
        <v>36</v>
      </c>
      <c r="U3345" t="s">
        <v>79</v>
      </c>
      <c r="V3345" s="1">
        <v>45293</v>
      </c>
      <c r="W3345">
        <f>Table1[[#This Row],[customer_purchase count]]+1</f>
        <v>7</v>
      </c>
      <c r="X3345">
        <f>Table1[[#This Row],[customer_purchase count]]*Rules!$B$3</f>
        <v>358.58615384615388</v>
      </c>
      <c r="Y3345" t="str">
        <f>IF(Table1[[#This Row],[customer_subscription]]=1,"Subscribed","Not Subscribed")</f>
        <v>Not Subscribed</v>
      </c>
      <c r="Z3345" t="s">
        <v>194</v>
      </c>
    </row>
    <row r="3346" spans="1:26" x14ac:dyDescent="0.25">
      <c r="A3346">
        <v>3345</v>
      </c>
      <c r="B3346">
        <v>62</v>
      </c>
      <c r="C3346" t="s">
        <v>156</v>
      </c>
      <c r="D3346">
        <v>3345</v>
      </c>
      <c r="E3346" t="s">
        <v>127</v>
      </c>
      <c r="F3346" t="s">
        <v>70</v>
      </c>
      <c r="G3346">
        <v>3345</v>
      </c>
      <c r="H3346">
        <v>4213</v>
      </c>
      <c r="I3346">
        <v>48</v>
      </c>
      <c r="J3346" t="s">
        <v>152</v>
      </c>
      <c r="K3346" t="s">
        <v>95</v>
      </c>
      <c r="L3346" t="s">
        <v>139</v>
      </c>
      <c r="M3346" t="s">
        <v>60</v>
      </c>
      <c r="N3346">
        <v>4.3</v>
      </c>
      <c r="O3346">
        <v>0</v>
      </c>
      <c r="P3346" t="s">
        <v>41</v>
      </c>
      <c r="Q3346" t="s">
        <v>155</v>
      </c>
      <c r="R3346" t="s">
        <v>155</v>
      </c>
      <c r="S3346">
        <v>20</v>
      </c>
      <c r="T3346" t="s">
        <v>36</v>
      </c>
      <c r="U3346" t="s">
        <v>52</v>
      </c>
      <c r="V3346" s="1">
        <v>45621</v>
      </c>
      <c r="W3346">
        <f>Table1[[#This Row],[customer_purchase count]]+1</f>
        <v>21</v>
      </c>
      <c r="X3346">
        <f>Table1[[#This Row],[customer_purchase count]]*Rules!$B$3</f>
        <v>1195.2871794871796</v>
      </c>
      <c r="Y3346" t="str">
        <f>IF(Table1[[#This Row],[customer_subscription]]=1,"Subscribed","Not Subscribed")</f>
        <v>Not Subscribed</v>
      </c>
    </row>
    <row r="3347" spans="1:26" x14ac:dyDescent="0.25">
      <c r="A3347">
        <v>3346</v>
      </c>
      <c r="B3347">
        <v>28</v>
      </c>
      <c r="C3347" t="s">
        <v>156</v>
      </c>
      <c r="D3347">
        <v>3346</v>
      </c>
      <c r="E3347" t="s">
        <v>69</v>
      </c>
      <c r="F3347" t="s">
        <v>70</v>
      </c>
      <c r="G3347">
        <v>3346</v>
      </c>
      <c r="H3347">
        <v>4214</v>
      </c>
      <c r="I3347">
        <v>91</v>
      </c>
      <c r="J3347" t="s">
        <v>106</v>
      </c>
      <c r="K3347" t="s">
        <v>47</v>
      </c>
      <c r="L3347" t="s">
        <v>51</v>
      </c>
      <c r="M3347" t="s">
        <v>56</v>
      </c>
      <c r="N3347">
        <v>4</v>
      </c>
      <c r="O3347">
        <v>0</v>
      </c>
      <c r="P3347" t="s">
        <v>73</v>
      </c>
      <c r="Q3347" t="s">
        <v>155</v>
      </c>
      <c r="R3347" t="s">
        <v>155</v>
      </c>
      <c r="S3347">
        <v>3</v>
      </c>
      <c r="T3347" t="s">
        <v>31</v>
      </c>
      <c r="U3347" t="s">
        <v>79</v>
      </c>
      <c r="V3347" s="1">
        <v>45497</v>
      </c>
      <c r="W3347">
        <f>Table1[[#This Row],[customer_purchase count]]+1</f>
        <v>4</v>
      </c>
      <c r="X3347">
        <f>Table1[[#This Row],[customer_purchase count]]*Rules!$B$3</f>
        <v>179.29307692307694</v>
      </c>
      <c r="Y3347" t="str">
        <f>IF(Table1[[#This Row],[customer_subscription]]=1,"Subscribed","Not Subscribed")</f>
        <v>Not Subscribed</v>
      </c>
      <c r="Z3347" t="s">
        <v>194</v>
      </c>
    </row>
    <row r="3348" spans="1:26" x14ac:dyDescent="0.25">
      <c r="A3348">
        <v>3347</v>
      </c>
      <c r="B3348">
        <v>30</v>
      </c>
      <c r="C3348" t="s">
        <v>156</v>
      </c>
      <c r="D3348">
        <v>3347</v>
      </c>
      <c r="E3348" t="s">
        <v>37</v>
      </c>
      <c r="F3348" t="s">
        <v>24</v>
      </c>
      <c r="G3348">
        <v>3347</v>
      </c>
      <c r="H3348">
        <v>4215</v>
      </c>
      <c r="I3348">
        <v>99</v>
      </c>
      <c r="J3348" t="s">
        <v>104</v>
      </c>
      <c r="K3348" t="s">
        <v>47</v>
      </c>
      <c r="L3348" t="s">
        <v>97</v>
      </c>
      <c r="M3348" t="s">
        <v>56</v>
      </c>
      <c r="N3348">
        <v>3.4</v>
      </c>
      <c r="O3348">
        <v>0</v>
      </c>
      <c r="P3348" t="s">
        <v>29</v>
      </c>
      <c r="Q3348" t="s">
        <v>155</v>
      </c>
      <c r="R3348" t="s">
        <v>155</v>
      </c>
      <c r="S3348">
        <v>30</v>
      </c>
      <c r="T3348" t="s">
        <v>31</v>
      </c>
      <c r="U3348" t="s">
        <v>61</v>
      </c>
      <c r="V3348" s="1">
        <v>45450</v>
      </c>
      <c r="W3348">
        <f>Table1[[#This Row],[customer_purchase count]]+1</f>
        <v>31</v>
      </c>
      <c r="X3348">
        <f>Table1[[#This Row],[customer_purchase count]]*Rules!$B$3</f>
        <v>1792.9307692307693</v>
      </c>
      <c r="Y3348" t="str">
        <f>IF(Table1[[#This Row],[customer_subscription]]=1,"Subscribed","Not Subscribed")</f>
        <v>Not Subscribed</v>
      </c>
    </row>
    <row r="3349" spans="1:26" x14ac:dyDescent="0.25">
      <c r="A3349">
        <v>3348</v>
      </c>
      <c r="B3349">
        <v>22</v>
      </c>
      <c r="C3349" t="s">
        <v>156</v>
      </c>
      <c r="D3349">
        <v>3348</v>
      </c>
      <c r="E3349" t="s">
        <v>74</v>
      </c>
      <c r="F3349" t="s">
        <v>45</v>
      </c>
      <c r="G3349">
        <v>3348</v>
      </c>
      <c r="H3349">
        <v>4216</v>
      </c>
      <c r="I3349">
        <v>70</v>
      </c>
      <c r="J3349" t="s">
        <v>149</v>
      </c>
      <c r="K3349" t="s">
        <v>95</v>
      </c>
      <c r="L3349" t="s">
        <v>112</v>
      </c>
      <c r="M3349" t="s">
        <v>56</v>
      </c>
      <c r="N3349">
        <v>4.4000000000000004</v>
      </c>
      <c r="O3349">
        <v>0</v>
      </c>
      <c r="P3349" t="s">
        <v>57</v>
      </c>
      <c r="Q3349" t="s">
        <v>155</v>
      </c>
      <c r="R3349" t="s">
        <v>155</v>
      </c>
      <c r="S3349">
        <v>28</v>
      </c>
      <c r="T3349" t="s">
        <v>49</v>
      </c>
      <c r="U3349" t="s">
        <v>79</v>
      </c>
      <c r="V3349" s="1">
        <v>45488</v>
      </c>
      <c r="W3349">
        <f>Table1[[#This Row],[customer_purchase count]]+1</f>
        <v>29</v>
      </c>
      <c r="X3349">
        <f>Table1[[#This Row],[customer_purchase count]]*Rules!$B$3</f>
        <v>1673.4020512820514</v>
      </c>
      <c r="Y3349" t="str">
        <f>IF(Table1[[#This Row],[customer_subscription]]=1,"Subscribed","Not Subscribed")</f>
        <v>Not Subscribed</v>
      </c>
    </row>
    <row r="3350" spans="1:26" x14ac:dyDescent="0.25">
      <c r="A3350">
        <v>3349</v>
      </c>
      <c r="B3350">
        <v>28</v>
      </c>
      <c r="C3350" t="s">
        <v>156</v>
      </c>
      <c r="D3350">
        <v>3349</v>
      </c>
      <c r="E3350" t="s">
        <v>116</v>
      </c>
      <c r="F3350" t="s">
        <v>24</v>
      </c>
      <c r="G3350">
        <v>3349</v>
      </c>
      <c r="H3350">
        <v>4217</v>
      </c>
      <c r="I3350">
        <v>74</v>
      </c>
      <c r="J3350" t="s">
        <v>85</v>
      </c>
      <c r="K3350" t="s">
        <v>26</v>
      </c>
      <c r="L3350" t="s">
        <v>27</v>
      </c>
      <c r="M3350" t="s">
        <v>28</v>
      </c>
      <c r="N3350">
        <v>2.8</v>
      </c>
      <c r="O3350">
        <v>0</v>
      </c>
      <c r="P3350" t="s">
        <v>57</v>
      </c>
      <c r="Q3350" t="s">
        <v>155</v>
      </c>
      <c r="R3350" t="s">
        <v>155</v>
      </c>
      <c r="S3350">
        <v>15</v>
      </c>
      <c r="T3350" t="s">
        <v>36</v>
      </c>
      <c r="U3350" t="s">
        <v>100</v>
      </c>
      <c r="V3350" s="1">
        <v>45635</v>
      </c>
      <c r="W3350">
        <f>Table1[[#This Row],[customer_purchase count]]+1</f>
        <v>16</v>
      </c>
      <c r="X3350">
        <f>Table1[[#This Row],[customer_purchase count]]*Rules!$B$3</f>
        <v>896.46538461538466</v>
      </c>
      <c r="Y3350" t="str">
        <f>IF(Table1[[#This Row],[customer_subscription]]=1,"Subscribed","Not Subscribed")</f>
        <v>Not Subscribed</v>
      </c>
      <c r="Z3350" t="s">
        <v>187</v>
      </c>
    </row>
    <row r="3351" spans="1:26" x14ac:dyDescent="0.25">
      <c r="A3351">
        <v>3350</v>
      </c>
      <c r="B3351">
        <v>35</v>
      </c>
      <c r="C3351" t="s">
        <v>156</v>
      </c>
      <c r="D3351">
        <v>3350</v>
      </c>
      <c r="E3351" t="s">
        <v>109</v>
      </c>
      <c r="F3351" t="s">
        <v>70</v>
      </c>
      <c r="G3351">
        <v>3350</v>
      </c>
      <c r="H3351">
        <v>4219</v>
      </c>
      <c r="I3351">
        <v>79</v>
      </c>
      <c r="J3351" t="s">
        <v>145</v>
      </c>
      <c r="K3351" t="s">
        <v>47</v>
      </c>
      <c r="L3351" t="s">
        <v>111</v>
      </c>
      <c r="M3351" t="s">
        <v>60</v>
      </c>
      <c r="N3351">
        <v>2.8</v>
      </c>
      <c r="O3351">
        <v>0</v>
      </c>
      <c r="P3351" t="s">
        <v>77</v>
      </c>
      <c r="Q3351" t="s">
        <v>155</v>
      </c>
      <c r="R3351" t="s">
        <v>155</v>
      </c>
      <c r="S3351">
        <v>29</v>
      </c>
      <c r="T3351" t="s">
        <v>49</v>
      </c>
      <c r="U3351" t="s">
        <v>61</v>
      </c>
      <c r="V3351" s="1">
        <v>45624</v>
      </c>
      <c r="W3351">
        <f>Table1[[#This Row],[customer_purchase count]]+1</f>
        <v>30</v>
      </c>
      <c r="X3351">
        <f>Table1[[#This Row],[customer_purchase count]]*Rules!$B$3</f>
        <v>1733.1664102564102</v>
      </c>
      <c r="Y3351" t="str">
        <f>IF(Table1[[#This Row],[customer_subscription]]=1,"Subscribed","Not Subscribed")</f>
        <v>Not Subscribed</v>
      </c>
    </row>
    <row r="3352" spans="1:26" x14ac:dyDescent="0.25">
      <c r="A3352">
        <v>3351</v>
      </c>
      <c r="B3352">
        <v>45</v>
      </c>
      <c r="C3352" t="s">
        <v>156</v>
      </c>
      <c r="D3352">
        <v>3351</v>
      </c>
      <c r="E3352" t="s">
        <v>69</v>
      </c>
      <c r="F3352" t="s">
        <v>70</v>
      </c>
      <c r="G3352">
        <v>3351</v>
      </c>
      <c r="H3352">
        <v>4220</v>
      </c>
      <c r="I3352">
        <v>33</v>
      </c>
      <c r="J3352" t="s">
        <v>94</v>
      </c>
      <c r="K3352" t="s">
        <v>39</v>
      </c>
      <c r="L3352" t="s">
        <v>81</v>
      </c>
      <c r="M3352" t="s">
        <v>60</v>
      </c>
      <c r="N3352">
        <v>4.9000000000000004</v>
      </c>
      <c r="O3352">
        <v>0</v>
      </c>
      <c r="P3352" t="s">
        <v>73</v>
      </c>
      <c r="Q3352" t="s">
        <v>155</v>
      </c>
      <c r="R3352" t="s">
        <v>155</v>
      </c>
      <c r="S3352">
        <v>15</v>
      </c>
      <c r="T3352" t="s">
        <v>36</v>
      </c>
      <c r="U3352" t="s">
        <v>79</v>
      </c>
      <c r="V3352" s="1">
        <v>45603</v>
      </c>
      <c r="W3352">
        <f>Table1[[#This Row],[customer_purchase count]]+1</f>
        <v>16</v>
      </c>
      <c r="X3352">
        <f>Table1[[#This Row],[customer_purchase count]]*Rules!$B$3</f>
        <v>896.46538461538466</v>
      </c>
      <c r="Y3352" t="str">
        <f>IF(Table1[[#This Row],[customer_subscription]]=1,"Subscribed","Not Subscribed")</f>
        <v>Not Subscribed</v>
      </c>
      <c r="Z3352" t="s">
        <v>194</v>
      </c>
    </row>
    <row r="3353" spans="1:26" x14ac:dyDescent="0.25">
      <c r="A3353">
        <v>3352</v>
      </c>
      <c r="B3353">
        <v>43</v>
      </c>
      <c r="C3353" t="s">
        <v>156</v>
      </c>
      <c r="D3353">
        <v>3352</v>
      </c>
      <c r="E3353" t="s">
        <v>58</v>
      </c>
      <c r="F3353" t="s">
        <v>24</v>
      </c>
      <c r="G3353">
        <v>3352</v>
      </c>
      <c r="H3353">
        <v>4221</v>
      </c>
      <c r="I3353">
        <v>49</v>
      </c>
      <c r="J3353" t="s">
        <v>85</v>
      </c>
      <c r="K3353" t="s">
        <v>26</v>
      </c>
      <c r="L3353" t="s">
        <v>112</v>
      </c>
      <c r="M3353" t="s">
        <v>40</v>
      </c>
      <c r="N3353">
        <v>4.2</v>
      </c>
      <c r="O3353">
        <v>0</v>
      </c>
      <c r="P3353" t="s">
        <v>73</v>
      </c>
      <c r="Q3353" t="s">
        <v>155</v>
      </c>
      <c r="R3353" t="s">
        <v>155</v>
      </c>
      <c r="S3353">
        <v>18</v>
      </c>
      <c r="T3353" t="s">
        <v>78</v>
      </c>
      <c r="U3353" t="s">
        <v>32</v>
      </c>
      <c r="V3353" s="1">
        <v>45419</v>
      </c>
      <c r="W3353">
        <f>Table1[[#This Row],[customer_purchase count]]+1</f>
        <v>19</v>
      </c>
      <c r="X3353">
        <f>Table1[[#This Row],[customer_purchase count]]*Rules!$B$3</f>
        <v>1075.7584615384617</v>
      </c>
      <c r="Y3353" t="str">
        <f>IF(Table1[[#This Row],[customer_subscription]]=1,"Subscribed","Not Subscribed")</f>
        <v>Not Subscribed</v>
      </c>
    </row>
    <row r="3354" spans="1:26" x14ac:dyDescent="0.25">
      <c r="A3354">
        <v>3353</v>
      </c>
      <c r="B3354">
        <v>55</v>
      </c>
      <c r="C3354" t="s">
        <v>156</v>
      </c>
      <c r="D3354">
        <v>3353</v>
      </c>
      <c r="E3354" t="s">
        <v>136</v>
      </c>
      <c r="F3354" t="s">
        <v>70</v>
      </c>
      <c r="G3354">
        <v>3353</v>
      </c>
      <c r="H3354">
        <v>4222</v>
      </c>
      <c r="I3354">
        <v>96</v>
      </c>
      <c r="J3354" t="s">
        <v>152</v>
      </c>
      <c r="K3354" t="s">
        <v>47</v>
      </c>
      <c r="L3354" t="s">
        <v>88</v>
      </c>
      <c r="M3354" t="s">
        <v>56</v>
      </c>
      <c r="N3354">
        <v>2.9</v>
      </c>
      <c r="O3354">
        <v>0</v>
      </c>
      <c r="P3354" t="s">
        <v>48</v>
      </c>
      <c r="Q3354" t="s">
        <v>155</v>
      </c>
      <c r="R3354" t="s">
        <v>155</v>
      </c>
      <c r="S3354">
        <v>7</v>
      </c>
      <c r="T3354" t="s">
        <v>78</v>
      </c>
      <c r="U3354" t="s">
        <v>79</v>
      </c>
      <c r="V3354" s="1">
        <v>45474</v>
      </c>
      <c r="W3354">
        <f>Table1[[#This Row],[customer_purchase count]]+1</f>
        <v>8</v>
      </c>
      <c r="X3354">
        <f>Table1[[#This Row],[customer_purchase count]]*Rules!$B$3</f>
        <v>418.35051282051285</v>
      </c>
      <c r="Y3354" t="str">
        <f>IF(Table1[[#This Row],[customer_subscription]]=1,"Subscribed","Not Subscribed")</f>
        <v>Not Subscribed</v>
      </c>
      <c r="Z3354" t="s">
        <v>194</v>
      </c>
    </row>
    <row r="3355" spans="1:26" x14ac:dyDescent="0.25">
      <c r="A3355">
        <v>3354</v>
      </c>
      <c r="B3355">
        <v>31</v>
      </c>
      <c r="C3355" t="s">
        <v>156</v>
      </c>
      <c r="D3355">
        <v>3354</v>
      </c>
      <c r="E3355" t="s">
        <v>84</v>
      </c>
      <c r="F3355" t="s">
        <v>24</v>
      </c>
      <c r="G3355">
        <v>3354</v>
      </c>
      <c r="H3355">
        <v>4223</v>
      </c>
      <c r="I3355">
        <v>66</v>
      </c>
      <c r="J3355" t="s">
        <v>126</v>
      </c>
      <c r="K3355" t="s">
        <v>26</v>
      </c>
      <c r="L3355" t="s">
        <v>88</v>
      </c>
      <c r="M3355" t="s">
        <v>60</v>
      </c>
      <c r="N3355">
        <v>4.5999999999999996</v>
      </c>
      <c r="O3355">
        <v>0</v>
      </c>
      <c r="P3355" t="s">
        <v>41</v>
      </c>
      <c r="Q3355" t="s">
        <v>155</v>
      </c>
      <c r="R3355" t="s">
        <v>155</v>
      </c>
      <c r="S3355">
        <v>19</v>
      </c>
      <c r="T3355" t="s">
        <v>42</v>
      </c>
      <c r="U3355" t="s">
        <v>100</v>
      </c>
      <c r="V3355" s="1">
        <v>45552</v>
      </c>
      <c r="W3355">
        <f>Table1[[#This Row],[customer_purchase count]]+1</f>
        <v>20</v>
      </c>
      <c r="X3355">
        <f>Table1[[#This Row],[customer_purchase count]]*Rules!$B$3</f>
        <v>1135.5228205128205</v>
      </c>
      <c r="Y3355" t="str">
        <f>IF(Table1[[#This Row],[customer_subscription]]=1,"Subscribed","Not Subscribed")</f>
        <v>Not Subscribed</v>
      </c>
    </row>
    <row r="3356" spans="1:26" x14ac:dyDescent="0.25">
      <c r="A3356">
        <v>3355</v>
      </c>
      <c r="B3356">
        <v>42</v>
      </c>
      <c r="C3356" t="s">
        <v>156</v>
      </c>
      <c r="D3356">
        <v>3355</v>
      </c>
      <c r="E3356" t="s">
        <v>90</v>
      </c>
      <c r="F3356" t="s">
        <v>24</v>
      </c>
      <c r="G3356">
        <v>3355</v>
      </c>
      <c r="H3356">
        <v>4225</v>
      </c>
      <c r="I3356">
        <v>45</v>
      </c>
      <c r="J3356" t="s">
        <v>131</v>
      </c>
      <c r="K3356" t="s">
        <v>47</v>
      </c>
      <c r="L3356" t="s">
        <v>124</v>
      </c>
      <c r="M3356" t="s">
        <v>60</v>
      </c>
      <c r="N3356">
        <v>2.8</v>
      </c>
      <c r="O3356">
        <v>0</v>
      </c>
      <c r="P3356" t="s">
        <v>48</v>
      </c>
      <c r="Q3356" t="s">
        <v>155</v>
      </c>
      <c r="R3356" t="s">
        <v>155</v>
      </c>
      <c r="S3356">
        <v>15</v>
      </c>
      <c r="T3356" t="s">
        <v>49</v>
      </c>
      <c r="U3356" t="s">
        <v>43</v>
      </c>
      <c r="V3356" s="1">
        <v>45586</v>
      </c>
      <c r="W3356">
        <f>Table1[[#This Row],[customer_purchase count]]+1</f>
        <v>16</v>
      </c>
      <c r="X3356">
        <f>Table1[[#This Row],[customer_purchase count]]*Rules!$B$3</f>
        <v>896.46538461538466</v>
      </c>
      <c r="Y3356" t="str">
        <f>IF(Table1[[#This Row],[customer_subscription]]=1,"Subscribed","Not Subscribed")</f>
        <v>Not Subscribed</v>
      </c>
      <c r="Z3356" t="s">
        <v>194</v>
      </c>
    </row>
    <row r="3357" spans="1:26" x14ac:dyDescent="0.25">
      <c r="A3357">
        <v>3356</v>
      </c>
      <c r="B3357">
        <v>40</v>
      </c>
      <c r="C3357" t="s">
        <v>156</v>
      </c>
      <c r="D3357">
        <v>3356</v>
      </c>
      <c r="E3357" t="s">
        <v>23</v>
      </c>
      <c r="F3357" t="s">
        <v>24</v>
      </c>
      <c r="G3357">
        <v>3356</v>
      </c>
      <c r="H3357">
        <v>4226</v>
      </c>
      <c r="I3357">
        <v>28</v>
      </c>
      <c r="J3357" t="s">
        <v>82</v>
      </c>
      <c r="K3357" t="s">
        <v>47</v>
      </c>
      <c r="L3357" t="s">
        <v>103</v>
      </c>
      <c r="M3357" t="s">
        <v>40</v>
      </c>
      <c r="N3357">
        <v>2.6</v>
      </c>
      <c r="O3357">
        <v>0</v>
      </c>
      <c r="P3357" t="s">
        <v>77</v>
      </c>
      <c r="Q3357" t="s">
        <v>155</v>
      </c>
      <c r="R3357" t="s">
        <v>155</v>
      </c>
      <c r="S3357">
        <v>3</v>
      </c>
      <c r="T3357" t="s">
        <v>78</v>
      </c>
      <c r="U3357" t="s">
        <v>79</v>
      </c>
      <c r="V3357" s="1">
        <v>45391</v>
      </c>
      <c r="W3357">
        <f>Table1[[#This Row],[customer_purchase count]]+1</f>
        <v>4</v>
      </c>
      <c r="X3357">
        <f>Table1[[#This Row],[customer_purchase count]]*Rules!$B$3</f>
        <v>179.29307692307694</v>
      </c>
      <c r="Y3357" t="str">
        <f>IF(Table1[[#This Row],[customer_subscription]]=1,"Subscribed","Not Subscribed")</f>
        <v>Not Subscribed</v>
      </c>
      <c r="Z3357" t="s">
        <v>194</v>
      </c>
    </row>
    <row r="3358" spans="1:26" x14ac:dyDescent="0.25">
      <c r="A3358">
        <v>3357</v>
      </c>
      <c r="B3358">
        <v>39</v>
      </c>
      <c r="C3358" t="s">
        <v>156</v>
      </c>
      <c r="D3358">
        <v>3357</v>
      </c>
      <c r="E3358" t="s">
        <v>37</v>
      </c>
      <c r="F3358" t="s">
        <v>24</v>
      </c>
      <c r="G3358">
        <v>3357</v>
      </c>
      <c r="H3358">
        <v>4227</v>
      </c>
      <c r="I3358">
        <v>48</v>
      </c>
      <c r="J3358" t="s">
        <v>125</v>
      </c>
      <c r="K3358" t="s">
        <v>47</v>
      </c>
      <c r="L3358" t="s">
        <v>68</v>
      </c>
      <c r="M3358" t="s">
        <v>56</v>
      </c>
      <c r="N3358">
        <v>3.5</v>
      </c>
      <c r="O3358">
        <v>0</v>
      </c>
      <c r="P3358" t="s">
        <v>77</v>
      </c>
      <c r="Q3358" t="s">
        <v>155</v>
      </c>
      <c r="R3358" t="s">
        <v>155</v>
      </c>
      <c r="S3358">
        <v>13</v>
      </c>
      <c r="T3358" t="s">
        <v>49</v>
      </c>
      <c r="U3358" t="s">
        <v>79</v>
      </c>
      <c r="V3358" s="1">
        <v>45480</v>
      </c>
      <c r="W3358">
        <f>Table1[[#This Row],[customer_purchase count]]+1</f>
        <v>14</v>
      </c>
      <c r="X3358">
        <f>Table1[[#This Row],[customer_purchase count]]*Rules!$B$3</f>
        <v>776.93666666666672</v>
      </c>
      <c r="Y3358" t="str">
        <f>IF(Table1[[#This Row],[customer_subscription]]=1,"Subscribed","Not Subscribed")</f>
        <v>Not Subscribed</v>
      </c>
      <c r="Z3358" t="s">
        <v>194</v>
      </c>
    </row>
    <row r="3359" spans="1:26" x14ac:dyDescent="0.25">
      <c r="A3359">
        <v>3358</v>
      </c>
      <c r="B3359">
        <v>41</v>
      </c>
      <c r="C3359" t="s">
        <v>156</v>
      </c>
      <c r="D3359">
        <v>3358</v>
      </c>
      <c r="E3359" t="s">
        <v>107</v>
      </c>
      <c r="F3359" t="s">
        <v>24</v>
      </c>
      <c r="G3359">
        <v>3358</v>
      </c>
      <c r="H3359">
        <v>4228</v>
      </c>
      <c r="I3359">
        <v>67</v>
      </c>
      <c r="J3359" t="s">
        <v>75</v>
      </c>
      <c r="K3359" t="s">
        <v>47</v>
      </c>
      <c r="L3359" t="s">
        <v>72</v>
      </c>
      <c r="M3359" t="s">
        <v>28</v>
      </c>
      <c r="N3359">
        <v>3.5</v>
      </c>
      <c r="O3359">
        <v>0</v>
      </c>
      <c r="P3359" t="s">
        <v>41</v>
      </c>
      <c r="Q3359" t="s">
        <v>155</v>
      </c>
      <c r="R3359" t="s">
        <v>155</v>
      </c>
      <c r="S3359">
        <v>37</v>
      </c>
      <c r="T3359" t="s">
        <v>42</v>
      </c>
      <c r="U3359" t="s">
        <v>91</v>
      </c>
      <c r="V3359" s="1">
        <v>45637</v>
      </c>
      <c r="W3359">
        <f>Table1[[#This Row],[customer_purchase count]]+1</f>
        <v>38</v>
      </c>
      <c r="X3359">
        <f>Table1[[#This Row],[customer_purchase count]]*Rules!$B$3</f>
        <v>2211.2812820512822</v>
      </c>
      <c r="Y3359" t="str">
        <f>IF(Table1[[#This Row],[customer_subscription]]=1,"Subscribed","Not Subscribed")</f>
        <v>Not Subscribed</v>
      </c>
    </row>
    <row r="3360" spans="1:26" x14ac:dyDescent="0.25">
      <c r="A3360">
        <v>3359</v>
      </c>
      <c r="B3360">
        <v>56</v>
      </c>
      <c r="C3360" t="s">
        <v>156</v>
      </c>
      <c r="D3360">
        <v>3359</v>
      </c>
      <c r="E3360" t="s">
        <v>116</v>
      </c>
      <c r="F3360" t="s">
        <v>24</v>
      </c>
      <c r="G3360">
        <v>3359</v>
      </c>
      <c r="H3360">
        <v>4229</v>
      </c>
      <c r="I3360">
        <v>59</v>
      </c>
      <c r="J3360" t="s">
        <v>125</v>
      </c>
      <c r="K3360" t="s">
        <v>47</v>
      </c>
      <c r="L3360" t="s">
        <v>139</v>
      </c>
      <c r="M3360" t="s">
        <v>60</v>
      </c>
      <c r="N3360">
        <v>3.4</v>
      </c>
      <c r="O3360">
        <v>0</v>
      </c>
      <c r="P3360" t="s">
        <v>73</v>
      </c>
      <c r="Q3360" t="s">
        <v>155</v>
      </c>
      <c r="R3360" t="s">
        <v>155</v>
      </c>
      <c r="S3360">
        <v>26</v>
      </c>
      <c r="T3360" t="s">
        <v>36</v>
      </c>
      <c r="U3360" t="s">
        <v>52</v>
      </c>
      <c r="V3360" s="1">
        <v>45621</v>
      </c>
      <c r="W3360">
        <f>Table1[[#This Row],[customer_purchase count]]+1</f>
        <v>27</v>
      </c>
      <c r="X3360">
        <f>Table1[[#This Row],[customer_purchase count]]*Rules!$B$3</f>
        <v>1553.8733333333334</v>
      </c>
      <c r="Y3360" t="str">
        <f>IF(Table1[[#This Row],[customer_subscription]]=1,"Subscribed","Not Subscribed")</f>
        <v>Not Subscribed</v>
      </c>
    </row>
    <row r="3361" spans="1:26" x14ac:dyDescent="0.25">
      <c r="A3361">
        <v>3360</v>
      </c>
      <c r="B3361">
        <v>43</v>
      </c>
      <c r="C3361" t="s">
        <v>156</v>
      </c>
      <c r="D3361">
        <v>3360</v>
      </c>
      <c r="E3361" t="s">
        <v>92</v>
      </c>
      <c r="F3361" t="s">
        <v>70</v>
      </c>
      <c r="G3361">
        <v>3360</v>
      </c>
      <c r="H3361">
        <v>4231</v>
      </c>
      <c r="I3361">
        <v>74</v>
      </c>
      <c r="J3361" t="s">
        <v>85</v>
      </c>
      <c r="K3361" t="s">
        <v>26</v>
      </c>
      <c r="L3361" t="s">
        <v>111</v>
      </c>
      <c r="M3361" t="s">
        <v>60</v>
      </c>
      <c r="N3361">
        <v>3.9</v>
      </c>
      <c r="O3361">
        <v>0</v>
      </c>
      <c r="P3361" t="s">
        <v>48</v>
      </c>
      <c r="Q3361" t="s">
        <v>155</v>
      </c>
      <c r="R3361" t="s">
        <v>155</v>
      </c>
      <c r="S3361">
        <v>29</v>
      </c>
      <c r="T3361" t="s">
        <v>89</v>
      </c>
      <c r="U3361" t="s">
        <v>91</v>
      </c>
      <c r="V3361" s="1">
        <v>45544</v>
      </c>
      <c r="W3361">
        <f>Table1[[#This Row],[customer_purchase count]]+1</f>
        <v>30</v>
      </c>
      <c r="X3361">
        <f>Table1[[#This Row],[customer_purchase count]]*Rules!$B$3</f>
        <v>1733.1664102564102</v>
      </c>
      <c r="Y3361" t="str">
        <f>IF(Table1[[#This Row],[customer_subscription]]=1,"Subscribed","Not Subscribed")</f>
        <v>Not Subscribed</v>
      </c>
    </row>
    <row r="3362" spans="1:26" x14ac:dyDescent="0.25">
      <c r="A3362">
        <v>3361</v>
      </c>
      <c r="B3362">
        <v>22</v>
      </c>
      <c r="C3362" t="s">
        <v>156</v>
      </c>
      <c r="D3362">
        <v>3361</v>
      </c>
      <c r="E3362" t="s">
        <v>105</v>
      </c>
      <c r="F3362" t="s">
        <v>66</v>
      </c>
      <c r="G3362">
        <v>3361</v>
      </c>
      <c r="H3362">
        <v>4232</v>
      </c>
      <c r="I3362">
        <v>81</v>
      </c>
      <c r="J3362" t="s">
        <v>151</v>
      </c>
      <c r="K3362" t="s">
        <v>47</v>
      </c>
      <c r="L3362" t="s">
        <v>35</v>
      </c>
      <c r="M3362" t="s">
        <v>40</v>
      </c>
      <c r="N3362">
        <v>3.3</v>
      </c>
      <c r="O3362">
        <v>0</v>
      </c>
      <c r="P3362" t="s">
        <v>73</v>
      </c>
      <c r="Q3362" t="s">
        <v>155</v>
      </c>
      <c r="R3362" t="s">
        <v>155</v>
      </c>
      <c r="S3362">
        <v>47</v>
      </c>
      <c r="T3362" t="s">
        <v>36</v>
      </c>
      <c r="U3362" t="s">
        <v>100</v>
      </c>
      <c r="V3362" s="1">
        <v>45357</v>
      </c>
      <c r="W3362">
        <f>Table1[[#This Row],[customer_purchase count]]+1</f>
        <v>48</v>
      </c>
      <c r="X3362">
        <f>Table1[[#This Row],[customer_purchase count]]*Rules!$B$3</f>
        <v>2808.9248717948717</v>
      </c>
      <c r="Y3362" t="str">
        <f>IF(Table1[[#This Row],[customer_subscription]]=1,"Subscribed","Not Subscribed")</f>
        <v>Not Subscribed</v>
      </c>
    </row>
    <row r="3363" spans="1:26" x14ac:dyDescent="0.25">
      <c r="A3363">
        <v>3362</v>
      </c>
      <c r="B3363">
        <v>47</v>
      </c>
      <c r="C3363" t="s">
        <v>156</v>
      </c>
      <c r="D3363">
        <v>3362</v>
      </c>
      <c r="E3363" t="s">
        <v>74</v>
      </c>
      <c r="F3363" t="s">
        <v>45</v>
      </c>
      <c r="G3363">
        <v>3362</v>
      </c>
      <c r="H3363">
        <v>4233</v>
      </c>
      <c r="I3363">
        <v>26</v>
      </c>
      <c r="J3363" t="s">
        <v>106</v>
      </c>
      <c r="K3363" t="s">
        <v>47</v>
      </c>
      <c r="L3363" t="s">
        <v>68</v>
      </c>
      <c r="M3363" t="s">
        <v>40</v>
      </c>
      <c r="N3363">
        <v>4.0999999999999996</v>
      </c>
      <c r="O3363">
        <v>0</v>
      </c>
      <c r="P3363" t="s">
        <v>41</v>
      </c>
      <c r="Q3363" t="s">
        <v>155</v>
      </c>
      <c r="R3363" t="s">
        <v>155</v>
      </c>
      <c r="S3363">
        <v>47</v>
      </c>
      <c r="T3363" t="s">
        <v>42</v>
      </c>
      <c r="U3363" t="s">
        <v>79</v>
      </c>
      <c r="V3363" s="1">
        <v>45431</v>
      </c>
      <c r="W3363">
        <f>Table1[[#This Row],[customer_purchase count]]+1</f>
        <v>48</v>
      </c>
      <c r="X3363">
        <f>Table1[[#This Row],[customer_purchase count]]*Rules!$B$3</f>
        <v>2808.9248717948717</v>
      </c>
      <c r="Y3363" t="str">
        <f>IF(Table1[[#This Row],[customer_subscription]]=1,"Subscribed","Not Subscribed")</f>
        <v>Not Subscribed</v>
      </c>
    </row>
    <row r="3364" spans="1:26" x14ac:dyDescent="0.25">
      <c r="A3364">
        <v>3363</v>
      </c>
      <c r="B3364">
        <v>50</v>
      </c>
      <c r="C3364" t="s">
        <v>156</v>
      </c>
      <c r="D3364">
        <v>3363</v>
      </c>
      <c r="E3364" t="s">
        <v>69</v>
      </c>
      <c r="F3364" t="s">
        <v>70</v>
      </c>
      <c r="G3364">
        <v>3363</v>
      </c>
      <c r="H3364">
        <v>4234</v>
      </c>
      <c r="I3364">
        <v>61</v>
      </c>
      <c r="J3364" t="s">
        <v>125</v>
      </c>
      <c r="K3364" t="s">
        <v>47</v>
      </c>
      <c r="L3364" t="s">
        <v>27</v>
      </c>
      <c r="M3364" t="s">
        <v>56</v>
      </c>
      <c r="N3364">
        <v>3</v>
      </c>
      <c r="O3364">
        <v>0</v>
      </c>
      <c r="P3364" t="s">
        <v>48</v>
      </c>
      <c r="Q3364" t="s">
        <v>155</v>
      </c>
      <c r="R3364" t="s">
        <v>155</v>
      </c>
      <c r="S3364">
        <v>48</v>
      </c>
      <c r="T3364" t="s">
        <v>31</v>
      </c>
      <c r="U3364" t="s">
        <v>32</v>
      </c>
      <c r="V3364" s="1">
        <v>45469</v>
      </c>
      <c r="W3364">
        <f>Table1[[#This Row],[customer_purchase count]]+1</f>
        <v>49</v>
      </c>
      <c r="X3364">
        <f>Table1[[#This Row],[customer_purchase count]]*Rules!$B$3</f>
        <v>2868.689230769231</v>
      </c>
      <c r="Y3364" t="str">
        <f>IF(Table1[[#This Row],[customer_subscription]]=1,"Subscribed","Not Subscribed")</f>
        <v>Not Subscribed</v>
      </c>
    </row>
    <row r="3365" spans="1:26" x14ac:dyDescent="0.25">
      <c r="A3365">
        <v>3364</v>
      </c>
      <c r="B3365">
        <v>58</v>
      </c>
      <c r="C3365" t="s">
        <v>156</v>
      </c>
      <c r="D3365">
        <v>3364</v>
      </c>
      <c r="E3365" t="s">
        <v>33</v>
      </c>
      <c r="F3365" t="s">
        <v>24</v>
      </c>
      <c r="G3365">
        <v>3364</v>
      </c>
      <c r="H3365">
        <v>4235</v>
      </c>
      <c r="I3365">
        <v>23</v>
      </c>
      <c r="J3365" t="s">
        <v>102</v>
      </c>
      <c r="K3365" t="s">
        <v>47</v>
      </c>
      <c r="L3365" t="s">
        <v>51</v>
      </c>
      <c r="M3365" t="s">
        <v>28</v>
      </c>
      <c r="N3365">
        <v>3</v>
      </c>
      <c r="O3365">
        <v>0</v>
      </c>
      <c r="P3365" t="s">
        <v>48</v>
      </c>
      <c r="Q3365" t="s">
        <v>155</v>
      </c>
      <c r="R3365" t="s">
        <v>155</v>
      </c>
      <c r="S3365">
        <v>46</v>
      </c>
      <c r="T3365" t="s">
        <v>78</v>
      </c>
      <c r="U3365" t="s">
        <v>79</v>
      </c>
      <c r="V3365" s="1">
        <v>45333</v>
      </c>
      <c r="W3365">
        <f>Table1[[#This Row],[customer_purchase count]]+1</f>
        <v>47</v>
      </c>
      <c r="X3365">
        <f>Table1[[#This Row],[customer_purchase count]]*Rules!$B$3</f>
        <v>2749.1605128205128</v>
      </c>
      <c r="Y3365" t="str">
        <f>IF(Table1[[#This Row],[customer_subscription]]=1,"Subscribed","Not Subscribed")</f>
        <v>Not Subscribed</v>
      </c>
    </row>
    <row r="3366" spans="1:26" x14ac:dyDescent="0.25">
      <c r="A3366">
        <v>3365</v>
      </c>
      <c r="B3366">
        <v>50</v>
      </c>
      <c r="C3366" t="s">
        <v>156</v>
      </c>
      <c r="D3366">
        <v>3365</v>
      </c>
      <c r="E3366" t="s">
        <v>122</v>
      </c>
      <c r="F3366" t="s">
        <v>70</v>
      </c>
      <c r="G3366">
        <v>3365</v>
      </c>
      <c r="H3366">
        <v>4237</v>
      </c>
      <c r="I3366">
        <v>33</v>
      </c>
      <c r="J3366" t="s">
        <v>50</v>
      </c>
      <c r="K3366" t="s">
        <v>47</v>
      </c>
      <c r="L3366" t="s">
        <v>103</v>
      </c>
      <c r="M3366" t="s">
        <v>60</v>
      </c>
      <c r="N3366">
        <v>3.2</v>
      </c>
      <c r="O3366">
        <v>0</v>
      </c>
      <c r="P3366" t="s">
        <v>57</v>
      </c>
      <c r="Q3366" t="s">
        <v>155</v>
      </c>
      <c r="R3366" t="s">
        <v>155</v>
      </c>
      <c r="S3366">
        <v>7</v>
      </c>
      <c r="T3366" t="s">
        <v>42</v>
      </c>
      <c r="U3366" t="s">
        <v>91</v>
      </c>
      <c r="V3366" s="1">
        <v>45544</v>
      </c>
      <c r="W3366">
        <f>Table1[[#This Row],[customer_purchase count]]+1</f>
        <v>8</v>
      </c>
      <c r="X3366">
        <f>Table1[[#This Row],[customer_purchase count]]*Rules!$B$3</f>
        <v>418.35051282051285</v>
      </c>
      <c r="Y3366" t="str">
        <f>IF(Table1[[#This Row],[customer_subscription]]=1,"Subscribed","Not Subscribed")</f>
        <v>Not Subscribed</v>
      </c>
      <c r="Z3366" t="s">
        <v>194</v>
      </c>
    </row>
    <row r="3367" spans="1:26" x14ac:dyDescent="0.25">
      <c r="A3367">
        <v>3366</v>
      </c>
      <c r="B3367">
        <v>43</v>
      </c>
      <c r="C3367" t="s">
        <v>156</v>
      </c>
      <c r="D3367">
        <v>3366</v>
      </c>
      <c r="E3367" t="s">
        <v>90</v>
      </c>
      <c r="F3367" t="s">
        <v>24</v>
      </c>
      <c r="G3367">
        <v>3366</v>
      </c>
      <c r="H3367">
        <v>4238</v>
      </c>
      <c r="I3367">
        <v>58</v>
      </c>
      <c r="J3367" t="s">
        <v>125</v>
      </c>
      <c r="K3367" t="s">
        <v>26</v>
      </c>
      <c r="L3367" t="s">
        <v>88</v>
      </c>
      <c r="M3367" t="s">
        <v>60</v>
      </c>
      <c r="N3367">
        <v>3.9</v>
      </c>
      <c r="O3367">
        <v>0</v>
      </c>
      <c r="P3367" t="s">
        <v>29</v>
      </c>
      <c r="Q3367" t="s">
        <v>155</v>
      </c>
      <c r="R3367" t="s">
        <v>155</v>
      </c>
      <c r="S3367">
        <v>45</v>
      </c>
      <c r="T3367" t="s">
        <v>42</v>
      </c>
      <c r="U3367" t="s">
        <v>100</v>
      </c>
      <c r="V3367" s="1">
        <v>45559</v>
      </c>
      <c r="W3367">
        <f>Table1[[#This Row],[customer_purchase count]]+1</f>
        <v>46</v>
      </c>
      <c r="X3367">
        <f>Table1[[#This Row],[customer_purchase count]]*Rules!$B$3</f>
        <v>2689.396153846154</v>
      </c>
      <c r="Y3367" t="str">
        <f>IF(Table1[[#This Row],[customer_subscription]]=1,"Subscribed","Not Subscribed")</f>
        <v>Not Subscribed</v>
      </c>
    </row>
    <row r="3368" spans="1:26" x14ac:dyDescent="0.25">
      <c r="A3368">
        <v>3367</v>
      </c>
      <c r="B3368">
        <v>38</v>
      </c>
      <c r="C3368" t="s">
        <v>156</v>
      </c>
      <c r="D3368">
        <v>3367</v>
      </c>
      <c r="E3368" t="s">
        <v>146</v>
      </c>
      <c r="F3368" t="s">
        <v>70</v>
      </c>
      <c r="G3368">
        <v>3367</v>
      </c>
      <c r="H3368">
        <v>4239</v>
      </c>
      <c r="I3368">
        <v>65</v>
      </c>
      <c r="J3368" t="s">
        <v>101</v>
      </c>
      <c r="K3368" t="s">
        <v>47</v>
      </c>
      <c r="L3368" t="s">
        <v>111</v>
      </c>
      <c r="M3368" t="s">
        <v>40</v>
      </c>
      <c r="N3368">
        <v>3.6</v>
      </c>
      <c r="O3368">
        <v>0</v>
      </c>
      <c r="P3368" t="s">
        <v>73</v>
      </c>
      <c r="Q3368" t="s">
        <v>155</v>
      </c>
      <c r="R3368" t="s">
        <v>155</v>
      </c>
      <c r="S3368">
        <v>47</v>
      </c>
      <c r="T3368" t="s">
        <v>89</v>
      </c>
      <c r="U3368" t="s">
        <v>61</v>
      </c>
      <c r="V3368" s="1">
        <v>45414</v>
      </c>
      <c r="W3368">
        <f>Table1[[#This Row],[customer_purchase count]]+1</f>
        <v>48</v>
      </c>
      <c r="X3368">
        <f>Table1[[#This Row],[customer_purchase count]]*Rules!$B$3</f>
        <v>2808.9248717948717</v>
      </c>
      <c r="Y3368" t="str">
        <f>IF(Table1[[#This Row],[customer_subscription]]=1,"Subscribed","Not Subscribed")</f>
        <v>Not Subscribed</v>
      </c>
    </row>
    <row r="3369" spans="1:26" x14ac:dyDescent="0.25">
      <c r="A3369">
        <v>3368</v>
      </c>
      <c r="B3369">
        <v>44</v>
      </c>
      <c r="C3369" t="s">
        <v>156</v>
      </c>
      <c r="D3369">
        <v>3368</v>
      </c>
      <c r="E3369" t="s">
        <v>116</v>
      </c>
      <c r="F3369" t="s">
        <v>24</v>
      </c>
      <c r="G3369">
        <v>3368</v>
      </c>
      <c r="H3369">
        <v>4240</v>
      </c>
      <c r="I3369">
        <v>48</v>
      </c>
      <c r="J3369" t="s">
        <v>125</v>
      </c>
      <c r="K3369" t="s">
        <v>47</v>
      </c>
      <c r="L3369" t="s">
        <v>147</v>
      </c>
      <c r="M3369" t="s">
        <v>56</v>
      </c>
      <c r="N3369">
        <v>3.1</v>
      </c>
      <c r="O3369">
        <v>0</v>
      </c>
      <c r="P3369" t="s">
        <v>77</v>
      </c>
      <c r="Q3369" t="s">
        <v>155</v>
      </c>
      <c r="R3369" t="s">
        <v>155</v>
      </c>
      <c r="S3369">
        <v>6</v>
      </c>
      <c r="T3369" t="s">
        <v>31</v>
      </c>
      <c r="U3369" t="s">
        <v>32</v>
      </c>
      <c r="V3369" s="1">
        <v>45519</v>
      </c>
      <c r="W3369">
        <f>Table1[[#This Row],[customer_purchase count]]+1</f>
        <v>7</v>
      </c>
      <c r="X3369">
        <f>Table1[[#This Row],[customer_purchase count]]*Rules!$B$3</f>
        <v>358.58615384615388</v>
      </c>
      <c r="Y3369" t="str">
        <f>IF(Table1[[#This Row],[customer_subscription]]=1,"Subscribed","Not Subscribed")</f>
        <v>Not Subscribed</v>
      </c>
      <c r="Z3369" t="s">
        <v>194</v>
      </c>
    </row>
    <row r="3370" spans="1:26" x14ac:dyDescent="0.25">
      <c r="A3370">
        <v>3369</v>
      </c>
      <c r="B3370">
        <v>30</v>
      </c>
      <c r="C3370" t="s">
        <v>156</v>
      </c>
      <c r="D3370">
        <v>3369</v>
      </c>
      <c r="E3370" t="s">
        <v>44</v>
      </c>
      <c r="F3370" t="s">
        <v>45</v>
      </c>
      <c r="G3370">
        <v>3369</v>
      </c>
      <c r="H3370">
        <v>4241</v>
      </c>
      <c r="I3370">
        <v>25</v>
      </c>
      <c r="J3370" t="s">
        <v>148</v>
      </c>
      <c r="K3370" t="s">
        <v>47</v>
      </c>
      <c r="L3370" t="s">
        <v>147</v>
      </c>
      <c r="M3370" t="s">
        <v>40</v>
      </c>
      <c r="N3370">
        <v>4.8</v>
      </c>
      <c r="O3370">
        <v>0</v>
      </c>
      <c r="P3370" t="s">
        <v>29</v>
      </c>
      <c r="Q3370" t="s">
        <v>155</v>
      </c>
      <c r="R3370" t="s">
        <v>155</v>
      </c>
      <c r="S3370">
        <v>29</v>
      </c>
      <c r="T3370" t="s">
        <v>78</v>
      </c>
      <c r="U3370" t="s">
        <v>100</v>
      </c>
      <c r="V3370" s="1">
        <v>45366</v>
      </c>
      <c r="W3370">
        <f>Table1[[#This Row],[customer_purchase count]]+1</f>
        <v>30</v>
      </c>
      <c r="X3370">
        <f>Table1[[#This Row],[customer_purchase count]]*Rules!$B$3</f>
        <v>1733.1664102564102</v>
      </c>
      <c r="Y3370" t="str">
        <f>IF(Table1[[#This Row],[customer_subscription]]=1,"Subscribed","Not Subscribed")</f>
        <v>Not Subscribed</v>
      </c>
    </row>
    <row r="3371" spans="1:26" x14ac:dyDescent="0.25">
      <c r="A3371">
        <v>3370</v>
      </c>
      <c r="B3371">
        <v>47</v>
      </c>
      <c r="C3371" t="s">
        <v>156</v>
      </c>
      <c r="D3371">
        <v>3370</v>
      </c>
      <c r="E3371" t="s">
        <v>33</v>
      </c>
      <c r="F3371" t="s">
        <v>24</v>
      </c>
      <c r="G3371">
        <v>3370</v>
      </c>
      <c r="H3371">
        <v>4243</v>
      </c>
      <c r="I3371">
        <v>51</v>
      </c>
      <c r="J3371" t="s">
        <v>34</v>
      </c>
      <c r="K3371" t="s">
        <v>47</v>
      </c>
      <c r="L3371" t="s">
        <v>129</v>
      </c>
      <c r="M3371" t="s">
        <v>28</v>
      </c>
      <c r="N3371">
        <v>3.8</v>
      </c>
      <c r="O3371">
        <v>0</v>
      </c>
      <c r="P3371" t="s">
        <v>73</v>
      </c>
      <c r="Q3371" t="s">
        <v>155</v>
      </c>
      <c r="R3371" t="s">
        <v>155</v>
      </c>
      <c r="S3371">
        <v>42</v>
      </c>
      <c r="T3371" t="s">
        <v>36</v>
      </c>
      <c r="U3371" t="s">
        <v>91</v>
      </c>
      <c r="V3371" s="1">
        <v>45637</v>
      </c>
      <c r="W3371">
        <f>Table1[[#This Row],[customer_purchase count]]+1</f>
        <v>43</v>
      </c>
      <c r="X3371">
        <f>Table1[[#This Row],[customer_purchase count]]*Rules!$B$3</f>
        <v>2510.103076923077</v>
      </c>
      <c r="Y3371" t="str">
        <f>IF(Table1[[#This Row],[customer_subscription]]=1,"Subscribed","Not Subscribed")</f>
        <v>Not Subscribed</v>
      </c>
    </row>
    <row r="3372" spans="1:26" x14ac:dyDescent="0.25">
      <c r="A3372">
        <v>3371</v>
      </c>
      <c r="B3372">
        <v>30</v>
      </c>
      <c r="C3372" t="s">
        <v>156</v>
      </c>
      <c r="D3372">
        <v>3371</v>
      </c>
      <c r="E3372" t="s">
        <v>136</v>
      </c>
      <c r="F3372" t="s">
        <v>70</v>
      </c>
      <c r="G3372">
        <v>3371</v>
      </c>
      <c r="H3372">
        <v>4244</v>
      </c>
      <c r="I3372">
        <v>31</v>
      </c>
      <c r="J3372" t="s">
        <v>118</v>
      </c>
      <c r="K3372" t="s">
        <v>47</v>
      </c>
      <c r="L3372" t="s">
        <v>64</v>
      </c>
      <c r="M3372" t="s">
        <v>56</v>
      </c>
      <c r="N3372">
        <v>2.8</v>
      </c>
      <c r="O3372">
        <v>0</v>
      </c>
      <c r="P3372" t="s">
        <v>77</v>
      </c>
      <c r="Q3372" t="s">
        <v>155</v>
      </c>
      <c r="R3372" t="s">
        <v>155</v>
      </c>
      <c r="S3372">
        <v>46</v>
      </c>
      <c r="T3372" t="s">
        <v>36</v>
      </c>
      <c r="U3372" t="s">
        <v>32</v>
      </c>
      <c r="V3372" s="1">
        <v>45477</v>
      </c>
      <c r="W3372">
        <f>Table1[[#This Row],[customer_purchase count]]+1</f>
        <v>47</v>
      </c>
      <c r="X3372">
        <f>Table1[[#This Row],[customer_purchase count]]*Rules!$B$3</f>
        <v>2749.1605128205128</v>
      </c>
      <c r="Y3372" t="str">
        <f>IF(Table1[[#This Row],[customer_subscription]]=1,"Subscribed","Not Subscribed")</f>
        <v>Not Subscribed</v>
      </c>
    </row>
    <row r="3373" spans="1:26" x14ac:dyDescent="0.25">
      <c r="A3373">
        <v>3372</v>
      </c>
      <c r="B3373">
        <v>49</v>
      </c>
      <c r="C3373" t="s">
        <v>156</v>
      </c>
      <c r="D3373">
        <v>3372</v>
      </c>
      <c r="E3373" t="s">
        <v>107</v>
      </c>
      <c r="F3373" t="s">
        <v>24</v>
      </c>
      <c r="G3373">
        <v>3372</v>
      </c>
      <c r="H3373">
        <v>4245</v>
      </c>
      <c r="I3373">
        <v>99</v>
      </c>
      <c r="J3373" t="s">
        <v>115</v>
      </c>
      <c r="K3373" t="s">
        <v>39</v>
      </c>
      <c r="L3373" t="s">
        <v>51</v>
      </c>
      <c r="M3373" t="s">
        <v>28</v>
      </c>
      <c r="N3373">
        <v>4</v>
      </c>
      <c r="O3373">
        <v>0</v>
      </c>
      <c r="P3373" t="s">
        <v>48</v>
      </c>
      <c r="Q3373" t="s">
        <v>155</v>
      </c>
      <c r="R3373" t="s">
        <v>155</v>
      </c>
      <c r="S3373">
        <v>28</v>
      </c>
      <c r="T3373" t="s">
        <v>49</v>
      </c>
      <c r="U3373" t="s">
        <v>52</v>
      </c>
      <c r="V3373" s="1">
        <v>45651</v>
      </c>
      <c r="W3373">
        <f>Table1[[#This Row],[customer_purchase count]]+1</f>
        <v>29</v>
      </c>
      <c r="X3373">
        <f>Table1[[#This Row],[customer_purchase count]]*Rules!$B$3</f>
        <v>1673.4020512820514</v>
      </c>
      <c r="Y3373" t="str">
        <f>IF(Table1[[#This Row],[customer_subscription]]=1,"Subscribed","Not Subscribed")</f>
        <v>Not Subscribed</v>
      </c>
    </row>
    <row r="3374" spans="1:26" x14ac:dyDescent="0.25">
      <c r="A3374">
        <v>3373</v>
      </c>
      <c r="B3374">
        <v>56</v>
      </c>
      <c r="C3374" t="s">
        <v>156</v>
      </c>
      <c r="D3374">
        <v>3373</v>
      </c>
      <c r="E3374" t="s">
        <v>128</v>
      </c>
      <c r="F3374" t="s">
        <v>24</v>
      </c>
      <c r="G3374">
        <v>3373</v>
      </c>
      <c r="H3374">
        <v>4246</v>
      </c>
      <c r="I3374">
        <v>25</v>
      </c>
      <c r="J3374" t="s">
        <v>141</v>
      </c>
      <c r="K3374" t="s">
        <v>47</v>
      </c>
      <c r="L3374" t="s">
        <v>35</v>
      </c>
      <c r="M3374" t="s">
        <v>28</v>
      </c>
      <c r="N3374">
        <v>4.5999999999999996</v>
      </c>
      <c r="O3374">
        <v>0</v>
      </c>
      <c r="P3374" t="s">
        <v>41</v>
      </c>
      <c r="Q3374" t="s">
        <v>155</v>
      </c>
      <c r="R3374" t="s">
        <v>155</v>
      </c>
      <c r="S3374">
        <v>14</v>
      </c>
      <c r="T3374" t="s">
        <v>42</v>
      </c>
      <c r="U3374" t="s">
        <v>100</v>
      </c>
      <c r="V3374" s="1">
        <v>45632</v>
      </c>
      <c r="W3374">
        <f>Table1[[#This Row],[customer_purchase count]]+1</f>
        <v>15</v>
      </c>
      <c r="X3374">
        <f>Table1[[#This Row],[customer_purchase count]]*Rules!$B$3</f>
        <v>836.70102564102569</v>
      </c>
      <c r="Y3374" t="str">
        <f>IF(Table1[[#This Row],[customer_subscription]]=1,"Subscribed","Not Subscribed")</f>
        <v>Not Subscribed</v>
      </c>
      <c r="Z3374" t="s">
        <v>194</v>
      </c>
    </row>
    <row r="3375" spans="1:26" x14ac:dyDescent="0.25">
      <c r="A3375">
        <v>3374</v>
      </c>
      <c r="B3375">
        <v>70</v>
      </c>
      <c r="C3375" t="s">
        <v>156</v>
      </c>
      <c r="D3375">
        <v>3374</v>
      </c>
      <c r="E3375" t="s">
        <v>44</v>
      </c>
      <c r="F3375" t="s">
        <v>45</v>
      </c>
      <c r="G3375">
        <v>3374</v>
      </c>
      <c r="H3375">
        <v>4247</v>
      </c>
      <c r="I3375">
        <v>52</v>
      </c>
      <c r="J3375" t="s">
        <v>151</v>
      </c>
      <c r="K3375" t="s">
        <v>47</v>
      </c>
      <c r="L3375" t="s">
        <v>76</v>
      </c>
      <c r="M3375" t="s">
        <v>40</v>
      </c>
      <c r="N3375">
        <v>3.5</v>
      </c>
      <c r="O3375">
        <v>0</v>
      </c>
      <c r="P3375" t="s">
        <v>77</v>
      </c>
      <c r="Q3375" t="s">
        <v>155</v>
      </c>
      <c r="R3375" t="s">
        <v>155</v>
      </c>
      <c r="S3375">
        <v>12</v>
      </c>
      <c r="T3375" t="s">
        <v>89</v>
      </c>
      <c r="U3375" t="s">
        <v>100</v>
      </c>
      <c r="V3375" s="1">
        <v>45404</v>
      </c>
      <c r="W3375">
        <f>Table1[[#This Row],[customer_purchase count]]+1</f>
        <v>13</v>
      </c>
      <c r="X3375">
        <f>Table1[[#This Row],[customer_purchase count]]*Rules!$B$3</f>
        <v>717.17230769230775</v>
      </c>
      <c r="Y3375" t="str">
        <f>IF(Table1[[#This Row],[customer_subscription]]=1,"Subscribed","Not Subscribed")</f>
        <v>Not Subscribed</v>
      </c>
      <c r="Z3375" t="s">
        <v>194</v>
      </c>
    </row>
    <row r="3376" spans="1:26" x14ac:dyDescent="0.25">
      <c r="A3376">
        <v>3375</v>
      </c>
      <c r="B3376">
        <v>22</v>
      </c>
      <c r="C3376" t="s">
        <v>156</v>
      </c>
      <c r="D3376">
        <v>3375</v>
      </c>
      <c r="E3376" t="s">
        <v>23</v>
      </c>
      <c r="F3376" t="s">
        <v>24</v>
      </c>
      <c r="G3376">
        <v>3375</v>
      </c>
      <c r="H3376">
        <v>4249</v>
      </c>
      <c r="I3376">
        <v>47</v>
      </c>
      <c r="J3376" t="s">
        <v>110</v>
      </c>
      <c r="K3376" t="s">
        <v>39</v>
      </c>
      <c r="L3376" t="s">
        <v>96</v>
      </c>
      <c r="M3376" t="s">
        <v>40</v>
      </c>
      <c r="N3376">
        <v>3.7</v>
      </c>
      <c r="O3376">
        <v>0</v>
      </c>
      <c r="P3376" t="s">
        <v>73</v>
      </c>
      <c r="Q3376" t="s">
        <v>155</v>
      </c>
      <c r="R3376" t="s">
        <v>155</v>
      </c>
      <c r="S3376">
        <v>41</v>
      </c>
      <c r="T3376" t="s">
        <v>89</v>
      </c>
      <c r="U3376" t="s">
        <v>52</v>
      </c>
      <c r="V3376" s="1">
        <v>45421</v>
      </c>
      <c r="W3376">
        <f>Table1[[#This Row],[customer_purchase count]]+1</f>
        <v>42</v>
      </c>
      <c r="X3376">
        <f>Table1[[#This Row],[customer_purchase count]]*Rules!$B$3</f>
        <v>2450.3387179487181</v>
      </c>
      <c r="Y3376" t="str">
        <f>IF(Table1[[#This Row],[customer_subscription]]=1,"Subscribed","Not Subscribed")</f>
        <v>Not Subscribed</v>
      </c>
    </row>
    <row r="3377" spans="1:26" x14ac:dyDescent="0.25">
      <c r="A3377">
        <v>3376</v>
      </c>
      <c r="B3377">
        <v>51</v>
      </c>
      <c r="C3377" t="s">
        <v>156</v>
      </c>
      <c r="D3377">
        <v>3376</v>
      </c>
      <c r="E3377" t="s">
        <v>140</v>
      </c>
      <c r="F3377" t="s">
        <v>45</v>
      </c>
      <c r="G3377">
        <v>3376</v>
      </c>
      <c r="H3377">
        <v>4250</v>
      </c>
      <c r="I3377">
        <v>98</v>
      </c>
      <c r="J3377" t="s">
        <v>142</v>
      </c>
      <c r="K3377" t="s">
        <v>95</v>
      </c>
      <c r="L3377" t="s">
        <v>137</v>
      </c>
      <c r="M3377" t="s">
        <v>60</v>
      </c>
      <c r="N3377">
        <v>4.9000000000000004</v>
      </c>
      <c r="O3377">
        <v>0</v>
      </c>
      <c r="P3377" t="s">
        <v>29</v>
      </c>
      <c r="Q3377" t="s">
        <v>155</v>
      </c>
      <c r="R3377" t="s">
        <v>155</v>
      </c>
      <c r="S3377">
        <v>8</v>
      </c>
      <c r="T3377" t="s">
        <v>42</v>
      </c>
      <c r="U3377" t="s">
        <v>52</v>
      </c>
      <c r="V3377" s="1">
        <v>45610</v>
      </c>
      <c r="W3377">
        <f>Table1[[#This Row],[customer_purchase count]]+1</f>
        <v>9</v>
      </c>
      <c r="X3377">
        <f>Table1[[#This Row],[customer_purchase count]]*Rules!$B$3</f>
        <v>478.11487179487182</v>
      </c>
      <c r="Y3377" t="str">
        <f>IF(Table1[[#This Row],[customer_subscription]]=1,"Subscribed","Not Subscribed")</f>
        <v>Not Subscribed</v>
      </c>
      <c r="Z3377" t="s">
        <v>194</v>
      </c>
    </row>
    <row r="3378" spans="1:26" x14ac:dyDescent="0.25">
      <c r="A3378">
        <v>3377</v>
      </c>
      <c r="B3378">
        <v>22</v>
      </c>
      <c r="C3378" t="s">
        <v>156</v>
      </c>
      <c r="D3378">
        <v>3377</v>
      </c>
      <c r="E3378" t="s">
        <v>127</v>
      </c>
      <c r="F3378" t="s">
        <v>70</v>
      </c>
      <c r="G3378">
        <v>3377</v>
      </c>
      <c r="H3378">
        <v>4251</v>
      </c>
      <c r="I3378">
        <v>46</v>
      </c>
      <c r="J3378" t="s">
        <v>126</v>
      </c>
      <c r="K3378" t="s">
        <v>47</v>
      </c>
      <c r="L3378" t="s">
        <v>99</v>
      </c>
      <c r="M3378" t="s">
        <v>28</v>
      </c>
      <c r="N3378">
        <v>4.0999999999999996</v>
      </c>
      <c r="O3378">
        <v>0</v>
      </c>
      <c r="P3378" t="s">
        <v>77</v>
      </c>
      <c r="Q3378" t="s">
        <v>155</v>
      </c>
      <c r="R3378" t="s">
        <v>155</v>
      </c>
      <c r="S3378">
        <v>24</v>
      </c>
      <c r="T3378" t="s">
        <v>36</v>
      </c>
      <c r="U3378" t="s">
        <v>61</v>
      </c>
      <c r="V3378" s="1">
        <v>45644</v>
      </c>
      <c r="W3378">
        <f>Table1[[#This Row],[customer_purchase count]]+1</f>
        <v>25</v>
      </c>
      <c r="X3378">
        <f>Table1[[#This Row],[customer_purchase count]]*Rules!$B$3</f>
        <v>1434.3446153846155</v>
      </c>
      <c r="Y3378" t="str">
        <f>IF(Table1[[#This Row],[customer_subscription]]=1,"Subscribed","Not Subscribed")</f>
        <v>Not Subscribed</v>
      </c>
    </row>
    <row r="3379" spans="1:26" x14ac:dyDescent="0.25">
      <c r="A3379">
        <v>3378</v>
      </c>
      <c r="B3379">
        <v>37</v>
      </c>
      <c r="C3379" t="s">
        <v>156</v>
      </c>
      <c r="D3379">
        <v>3378</v>
      </c>
      <c r="E3379" t="s">
        <v>58</v>
      </c>
      <c r="F3379" t="s">
        <v>24</v>
      </c>
      <c r="G3379">
        <v>3378</v>
      </c>
      <c r="H3379">
        <v>4252</v>
      </c>
      <c r="I3379">
        <v>32</v>
      </c>
      <c r="J3379" t="s">
        <v>25</v>
      </c>
      <c r="K3379" t="s">
        <v>47</v>
      </c>
      <c r="L3379" t="s">
        <v>137</v>
      </c>
      <c r="M3379" t="s">
        <v>28</v>
      </c>
      <c r="N3379">
        <v>4.5999999999999996</v>
      </c>
      <c r="O3379">
        <v>0</v>
      </c>
      <c r="P3379" t="s">
        <v>48</v>
      </c>
      <c r="Q3379" t="s">
        <v>155</v>
      </c>
      <c r="R3379" t="s">
        <v>155</v>
      </c>
      <c r="S3379">
        <v>18</v>
      </c>
      <c r="T3379" t="s">
        <v>49</v>
      </c>
      <c r="U3379" t="s">
        <v>32</v>
      </c>
      <c r="V3379" s="1">
        <v>45309</v>
      </c>
      <c r="W3379">
        <f>Table1[[#This Row],[customer_purchase count]]+1</f>
        <v>19</v>
      </c>
      <c r="X3379">
        <f>Table1[[#This Row],[customer_purchase count]]*Rules!$B$3</f>
        <v>1075.7584615384617</v>
      </c>
      <c r="Y3379" t="str">
        <f>IF(Table1[[#This Row],[customer_subscription]]=1,"Subscribed","Not Subscribed")</f>
        <v>Not Subscribed</v>
      </c>
    </row>
    <row r="3380" spans="1:26" x14ac:dyDescent="0.25">
      <c r="A3380">
        <v>3379</v>
      </c>
      <c r="B3380">
        <v>49</v>
      </c>
      <c r="C3380" t="s">
        <v>156</v>
      </c>
      <c r="D3380">
        <v>3379</v>
      </c>
      <c r="E3380" t="s">
        <v>62</v>
      </c>
      <c r="F3380" t="s">
        <v>24</v>
      </c>
      <c r="G3380">
        <v>3379</v>
      </c>
      <c r="H3380">
        <v>4253</v>
      </c>
      <c r="I3380">
        <v>75</v>
      </c>
      <c r="J3380" t="s">
        <v>151</v>
      </c>
      <c r="K3380" t="s">
        <v>26</v>
      </c>
      <c r="L3380" t="s">
        <v>83</v>
      </c>
      <c r="M3380" t="s">
        <v>60</v>
      </c>
      <c r="N3380">
        <v>4.5</v>
      </c>
      <c r="O3380">
        <v>0</v>
      </c>
      <c r="P3380" t="s">
        <v>48</v>
      </c>
      <c r="Q3380" t="s">
        <v>155</v>
      </c>
      <c r="R3380" t="s">
        <v>155</v>
      </c>
      <c r="S3380">
        <v>6</v>
      </c>
      <c r="T3380" t="s">
        <v>36</v>
      </c>
      <c r="U3380" t="s">
        <v>61</v>
      </c>
      <c r="V3380" s="1">
        <v>45570</v>
      </c>
      <c r="W3380">
        <f>Table1[[#This Row],[customer_purchase count]]+1</f>
        <v>7</v>
      </c>
      <c r="X3380">
        <f>Table1[[#This Row],[customer_purchase count]]*Rules!$B$3</f>
        <v>358.58615384615388</v>
      </c>
      <c r="Y3380" t="str">
        <f>IF(Table1[[#This Row],[customer_subscription]]=1,"Subscribed","Not Subscribed")</f>
        <v>Not Subscribed</v>
      </c>
      <c r="Z3380" t="s">
        <v>194</v>
      </c>
    </row>
    <row r="3381" spans="1:26" x14ac:dyDescent="0.25">
      <c r="A3381">
        <v>3380</v>
      </c>
      <c r="B3381">
        <v>61</v>
      </c>
      <c r="C3381" t="s">
        <v>156</v>
      </c>
      <c r="D3381">
        <v>3380</v>
      </c>
      <c r="E3381" t="s">
        <v>69</v>
      </c>
      <c r="F3381" t="s">
        <v>70</v>
      </c>
      <c r="G3381">
        <v>3380</v>
      </c>
      <c r="H3381">
        <v>4255</v>
      </c>
      <c r="I3381">
        <v>51</v>
      </c>
      <c r="J3381" t="s">
        <v>125</v>
      </c>
      <c r="K3381" t="s">
        <v>26</v>
      </c>
      <c r="L3381" t="s">
        <v>51</v>
      </c>
      <c r="M3381" t="s">
        <v>56</v>
      </c>
      <c r="N3381">
        <v>5</v>
      </c>
      <c r="O3381">
        <v>0</v>
      </c>
      <c r="P3381" t="s">
        <v>77</v>
      </c>
      <c r="Q3381" t="s">
        <v>155</v>
      </c>
      <c r="R3381" t="s">
        <v>155</v>
      </c>
      <c r="S3381">
        <v>40</v>
      </c>
      <c r="T3381" t="s">
        <v>36</v>
      </c>
      <c r="U3381" t="s">
        <v>43</v>
      </c>
      <c r="V3381" s="1">
        <v>45485</v>
      </c>
      <c r="W3381">
        <f>Table1[[#This Row],[customer_purchase count]]+1</f>
        <v>41</v>
      </c>
      <c r="X3381">
        <f>Table1[[#This Row],[customer_purchase count]]*Rules!$B$3</f>
        <v>2390.5743589743593</v>
      </c>
      <c r="Y3381" t="str">
        <f>IF(Table1[[#This Row],[customer_subscription]]=1,"Subscribed","Not Subscribed")</f>
        <v>Not Subscribed</v>
      </c>
    </row>
    <row r="3382" spans="1:26" x14ac:dyDescent="0.25">
      <c r="A3382">
        <v>3381</v>
      </c>
      <c r="B3382">
        <v>41</v>
      </c>
      <c r="C3382" t="s">
        <v>156</v>
      </c>
      <c r="D3382">
        <v>3381</v>
      </c>
      <c r="E3382" t="s">
        <v>84</v>
      </c>
      <c r="F3382" t="s">
        <v>24</v>
      </c>
      <c r="G3382">
        <v>3381</v>
      </c>
      <c r="H3382">
        <v>4256</v>
      </c>
      <c r="I3382">
        <v>52</v>
      </c>
      <c r="J3382" t="s">
        <v>117</v>
      </c>
      <c r="K3382" t="s">
        <v>26</v>
      </c>
      <c r="L3382" t="s">
        <v>147</v>
      </c>
      <c r="M3382" t="s">
        <v>56</v>
      </c>
      <c r="N3382">
        <v>3.8</v>
      </c>
      <c r="O3382">
        <v>0</v>
      </c>
      <c r="P3382" t="s">
        <v>57</v>
      </c>
      <c r="Q3382" t="s">
        <v>155</v>
      </c>
      <c r="R3382" t="s">
        <v>155</v>
      </c>
      <c r="S3382">
        <v>6</v>
      </c>
      <c r="T3382" t="s">
        <v>49</v>
      </c>
      <c r="U3382" t="s">
        <v>100</v>
      </c>
      <c r="V3382" s="1">
        <v>45522</v>
      </c>
      <c r="W3382">
        <f>Table1[[#This Row],[customer_purchase count]]+1</f>
        <v>7</v>
      </c>
      <c r="X3382">
        <f>Table1[[#This Row],[customer_purchase count]]*Rules!$B$3</f>
        <v>358.58615384615388</v>
      </c>
      <c r="Y3382" t="str">
        <f>IF(Table1[[#This Row],[customer_subscription]]=1,"Subscribed","Not Subscribed")</f>
        <v>Not Subscribed</v>
      </c>
      <c r="Z3382" t="s">
        <v>194</v>
      </c>
    </row>
    <row r="3383" spans="1:26" x14ac:dyDescent="0.25">
      <c r="A3383">
        <v>3382</v>
      </c>
      <c r="B3383">
        <v>57</v>
      </c>
      <c r="C3383" t="s">
        <v>156</v>
      </c>
      <c r="D3383">
        <v>3382</v>
      </c>
      <c r="E3383" t="s">
        <v>127</v>
      </c>
      <c r="F3383" t="s">
        <v>70</v>
      </c>
      <c r="G3383">
        <v>3382</v>
      </c>
      <c r="H3383">
        <v>4257</v>
      </c>
      <c r="I3383">
        <v>66</v>
      </c>
      <c r="J3383" t="s">
        <v>151</v>
      </c>
      <c r="K3383" t="s">
        <v>26</v>
      </c>
      <c r="L3383" t="s">
        <v>51</v>
      </c>
      <c r="M3383" t="s">
        <v>28</v>
      </c>
      <c r="N3383">
        <v>4.7</v>
      </c>
      <c r="O3383">
        <v>0</v>
      </c>
      <c r="P3383" t="s">
        <v>57</v>
      </c>
      <c r="Q3383" t="s">
        <v>155</v>
      </c>
      <c r="R3383" t="s">
        <v>155</v>
      </c>
      <c r="S3383">
        <v>27</v>
      </c>
      <c r="T3383" t="s">
        <v>42</v>
      </c>
      <c r="U3383" t="s">
        <v>61</v>
      </c>
      <c r="V3383" s="1">
        <v>45635</v>
      </c>
      <c r="W3383">
        <f>Table1[[#This Row],[customer_purchase count]]+1</f>
        <v>28</v>
      </c>
      <c r="X3383">
        <f>Table1[[#This Row],[customer_purchase count]]*Rules!$B$3</f>
        <v>1613.6376923076923</v>
      </c>
      <c r="Y3383" t="str">
        <f>IF(Table1[[#This Row],[customer_subscription]]=1,"Subscribed","Not Subscribed")</f>
        <v>Not Subscribed</v>
      </c>
    </row>
    <row r="3384" spans="1:26" x14ac:dyDescent="0.25">
      <c r="A3384">
        <v>3383</v>
      </c>
      <c r="B3384">
        <v>34</v>
      </c>
      <c r="C3384" t="s">
        <v>156</v>
      </c>
      <c r="D3384">
        <v>3383</v>
      </c>
      <c r="E3384" t="s">
        <v>33</v>
      </c>
      <c r="F3384" t="s">
        <v>24</v>
      </c>
      <c r="G3384">
        <v>3383</v>
      </c>
      <c r="H3384">
        <v>4258</v>
      </c>
      <c r="I3384">
        <v>35</v>
      </c>
      <c r="J3384" t="s">
        <v>148</v>
      </c>
      <c r="K3384" t="s">
        <v>47</v>
      </c>
      <c r="L3384" t="s">
        <v>35</v>
      </c>
      <c r="M3384" t="s">
        <v>40</v>
      </c>
      <c r="N3384">
        <v>2.8</v>
      </c>
      <c r="O3384">
        <v>0</v>
      </c>
      <c r="P3384" t="s">
        <v>29</v>
      </c>
      <c r="Q3384" t="s">
        <v>155</v>
      </c>
      <c r="R3384" t="s">
        <v>155</v>
      </c>
      <c r="S3384">
        <v>2</v>
      </c>
      <c r="T3384" t="s">
        <v>78</v>
      </c>
      <c r="U3384" t="s">
        <v>43</v>
      </c>
      <c r="V3384" s="1">
        <v>45391</v>
      </c>
      <c r="W3384">
        <f>Table1[[#This Row],[customer_purchase count]]+1</f>
        <v>3</v>
      </c>
      <c r="X3384">
        <f>Table1[[#This Row],[customer_purchase count]]*Rules!$B$3</f>
        <v>119.52871794871795</v>
      </c>
      <c r="Y3384" t="str">
        <f>IF(Table1[[#This Row],[customer_subscription]]=1,"Subscribed","Not Subscribed")</f>
        <v>Not Subscribed</v>
      </c>
      <c r="Z3384" t="s">
        <v>194</v>
      </c>
    </row>
    <row r="3385" spans="1:26" x14ac:dyDescent="0.25">
      <c r="A3385">
        <v>3384</v>
      </c>
      <c r="B3385">
        <v>27</v>
      </c>
      <c r="C3385" t="s">
        <v>156</v>
      </c>
      <c r="D3385">
        <v>3384</v>
      </c>
      <c r="E3385" t="s">
        <v>65</v>
      </c>
      <c r="F3385" t="s">
        <v>66</v>
      </c>
      <c r="G3385">
        <v>3384</v>
      </c>
      <c r="H3385">
        <v>4259</v>
      </c>
      <c r="I3385">
        <v>43</v>
      </c>
      <c r="J3385" t="s">
        <v>82</v>
      </c>
      <c r="K3385" t="s">
        <v>47</v>
      </c>
      <c r="L3385" t="s">
        <v>72</v>
      </c>
      <c r="M3385" t="s">
        <v>60</v>
      </c>
      <c r="N3385">
        <v>2.6</v>
      </c>
      <c r="O3385">
        <v>0</v>
      </c>
      <c r="P3385" t="s">
        <v>48</v>
      </c>
      <c r="Q3385" t="s">
        <v>155</v>
      </c>
      <c r="R3385" t="s">
        <v>155</v>
      </c>
      <c r="S3385">
        <v>39</v>
      </c>
      <c r="T3385" t="s">
        <v>31</v>
      </c>
      <c r="U3385" t="s">
        <v>79</v>
      </c>
      <c r="V3385" s="1">
        <v>45613</v>
      </c>
      <c r="W3385">
        <f>Table1[[#This Row],[customer_purchase count]]+1</f>
        <v>40</v>
      </c>
      <c r="X3385">
        <f>Table1[[#This Row],[customer_purchase count]]*Rules!$B$3</f>
        <v>2330.81</v>
      </c>
      <c r="Y3385" t="str">
        <f>IF(Table1[[#This Row],[customer_subscription]]=1,"Subscribed","Not Subscribed")</f>
        <v>Not Subscribed</v>
      </c>
    </row>
    <row r="3386" spans="1:26" x14ac:dyDescent="0.25">
      <c r="A3386">
        <v>3385</v>
      </c>
      <c r="B3386">
        <v>39</v>
      </c>
      <c r="C3386" t="s">
        <v>156</v>
      </c>
      <c r="D3386">
        <v>3385</v>
      </c>
      <c r="E3386" t="s">
        <v>107</v>
      </c>
      <c r="F3386" t="s">
        <v>24</v>
      </c>
      <c r="G3386">
        <v>3385</v>
      </c>
      <c r="H3386">
        <v>4261</v>
      </c>
      <c r="I3386">
        <v>24</v>
      </c>
      <c r="J3386" t="s">
        <v>151</v>
      </c>
      <c r="K3386" t="s">
        <v>26</v>
      </c>
      <c r="L3386" t="s">
        <v>35</v>
      </c>
      <c r="M3386" t="s">
        <v>56</v>
      </c>
      <c r="N3386">
        <v>3.8</v>
      </c>
      <c r="O3386">
        <v>0</v>
      </c>
      <c r="P3386" t="s">
        <v>41</v>
      </c>
      <c r="Q3386" t="s">
        <v>155</v>
      </c>
      <c r="R3386" t="s">
        <v>155</v>
      </c>
      <c r="S3386">
        <v>9</v>
      </c>
      <c r="T3386" t="s">
        <v>31</v>
      </c>
      <c r="U3386" t="s">
        <v>61</v>
      </c>
      <c r="V3386" s="1">
        <v>45463</v>
      </c>
      <c r="W3386">
        <f>Table1[[#This Row],[customer_purchase count]]+1</f>
        <v>10</v>
      </c>
      <c r="X3386">
        <f>Table1[[#This Row],[customer_purchase count]]*Rules!$B$3</f>
        <v>537.87923076923084</v>
      </c>
      <c r="Y3386" t="str">
        <f>IF(Table1[[#This Row],[customer_subscription]]=1,"Subscribed","Not Subscribed")</f>
        <v>Not Subscribed</v>
      </c>
      <c r="Z3386" t="s">
        <v>194</v>
      </c>
    </row>
    <row r="3387" spans="1:26" x14ac:dyDescent="0.25">
      <c r="A3387">
        <v>3386</v>
      </c>
      <c r="B3387">
        <v>62</v>
      </c>
      <c r="C3387" t="s">
        <v>156</v>
      </c>
      <c r="D3387">
        <v>3386</v>
      </c>
      <c r="E3387" t="s">
        <v>109</v>
      </c>
      <c r="F3387" t="s">
        <v>70</v>
      </c>
      <c r="G3387">
        <v>3386</v>
      </c>
      <c r="H3387">
        <v>4262</v>
      </c>
      <c r="I3387">
        <v>83</v>
      </c>
      <c r="J3387" t="s">
        <v>46</v>
      </c>
      <c r="K3387" t="s">
        <v>47</v>
      </c>
      <c r="L3387" t="s">
        <v>81</v>
      </c>
      <c r="M3387" t="s">
        <v>28</v>
      </c>
      <c r="N3387">
        <v>2.8</v>
      </c>
      <c r="O3387">
        <v>0</v>
      </c>
      <c r="P3387" t="s">
        <v>57</v>
      </c>
      <c r="Q3387" t="s">
        <v>155</v>
      </c>
      <c r="R3387" t="s">
        <v>155</v>
      </c>
      <c r="S3387">
        <v>16</v>
      </c>
      <c r="T3387" t="s">
        <v>42</v>
      </c>
      <c r="U3387" t="s">
        <v>100</v>
      </c>
      <c r="V3387" s="1">
        <v>45310</v>
      </c>
      <c r="W3387">
        <f>Table1[[#This Row],[customer_purchase count]]+1</f>
        <v>17</v>
      </c>
      <c r="X3387">
        <f>Table1[[#This Row],[customer_purchase count]]*Rules!$B$3</f>
        <v>956.22974358974363</v>
      </c>
      <c r="Y3387" t="str">
        <f>IF(Table1[[#This Row],[customer_subscription]]=1,"Subscribed","Not Subscribed")</f>
        <v>Not Subscribed</v>
      </c>
      <c r="Z3387" t="s">
        <v>194</v>
      </c>
    </row>
    <row r="3388" spans="1:26" x14ac:dyDescent="0.25">
      <c r="A3388">
        <v>3387</v>
      </c>
      <c r="B3388">
        <v>34</v>
      </c>
      <c r="C3388" t="s">
        <v>156</v>
      </c>
      <c r="D3388">
        <v>3387</v>
      </c>
      <c r="E3388" t="s">
        <v>116</v>
      </c>
      <c r="F3388" t="s">
        <v>24</v>
      </c>
      <c r="G3388">
        <v>3387</v>
      </c>
      <c r="H3388">
        <v>4263</v>
      </c>
      <c r="I3388">
        <v>62</v>
      </c>
      <c r="J3388" t="s">
        <v>154</v>
      </c>
      <c r="K3388" t="s">
        <v>47</v>
      </c>
      <c r="L3388" t="s">
        <v>96</v>
      </c>
      <c r="M3388" t="s">
        <v>60</v>
      </c>
      <c r="N3388">
        <v>2.6</v>
      </c>
      <c r="O3388">
        <v>0</v>
      </c>
      <c r="P3388" t="s">
        <v>73</v>
      </c>
      <c r="Q3388" t="s">
        <v>155</v>
      </c>
      <c r="R3388" t="s">
        <v>155</v>
      </c>
      <c r="S3388">
        <v>36</v>
      </c>
      <c r="T3388" t="s">
        <v>36</v>
      </c>
      <c r="U3388" t="s">
        <v>61</v>
      </c>
      <c r="V3388" s="1">
        <v>45536</v>
      </c>
      <c r="W3388">
        <f>Table1[[#This Row],[customer_purchase count]]+1</f>
        <v>37</v>
      </c>
      <c r="X3388">
        <f>Table1[[#This Row],[customer_purchase count]]*Rules!$B$3</f>
        <v>2151.5169230769234</v>
      </c>
      <c r="Y3388" t="str">
        <f>IF(Table1[[#This Row],[customer_subscription]]=1,"Subscribed","Not Subscribed")</f>
        <v>Not Subscribed</v>
      </c>
    </row>
    <row r="3389" spans="1:26" x14ac:dyDescent="0.25">
      <c r="A3389">
        <v>3388</v>
      </c>
      <c r="B3389">
        <v>53</v>
      </c>
      <c r="C3389" t="s">
        <v>156</v>
      </c>
      <c r="D3389">
        <v>3388</v>
      </c>
      <c r="E3389" t="s">
        <v>98</v>
      </c>
      <c r="F3389" t="s">
        <v>24</v>
      </c>
      <c r="G3389">
        <v>3388</v>
      </c>
      <c r="H3389">
        <v>4264</v>
      </c>
      <c r="I3389">
        <v>78</v>
      </c>
      <c r="J3389" t="s">
        <v>130</v>
      </c>
      <c r="K3389" t="s">
        <v>39</v>
      </c>
      <c r="L3389" t="s">
        <v>72</v>
      </c>
      <c r="M3389" t="s">
        <v>40</v>
      </c>
      <c r="N3389">
        <v>3.4</v>
      </c>
      <c r="O3389">
        <v>0</v>
      </c>
      <c r="P3389" t="s">
        <v>73</v>
      </c>
      <c r="Q3389" t="s">
        <v>155</v>
      </c>
      <c r="R3389" t="s">
        <v>155</v>
      </c>
      <c r="S3389">
        <v>2</v>
      </c>
      <c r="T3389" t="s">
        <v>42</v>
      </c>
      <c r="U3389" t="s">
        <v>79</v>
      </c>
      <c r="V3389" s="1">
        <v>45373</v>
      </c>
      <c r="W3389">
        <f>Table1[[#This Row],[customer_purchase count]]+1</f>
        <v>3</v>
      </c>
      <c r="X3389">
        <f>Table1[[#This Row],[customer_purchase count]]*Rules!$B$3</f>
        <v>119.52871794871795</v>
      </c>
      <c r="Y3389" t="str">
        <f>IF(Table1[[#This Row],[customer_subscription]]=1,"Subscribed","Not Subscribed")</f>
        <v>Not Subscribed</v>
      </c>
      <c r="Z3389" t="s">
        <v>194</v>
      </c>
    </row>
    <row r="3390" spans="1:26" x14ac:dyDescent="0.25">
      <c r="A3390">
        <v>3389</v>
      </c>
      <c r="B3390">
        <v>35</v>
      </c>
      <c r="C3390" t="s">
        <v>156</v>
      </c>
      <c r="D3390">
        <v>3389</v>
      </c>
      <c r="E3390" t="s">
        <v>33</v>
      </c>
      <c r="F3390" t="s">
        <v>24</v>
      </c>
      <c r="G3390">
        <v>3389</v>
      </c>
      <c r="H3390">
        <v>4265</v>
      </c>
      <c r="I3390">
        <v>61</v>
      </c>
      <c r="J3390" t="s">
        <v>150</v>
      </c>
      <c r="K3390" t="s">
        <v>47</v>
      </c>
      <c r="L3390" t="s">
        <v>112</v>
      </c>
      <c r="M3390" t="s">
        <v>40</v>
      </c>
      <c r="N3390">
        <v>4.5</v>
      </c>
      <c r="O3390">
        <v>0</v>
      </c>
      <c r="P3390" t="s">
        <v>77</v>
      </c>
      <c r="Q3390" t="s">
        <v>155</v>
      </c>
      <c r="R3390" t="s">
        <v>155</v>
      </c>
      <c r="S3390">
        <v>21</v>
      </c>
      <c r="T3390" t="s">
        <v>42</v>
      </c>
      <c r="U3390" t="s">
        <v>43</v>
      </c>
      <c r="V3390" s="1">
        <v>45392</v>
      </c>
      <c r="W3390">
        <f>Table1[[#This Row],[customer_purchase count]]+1</f>
        <v>22</v>
      </c>
      <c r="X3390">
        <f>Table1[[#This Row],[customer_purchase count]]*Rules!$B$3</f>
        <v>1255.0515384615385</v>
      </c>
      <c r="Y3390" t="str">
        <f>IF(Table1[[#This Row],[customer_subscription]]=1,"Subscribed","Not Subscribed")</f>
        <v>Not Subscribed</v>
      </c>
    </row>
    <row r="3391" spans="1:26" x14ac:dyDescent="0.25">
      <c r="A3391">
        <v>3390</v>
      </c>
      <c r="B3391">
        <v>38</v>
      </c>
      <c r="C3391" t="s">
        <v>156</v>
      </c>
      <c r="D3391">
        <v>3390</v>
      </c>
      <c r="E3391" t="s">
        <v>98</v>
      </c>
      <c r="F3391" t="s">
        <v>24</v>
      </c>
      <c r="G3391">
        <v>3390</v>
      </c>
      <c r="H3391">
        <v>4267</v>
      </c>
      <c r="I3391">
        <v>57</v>
      </c>
      <c r="J3391" t="s">
        <v>101</v>
      </c>
      <c r="K3391" t="s">
        <v>26</v>
      </c>
      <c r="L3391" t="s">
        <v>35</v>
      </c>
      <c r="M3391" t="s">
        <v>60</v>
      </c>
      <c r="N3391">
        <v>3.8</v>
      </c>
      <c r="O3391">
        <v>0</v>
      </c>
      <c r="P3391" t="s">
        <v>41</v>
      </c>
      <c r="Q3391" t="s">
        <v>155</v>
      </c>
      <c r="R3391" t="s">
        <v>155</v>
      </c>
      <c r="S3391">
        <v>39</v>
      </c>
      <c r="T3391" t="s">
        <v>31</v>
      </c>
      <c r="U3391" t="s">
        <v>52</v>
      </c>
      <c r="V3391" s="1">
        <v>45611</v>
      </c>
      <c r="W3391">
        <f>Table1[[#This Row],[customer_purchase count]]+1</f>
        <v>40</v>
      </c>
      <c r="X3391">
        <f>Table1[[#This Row],[customer_purchase count]]*Rules!$B$3</f>
        <v>2330.81</v>
      </c>
      <c r="Y3391" t="str">
        <f>IF(Table1[[#This Row],[customer_subscription]]=1,"Subscribed","Not Subscribed")</f>
        <v>Not Subscribed</v>
      </c>
    </row>
    <row r="3392" spans="1:26" x14ac:dyDescent="0.25">
      <c r="A3392">
        <v>3391</v>
      </c>
      <c r="B3392">
        <v>32</v>
      </c>
      <c r="C3392" t="s">
        <v>156</v>
      </c>
      <c r="D3392">
        <v>3391</v>
      </c>
      <c r="E3392" t="s">
        <v>128</v>
      </c>
      <c r="F3392" t="s">
        <v>24</v>
      </c>
      <c r="G3392">
        <v>3391</v>
      </c>
      <c r="H3392">
        <v>4268</v>
      </c>
      <c r="I3392">
        <v>70</v>
      </c>
      <c r="J3392" t="s">
        <v>50</v>
      </c>
      <c r="K3392" t="s">
        <v>39</v>
      </c>
      <c r="L3392" t="s">
        <v>111</v>
      </c>
      <c r="M3392" t="s">
        <v>56</v>
      </c>
      <c r="N3392">
        <v>3</v>
      </c>
      <c r="O3392">
        <v>0</v>
      </c>
      <c r="P3392" t="s">
        <v>48</v>
      </c>
      <c r="Q3392" t="s">
        <v>155</v>
      </c>
      <c r="R3392" t="s">
        <v>155</v>
      </c>
      <c r="S3392">
        <v>38</v>
      </c>
      <c r="T3392" t="s">
        <v>49</v>
      </c>
      <c r="U3392" t="s">
        <v>52</v>
      </c>
      <c r="V3392" s="1">
        <v>45517</v>
      </c>
      <c r="W3392">
        <f>Table1[[#This Row],[customer_purchase count]]+1</f>
        <v>39</v>
      </c>
      <c r="X3392">
        <f>Table1[[#This Row],[customer_purchase count]]*Rules!$B$3</f>
        <v>2271.0456410256411</v>
      </c>
      <c r="Y3392" t="str">
        <f>IF(Table1[[#This Row],[customer_subscription]]=1,"Subscribed","Not Subscribed")</f>
        <v>Not Subscribed</v>
      </c>
    </row>
    <row r="3393" spans="1:26" x14ac:dyDescent="0.25">
      <c r="A3393">
        <v>3392</v>
      </c>
      <c r="B3393">
        <v>47</v>
      </c>
      <c r="C3393" t="s">
        <v>156</v>
      </c>
      <c r="D3393">
        <v>3392</v>
      </c>
      <c r="E3393" t="s">
        <v>107</v>
      </c>
      <c r="F3393" t="s">
        <v>24</v>
      </c>
      <c r="G3393">
        <v>3392</v>
      </c>
      <c r="H3393">
        <v>4269</v>
      </c>
      <c r="I3393">
        <v>57</v>
      </c>
      <c r="J3393" t="s">
        <v>59</v>
      </c>
      <c r="K3393" t="s">
        <v>47</v>
      </c>
      <c r="L3393" t="s">
        <v>68</v>
      </c>
      <c r="M3393" t="s">
        <v>60</v>
      </c>
      <c r="N3393">
        <v>3.7</v>
      </c>
      <c r="O3393">
        <v>0</v>
      </c>
      <c r="P3393" t="s">
        <v>73</v>
      </c>
      <c r="Q3393" t="s">
        <v>155</v>
      </c>
      <c r="R3393" t="s">
        <v>155</v>
      </c>
      <c r="S3393">
        <v>6</v>
      </c>
      <c r="T3393" t="s">
        <v>89</v>
      </c>
      <c r="U3393" t="s">
        <v>100</v>
      </c>
      <c r="V3393" s="1">
        <v>45570</v>
      </c>
      <c r="W3393">
        <f>Table1[[#This Row],[customer_purchase count]]+1</f>
        <v>7</v>
      </c>
      <c r="X3393">
        <f>Table1[[#This Row],[customer_purchase count]]*Rules!$B$3</f>
        <v>358.58615384615388</v>
      </c>
      <c r="Y3393" t="str">
        <f>IF(Table1[[#This Row],[customer_subscription]]=1,"Subscribed","Not Subscribed")</f>
        <v>Not Subscribed</v>
      </c>
      <c r="Z3393" t="s">
        <v>194</v>
      </c>
    </row>
    <row r="3394" spans="1:26" x14ac:dyDescent="0.25">
      <c r="A3394">
        <v>3393</v>
      </c>
      <c r="B3394">
        <v>53</v>
      </c>
      <c r="C3394" t="s">
        <v>156</v>
      </c>
      <c r="D3394">
        <v>3393</v>
      </c>
      <c r="E3394" t="s">
        <v>122</v>
      </c>
      <c r="F3394" t="s">
        <v>70</v>
      </c>
      <c r="G3394">
        <v>3393</v>
      </c>
      <c r="H3394">
        <v>4270</v>
      </c>
      <c r="I3394">
        <v>74</v>
      </c>
      <c r="J3394" t="s">
        <v>130</v>
      </c>
      <c r="K3394" t="s">
        <v>95</v>
      </c>
      <c r="L3394" t="s">
        <v>147</v>
      </c>
      <c r="M3394" t="s">
        <v>28</v>
      </c>
      <c r="N3394">
        <v>4.4000000000000004</v>
      </c>
      <c r="O3394">
        <v>0</v>
      </c>
      <c r="P3394" t="s">
        <v>41</v>
      </c>
      <c r="Q3394" t="s">
        <v>155</v>
      </c>
      <c r="R3394" t="s">
        <v>155</v>
      </c>
      <c r="S3394">
        <v>6</v>
      </c>
      <c r="T3394" t="s">
        <v>31</v>
      </c>
      <c r="U3394" t="s">
        <v>79</v>
      </c>
      <c r="V3394" s="1">
        <v>45294</v>
      </c>
      <c r="W3394">
        <f>Table1[[#This Row],[customer_purchase count]]+1</f>
        <v>7</v>
      </c>
      <c r="X3394">
        <f>Table1[[#This Row],[customer_purchase count]]*Rules!$B$3</f>
        <v>358.58615384615388</v>
      </c>
      <c r="Y3394" t="str">
        <f>IF(Table1[[#This Row],[customer_subscription]]=1,"Subscribed","Not Subscribed")</f>
        <v>Not Subscribed</v>
      </c>
      <c r="Z3394" t="s">
        <v>194</v>
      </c>
    </row>
    <row r="3395" spans="1:26" x14ac:dyDescent="0.25">
      <c r="A3395">
        <v>3394</v>
      </c>
      <c r="B3395">
        <v>60</v>
      </c>
      <c r="C3395" t="s">
        <v>156</v>
      </c>
      <c r="D3395">
        <v>3394</v>
      </c>
      <c r="E3395" t="s">
        <v>84</v>
      </c>
      <c r="F3395" t="s">
        <v>24</v>
      </c>
      <c r="G3395">
        <v>3394</v>
      </c>
      <c r="H3395">
        <v>4271</v>
      </c>
      <c r="I3395">
        <v>90</v>
      </c>
      <c r="J3395" t="s">
        <v>120</v>
      </c>
      <c r="K3395" t="s">
        <v>47</v>
      </c>
      <c r="L3395" t="s">
        <v>83</v>
      </c>
      <c r="M3395" t="s">
        <v>60</v>
      </c>
      <c r="N3395">
        <v>3.1</v>
      </c>
      <c r="O3395">
        <v>0</v>
      </c>
      <c r="P3395" t="s">
        <v>48</v>
      </c>
      <c r="Q3395" t="s">
        <v>155</v>
      </c>
      <c r="R3395" t="s">
        <v>155</v>
      </c>
      <c r="S3395">
        <v>50</v>
      </c>
      <c r="T3395" t="s">
        <v>89</v>
      </c>
      <c r="U3395" t="s">
        <v>91</v>
      </c>
      <c r="V3395" s="1">
        <v>45605</v>
      </c>
      <c r="W3395">
        <f>Table1[[#This Row],[customer_purchase count]]+1</f>
        <v>51</v>
      </c>
      <c r="X3395">
        <f>Table1[[#This Row],[customer_purchase count]]*Rules!$B$3</f>
        <v>2988.2179487179487</v>
      </c>
      <c r="Y3395" t="str">
        <f>IF(Table1[[#This Row],[customer_subscription]]=1,"Subscribed","Not Subscribed")</f>
        <v>Not Subscribed</v>
      </c>
    </row>
    <row r="3396" spans="1:26" x14ac:dyDescent="0.25">
      <c r="A3396">
        <v>3395</v>
      </c>
      <c r="B3396">
        <v>31</v>
      </c>
      <c r="C3396" t="s">
        <v>156</v>
      </c>
      <c r="D3396">
        <v>3395</v>
      </c>
      <c r="E3396" t="s">
        <v>44</v>
      </c>
      <c r="F3396" t="s">
        <v>45</v>
      </c>
      <c r="G3396">
        <v>3395</v>
      </c>
      <c r="H3396">
        <v>4273</v>
      </c>
      <c r="I3396">
        <v>98</v>
      </c>
      <c r="J3396" t="s">
        <v>132</v>
      </c>
      <c r="K3396" t="s">
        <v>39</v>
      </c>
      <c r="L3396" t="s">
        <v>137</v>
      </c>
      <c r="M3396" t="s">
        <v>40</v>
      </c>
      <c r="N3396">
        <v>4.2</v>
      </c>
      <c r="O3396">
        <v>0</v>
      </c>
      <c r="P3396" t="s">
        <v>77</v>
      </c>
      <c r="Q3396" t="s">
        <v>155</v>
      </c>
      <c r="R3396" t="s">
        <v>155</v>
      </c>
      <c r="S3396">
        <v>9</v>
      </c>
      <c r="T3396" t="s">
        <v>49</v>
      </c>
      <c r="U3396" t="s">
        <v>52</v>
      </c>
      <c r="V3396" s="1">
        <v>45378</v>
      </c>
      <c r="W3396">
        <f>Table1[[#This Row],[customer_purchase count]]+1</f>
        <v>10</v>
      </c>
      <c r="X3396">
        <f>Table1[[#This Row],[customer_purchase count]]*Rules!$B$3</f>
        <v>537.87923076923084</v>
      </c>
      <c r="Y3396" t="str">
        <f>IF(Table1[[#This Row],[customer_subscription]]=1,"Subscribed","Not Subscribed")</f>
        <v>Not Subscribed</v>
      </c>
      <c r="Z3396" t="s">
        <v>194</v>
      </c>
    </row>
    <row r="3397" spans="1:26" x14ac:dyDescent="0.25">
      <c r="A3397">
        <v>3396</v>
      </c>
      <c r="B3397">
        <v>44</v>
      </c>
      <c r="C3397" t="s">
        <v>156</v>
      </c>
      <c r="D3397">
        <v>3396</v>
      </c>
      <c r="E3397" t="s">
        <v>84</v>
      </c>
      <c r="F3397" t="s">
        <v>24</v>
      </c>
      <c r="G3397">
        <v>3396</v>
      </c>
      <c r="H3397">
        <v>4274</v>
      </c>
      <c r="I3397">
        <v>43</v>
      </c>
      <c r="J3397" t="s">
        <v>115</v>
      </c>
      <c r="K3397" t="s">
        <v>47</v>
      </c>
      <c r="L3397" t="s">
        <v>68</v>
      </c>
      <c r="M3397" t="s">
        <v>28</v>
      </c>
      <c r="N3397">
        <v>3.1</v>
      </c>
      <c r="O3397">
        <v>0</v>
      </c>
      <c r="P3397" t="s">
        <v>41</v>
      </c>
      <c r="Q3397" t="s">
        <v>155</v>
      </c>
      <c r="R3397" t="s">
        <v>155</v>
      </c>
      <c r="S3397">
        <v>15</v>
      </c>
      <c r="T3397" t="s">
        <v>89</v>
      </c>
      <c r="U3397" t="s">
        <v>100</v>
      </c>
      <c r="V3397" s="1">
        <v>45309</v>
      </c>
      <c r="W3397">
        <f>Table1[[#This Row],[customer_purchase count]]+1</f>
        <v>16</v>
      </c>
      <c r="X3397">
        <f>Table1[[#This Row],[customer_purchase count]]*Rules!$B$3</f>
        <v>896.46538461538466</v>
      </c>
      <c r="Y3397" t="str">
        <f>IF(Table1[[#This Row],[customer_subscription]]=1,"Subscribed","Not Subscribed")</f>
        <v>Not Subscribed</v>
      </c>
      <c r="Z3397" t="s">
        <v>194</v>
      </c>
    </row>
    <row r="3398" spans="1:26" x14ac:dyDescent="0.25">
      <c r="A3398">
        <v>3397</v>
      </c>
      <c r="B3398">
        <v>29</v>
      </c>
      <c r="C3398" t="s">
        <v>156</v>
      </c>
      <c r="D3398">
        <v>3397</v>
      </c>
      <c r="E3398" t="s">
        <v>98</v>
      </c>
      <c r="F3398" t="s">
        <v>24</v>
      </c>
      <c r="G3398">
        <v>3397</v>
      </c>
      <c r="H3398">
        <v>4275</v>
      </c>
      <c r="I3398">
        <v>37</v>
      </c>
      <c r="J3398" t="s">
        <v>125</v>
      </c>
      <c r="K3398" t="s">
        <v>95</v>
      </c>
      <c r="L3398" t="s">
        <v>97</v>
      </c>
      <c r="M3398" t="s">
        <v>28</v>
      </c>
      <c r="N3398">
        <v>5</v>
      </c>
      <c r="O3398">
        <v>0</v>
      </c>
      <c r="P3398" t="s">
        <v>48</v>
      </c>
      <c r="Q3398" t="s">
        <v>155</v>
      </c>
      <c r="R3398" t="s">
        <v>155</v>
      </c>
      <c r="S3398">
        <v>5</v>
      </c>
      <c r="T3398" t="s">
        <v>49</v>
      </c>
      <c r="U3398" t="s">
        <v>61</v>
      </c>
      <c r="V3398" s="1">
        <v>45633</v>
      </c>
      <c r="W3398">
        <f>Table1[[#This Row],[customer_purchase count]]+1</f>
        <v>6</v>
      </c>
      <c r="X3398">
        <f>Table1[[#This Row],[customer_purchase count]]*Rules!$B$3</f>
        <v>298.82179487179491</v>
      </c>
      <c r="Y3398" t="str">
        <f>IF(Table1[[#This Row],[customer_subscription]]=1,"Subscribed","Not Subscribed")</f>
        <v>Not Subscribed</v>
      </c>
      <c r="Z3398" t="s">
        <v>194</v>
      </c>
    </row>
    <row r="3399" spans="1:26" x14ac:dyDescent="0.25">
      <c r="A3399">
        <v>3398</v>
      </c>
      <c r="B3399">
        <v>19</v>
      </c>
      <c r="C3399" t="s">
        <v>156</v>
      </c>
      <c r="D3399">
        <v>3398</v>
      </c>
      <c r="E3399" t="s">
        <v>23</v>
      </c>
      <c r="F3399" t="s">
        <v>24</v>
      </c>
      <c r="G3399">
        <v>3398</v>
      </c>
      <c r="H3399">
        <v>4276</v>
      </c>
      <c r="I3399">
        <v>38</v>
      </c>
      <c r="J3399" t="s">
        <v>130</v>
      </c>
      <c r="K3399" t="s">
        <v>26</v>
      </c>
      <c r="L3399" t="s">
        <v>137</v>
      </c>
      <c r="M3399" t="s">
        <v>56</v>
      </c>
      <c r="N3399">
        <v>2.7</v>
      </c>
      <c r="O3399">
        <v>0</v>
      </c>
      <c r="P3399" t="s">
        <v>57</v>
      </c>
      <c r="Q3399" t="s">
        <v>155</v>
      </c>
      <c r="R3399" t="s">
        <v>155</v>
      </c>
      <c r="S3399">
        <v>13</v>
      </c>
      <c r="T3399" t="s">
        <v>78</v>
      </c>
      <c r="U3399" t="s">
        <v>79</v>
      </c>
      <c r="V3399" s="1">
        <v>45531</v>
      </c>
      <c r="W3399">
        <f>Table1[[#This Row],[customer_purchase count]]+1</f>
        <v>14</v>
      </c>
      <c r="X3399">
        <f>Table1[[#This Row],[customer_purchase count]]*Rules!$B$3</f>
        <v>776.93666666666672</v>
      </c>
      <c r="Y3399" t="str">
        <f>IF(Table1[[#This Row],[customer_subscription]]=1,"Subscribed","Not Subscribed")</f>
        <v>Not Subscribed</v>
      </c>
      <c r="Z3399" t="s">
        <v>187</v>
      </c>
    </row>
    <row r="3400" spans="1:26" x14ac:dyDescent="0.25">
      <c r="A3400">
        <v>3399</v>
      </c>
      <c r="B3400">
        <v>54</v>
      </c>
      <c r="C3400" t="s">
        <v>156</v>
      </c>
      <c r="D3400">
        <v>3399</v>
      </c>
      <c r="E3400" t="s">
        <v>37</v>
      </c>
      <c r="F3400" t="s">
        <v>24</v>
      </c>
      <c r="G3400">
        <v>3399</v>
      </c>
      <c r="H3400">
        <v>4277</v>
      </c>
      <c r="I3400">
        <v>60</v>
      </c>
      <c r="J3400" t="s">
        <v>59</v>
      </c>
      <c r="K3400" t="s">
        <v>26</v>
      </c>
      <c r="L3400" t="s">
        <v>72</v>
      </c>
      <c r="M3400" t="s">
        <v>28</v>
      </c>
      <c r="N3400">
        <v>3.8</v>
      </c>
      <c r="O3400">
        <v>0</v>
      </c>
      <c r="P3400" t="s">
        <v>57</v>
      </c>
      <c r="Q3400" t="s">
        <v>155</v>
      </c>
      <c r="R3400" t="s">
        <v>155</v>
      </c>
      <c r="S3400">
        <v>44</v>
      </c>
      <c r="T3400" t="s">
        <v>36</v>
      </c>
      <c r="U3400" t="s">
        <v>32</v>
      </c>
      <c r="V3400" s="1">
        <v>45307</v>
      </c>
      <c r="W3400">
        <f>Table1[[#This Row],[customer_purchase count]]+1</f>
        <v>45</v>
      </c>
      <c r="X3400">
        <f>Table1[[#This Row],[customer_purchase count]]*Rules!$B$3</f>
        <v>2629.6317948717951</v>
      </c>
      <c r="Y3400" t="str">
        <f>IF(Table1[[#This Row],[customer_subscription]]=1,"Subscribed","Not Subscribed")</f>
        <v>Not Subscribed</v>
      </c>
    </row>
    <row r="3401" spans="1:26" x14ac:dyDescent="0.25">
      <c r="A3401">
        <v>3400</v>
      </c>
      <c r="B3401">
        <v>40</v>
      </c>
      <c r="C3401" t="s">
        <v>156</v>
      </c>
      <c r="D3401">
        <v>3400</v>
      </c>
      <c r="E3401" t="s">
        <v>98</v>
      </c>
      <c r="F3401" t="s">
        <v>24</v>
      </c>
      <c r="G3401">
        <v>3400</v>
      </c>
      <c r="H3401">
        <v>4279</v>
      </c>
      <c r="I3401">
        <v>55</v>
      </c>
      <c r="J3401" t="s">
        <v>59</v>
      </c>
      <c r="K3401" t="s">
        <v>95</v>
      </c>
      <c r="L3401" t="s">
        <v>137</v>
      </c>
      <c r="M3401" t="s">
        <v>28</v>
      </c>
      <c r="N3401">
        <v>3.3</v>
      </c>
      <c r="O3401">
        <v>0</v>
      </c>
      <c r="P3401" t="s">
        <v>57</v>
      </c>
      <c r="Q3401" t="s">
        <v>155</v>
      </c>
      <c r="R3401" t="s">
        <v>155</v>
      </c>
      <c r="S3401">
        <v>36</v>
      </c>
      <c r="T3401" t="s">
        <v>89</v>
      </c>
      <c r="U3401" t="s">
        <v>52</v>
      </c>
      <c r="V3401" s="1">
        <v>45642</v>
      </c>
      <c r="W3401">
        <f>Table1[[#This Row],[customer_purchase count]]+1</f>
        <v>37</v>
      </c>
      <c r="X3401">
        <f>Table1[[#This Row],[customer_purchase count]]*Rules!$B$3</f>
        <v>2151.5169230769234</v>
      </c>
      <c r="Y3401" t="str">
        <f>IF(Table1[[#This Row],[customer_subscription]]=1,"Subscribed","Not Subscribed")</f>
        <v>Not Subscribed</v>
      </c>
    </row>
    <row r="3402" spans="1:26" x14ac:dyDescent="0.25">
      <c r="A3402">
        <v>3401</v>
      </c>
      <c r="B3402">
        <v>39</v>
      </c>
      <c r="C3402" t="s">
        <v>156</v>
      </c>
      <c r="D3402">
        <v>3401</v>
      </c>
      <c r="E3402" t="s">
        <v>92</v>
      </c>
      <c r="F3402" t="s">
        <v>70</v>
      </c>
      <c r="G3402">
        <v>3401</v>
      </c>
      <c r="H3402">
        <v>4280</v>
      </c>
      <c r="I3402">
        <v>51</v>
      </c>
      <c r="J3402" t="s">
        <v>110</v>
      </c>
      <c r="K3402" t="s">
        <v>47</v>
      </c>
      <c r="L3402" t="s">
        <v>96</v>
      </c>
      <c r="M3402" t="s">
        <v>60</v>
      </c>
      <c r="N3402">
        <v>4.8</v>
      </c>
      <c r="O3402">
        <v>0</v>
      </c>
      <c r="P3402" t="s">
        <v>41</v>
      </c>
      <c r="Q3402" t="s">
        <v>155</v>
      </c>
      <c r="R3402" t="s">
        <v>155</v>
      </c>
      <c r="S3402">
        <v>18</v>
      </c>
      <c r="T3402" t="s">
        <v>31</v>
      </c>
      <c r="U3402" t="s">
        <v>32</v>
      </c>
      <c r="V3402" s="1">
        <v>45592</v>
      </c>
      <c r="W3402">
        <f>Table1[[#This Row],[customer_purchase count]]+1</f>
        <v>19</v>
      </c>
      <c r="X3402">
        <f>Table1[[#This Row],[customer_purchase count]]*Rules!$B$3</f>
        <v>1075.7584615384617</v>
      </c>
      <c r="Y3402" t="str">
        <f>IF(Table1[[#This Row],[customer_subscription]]=1,"Subscribed","Not Subscribed")</f>
        <v>Not Subscribed</v>
      </c>
    </row>
    <row r="3403" spans="1:26" x14ac:dyDescent="0.25">
      <c r="A3403">
        <v>3402</v>
      </c>
      <c r="B3403">
        <v>44</v>
      </c>
      <c r="C3403" t="s">
        <v>156</v>
      </c>
      <c r="D3403">
        <v>3402</v>
      </c>
      <c r="E3403" t="s">
        <v>135</v>
      </c>
      <c r="F3403" t="s">
        <v>70</v>
      </c>
      <c r="G3403">
        <v>3402</v>
      </c>
      <c r="H3403">
        <v>4281</v>
      </c>
      <c r="I3403">
        <v>71</v>
      </c>
      <c r="J3403" t="s">
        <v>110</v>
      </c>
      <c r="K3403" t="s">
        <v>26</v>
      </c>
      <c r="L3403" t="s">
        <v>103</v>
      </c>
      <c r="M3403" t="s">
        <v>28</v>
      </c>
      <c r="N3403">
        <v>3.4</v>
      </c>
      <c r="O3403">
        <v>0</v>
      </c>
      <c r="P3403" t="s">
        <v>57</v>
      </c>
      <c r="Q3403" t="s">
        <v>155</v>
      </c>
      <c r="R3403" t="s">
        <v>155</v>
      </c>
      <c r="S3403">
        <v>39</v>
      </c>
      <c r="T3403" t="s">
        <v>42</v>
      </c>
      <c r="U3403" t="s">
        <v>43</v>
      </c>
      <c r="V3403" s="1">
        <v>45300</v>
      </c>
      <c r="W3403">
        <f>Table1[[#This Row],[customer_purchase count]]+1</f>
        <v>40</v>
      </c>
      <c r="X3403">
        <f>Table1[[#This Row],[customer_purchase count]]*Rules!$B$3</f>
        <v>2330.81</v>
      </c>
      <c r="Y3403" t="str">
        <f>IF(Table1[[#This Row],[customer_subscription]]=1,"Subscribed","Not Subscribed")</f>
        <v>Not Subscribed</v>
      </c>
    </row>
    <row r="3404" spans="1:26" x14ac:dyDescent="0.25">
      <c r="A3404">
        <v>3403</v>
      </c>
      <c r="B3404">
        <v>22</v>
      </c>
      <c r="C3404" t="s">
        <v>156</v>
      </c>
      <c r="D3404">
        <v>3403</v>
      </c>
      <c r="E3404" t="s">
        <v>107</v>
      </c>
      <c r="F3404" t="s">
        <v>24</v>
      </c>
      <c r="G3404">
        <v>3403</v>
      </c>
      <c r="H3404">
        <v>4282</v>
      </c>
      <c r="I3404">
        <v>61</v>
      </c>
      <c r="J3404" t="s">
        <v>63</v>
      </c>
      <c r="K3404" t="s">
        <v>47</v>
      </c>
      <c r="L3404" t="s">
        <v>97</v>
      </c>
      <c r="M3404" t="s">
        <v>40</v>
      </c>
      <c r="N3404">
        <v>4.4000000000000004</v>
      </c>
      <c r="O3404">
        <v>0</v>
      </c>
      <c r="P3404" t="s">
        <v>73</v>
      </c>
      <c r="Q3404" t="s">
        <v>155</v>
      </c>
      <c r="R3404" t="s">
        <v>155</v>
      </c>
      <c r="S3404">
        <v>11</v>
      </c>
      <c r="T3404" t="s">
        <v>49</v>
      </c>
      <c r="U3404" t="s">
        <v>100</v>
      </c>
      <c r="V3404" s="1">
        <v>45434</v>
      </c>
      <c r="W3404">
        <f>Table1[[#This Row],[customer_purchase count]]+1</f>
        <v>12</v>
      </c>
      <c r="X3404">
        <f>Table1[[#This Row],[customer_purchase count]]*Rules!$B$3</f>
        <v>657.40794871794878</v>
      </c>
      <c r="Y3404" t="str">
        <f>IF(Table1[[#This Row],[customer_subscription]]=1,"Subscribed","Not Subscribed")</f>
        <v>Not Subscribed</v>
      </c>
      <c r="Z3404" t="s">
        <v>187</v>
      </c>
    </row>
    <row r="3405" spans="1:26" x14ac:dyDescent="0.25">
      <c r="A3405">
        <v>3404</v>
      </c>
      <c r="B3405">
        <v>30</v>
      </c>
      <c r="C3405" t="s">
        <v>156</v>
      </c>
      <c r="D3405">
        <v>3404</v>
      </c>
      <c r="E3405" t="s">
        <v>140</v>
      </c>
      <c r="F3405" t="s">
        <v>45</v>
      </c>
      <c r="G3405">
        <v>3404</v>
      </c>
      <c r="H3405">
        <v>4283</v>
      </c>
      <c r="I3405">
        <v>65</v>
      </c>
      <c r="J3405" t="s">
        <v>118</v>
      </c>
      <c r="K3405" t="s">
        <v>47</v>
      </c>
      <c r="L3405" t="s">
        <v>81</v>
      </c>
      <c r="M3405" t="s">
        <v>56</v>
      </c>
      <c r="N3405">
        <v>3.9</v>
      </c>
      <c r="O3405">
        <v>0</v>
      </c>
      <c r="P3405" t="s">
        <v>57</v>
      </c>
      <c r="Q3405" t="s">
        <v>155</v>
      </c>
      <c r="R3405" t="s">
        <v>155</v>
      </c>
      <c r="S3405">
        <v>1</v>
      </c>
      <c r="T3405" t="s">
        <v>36</v>
      </c>
      <c r="U3405" t="s">
        <v>79</v>
      </c>
      <c r="V3405" s="1">
        <v>45509</v>
      </c>
      <c r="W3405">
        <f>Table1[[#This Row],[customer_purchase count]]+1</f>
        <v>2</v>
      </c>
      <c r="X3405">
        <f>Table1[[#This Row],[customer_purchase count]]*Rules!$B$3</f>
        <v>59.764358974358977</v>
      </c>
      <c r="Y3405" t="str">
        <f>IF(Table1[[#This Row],[customer_subscription]]=1,"Subscribed","Not Subscribed")</f>
        <v>Not Subscribed</v>
      </c>
      <c r="Z3405" t="s">
        <v>194</v>
      </c>
    </row>
    <row r="3406" spans="1:26" x14ac:dyDescent="0.25">
      <c r="A3406">
        <v>3405</v>
      </c>
      <c r="B3406">
        <v>69</v>
      </c>
      <c r="C3406" t="s">
        <v>156</v>
      </c>
      <c r="D3406">
        <v>3405</v>
      </c>
      <c r="E3406" t="s">
        <v>146</v>
      </c>
      <c r="F3406" t="s">
        <v>70</v>
      </c>
      <c r="G3406">
        <v>3405</v>
      </c>
      <c r="H3406">
        <v>4285</v>
      </c>
      <c r="I3406">
        <v>34</v>
      </c>
      <c r="J3406" t="s">
        <v>134</v>
      </c>
      <c r="K3406" t="s">
        <v>26</v>
      </c>
      <c r="L3406" t="s">
        <v>81</v>
      </c>
      <c r="M3406" t="s">
        <v>60</v>
      </c>
      <c r="N3406">
        <v>3.9</v>
      </c>
      <c r="O3406">
        <v>0</v>
      </c>
      <c r="P3406" t="s">
        <v>73</v>
      </c>
      <c r="Q3406" t="s">
        <v>155</v>
      </c>
      <c r="R3406" t="s">
        <v>155</v>
      </c>
      <c r="S3406">
        <v>34</v>
      </c>
      <c r="T3406" t="s">
        <v>42</v>
      </c>
      <c r="U3406" t="s">
        <v>52</v>
      </c>
      <c r="V3406" s="1">
        <v>45570</v>
      </c>
      <c r="W3406">
        <f>Table1[[#This Row],[customer_purchase count]]+1</f>
        <v>35</v>
      </c>
      <c r="X3406">
        <f>Table1[[#This Row],[customer_purchase count]]*Rules!$B$3</f>
        <v>2031.9882051282052</v>
      </c>
      <c r="Y3406" t="str">
        <f>IF(Table1[[#This Row],[customer_subscription]]=1,"Subscribed","Not Subscribed")</f>
        <v>Not Subscribed</v>
      </c>
    </row>
    <row r="3407" spans="1:26" x14ac:dyDescent="0.25">
      <c r="A3407">
        <v>3406</v>
      </c>
      <c r="B3407">
        <v>28</v>
      </c>
      <c r="C3407" t="s">
        <v>156</v>
      </c>
      <c r="D3407">
        <v>3406</v>
      </c>
      <c r="E3407" t="s">
        <v>23</v>
      </c>
      <c r="F3407" t="s">
        <v>24</v>
      </c>
      <c r="G3407">
        <v>3406</v>
      </c>
      <c r="H3407">
        <v>4286</v>
      </c>
      <c r="I3407">
        <v>87</v>
      </c>
      <c r="J3407" t="s">
        <v>152</v>
      </c>
      <c r="K3407" t="s">
        <v>47</v>
      </c>
      <c r="L3407" t="s">
        <v>55</v>
      </c>
      <c r="M3407" t="s">
        <v>56</v>
      </c>
      <c r="N3407">
        <v>4.2</v>
      </c>
      <c r="O3407">
        <v>0</v>
      </c>
      <c r="P3407" t="s">
        <v>77</v>
      </c>
      <c r="Q3407" t="s">
        <v>155</v>
      </c>
      <c r="R3407" t="s">
        <v>155</v>
      </c>
      <c r="S3407">
        <v>47</v>
      </c>
      <c r="T3407" t="s">
        <v>78</v>
      </c>
      <c r="U3407" t="s">
        <v>79</v>
      </c>
      <c r="V3407" s="1">
        <v>45500</v>
      </c>
      <c r="W3407">
        <f>Table1[[#This Row],[customer_purchase count]]+1</f>
        <v>48</v>
      </c>
      <c r="X3407">
        <f>Table1[[#This Row],[customer_purchase count]]*Rules!$B$3</f>
        <v>2808.9248717948717</v>
      </c>
      <c r="Y3407" t="str">
        <f>IF(Table1[[#This Row],[customer_subscription]]=1,"Subscribed","Not Subscribed")</f>
        <v>Not Subscribed</v>
      </c>
    </row>
    <row r="3408" spans="1:26" x14ac:dyDescent="0.25">
      <c r="A3408">
        <v>3407</v>
      </c>
      <c r="B3408">
        <v>57</v>
      </c>
      <c r="C3408" t="s">
        <v>156</v>
      </c>
      <c r="D3408">
        <v>3407</v>
      </c>
      <c r="E3408" t="s">
        <v>33</v>
      </c>
      <c r="F3408" t="s">
        <v>24</v>
      </c>
      <c r="G3408">
        <v>3407</v>
      </c>
      <c r="H3408">
        <v>4287</v>
      </c>
      <c r="I3408">
        <v>79</v>
      </c>
      <c r="J3408" t="s">
        <v>148</v>
      </c>
      <c r="K3408" t="s">
        <v>47</v>
      </c>
      <c r="L3408" t="s">
        <v>111</v>
      </c>
      <c r="M3408" t="s">
        <v>40</v>
      </c>
      <c r="N3408">
        <v>4</v>
      </c>
      <c r="O3408">
        <v>0</v>
      </c>
      <c r="P3408" t="s">
        <v>77</v>
      </c>
      <c r="Q3408" t="s">
        <v>155</v>
      </c>
      <c r="R3408" t="s">
        <v>155</v>
      </c>
      <c r="S3408">
        <v>24</v>
      </c>
      <c r="T3408" t="s">
        <v>31</v>
      </c>
      <c r="U3408" t="s">
        <v>61</v>
      </c>
      <c r="V3408" s="1">
        <v>45416</v>
      </c>
      <c r="W3408">
        <f>Table1[[#This Row],[customer_purchase count]]+1</f>
        <v>25</v>
      </c>
      <c r="X3408">
        <f>Table1[[#This Row],[customer_purchase count]]*Rules!$B$3</f>
        <v>1434.3446153846155</v>
      </c>
      <c r="Y3408" t="str">
        <f>IF(Table1[[#This Row],[customer_subscription]]=1,"Subscribed","Not Subscribed")</f>
        <v>Not Subscribed</v>
      </c>
    </row>
    <row r="3409" spans="1:26" x14ac:dyDescent="0.25">
      <c r="A3409">
        <v>3408</v>
      </c>
      <c r="B3409">
        <v>46</v>
      </c>
      <c r="C3409" t="s">
        <v>156</v>
      </c>
      <c r="D3409">
        <v>3408</v>
      </c>
      <c r="E3409" t="s">
        <v>84</v>
      </c>
      <c r="F3409" t="s">
        <v>24</v>
      </c>
      <c r="G3409">
        <v>3408</v>
      </c>
      <c r="H3409">
        <v>4288</v>
      </c>
      <c r="I3409">
        <v>46</v>
      </c>
      <c r="J3409" t="s">
        <v>93</v>
      </c>
      <c r="K3409" t="s">
        <v>39</v>
      </c>
      <c r="L3409" t="s">
        <v>76</v>
      </c>
      <c r="M3409" t="s">
        <v>40</v>
      </c>
      <c r="N3409">
        <v>2.6</v>
      </c>
      <c r="O3409">
        <v>0</v>
      </c>
      <c r="P3409" t="s">
        <v>77</v>
      </c>
      <c r="Q3409" t="s">
        <v>155</v>
      </c>
      <c r="R3409" t="s">
        <v>155</v>
      </c>
      <c r="S3409">
        <v>20</v>
      </c>
      <c r="T3409" t="s">
        <v>36</v>
      </c>
      <c r="U3409" t="s">
        <v>61</v>
      </c>
      <c r="V3409" s="1">
        <v>45372</v>
      </c>
      <c r="W3409">
        <f>Table1[[#This Row],[customer_purchase count]]+1</f>
        <v>21</v>
      </c>
      <c r="X3409">
        <f>Table1[[#This Row],[customer_purchase count]]*Rules!$B$3</f>
        <v>1195.2871794871796</v>
      </c>
      <c r="Y3409" t="str">
        <f>IF(Table1[[#This Row],[customer_subscription]]=1,"Subscribed","Not Subscribed")</f>
        <v>Not Subscribed</v>
      </c>
    </row>
    <row r="3410" spans="1:26" x14ac:dyDescent="0.25">
      <c r="A3410">
        <v>3409</v>
      </c>
      <c r="B3410">
        <v>48</v>
      </c>
      <c r="C3410" t="s">
        <v>156</v>
      </c>
      <c r="D3410">
        <v>3409</v>
      </c>
      <c r="E3410" t="s">
        <v>128</v>
      </c>
      <c r="F3410" t="s">
        <v>24</v>
      </c>
      <c r="G3410">
        <v>3409</v>
      </c>
      <c r="H3410">
        <v>4289</v>
      </c>
      <c r="I3410">
        <v>72</v>
      </c>
      <c r="J3410" t="s">
        <v>59</v>
      </c>
      <c r="K3410" t="s">
        <v>26</v>
      </c>
      <c r="L3410" t="s">
        <v>76</v>
      </c>
      <c r="M3410" t="s">
        <v>56</v>
      </c>
      <c r="N3410">
        <v>4.4000000000000004</v>
      </c>
      <c r="O3410">
        <v>0</v>
      </c>
      <c r="P3410" t="s">
        <v>57</v>
      </c>
      <c r="Q3410" t="s">
        <v>155</v>
      </c>
      <c r="R3410" t="s">
        <v>155</v>
      </c>
      <c r="S3410">
        <v>11</v>
      </c>
      <c r="T3410" t="s">
        <v>78</v>
      </c>
      <c r="U3410" t="s">
        <v>52</v>
      </c>
      <c r="V3410" s="1">
        <v>45490</v>
      </c>
      <c r="W3410">
        <f>Table1[[#This Row],[customer_purchase count]]+1</f>
        <v>12</v>
      </c>
      <c r="X3410">
        <f>Table1[[#This Row],[customer_purchase count]]*Rules!$B$3</f>
        <v>657.40794871794878</v>
      </c>
      <c r="Y3410" t="str">
        <f>IF(Table1[[#This Row],[customer_subscription]]=1,"Subscribed","Not Subscribed")</f>
        <v>Not Subscribed</v>
      </c>
      <c r="Z3410" t="s">
        <v>194</v>
      </c>
    </row>
    <row r="3411" spans="1:26" x14ac:dyDescent="0.25">
      <c r="A3411">
        <v>3410</v>
      </c>
      <c r="B3411">
        <v>24</v>
      </c>
      <c r="C3411" t="s">
        <v>156</v>
      </c>
      <c r="D3411">
        <v>3410</v>
      </c>
      <c r="E3411" t="s">
        <v>58</v>
      </c>
      <c r="F3411" t="s">
        <v>24</v>
      </c>
      <c r="G3411">
        <v>3410</v>
      </c>
      <c r="H3411">
        <v>4291</v>
      </c>
      <c r="I3411">
        <v>93</v>
      </c>
      <c r="J3411" t="s">
        <v>151</v>
      </c>
      <c r="K3411" t="s">
        <v>47</v>
      </c>
      <c r="L3411" t="s">
        <v>88</v>
      </c>
      <c r="M3411" t="s">
        <v>56</v>
      </c>
      <c r="N3411">
        <v>3.2</v>
      </c>
      <c r="O3411">
        <v>0</v>
      </c>
      <c r="P3411" t="s">
        <v>48</v>
      </c>
      <c r="Q3411" t="s">
        <v>155</v>
      </c>
      <c r="R3411" t="s">
        <v>155</v>
      </c>
      <c r="S3411">
        <v>3</v>
      </c>
      <c r="T3411" t="s">
        <v>42</v>
      </c>
      <c r="U3411" t="s">
        <v>100</v>
      </c>
      <c r="V3411" s="1">
        <v>45465</v>
      </c>
      <c r="W3411">
        <f>Table1[[#This Row],[customer_purchase count]]+1</f>
        <v>4</v>
      </c>
      <c r="X3411">
        <f>Table1[[#This Row],[customer_purchase count]]*Rules!$B$3</f>
        <v>179.29307692307694</v>
      </c>
      <c r="Y3411" t="str">
        <f>IF(Table1[[#This Row],[customer_subscription]]=1,"Subscribed","Not Subscribed")</f>
        <v>Not Subscribed</v>
      </c>
      <c r="Z3411" t="s">
        <v>194</v>
      </c>
    </row>
    <row r="3412" spans="1:26" x14ac:dyDescent="0.25">
      <c r="A3412">
        <v>3411</v>
      </c>
      <c r="B3412">
        <v>50</v>
      </c>
      <c r="C3412" t="s">
        <v>156</v>
      </c>
      <c r="D3412">
        <v>3411</v>
      </c>
      <c r="E3412" t="s">
        <v>44</v>
      </c>
      <c r="F3412" t="s">
        <v>45</v>
      </c>
      <c r="G3412">
        <v>3411</v>
      </c>
      <c r="H3412">
        <v>4292</v>
      </c>
      <c r="I3412">
        <v>76</v>
      </c>
      <c r="J3412" t="s">
        <v>126</v>
      </c>
      <c r="K3412" t="s">
        <v>26</v>
      </c>
      <c r="L3412" t="s">
        <v>88</v>
      </c>
      <c r="M3412" t="s">
        <v>56</v>
      </c>
      <c r="N3412">
        <v>4.3</v>
      </c>
      <c r="O3412">
        <v>0</v>
      </c>
      <c r="P3412" t="s">
        <v>41</v>
      </c>
      <c r="Q3412" t="s">
        <v>155</v>
      </c>
      <c r="R3412" t="s">
        <v>155</v>
      </c>
      <c r="S3412">
        <v>38</v>
      </c>
      <c r="T3412" t="s">
        <v>78</v>
      </c>
      <c r="U3412" t="s">
        <v>79</v>
      </c>
      <c r="V3412" s="1">
        <v>45444</v>
      </c>
      <c r="W3412">
        <f>Table1[[#This Row],[customer_purchase count]]+1</f>
        <v>39</v>
      </c>
      <c r="X3412">
        <f>Table1[[#This Row],[customer_purchase count]]*Rules!$B$3</f>
        <v>2271.0456410256411</v>
      </c>
      <c r="Y3412" t="str">
        <f>IF(Table1[[#This Row],[customer_subscription]]=1,"Subscribed","Not Subscribed")</f>
        <v>Not Subscribed</v>
      </c>
    </row>
    <row r="3413" spans="1:26" x14ac:dyDescent="0.25">
      <c r="A3413">
        <v>3412</v>
      </c>
      <c r="B3413">
        <v>29</v>
      </c>
      <c r="C3413" t="s">
        <v>156</v>
      </c>
      <c r="D3413">
        <v>3412</v>
      </c>
      <c r="E3413" t="s">
        <v>74</v>
      </c>
      <c r="F3413" t="s">
        <v>45</v>
      </c>
      <c r="G3413">
        <v>3412</v>
      </c>
      <c r="H3413">
        <v>4293</v>
      </c>
      <c r="I3413">
        <v>56</v>
      </c>
      <c r="J3413" t="s">
        <v>87</v>
      </c>
      <c r="K3413" t="s">
        <v>26</v>
      </c>
      <c r="L3413" t="s">
        <v>27</v>
      </c>
      <c r="M3413" t="s">
        <v>28</v>
      </c>
      <c r="N3413">
        <v>4.9000000000000004</v>
      </c>
      <c r="O3413">
        <v>0</v>
      </c>
      <c r="P3413" t="s">
        <v>73</v>
      </c>
      <c r="Q3413" t="s">
        <v>155</v>
      </c>
      <c r="R3413" t="s">
        <v>155</v>
      </c>
      <c r="S3413">
        <v>45</v>
      </c>
      <c r="T3413" t="s">
        <v>36</v>
      </c>
      <c r="U3413" t="s">
        <v>43</v>
      </c>
      <c r="V3413" s="1">
        <v>45307</v>
      </c>
      <c r="W3413">
        <f>Table1[[#This Row],[customer_purchase count]]+1</f>
        <v>46</v>
      </c>
      <c r="X3413">
        <f>Table1[[#This Row],[customer_purchase count]]*Rules!$B$3</f>
        <v>2689.396153846154</v>
      </c>
      <c r="Y3413" t="str">
        <f>IF(Table1[[#This Row],[customer_subscription]]=1,"Subscribed","Not Subscribed")</f>
        <v>Not Subscribed</v>
      </c>
    </row>
    <row r="3414" spans="1:26" x14ac:dyDescent="0.25">
      <c r="A3414">
        <v>3413</v>
      </c>
      <c r="B3414">
        <v>61</v>
      </c>
      <c r="C3414" t="s">
        <v>156</v>
      </c>
      <c r="D3414">
        <v>3413</v>
      </c>
      <c r="E3414" t="s">
        <v>44</v>
      </c>
      <c r="F3414" t="s">
        <v>45</v>
      </c>
      <c r="G3414">
        <v>3413</v>
      </c>
      <c r="H3414">
        <v>4294</v>
      </c>
      <c r="I3414">
        <v>83</v>
      </c>
      <c r="J3414" t="s">
        <v>119</v>
      </c>
      <c r="K3414" t="s">
        <v>47</v>
      </c>
      <c r="L3414" t="s">
        <v>139</v>
      </c>
      <c r="M3414" t="s">
        <v>60</v>
      </c>
      <c r="N3414">
        <v>3.8</v>
      </c>
      <c r="O3414">
        <v>0</v>
      </c>
      <c r="P3414" t="s">
        <v>77</v>
      </c>
      <c r="Q3414" t="s">
        <v>155</v>
      </c>
      <c r="R3414" t="s">
        <v>155</v>
      </c>
      <c r="S3414">
        <v>31</v>
      </c>
      <c r="T3414" t="s">
        <v>31</v>
      </c>
      <c r="U3414" t="s">
        <v>61</v>
      </c>
      <c r="V3414" s="1">
        <v>45541</v>
      </c>
      <c r="W3414">
        <f>Table1[[#This Row],[customer_purchase count]]+1</f>
        <v>32</v>
      </c>
      <c r="X3414">
        <f>Table1[[#This Row],[customer_purchase count]]*Rules!$B$3</f>
        <v>1852.6951282051282</v>
      </c>
      <c r="Y3414" t="str">
        <f>IF(Table1[[#This Row],[customer_subscription]]=1,"Subscribed","Not Subscribed")</f>
        <v>Not Subscribed</v>
      </c>
    </row>
    <row r="3415" spans="1:26" x14ac:dyDescent="0.25">
      <c r="A3415">
        <v>3414</v>
      </c>
      <c r="B3415">
        <v>34</v>
      </c>
      <c r="C3415" t="s">
        <v>156</v>
      </c>
      <c r="D3415">
        <v>3414</v>
      </c>
      <c r="E3415" t="s">
        <v>146</v>
      </c>
      <c r="F3415" t="s">
        <v>70</v>
      </c>
      <c r="G3415">
        <v>3414</v>
      </c>
      <c r="H3415">
        <v>4295</v>
      </c>
      <c r="I3415">
        <v>90</v>
      </c>
      <c r="J3415" t="s">
        <v>82</v>
      </c>
      <c r="K3415" t="s">
        <v>95</v>
      </c>
      <c r="L3415" t="s">
        <v>97</v>
      </c>
      <c r="M3415" t="s">
        <v>28</v>
      </c>
      <c r="N3415">
        <v>2.5</v>
      </c>
      <c r="O3415">
        <v>0</v>
      </c>
      <c r="P3415" t="s">
        <v>29</v>
      </c>
      <c r="Q3415" t="s">
        <v>155</v>
      </c>
      <c r="R3415" t="s">
        <v>155</v>
      </c>
      <c r="S3415">
        <v>16</v>
      </c>
      <c r="T3415" t="s">
        <v>49</v>
      </c>
      <c r="U3415" t="s">
        <v>79</v>
      </c>
      <c r="V3415" s="1">
        <v>45344</v>
      </c>
      <c r="W3415">
        <f>Table1[[#This Row],[customer_purchase count]]+1</f>
        <v>17</v>
      </c>
      <c r="X3415">
        <f>Table1[[#This Row],[customer_purchase count]]*Rules!$B$3</f>
        <v>956.22974358974363</v>
      </c>
      <c r="Y3415" t="str">
        <f>IF(Table1[[#This Row],[customer_subscription]]=1,"Subscribed","Not Subscribed")</f>
        <v>Not Subscribed</v>
      </c>
      <c r="Z3415" t="s">
        <v>194</v>
      </c>
    </row>
    <row r="3416" spans="1:26" x14ac:dyDescent="0.25">
      <c r="A3416">
        <v>3415</v>
      </c>
      <c r="B3416">
        <v>27</v>
      </c>
      <c r="C3416" t="s">
        <v>156</v>
      </c>
      <c r="D3416">
        <v>3415</v>
      </c>
      <c r="E3416" t="s">
        <v>140</v>
      </c>
      <c r="F3416" t="s">
        <v>45</v>
      </c>
      <c r="G3416">
        <v>3415</v>
      </c>
      <c r="H3416">
        <v>4297</v>
      </c>
      <c r="I3416">
        <v>94</v>
      </c>
      <c r="J3416" t="s">
        <v>142</v>
      </c>
      <c r="K3416" t="s">
        <v>47</v>
      </c>
      <c r="L3416" t="s">
        <v>35</v>
      </c>
      <c r="M3416" t="s">
        <v>40</v>
      </c>
      <c r="N3416">
        <v>4.9000000000000004</v>
      </c>
      <c r="O3416">
        <v>0</v>
      </c>
      <c r="P3416" t="s">
        <v>48</v>
      </c>
      <c r="Q3416" t="s">
        <v>155</v>
      </c>
      <c r="R3416" t="s">
        <v>155</v>
      </c>
      <c r="S3416">
        <v>3</v>
      </c>
      <c r="T3416" t="s">
        <v>78</v>
      </c>
      <c r="U3416" t="s">
        <v>61</v>
      </c>
      <c r="V3416" s="1">
        <v>45388</v>
      </c>
      <c r="W3416">
        <f>Table1[[#This Row],[customer_purchase count]]+1</f>
        <v>4</v>
      </c>
      <c r="X3416">
        <f>Table1[[#This Row],[customer_purchase count]]*Rules!$B$3</f>
        <v>179.29307692307694</v>
      </c>
      <c r="Y3416" t="str">
        <f>IF(Table1[[#This Row],[customer_subscription]]=1,"Subscribed","Not Subscribed")</f>
        <v>Not Subscribed</v>
      </c>
      <c r="Z3416" t="s">
        <v>194</v>
      </c>
    </row>
    <row r="3417" spans="1:26" x14ac:dyDescent="0.25">
      <c r="A3417">
        <v>3416</v>
      </c>
      <c r="B3417">
        <v>38</v>
      </c>
      <c r="C3417" t="s">
        <v>156</v>
      </c>
      <c r="D3417">
        <v>3416</v>
      </c>
      <c r="E3417" t="s">
        <v>23</v>
      </c>
      <c r="F3417" t="s">
        <v>24</v>
      </c>
      <c r="G3417">
        <v>3416</v>
      </c>
      <c r="H3417">
        <v>4298</v>
      </c>
      <c r="I3417">
        <v>68</v>
      </c>
      <c r="J3417" t="s">
        <v>87</v>
      </c>
      <c r="K3417" t="s">
        <v>47</v>
      </c>
      <c r="L3417" t="s">
        <v>83</v>
      </c>
      <c r="M3417" t="s">
        <v>60</v>
      </c>
      <c r="N3417">
        <v>3</v>
      </c>
      <c r="O3417">
        <v>0</v>
      </c>
      <c r="P3417" t="s">
        <v>73</v>
      </c>
      <c r="Q3417" t="s">
        <v>155</v>
      </c>
      <c r="R3417" t="s">
        <v>155</v>
      </c>
      <c r="S3417">
        <v>15</v>
      </c>
      <c r="T3417" t="s">
        <v>78</v>
      </c>
      <c r="U3417" t="s">
        <v>52</v>
      </c>
      <c r="V3417" s="1">
        <v>45608</v>
      </c>
      <c r="W3417">
        <f>Table1[[#This Row],[customer_purchase count]]+1</f>
        <v>16</v>
      </c>
      <c r="X3417">
        <f>Table1[[#This Row],[customer_purchase count]]*Rules!$B$3</f>
        <v>896.46538461538466</v>
      </c>
      <c r="Y3417" t="str">
        <f>IF(Table1[[#This Row],[customer_subscription]]=1,"Subscribed","Not Subscribed")</f>
        <v>Not Subscribed</v>
      </c>
      <c r="Z3417" t="s">
        <v>194</v>
      </c>
    </row>
    <row r="3418" spans="1:26" x14ac:dyDescent="0.25">
      <c r="A3418">
        <v>3417</v>
      </c>
      <c r="B3418">
        <v>25</v>
      </c>
      <c r="C3418" t="s">
        <v>156</v>
      </c>
      <c r="D3418">
        <v>3417</v>
      </c>
      <c r="E3418" t="s">
        <v>44</v>
      </c>
      <c r="F3418" t="s">
        <v>45</v>
      </c>
      <c r="G3418">
        <v>3417</v>
      </c>
      <c r="H3418">
        <v>4299</v>
      </c>
      <c r="I3418">
        <v>53</v>
      </c>
      <c r="J3418" t="s">
        <v>93</v>
      </c>
      <c r="K3418" t="s">
        <v>47</v>
      </c>
      <c r="L3418" t="s">
        <v>76</v>
      </c>
      <c r="M3418" t="s">
        <v>40</v>
      </c>
      <c r="N3418">
        <v>3.2</v>
      </c>
      <c r="O3418">
        <v>0</v>
      </c>
      <c r="P3418" t="s">
        <v>77</v>
      </c>
      <c r="Q3418" t="s">
        <v>155</v>
      </c>
      <c r="R3418" t="s">
        <v>155</v>
      </c>
      <c r="S3418">
        <v>11</v>
      </c>
      <c r="T3418" t="s">
        <v>78</v>
      </c>
      <c r="U3418" t="s">
        <v>100</v>
      </c>
      <c r="V3418" s="1">
        <v>45401</v>
      </c>
      <c r="W3418">
        <f>Table1[[#This Row],[customer_purchase count]]+1</f>
        <v>12</v>
      </c>
      <c r="X3418">
        <f>Table1[[#This Row],[customer_purchase count]]*Rules!$B$3</f>
        <v>657.40794871794878</v>
      </c>
      <c r="Y3418" t="str">
        <f>IF(Table1[[#This Row],[customer_subscription]]=1,"Subscribed","Not Subscribed")</f>
        <v>Not Subscribed</v>
      </c>
      <c r="Z3418" t="s">
        <v>187</v>
      </c>
    </row>
    <row r="3419" spans="1:26" x14ac:dyDescent="0.25">
      <c r="A3419">
        <v>3418</v>
      </c>
      <c r="B3419">
        <v>54</v>
      </c>
      <c r="C3419" t="s">
        <v>156</v>
      </c>
      <c r="D3419">
        <v>3418</v>
      </c>
      <c r="E3419" t="s">
        <v>65</v>
      </c>
      <c r="F3419" t="s">
        <v>66</v>
      </c>
      <c r="G3419">
        <v>3418</v>
      </c>
      <c r="H3419">
        <v>4300</v>
      </c>
      <c r="I3419">
        <v>35</v>
      </c>
      <c r="J3419" t="s">
        <v>38</v>
      </c>
      <c r="K3419" t="s">
        <v>47</v>
      </c>
      <c r="L3419" t="s">
        <v>147</v>
      </c>
      <c r="M3419" t="s">
        <v>56</v>
      </c>
      <c r="N3419">
        <v>2.9</v>
      </c>
      <c r="O3419">
        <v>0</v>
      </c>
      <c r="P3419" t="s">
        <v>73</v>
      </c>
      <c r="Q3419" t="s">
        <v>155</v>
      </c>
      <c r="R3419" t="s">
        <v>155</v>
      </c>
      <c r="S3419">
        <v>22</v>
      </c>
      <c r="T3419" t="s">
        <v>89</v>
      </c>
      <c r="U3419" t="s">
        <v>32</v>
      </c>
      <c r="V3419" s="1">
        <v>45474</v>
      </c>
      <c r="W3419">
        <f>Table1[[#This Row],[customer_purchase count]]+1</f>
        <v>23</v>
      </c>
      <c r="X3419">
        <f>Table1[[#This Row],[customer_purchase count]]*Rules!$B$3</f>
        <v>1314.8158974358976</v>
      </c>
      <c r="Y3419" t="str">
        <f>IF(Table1[[#This Row],[customer_subscription]]=1,"Subscribed","Not Subscribed")</f>
        <v>Not Subscribed</v>
      </c>
    </row>
    <row r="3420" spans="1:26" x14ac:dyDescent="0.25">
      <c r="A3420">
        <v>3419</v>
      </c>
      <c r="B3420">
        <v>53</v>
      </c>
      <c r="C3420" t="s">
        <v>156</v>
      </c>
      <c r="D3420">
        <v>3419</v>
      </c>
      <c r="E3420" t="s">
        <v>105</v>
      </c>
      <c r="F3420" t="s">
        <v>66</v>
      </c>
      <c r="G3420">
        <v>3419</v>
      </c>
      <c r="H3420">
        <v>4301</v>
      </c>
      <c r="I3420">
        <v>30</v>
      </c>
      <c r="J3420" t="s">
        <v>134</v>
      </c>
      <c r="K3420" t="s">
        <v>47</v>
      </c>
      <c r="L3420" t="s">
        <v>121</v>
      </c>
      <c r="M3420" t="s">
        <v>56</v>
      </c>
      <c r="N3420">
        <v>2.8</v>
      </c>
      <c r="O3420">
        <v>0</v>
      </c>
      <c r="P3420" t="s">
        <v>41</v>
      </c>
      <c r="Q3420" t="s">
        <v>155</v>
      </c>
      <c r="R3420" t="s">
        <v>155</v>
      </c>
      <c r="S3420">
        <v>35</v>
      </c>
      <c r="T3420" t="s">
        <v>89</v>
      </c>
      <c r="U3420" t="s">
        <v>52</v>
      </c>
      <c r="V3420" s="1">
        <v>45530</v>
      </c>
      <c r="W3420">
        <f>Table1[[#This Row],[customer_purchase count]]+1</f>
        <v>36</v>
      </c>
      <c r="X3420">
        <f>Table1[[#This Row],[customer_purchase count]]*Rules!$B$3</f>
        <v>2091.7525641025641</v>
      </c>
      <c r="Y3420" t="str">
        <f>IF(Table1[[#This Row],[customer_subscription]]=1,"Subscribed","Not Subscribed")</f>
        <v>Not Subscribed</v>
      </c>
    </row>
    <row r="3421" spans="1:26" x14ac:dyDescent="0.25">
      <c r="A3421">
        <v>3420</v>
      </c>
      <c r="B3421">
        <v>23</v>
      </c>
      <c r="C3421" t="s">
        <v>156</v>
      </c>
      <c r="D3421">
        <v>3420</v>
      </c>
      <c r="E3421" t="s">
        <v>109</v>
      </c>
      <c r="F3421" t="s">
        <v>70</v>
      </c>
      <c r="G3421">
        <v>3420</v>
      </c>
      <c r="H3421">
        <v>4303</v>
      </c>
      <c r="I3421">
        <v>26</v>
      </c>
      <c r="J3421" t="s">
        <v>67</v>
      </c>
      <c r="K3421" t="s">
        <v>26</v>
      </c>
      <c r="L3421" t="s">
        <v>129</v>
      </c>
      <c r="M3421" t="s">
        <v>28</v>
      </c>
      <c r="N3421">
        <v>3.1</v>
      </c>
      <c r="O3421">
        <v>0</v>
      </c>
      <c r="P3421" t="s">
        <v>77</v>
      </c>
      <c r="Q3421" t="s">
        <v>155</v>
      </c>
      <c r="R3421" t="s">
        <v>155</v>
      </c>
      <c r="S3421">
        <v>5</v>
      </c>
      <c r="T3421" t="s">
        <v>31</v>
      </c>
      <c r="U3421" t="s">
        <v>79</v>
      </c>
      <c r="V3421" s="1">
        <v>45310</v>
      </c>
      <c r="W3421">
        <f>Table1[[#This Row],[customer_purchase count]]+1</f>
        <v>6</v>
      </c>
      <c r="X3421">
        <f>Table1[[#This Row],[customer_purchase count]]*Rules!$B$3</f>
        <v>298.82179487179491</v>
      </c>
      <c r="Y3421" t="str">
        <f>IF(Table1[[#This Row],[customer_subscription]]=1,"Subscribed","Not Subscribed")</f>
        <v>Not Subscribed</v>
      </c>
      <c r="Z3421" t="s">
        <v>194</v>
      </c>
    </row>
    <row r="3422" spans="1:26" x14ac:dyDescent="0.25">
      <c r="A3422">
        <v>3421</v>
      </c>
      <c r="B3422">
        <v>19</v>
      </c>
      <c r="C3422" t="s">
        <v>156</v>
      </c>
      <c r="D3422">
        <v>3421</v>
      </c>
      <c r="E3422" t="s">
        <v>127</v>
      </c>
      <c r="F3422" t="s">
        <v>70</v>
      </c>
      <c r="G3422">
        <v>3421</v>
      </c>
      <c r="H3422">
        <v>4304</v>
      </c>
      <c r="I3422">
        <v>60</v>
      </c>
      <c r="J3422" t="s">
        <v>25</v>
      </c>
      <c r="K3422" t="s">
        <v>47</v>
      </c>
      <c r="L3422" t="s">
        <v>76</v>
      </c>
      <c r="M3422" t="s">
        <v>28</v>
      </c>
      <c r="N3422">
        <v>3.4</v>
      </c>
      <c r="O3422">
        <v>0</v>
      </c>
      <c r="P3422" t="s">
        <v>29</v>
      </c>
      <c r="Q3422" t="s">
        <v>155</v>
      </c>
      <c r="R3422" t="s">
        <v>155</v>
      </c>
      <c r="S3422">
        <v>35</v>
      </c>
      <c r="T3422" t="s">
        <v>49</v>
      </c>
      <c r="U3422" t="s">
        <v>79</v>
      </c>
      <c r="V3422" s="1">
        <v>45645</v>
      </c>
      <c r="W3422">
        <f>Table1[[#This Row],[customer_purchase count]]+1</f>
        <v>36</v>
      </c>
      <c r="X3422">
        <f>Table1[[#This Row],[customer_purchase count]]*Rules!$B$3</f>
        <v>2091.7525641025641</v>
      </c>
      <c r="Y3422" t="str">
        <f>IF(Table1[[#This Row],[customer_subscription]]=1,"Subscribed","Not Subscribed")</f>
        <v>Not Subscribed</v>
      </c>
    </row>
    <row r="3423" spans="1:26" x14ac:dyDescent="0.25">
      <c r="A3423">
        <v>3422</v>
      </c>
      <c r="B3423">
        <v>57</v>
      </c>
      <c r="C3423" t="s">
        <v>156</v>
      </c>
      <c r="D3423">
        <v>3422</v>
      </c>
      <c r="E3423" t="s">
        <v>74</v>
      </c>
      <c r="F3423" t="s">
        <v>45</v>
      </c>
      <c r="G3423">
        <v>3422</v>
      </c>
      <c r="H3423">
        <v>4305</v>
      </c>
      <c r="I3423">
        <v>30</v>
      </c>
      <c r="J3423" t="s">
        <v>130</v>
      </c>
      <c r="K3423" t="s">
        <v>47</v>
      </c>
      <c r="L3423" t="s">
        <v>35</v>
      </c>
      <c r="M3423" t="s">
        <v>56</v>
      </c>
      <c r="N3423">
        <v>2.9</v>
      </c>
      <c r="O3423">
        <v>0</v>
      </c>
      <c r="P3423" t="s">
        <v>41</v>
      </c>
      <c r="Q3423" t="s">
        <v>155</v>
      </c>
      <c r="R3423" t="s">
        <v>155</v>
      </c>
      <c r="S3423">
        <v>27</v>
      </c>
      <c r="T3423" t="s">
        <v>49</v>
      </c>
      <c r="U3423" t="s">
        <v>43</v>
      </c>
      <c r="V3423" s="1">
        <v>45452</v>
      </c>
      <c r="W3423">
        <f>Table1[[#This Row],[customer_purchase count]]+1</f>
        <v>28</v>
      </c>
      <c r="X3423">
        <f>Table1[[#This Row],[customer_purchase count]]*Rules!$B$3</f>
        <v>1613.6376923076923</v>
      </c>
      <c r="Y3423" t="str">
        <f>IF(Table1[[#This Row],[customer_subscription]]=1,"Subscribed","Not Subscribed")</f>
        <v>Not Subscribed</v>
      </c>
    </row>
    <row r="3424" spans="1:26" x14ac:dyDescent="0.25">
      <c r="A3424">
        <v>3423</v>
      </c>
      <c r="B3424">
        <v>19</v>
      </c>
      <c r="C3424" t="s">
        <v>156</v>
      </c>
      <c r="D3424">
        <v>3423</v>
      </c>
      <c r="E3424" t="s">
        <v>65</v>
      </c>
      <c r="F3424" t="s">
        <v>66</v>
      </c>
      <c r="G3424">
        <v>3423</v>
      </c>
      <c r="H3424">
        <v>4306</v>
      </c>
      <c r="I3424">
        <v>91</v>
      </c>
      <c r="J3424" t="s">
        <v>87</v>
      </c>
      <c r="K3424" t="s">
        <v>26</v>
      </c>
      <c r="L3424" t="s">
        <v>121</v>
      </c>
      <c r="M3424" t="s">
        <v>28</v>
      </c>
      <c r="N3424">
        <v>3.2</v>
      </c>
      <c r="O3424">
        <v>0</v>
      </c>
      <c r="P3424" t="s">
        <v>48</v>
      </c>
      <c r="Q3424" t="s">
        <v>155</v>
      </c>
      <c r="R3424" t="s">
        <v>155</v>
      </c>
      <c r="S3424">
        <v>9</v>
      </c>
      <c r="T3424" t="s">
        <v>31</v>
      </c>
      <c r="U3424" t="s">
        <v>91</v>
      </c>
      <c r="V3424" s="1">
        <v>45630</v>
      </c>
      <c r="W3424">
        <f>Table1[[#This Row],[customer_purchase count]]+1</f>
        <v>10</v>
      </c>
      <c r="X3424">
        <f>Table1[[#This Row],[customer_purchase count]]*Rules!$B$3</f>
        <v>537.87923076923084</v>
      </c>
      <c r="Y3424" t="str">
        <f>IF(Table1[[#This Row],[customer_subscription]]=1,"Subscribed","Not Subscribed")</f>
        <v>Not Subscribed</v>
      </c>
      <c r="Z3424" t="s">
        <v>187</v>
      </c>
    </row>
    <row r="3425" spans="1:26" x14ac:dyDescent="0.25">
      <c r="A3425">
        <v>3424</v>
      </c>
      <c r="B3425">
        <v>33</v>
      </c>
      <c r="C3425" t="s">
        <v>156</v>
      </c>
      <c r="D3425">
        <v>3424</v>
      </c>
      <c r="E3425" t="s">
        <v>140</v>
      </c>
      <c r="F3425" t="s">
        <v>45</v>
      </c>
      <c r="G3425">
        <v>3424</v>
      </c>
      <c r="H3425">
        <v>4307</v>
      </c>
      <c r="I3425">
        <v>71</v>
      </c>
      <c r="J3425" t="s">
        <v>38</v>
      </c>
      <c r="K3425" t="s">
        <v>47</v>
      </c>
      <c r="L3425" t="s">
        <v>113</v>
      </c>
      <c r="M3425" t="s">
        <v>40</v>
      </c>
      <c r="N3425">
        <v>3.8</v>
      </c>
      <c r="O3425">
        <v>0</v>
      </c>
      <c r="P3425" t="s">
        <v>48</v>
      </c>
      <c r="Q3425" t="s">
        <v>155</v>
      </c>
      <c r="R3425" t="s">
        <v>155</v>
      </c>
      <c r="S3425">
        <v>21</v>
      </c>
      <c r="T3425" t="s">
        <v>49</v>
      </c>
      <c r="U3425" t="s">
        <v>79</v>
      </c>
      <c r="V3425" s="1">
        <v>45433</v>
      </c>
      <c r="W3425">
        <f>Table1[[#This Row],[customer_purchase count]]+1</f>
        <v>22</v>
      </c>
      <c r="X3425">
        <f>Table1[[#This Row],[customer_purchase count]]*Rules!$B$3</f>
        <v>1255.0515384615385</v>
      </c>
      <c r="Y3425" t="str">
        <f>IF(Table1[[#This Row],[customer_subscription]]=1,"Subscribed","Not Subscribed")</f>
        <v>Not Subscribed</v>
      </c>
    </row>
    <row r="3426" spans="1:26" x14ac:dyDescent="0.25">
      <c r="A3426">
        <v>3425</v>
      </c>
      <c r="B3426">
        <v>33</v>
      </c>
      <c r="C3426" t="s">
        <v>156</v>
      </c>
      <c r="D3426">
        <v>3425</v>
      </c>
      <c r="E3426" t="s">
        <v>122</v>
      </c>
      <c r="F3426" t="s">
        <v>70</v>
      </c>
      <c r="G3426">
        <v>3425</v>
      </c>
      <c r="H3426">
        <v>4309</v>
      </c>
      <c r="I3426">
        <v>64</v>
      </c>
      <c r="J3426" t="s">
        <v>106</v>
      </c>
      <c r="K3426" t="s">
        <v>26</v>
      </c>
      <c r="L3426" t="s">
        <v>99</v>
      </c>
      <c r="M3426" t="s">
        <v>56</v>
      </c>
      <c r="N3426">
        <v>3.6</v>
      </c>
      <c r="O3426">
        <v>0</v>
      </c>
      <c r="P3426" t="s">
        <v>73</v>
      </c>
      <c r="Q3426" t="s">
        <v>155</v>
      </c>
      <c r="R3426" t="s">
        <v>155</v>
      </c>
      <c r="S3426">
        <v>23</v>
      </c>
      <c r="T3426" t="s">
        <v>42</v>
      </c>
      <c r="U3426" t="s">
        <v>91</v>
      </c>
      <c r="V3426" s="1">
        <v>45528</v>
      </c>
      <c r="W3426">
        <f>Table1[[#This Row],[customer_purchase count]]+1</f>
        <v>24</v>
      </c>
      <c r="X3426">
        <f>Table1[[#This Row],[customer_purchase count]]*Rules!$B$3</f>
        <v>1374.5802564102564</v>
      </c>
      <c r="Y3426" t="str">
        <f>IF(Table1[[#This Row],[customer_subscription]]=1,"Subscribed","Not Subscribed")</f>
        <v>Not Subscribed</v>
      </c>
    </row>
    <row r="3427" spans="1:26" x14ac:dyDescent="0.25">
      <c r="A3427">
        <v>3426</v>
      </c>
      <c r="B3427">
        <v>38</v>
      </c>
      <c r="C3427" t="s">
        <v>156</v>
      </c>
      <c r="D3427">
        <v>3426</v>
      </c>
      <c r="E3427" t="s">
        <v>127</v>
      </c>
      <c r="F3427" t="s">
        <v>70</v>
      </c>
      <c r="G3427">
        <v>3426</v>
      </c>
      <c r="H3427">
        <v>4310</v>
      </c>
      <c r="I3427">
        <v>54</v>
      </c>
      <c r="J3427" t="s">
        <v>154</v>
      </c>
      <c r="K3427" t="s">
        <v>47</v>
      </c>
      <c r="L3427" t="s">
        <v>147</v>
      </c>
      <c r="M3427" t="s">
        <v>56</v>
      </c>
      <c r="N3427">
        <v>4.3</v>
      </c>
      <c r="O3427">
        <v>0</v>
      </c>
      <c r="P3427" t="s">
        <v>48</v>
      </c>
      <c r="Q3427" t="s">
        <v>155</v>
      </c>
      <c r="R3427" t="s">
        <v>155</v>
      </c>
      <c r="S3427">
        <v>3</v>
      </c>
      <c r="T3427" t="s">
        <v>89</v>
      </c>
      <c r="U3427" t="s">
        <v>79</v>
      </c>
      <c r="V3427" s="1">
        <v>45482</v>
      </c>
      <c r="W3427">
        <f>Table1[[#This Row],[customer_purchase count]]+1</f>
        <v>4</v>
      </c>
      <c r="X3427">
        <f>Table1[[#This Row],[customer_purchase count]]*Rules!$B$3</f>
        <v>179.29307692307694</v>
      </c>
      <c r="Y3427" t="str">
        <f>IF(Table1[[#This Row],[customer_subscription]]=1,"Subscribed","Not Subscribed")</f>
        <v>Not Subscribed</v>
      </c>
      <c r="Z3427" t="s">
        <v>194</v>
      </c>
    </row>
    <row r="3428" spans="1:26" x14ac:dyDescent="0.25">
      <c r="A3428">
        <v>3427</v>
      </c>
      <c r="B3428">
        <v>47</v>
      </c>
      <c r="C3428" t="s">
        <v>156</v>
      </c>
      <c r="D3428">
        <v>3427</v>
      </c>
      <c r="E3428" t="s">
        <v>128</v>
      </c>
      <c r="F3428" t="s">
        <v>24</v>
      </c>
      <c r="G3428">
        <v>3427</v>
      </c>
      <c r="H3428">
        <v>4311</v>
      </c>
      <c r="I3428">
        <v>35</v>
      </c>
      <c r="J3428" t="s">
        <v>50</v>
      </c>
      <c r="K3428" t="s">
        <v>95</v>
      </c>
      <c r="L3428" t="s">
        <v>139</v>
      </c>
      <c r="M3428" t="s">
        <v>60</v>
      </c>
      <c r="N3428">
        <v>4.8</v>
      </c>
      <c r="O3428">
        <v>0</v>
      </c>
      <c r="P3428" t="s">
        <v>73</v>
      </c>
      <c r="Q3428" t="s">
        <v>155</v>
      </c>
      <c r="R3428" t="s">
        <v>155</v>
      </c>
      <c r="S3428">
        <v>31</v>
      </c>
      <c r="T3428" t="s">
        <v>42</v>
      </c>
      <c r="U3428" t="s">
        <v>52</v>
      </c>
      <c r="V3428" s="1">
        <v>45592</v>
      </c>
      <c r="W3428">
        <f>Table1[[#This Row],[customer_purchase count]]+1</f>
        <v>32</v>
      </c>
      <c r="X3428">
        <f>Table1[[#This Row],[customer_purchase count]]*Rules!$B$3</f>
        <v>1852.6951282051282</v>
      </c>
      <c r="Y3428" t="str">
        <f>IF(Table1[[#This Row],[customer_subscription]]=1,"Subscribed","Not Subscribed")</f>
        <v>Not Subscribed</v>
      </c>
    </row>
    <row r="3429" spans="1:26" x14ac:dyDescent="0.25">
      <c r="A3429">
        <v>3428</v>
      </c>
      <c r="B3429">
        <v>39</v>
      </c>
      <c r="C3429" t="s">
        <v>156</v>
      </c>
      <c r="D3429">
        <v>3428</v>
      </c>
      <c r="E3429" t="s">
        <v>116</v>
      </c>
      <c r="F3429" t="s">
        <v>24</v>
      </c>
      <c r="G3429">
        <v>3428</v>
      </c>
      <c r="H3429">
        <v>4312</v>
      </c>
      <c r="I3429">
        <v>38</v>
      </c>
      <c r="J3429" t="s">
        <v>154</v>
      </c>
      <c r="K3429" t="s">
        <v>95</v>
      </c>
      <c r="L3429" t="s">
        <v>51</v>
      </c>
      <c r="M3429" t="s">
        <v>28</v>
      </c>
      <c r="N3429">
        <v>2.5</v>
      </c>
      <c r="O3429">
        <v>0</v>
      </c>
      <c r="P3429" t="s">
        <v>77</v>
      </c>
      <c r="Q3429" t="s">
        <v>155</v>
      </c>
      <c r="R3429" t="s">
        <v>155</v>
      </c>
      <c r="S3429">
        <v>44</v>
      </c>
      <c r="T3429" t="s">
        <v>36</v>
      </c>
      <c r="U3429" t="s">
        <v>52</v>
      </c>
      <c r="V3429" s="1">
        <v>45653</v>
      </c>
      <c r="W3429">
        <f>Table1[[#This Row],[customer_purchase count]]+1</f>
        <v>45</v>
      </c>
      <c r="X3429">
        <f>Table1[[#This Row],[customer_purchase count]]*Rules!$B$3</f>
        <v>2629.6317948717951</v>
      </c>
      <c r="Y3429" t="str">
        <f>IF(Table1[[#This Row],[customer_subscription]]=1,"Subscribed","Not Subscribed")</f>
        <v>Not Subscribed</v>
      </c>
    </row>
    <row r="3430" spans="1:26" x14ac:dyDescent="0.25">
      <c r="A3430">
        <v>3429</v>
      </c>
      <c r="B3430">
        <v>32</v>
      </c>
      <c r="C3430" t="s">
        <v>156</v>
      </c>
      <c r="D3430">
        <v>3429</v>
      </c>
      <c r="E3430" t="s">
        <v>109</v>
      </c>
      <c r="F3430" t="s">
        <v>70</v>
      </c>
      <c r="G3430">
        <v>3429</v>
      </c>
      <c r="H3430">
        <v>4313</v>
      </c>
      <c r="I3430">
        <v>69</v>
      </c>
      <c r="J3430" t="s">
        <v>152</v>
      </c>
      <c r="K3430" t="s">
        <v>47</v>
      </c>
      <c r="L3430" t="s">
        <v>27</v>
      </c>
      <c r="M3430" t="s">
        <v>60</v>
      </c>
      <c r="N3430">
        <v>2.5</v>
      </c>
      <c r="O3430">
        <v>0</v>
      </c>
      <c r="P3430" t="s">
        <v>48</v>
      </c>
      <c r="Q3430" t="s">
        <v>155</v>
      </c>
      <c r="R3430" t="s">
        <v>155</v>
      </c>
      <c r="S3430">
        <v>20</v>
      </c>
      <c r="T3430" t="s">
        <v>31</v>
      </c>
      <c r="U3430" t="s">
        <v>91</v>
      </c>
      <c r="V3430" s="1">
        <v>45592</v>
      </c>
      <c r="W3430">
        <f>Table1[[#This Row],[customer_purchase count]]+1</f>
        <v>21</v>
      </c>
      <c r="X3430">
        <f>Table1[[#This Row],[customer_purchase count]]*Rules!$B$3</f>
        <v>1195.2871794871796</v>
      </c>
      <c r="Y3430" t="str">
        <f>IF(Table1[[#This Row],[customer_subscription]]=1,"Subscribed","Not Subscribed")</f>
        <v>Not Subscribed</v>
      </c>
    </row>
    <row r="3431" spans="1:26" x14ac:dyDescent="0.25">
      <c r="A3431">
        <v>3430</v>
      </c>
      <c r="B3431">
        <v>27</v>
      </c>
      <c r="C3431" t="s">
        <v>156</v>
      </c>
      <c r="D3431">
        <v>3430</v>
      </c>
      <c r="E3431" t="s">
        <v>90</v>
      </c>
      <c r="F3431" t="s">
        <v>24</v>
      </c>
      <c r="G3431">
        <v>3430</v>
      </c>
      <c r="H3431">
        <v>4315</v>
      </c>
      <c r="I3431">
        <v>96</v>
      </c>
      <c r="J3431" t="s">
        <v>123</v>
      </c>
      <c r="K3431" t="s">
        <v>39</v>
      </c>
      <c r="L3431" t="s">
        <v>76</v>
      </c>
      <c r="M3431" t="s">
        <v>28</v>
      </c>
      <c r="N3431">
        <v>4.5999999999999996</v>
      </c>
      <c r="O3431">
        <v>0</v>
      </c>
      <c r="P3431" t="s">
        <v>29</v>
      </c>
      <c r="Q3431" t="s">
        <v>155</v>
      </c>
      <c r="R3431" t="s">
        <v>155</v>
      </c>
      <c r="S3431">
        <v>34</v>
      </c>
      <c r="T3431" t="s">
        <v>89</v>
      </c>
      <c r="U3431" t="s">
        <v>43</v>
      </c>
      <c r="V3431" s="1">
        <v>45323</v>
      </c>
      <c r="W3431">
        <f>Table1[[#This Row],[customer_purchase count]]+1</f>
        <v>35</v>
      </c>
      <c r="X3431">
        <f>Table1[[#This Row],[customer_purchase count]]*Rules!$B$3</f>
        <v>2031.9882051282052</v>
      </c>
      <c r="Y3431" t="str">
        <f>IF(Table1[[#This Row],[customer_subscription]]=1,"Subscribed","Not Subscribed")</f>
        <v>Not Subscribed</v>
      </c>
    </row>
    <row r="3432" spans="1:26" x14ac:dyDescent="0.25">
      <c r="A3432">
        <v>3431</v>
      </c>
      <c r="B3432">
        <v>67</v>
      </c>
      <c r="C3432" t="s">
        <v>156</v>
      </c>
      <c r="D3432">
        <v>3431</v>
      </c>
      <c r="E3432" t="s">
        <v>128</v>
      </c>
      <c r="F3432" t="s">
        <v>24</v>
      </c>
      <c r="G3432">
        <v>3431</v>
      </c>
      <c r="H3432">
        <v>4316</v>
      </c>
      <c r="I3432">
        <v>73</v>
      </c>
      <c r="J3432" t="s">
        <v>59</v>
      </c>
      <c r="K3432" t="s">
        <v>47</v>
      </c>
      <c r="L3432" t="s">
        <v>96</v>
      </c>
      <c r="M3432" t="s">
        <v>28</v>
      </c>
      <c r="N3432">
        <v>4.2</v>
      </c>
      <c r="O3432">
        <v>0</v>
      </c>
      <c r="P3432" t="s">
        <v>48</v>
      </c>
      <c r="Q3432" t="s">
        <v>155</v>
      </c>
      <c r="R3432" t="s">
        <v>155</v>
      </c>
      <c r="S3432">
        <v>17</v>
      </c>
      <c r="T3432" t="s">
        <v>78</v>
      </c>
      <c r="U3432" t="s">
        <v>100</v>
      </c>
      <c r="V3432" s="1">
        <v>45642</v>
      </c>
      <c r="W3432">
        <f>Table1[[#This Row],[customer_purchase count]]+1</f>
        <v>18</v>
      </c>
      <c r="X3432">
        <f>Table1[[#This Row],[customer_purchase count]]*Rules!$B$3</f>
        <v>1015.9941025641026</v>
      </c>
      <c r="Y3432" t="str">
        <f>IF(Table1[[#This Row],[customer_subscription]]=1,"Subscribed","Not Subscribed")</f>
        <v>Not Subscribed</v>
      </c>
      <c r="Z3432" t="s">
        <v>194</v>
      </c>
    </row>
    <row r="3433" spans="1:26" x14ac:dyDescent="0.25">
      <c r="A3433">
        <v>3432</v>
      </c>
      <c r="B3433">
        <v>46</v>
      </c>
      <c r="C3433" t="s">
        <v>156</v>
      </c>
      <c r="D3433">
        <v>3432</v>
      </c>
      <c r="E3433" t="s">
        <v>136</v>
      </c>
      <c r="F3433" t="s">
        <v>70</v>
      </c>
      <c r="G3433">
        <v>3432</v>
      </c>
      <c r="H3433">
        <v>4317</v>
      </c>
      <c r="I3433">
        <v>49</v>
      </c>
      <c r="J3433" t="s">
        <v>133</v>
      </c>
      <c r="K3433" t="s">
        <v>39</v>
      </c>
      <c r="L3433" t="s">
        <v>99</v>
      </c>
      <c r="M3433" t="s">
        <v>56</v>
      </c>
      <c r="N3433">
        <v>4.2</v>
      </c>
      <c r="O3433">
        <v>0</v>
      </c>
      <c r="P3433" t="s">
        <v>29</v>
      </c>
      <c r="Q3433" t="s">
        <v>155</v>
      </c>
      <c r="R3433" t="s">
        <v>155</v>
      </c>
      <c r="S3433">
        <v>20</v>
      </c>
      <c r="T3433" t="s">
        <v>31</v>
      </c>
      <c r="U3433" t="s">
        <v>52</v>
      </c>
      <c r="V3433" s="1">
        <v>45529</v>
      </c>
      <c r="W3433">
        <f>Table1[[#This Row],[customer_purchase count]]+1</f>
        <v>21</v>
      </c>
      <c r="X3433">
        <f>Table1[[#This Row],[customer_purchase count]]*Rules!$B$3</f>
        <v>1195.2871794871796</v>
      </c>
      <c r="Y3433" t="str">
        <f>IF(Table1[[#This Row],[customer_subscription]]=1,"Subscribed","Not Subscribed")</f>
        <v>Not Subscribed</v>
      </c>
    </row>
    <row r="3434" spans="1:26" x14ac:dyDescent="0.25">
      <c r="A3434">
        <v>3433</v>
      </c>
      <c r="B3434">
        <v>36</v>
      </c>
      <c r="C3434" t="s">
        <v>156</v>
      </c>
      <c r="D3434">
        <v>3433</v>
      </c>
      <c r="E3434" t="s">
        <v>140</v>
      </c>
      <c r="F3434" t="s">
        <v>45</v>
      </c>
      <c r="G3434">
        <v>3433</v>
      </c>
      <c r="H3434">
        <v>4318</v>
      </c>
      <c r="I3434">
        <v>44</v>
      </c>
      <c r="J3434" t="s">
        <v>142</v>
      </c>
      <c r="K3434" t="s">
        <v>47</v>
      </c>
      <c r="L3434" t="s">
        <v>27</v>
      </c>
      <c r="M3434" t="s">
        <v>56</v>
      </c>
      <c r="N3434">
        <v>4.8</v>
      </c>
      <c r="O3434">
        <v>0</v>
      </c>
      <c r="P3434" t="s">
        <v>73</v>
      </c>
      <c r="Q3434" t="s">
        <v>155</v>
      </c>
      <c r="R3434" t="s">
        <v>155</v>
      </c>
      <c r="S3434">
        <v>46</v>
      </c>
      <c r="T3434" t="s">
        <v>49</v>
      </c>
      <c r="U3434" t="s">
        <v>100</v>
      </c>
      <c r="V3434" s="1">
        <v>45515</v>
      </c>
      <c r="W3434">
        <f>Table1[[#This Row],[customer_purchase count]]+1</f>
        <v>47</v>
      </c>
      <c r="X3434">
        <f>Table1[[#This Row],[customer_purchase count]]*Rules!$B$3</f>
        <v>2749.1605128205128</v>
      </c>
      <c r="Y3434" t="str">
        <f>IF(Table1[[#This Row],[customer_subscription]]=1,"Subscribed","Not Subscribed")</f>
        <v>Not Subscribed</v>
      </c>
    </row>
    <row r="3435" spans="1:26" x14ac:dyDescent="0.25">
      <c r="A3435">
        <v>3434</v>
      </c>
      <c r="B3435">
        <v>62</v>
      </c>
      <c r="C3435" t="s">
        <v>156</v>
      </c>
      <c r="D3435">
        <v>3434</v>
      </c>
      <c r="E3435" t="s">
        <v>128</v>
      </c>
      <c r="F3435" t="s">
        <v>24</v>
      </c>
      <c r="G3435">
        <v>3434</v>
      </c>
      <c r="H3435">
        <v>4319</v>
      </c>
      <c r="I3435">
        <v>93</v>
      </c>
      <c r="J3435" t="s">
        <v>123</v>
      </c>
      <c r="K3435" t="s">
        <v>47</v>
      </c>
      <c r="L3435" t="s">
        <v>137</v>
      </c>
      <c r="M3435" t="s">
        <v>40</v>
      </c>
      <c r="N3435">
        <v>4.5</v>
      </c>
      <c r="O3435">
        <v>0</v>
      </c>
      <c r="P3435" t="s">
        <v>41</v>
      </c>
      <c r="Q3435" t="s">
        <v>155</v>
      </c>
      <c r="R3435" t="s">
        <v>155</v>
      </c>
      <c r="S3435">
        <v>28</v>
      </c>
      <c r="T3435" t="s">
        <v>49</v>
      </c>
      <c r="U3435" t="s">
        <v>52</v>
      </c>
      <c r="V3435" s="1">
        <v>45421</v>
      </c>
      <c r="W3435">
        <f>Table1[[#This Row],[customer_purchase count]]+1</f>
        <v>29</v>
      </c>
      <c r="X3435">
        <f>Table1[[#This Row],[customer_purchase count]]*Rules!$B$3</f>
        <v>1673.4020512820514</v>
      </c>
      <c r="Y3435" t="str">
        <f>IF(Table1[[#This Row],[customer_subscription]]=1,"Subscribed","Not Subscribed")</f>
        <v>Not Subscribed</v>
      </c>
    </row>
    <row r="3436" spans="1:26" x14ac:dyDescent="0.25">
      <c r="A3436">
        <v>3435</v>
      </c>
      <c r="B3436">
        <v>31</v>
      </c>
      <c r="C3436" t="s">
        <v>156</v>
      </c>
      <c r="D3436">
        <v>3435</v>
      </c>
      <c r="E3436" t="s">
        <v>98</v>
      </c>
      <c r="F3436" t="s">
        <v>24</v>
      </c>
      <c r="G3436">
        <v>3435</v>
      </c>
      <c r="H3436">
        <v>4321</v>
      </c>
      <c r="I3436">
        <v>72</v>
      </c>
      <c r="J3436" t="s">
        <v>126</v>
      </c>
      <c r="K3436" t="s">
        <v>39</v>
      </c>
      <c r="L3436" t="s">
        <v>124</v>
      </c>
      <c r="M3436" t="s">
        <v>56</v>
      </c>
      <c r="N3436">
        <v>3.3</v>
      </c>
      <c r="O3436">
        <v>0</v>
      </c>
      <c r="P3436" t="s">
        <v>73</v>
      </c>
      <c r="Q3436" t="s">
        <v>155</v>
      </c>
      <c r="R3436" t="s">
        <v>155</v>
      </c>
      <c r="S3436">
        <v>6</v>
      </c>
      <c r="T3436" t="s">
        <v>31</v>
      </c>
      <c r="U3436" t="s">
        <v>32</v>
      </c>
      <c r="V3436" s="1">
        <v>45517</v>
      </c>
      <c r="W3436">
        <f>Table1[[#This Row],[customer_purchase count]]+1</f>
        <v>7</v>
      </c>
      <c r="X3436">
        <f>Table1[[#This Row],[customer_purchase count]]*Rules!$B$3</f>
        <v>358.58615384615388</v>
      </c>
      <c r="Y3436" t="str">
        <f>IF(Table1[[#This Row],[customer_subscription]]=1,"Subscribed","Not Subscribed")</f>
        <v>Not Subscribed</v>
      </c>
      <c r="Z3436" t="s">
        <v>194</v>
      </c>
    </row>
    <row r="3437" spans="1:26" x14ac:dyDescent="0.25">
      <c r="A3437">
        <v>3436</v>
      </c>
      <c r="B3437">
        <v>68</v>
      </c>
      <c r="C3437" t="s">
        <v>156</v>
      </c>
      <c r="D3437">
        <v>3436</v>
      </c>
      <c r="E3437" t="s">
        <v>128</v>
      </c>
      <c r="F3437" t="s">
        <v>24</v>
      </c>
      <c r="G3437">
        <v>3436</v>
      </c>
      <c r="H3437">
        <v>4322</v>
      </c>
      <c r="I3437">
        <v>91</v>
      </c>
      <c r="J3437" t="s">
        <v>59</v>
      </c>
      <c r="K3437" t="s">
        <v>47</v>
      </c>
      <c r="L3437" t="s">
        <v>121</v>
      </c>
      <c r="M3437" t="s">
        <v>56</v>
      </c>
      <c r="N3437">
        <v>2.7</v>
      </c>
      <c r="O3437">
        <v>0</v>
      </c>
      <c r="P3437" t="s">
        <v>73</v>
      </c>
      <c r="Q3437" t="s">
        <v>155</v>
      </c>
      <c r="R3437" t="s">
        <v>155</v>
      </c>
      <c r="S3437">
        <v>50</v>
      </c>
      <c r="T3437" t="s">
        <v>89</v>
      </c>
      <c r="U3437" t="s">
        <v>79</v>
      </c>
      <c r="V3437" s="1">
        <v>45507</v>
      </c>
      <c r="W3437">
        <f>Table1[[#This Row],[customer_purchase count]]+1</f>
        <v>51</v>
      </c>
      <c r="X3437">
        <f>Table1[[#This Row],[customer_purchase count]]*Rules!$B$3</f>
        <v>2988.2179487179487</v>
      </c>
      <c r="Y3437" t="str">
        <f>IF(Table1[[#This Row],[customer_subscription]]=1,"Subscribed","Not Subscribed")</f>
        <v>Not Subscribed</v>
      </c>
    </row>
    <row r="3438" spans="1:26" x14ac:dyDescent="0.25">
      <c r="A3438">
        <v>3437</v>
      </c>
      <c r="B3438">
        <v>57</v>
      </c>
      <c r="C3438" t="s">
        <v>156</v>
      </c>
      <c r="D3438">
        <v>3437</v>
      </c>
      <c r="E3438" t="s">
        <v>136</v>
      </c>
      <c r="F3438" t="s">
        <v>70</v>
      </c>
      <c r="G3438">
        <v>3437</v>
      </c>
      <c r="H3438">
        <v>4323</v>
      </c>
      <c r="I3438">
        <v>83</v>
      </c>
      <c r="J3438" t="s">
        <v>148</v>
      </c>
      <c r="K3438" t="s">
        <v>26</v>
      </c>
      <c r="L3438" t="s">
        <v>103</v>
      </c>
      <c r="M3438" t="s">
        <v>28</v>
      </c>
      <c r="N3438">
        <v>2.8</v>
      </c>
      <c r="O3438">
        <v>0</v>
      </c>
      <c r="P3438" t="s">
        <v>73</v>
      </c>
      <c r="Q3438" t="s">
        <v>155</v>
      </c>
      <c r="R3438" t="s">
        <v>155</v>
      </c>
      <c r="S3438">
        <v>41</v>
      </c>
      <c r="T3438" t="s">
        <v>78</v>
      </c>
      <c r="U3438" t="s">
        <v>91</v>
      </c>
      <c r="V3438" s="1">
        <v>45634</v>
      </c>
      <c r="W3438">
        <f>Table1[[#This Row],[customer_purchase count]]+1</f>
        <v>42</v>
      </c>
      <c r="X3438">
        <f>Table1[[#This Row],[customer_purchase count]]*Rules!$B$3</f>
        <v>2450.3387179487181</v>
      </c>
      <c r="Y3438" t="str">
        <f>IF(Table1[[#This Row],[customer_subscription]]=1,"Subscribed","Not Subscribed")</f>
        <v>Not Subscribed</v>
      </c>
    </row>
    <row r="3439" spans="1:26" x14ac:dyDescent="0.25">
      <c r="A3439">
        <v>3438</v>
      </c>
      <c r="B3439">
        <v>22</v>
      </c>
      <c r="C3439" t="s">
        <v>156</v>
      </c>
      <c r="D3439">
        <v>3438</v>
      </c>
      <c r="E3439" t="s">
        <v>105</v>
      </c>
      <c r="F3439" t="s">
        <v>66</v>
      </c>
      <c r="G3439">
        <v>3438</v>
      </c>
      <c r="H3439">
        <v>4324</v>
      </c>
      <c r="I3439">
        <v>62</v>
      </c>
      <c r="J3439" t="s">
        <v>104</v>
      </c>
      <c r="K3439" t="s">
        <v>39</v>
      </c>
      <c r="L3439" t="s">
        <v>99</v>
      </c>
      <c r="M3439" t="s">
        <v>28</v>
      </c>
      <c r="N3439">
        <v>3.5</v>
      </c>
      <c r="O3439">
        <v>0</v>
      </c>
      <c r="P3439" t="s">
        <v>73</v>
      </c>
      <c r="Q3439" t="s">
        <v>155</v>
      </c>
      <c r="R3439" t="s">
        <v>155</v>
      </c>
      <c r="S3439">
        <v>50</v>
      </c>
      <c r="T3439" t="s">
        <v>49</v>
      </c>
      <c r="U3439" t="s">
        <v>52</v>
      </c>
      <c r="V3439" s="1">
        <v>45313</v>
      </c>
      <c r="W3439">
        <f>Table1[[#This Row],[customer_purchase count]]+1</f>
        <v>51</v>
      </c>
      <c r="X3439">
        <f>Table1[[#This Row],[customer_purchase count]]*Rules!$B$3</f>
        <v>2988.2179487179487</v>
      </c>
      <c r="Y3439" t="str">
        <f>IF(Table1[[#This Row],[customer_subscription]]=1,"Subscribed","Not Subscribed")</f>
        <v>Not Subscribed</v>
      </c>
    </row>
    <row r="3440" spans="1:26" x14ac:dyDescent="0.25">
      <c r="A3440">
        <v>3439</v>
      </c>
      <c r="B3440">
        <v>26</v>
      </c>
      <c r="C3440" t="s">
        <v>156</v>
      </c>
      <c r="D3440">
        <v>3439</v>
      </c>
      <c r="E3440" t="s">
        <v>58</v>
      </c>
      <c r="F3440" t="s">
        <v>24</v>
      </c>
      <c r="G3440">
        <v>3439</v>
      </c>
      <c r="H3440">
        <v>4325</v>
      </c>
      <c r="I3440">
        <v>71</v>
      </c>
      <c r="J3440" t="s">
        <v>25</v>
      </c>
      <c r="K3440" t="s">
        <v>47</v>
      </c>
      <c r="L3440" t="s">
        <v>86</v>
      </c>
      <c r="M3440" t="s">
        <v>60</v>
      </c>
      <c r="N3440">
        <v>3</v>
      </c>
      <c r="O3440">
        <v>0</v>
      </c>
      <c r="P3440" t="s">
        <v>77</v>
      </c>
      <c r="Q3440" t="s">
        <v>155</v>
      </c>
      <c r="R3440" t="s">
        <v>155</v>
      </c>
      <c r="S3440">
        <v>33</v>
      </c>
      <c r="T3440" t="s">
        <v>42</v>
      </c>
      <c r="U3440" t="s">
        <v>91</v>
      </c>
      <c r="V3440" s="1">
        <v>45622</v>
      </c>
      <c r="W3440">
        <f>Table1[[#This Row],[customer_purchase count]]+1</f>
        <v>34</v>
      </c>
      <c r="X3440">
        <f>Table1[[#This Row],[customer_purchase count]]*Rules!$B$3</f>
        <v>1972.2238461538464</v>
      </c>
      <c r="Y3440" t="str">
        <f>IF(Table1[[#This Row],[customer_subscription]]=1,"Subscribed","Not Subscribed")</f>
        <v>Not Subscribed</v>
      </c>
    </row>
    <row r="3441" spans="1:26" x14ac:dyDescent="0.25">
      <c r="A3441">
        <v>3440</v>
      </c>
      <c r="B3441">
        <v>43</v>
      </c>
      <c r="C3441" t="s">
        <v>156</v>
      </c>
      <c r="D3441">
        <v>3440</v>
      </c>
      <c r="E3441" t="s">
        <v>146</v>
      </c>
      <c r="F3441" t="s">
        <v>70</v>
      </c>
      <c r="G3441">
        <v>3440</v>
      </c>
      <c r="H3441">
        <v>4327</v>
      </c>
      <c r="I3441">
        <v>93</v>
      </c>
      <c r="J3441" t="s">
        <v>138</v>
      </c>
      <c r="K3441" t="s">
        <v>47</v>
      </c>
      <c r="L3441" t="s">
        <v>27</v>
      </c>
      <c r="M3441" t="s">
        <v>56</v>
      </c>
      <c r="N3441">
        <v>4.5</v>
      </c>
      <c r="O3441">
        <v>0</v>
      </c>
      <c r="P3441" t="s">
        <v>29</v>
      </c>
      <c r="Q3441" t="s">
        <v>155</v>
      </c>
      <c r="R3441" t="s">
        <v>155</v>
      </c>
      <c r="S3441">
        <v>25</v>
      </c>
      <c r="T3441" t="s">
        <v>31</v>
      </c>
      <c r="U3441" t="s">
        <v>61</v>
      </c>
      <c r="V3441" s="1">
        <v>45454</v>
      </c>
      <c r="W3441">
        <f>Table1[[#This Row],[customer_purchase count]]+1</f>
        <v>26</v>
      </c>
      <c r="X3441">
        <f>Table1[[#This Row],[customer_purchase count]]*Rules!$B$3</f>
        <v>1494.1089743589744</v>
      </c>
      <c r="Y3441" t="str">
        <f>IF(Table1[[#This Row],[customer_subscription]]=1,"Subscribed","Not Subscribed")</f>
        <v>Not Subscribed</v>
      </c>
    </row>
    <row r="3442" spans="1:26" x14ac:dyDescent="0.25">
      <c r="A3442">
        <v>3441</v>
      </c>
      <c r="B3442">
        <v>45</v>
      </c>
      <c r="C3442" t="s">
        <v>156</v>
      </c>
      <c r="D3442">
        <v>3441</v>
      </c>
      <c r="E3442" t="s">
        <v>69</v>
      </c>
      <c r="F3442" t="s">
        <v>70</v>
      </c>
      <c r="G3442">
        <v>3441</v>
      </c>
      <c r="H3442">
        <v>4328</v>
      </c>
      <c r="I3442">
        <v>63</v>
      </c>
      <c r="J3442" t="s">
        <v>131</v>
      </c>
      <c r="K3442" t="s">
        <v>26</v>
      </c>
      <c r="L3442" t="s">
        <v>139</v>
      </c>
      <c r="M3442" t="s">
        <v>60</v>
      </c>
      <c r="N3442">
        <v>4.3</v>
      </c>
      <c r="O3442">
        <v>0</v>
      </c>
      <c r="P3442" t="s">
        <v>73</v>
      </c>
      <c r="Q3442" t="s">
        <v>155</v>
      </c>
      <c r="R3442" t="s">
        <v>155</v>
      </c>
      <c r="S3442">
        <v>2</v>
      </c>
      <c r="T3442" t="s">
        <v>49</v>
      </c>
      <c r="U3442" t="s">
        <v>43</v>
      </c>
      <c r="V3442" s="1">
        <v>45569</v>
      </c>
      <c r="W3442">
        <f>Table1[[#This Row],[customer_purchase count]]+1</f>
        <v>3</v>
      </c>
      <c r="X3442">
        <f>Table1[[#This Row],[customer_purchase count]]*Rules!$B$3</f>
        <v>119.52871794871795</v>
      </c>
      <c r="Y3442" t="str">
        <f>IF(Table1[[#This Row],[customer_subscription]]=1,"Subscribed","Not Subscribed")</f>
        <v>Not Subscribed</v>
      </c>
      <c r="Z3442" t="s">
        <v>194</v>
      </c>
    </row>
    <row r="3443" spans="1:26" x14ac:dyDescent="0.25">
      <c r="A3443">
        <v>3442</v>
      </c>
      <c r="B3443">
        <v>64</v>
      </c>
      <c r="C3443" t="s">
        <v>156</v>
      </c>
      <c r="D3443">
        <v>3442</v>
      </c>
      <c r="E3443" t="s">
        <v>33</v>
      </c>
      <c r="F3443" t="s">
        <v>24</v>
      </c>
      <c r="G3443">
        <v>3442</v>
      </c>
      <c r="H3443">
        <v>4329</v>
      </c>
      <c r="I3443">
        <v>96</v>
      </c>
      <c r="J3443" t="s">
        <v>125</v>
      </c>
      <c r="K3443" t="s">
        <v>95</v>
      </c>
      <c r="L3443" t="s">
        <v>64</v>
      </c>
      <c r="M3443" t="s">
        <v>60</v>
      </c>
      <c r="N3443">
        <v>4.0999999999999996</v>
      </c>
      <c r="O3443">
        <v>0</v>
      </c>
      <c r="P3443" t="s">
        <v>57</v>
      </c>
      <c r="Q3443" t="s">
        <v>155</v>
      </c>
      <c r="R3443" t="s">
        <v>155</v>
      </c>
      <c r="S3443">
        <v>15</v>
      </c>
      <c r="T3443" t="s">
        <v>42</v>
      </c>
      <c r="U3443" t="s">
        <v>52</v>
      </c>
      <c r="V3443" s="1">
        <v>45543</v>
      </c>
      <c r="W3443">
        <f>Table1[[#This Row],[customer_purchase count]]+1</f>
        <v>16</v>
      </c>
      <c r="X3443">
        <f>Table1[[#This Row],[customer_purchase count]]*Rules!$B$3</f>
        <v>896.46538461538466</v>
      </c>
      <c r="Y3443" t="str">
        <f>IF(Table1[[#This Row],[customer_subscription]]=1,"Subscribed","Not Subscribed")</f>
        <v>Not Subscribed</v>
      </c>
      <c r="Z3443" t="s">
        <v>194</v>
      </c>
    </row>
    <row r="3444" spans="1:26" x14ac:dyDescent="0.25">
      <c r="A3444">
        <v>3443</v>
      </c>
      <c r="B3444">
        <v>28</v>
      </c>
      <c r="C3444" t="s">
        <v>156</v>
      </c>
      <c r="D3444">
        <v>3443</v>
      </c>
      <c r="E3444" t="s">
        <v>90</v>
      </c>
      <c r="F3444" t="s">
        <v>24</v>
      </c>
      <c r="G3444">
        <v>3443</v>
      </c>
      <c r="H3444">
        <v>4330</v>
      </c>
      <c r="I3444">
        <v>78</v>
      </c>
      <c r="J3444" t="s">
        <v>154</v>
      </c>
      <c r="K3444" t="s">
        <v>47</v>
      </c>
      <c r="L3444" t="s">
        <v>86</v>
      </c>
      <c r="M3444" t="s">
        <v>40</v>
      </c>
      <c r="N3444">
        <v>4.3</v>
      </c>
      <c r="O3444">
        <v>0</v>
      </c>
      <c r="P3444" t="s">
        <v>48</v>
      </c>
      <c r="Q3444" t="s">
        <v>155</v>
      </c>
      <c r="R3444" t="s">
        <v>155</v>
      </c>
      <c r="S3444">
        <v>12</v>
      </c>
      <c r="T3444" t="s">
        <v>49</v>
      </c>
      <c r="U3444" t="s">
        <v>43</v>
      </c>
      <c r="V3444" s="1">
        <v>45417</v>
      </c>
      <c r="W3444">
        <f>Table1[[#This Row],[customer_purchase count]]+1</f>
        <v>13</v>
      </c>
      <c r="X3444">
        <f>Table1[[#This Row],[customer_purchase count]]*Rules!$B$3</f>
        <v>717.17230769230775</v>
      </c>
      <c r="Y3444" t="str">
        <f>IF(Table1[[#This Row],[customer_subscription]]=1,"Subscribed","Not Subscribed")</f>
        <v>Not Subscribed</v>
      </c>
      <c r="Z3444" t="s">
        <v>187</v>
      </c>
    </row>
    <row r="3445" spans="1:26" x14ac:dyDescent="0.25">
      <c r="A3445">
        <v>3444</v>
      </c>
      <c r="B3445">
        <v>47</v>
      </c>
      <c r="C3445" t="s">
        <v>156</v>
      </c>
      <c r="D3445">
        <v>3444</v>
      </c>
      <c r="E3445" t="s">
        <v>84</v>
      </c>
      <c r="F3445" t="s">
        <v>24</v>
      </c>
      <c r="G3445">
        <v>3444</v>
      </c>
      <c r="H3445">
        <v>4331</v>
      </c>
      <c r="I3445">
        <v>24</v>
      </c>
      <c r="J3445" t="s">
        <v>125</v>
      </c>
      <c r="K3445" t="s">
        <v>26</v>
      </c>
      <c r="L3445" t="s">
        <v>68</v>
      </c>
      <c r="M3445" t="s">
        <v>56</v>
      </c>
      <c r="N3445">
        <v>5</v>
      </c>
      <c r="O3445">
        <v>0</v>
      </c>
      <c r="P3445" t="s">
        <v>41</v>
      </c>
      <c r="Q3445" t="s">
        <v>155</v>
      </c>
      <c r="R3445" t="s">
        <v>155</v>
      </c>
      <c r="S3445">
        <v>28</v>
      </c>
      <c r="T3445" t="s">
        <v>36</v>
      </c>
      <c r="U3445" t="s">
        <v>79</v>
      </c>
      <c r="V3445" s="1">
        <v>45488</v>
      </c>
      <c r="W3445">
        <f>Table1[[#This Row],[customer_purchase count]]+1</f>
        <v>29</v>
      </c>
      <c r="X3445">
        <f>Table1[[#This Row],[customer_purchase count]]*Rules!$B$3</f>
        <v>1673.4020512820514</v>
      </c>
      <c r="Y3445" t="str">
        <f>IF(Table1[[#This Row],[customer_subscription]]=1,"Subscribed","Not Subscribed")</f>
        <v>Not Subscribed</v>
      </c>
    </row>
    <row r="3446" spans="1:26" x14ac:dyDescent="0.25">
      <c r="A3446">
        <v>3445</v>
      </c>
      <c r="B3446">
        <v>53</v>
      </c>
      <c r="C3446" t="s">
        <v>156</v>
      </c>
      <c r="D3446">
        <v>3445</v>
      </c>
      <c r="E3446" t="s">
        <v>98</v>
      </c>
      <c r="F3446" t="s">
        <v>24</v>
      </c>
      <c r="G3446">
        <v>3445</v>
      </c>
      <c r="H3446">
        <v>4333</v>
      </c>
      <c r="I3446">
        <v>63</v>
      </c>
      <c r="J3446" t="s">
        <v>46</v>
      </c>
      <c r="K3446" t="s">
        <v>39</v>
      </c>
      <c r="L3446" t="s">
        <v>99</v>
      </c>
      <c r="M3446" t="s">
        <v>56</v>
      </c>
      <c r="N3446">
        <v>3.8</v>
      </c>
      <c r="O3446">
        <v>0</v>
      </c>
      <c r="P3446" t="s">
        <v>73</v>
      </c>
      <c r="Q3446" t="s">
        <v>155</v>
      </c>
      <c r="R3446" t="s">
        <v>155</v>
      </c>
      <c r="S3446">
        <v>12</v>
      </c>
      <c r="T3446" t="s">
        <v>78</v>
      </c>
      <c r="U3446" t="s">
        <v>79</v>
      </c>
      <c r="V3446" s="1">
        <v>45460</v>
      </c>
      <c r="W3446">
        <f>Table1[[#This Row],[customer_purchase count]]+1</f>
        <v>13</v>
      </c>
      <c r="X3446">
        <f>Table1[[#This Row],[customer_purchase count]]*Rules!$B$3</f>
        <v>717.17230769230775</v>
      </c>
      <c r="Y3446" t="str">
        <f>IF(Table1[[#This Row],[customer_subscription]]=1,"Subscribed","Not Subscribed")</f>
        <v>Not Subscribed</v>
      </c>
      <c r="Z3446" t="s">
        <v>194</v>
      </c>
    </row>
    <row r="3447" spans="1:26" x14ac:dyDescent="0.25">
      <c r="A3447">
        <v>3446</v>
      </c>
      <c r="B3447">
        <v>42</v>
      </c>
      <c r="C3447" t="s">
        <v>156</v>
      </c>
      <c r="D3447">
        <v>3446</v>
      </c>
      <c r="E3447" t="s">
        <v>127</v>
      </c>
      <c r="F3447" t="s">
        <v>70</v>
      </c>
      <c r="G3447">
        <v>3446</v>
      </c>
      <c r="H3447">
        <v>4334</v>
      </c>
      <c r="I3447">
        <v>58</v>
      </c>
      <c r="J3447" t="s">
        <v>106</v>
      </c>
      <c r="K3447" t="s">
        <v>47</v>
      </c>
      <c r="L3447" t="s">
        <v>139</v>
      </c>
      <c r="M3447" t="s">
        <v>60</v>
      </c>
      <c r="N3447">
        <v>4.9000000000000004</v>
      </c>
      <c r="O3447">
        <v>0</v>
      </c>
      <c r="P3447" t="s">
        <v>57</v>
      </c>
      <c r="Q3447" t="s">
        <v>155</v>
      </c>
      <c r="R3447" t="s">
        <v>155</v>
      </c>
      <c r="S3447">
        <v>3</v>
      </c>
      <c r="T3447" t="s">
        <v>89</v>
      </c>
      <c r="U3447" t="s">
        <v>52</v>
      </c>
      <c r="V3447" s="1">
        <v>45574</v>
      </c>
      <c r="W3447">
        <f>Table1[[#This Row],[customer_purchase count]]+1</f>
        <v>4</v>
      </c>
      <c r="X3447">
        <f>Table1[[#This Row],[customer_purchase count]]*Rules!$B$3</f>
        <v>179.29307692307694</v>
      </c>
      <c r="Y3447" t="str">
        <f>IF(Table1[[#This Row],[customer_subscription]]=1,"Subscribed","Not Subscribed")</f>
        <v>Not Subscribed</v>
      </c>
      <c r="Z3447" t="s">
        <v>194</v>
      </c>
    </row>
    <row r="3448" spans="1:26" x14ac:dyDescent="0.25">
      <c r="A3448">
        <v>3447</v>
      </c>
      <c r="B3448">
        <v>51</v>
      </c>
      <c r="C3448" t="s">
        <v>156</v>
      </c>
      <c r="D3448">
        <v>3447</v>
      </c>
      <c r="E3448" t="s">
        <v>140</v>
      </c>
      <c r="F3448" t="s">
        <v>45</v>
      </c>
      <c r="G3448">
        <v>3447</v>
      </c>
      <c r="H3448">
        <v>4335</v>
      </c>
      <c r="I3448">
        <v>55</v>
      </c>
      <c r="J3448" t="s">
        <v>63</v>
      </c>
      <c r="K3448" t="s">
        <v>39</v>
      </c>
      <c r="L3448" t="s">
        <v>76</v>
      </c>
      <c r="M3448" t="s">
        <v>40</v>
      </c>
      <c r="N3448">
        <v>5</v>
      </c>
      <c r="O3448">
        <v>0</v>
      </c>
      <c r="P3448" t="s">
        <v>73</v>
      </c>
      <c r="Q3448" t="s">
        <v>155</v>
      </c>
      <c r="R3448" t="s">
        <v>155</v>
      </c>
      <c r="S3448">
        <v>20</v>
      </c>
      <c r="T3448" t="s">
        <v>36</v>
      </c>
      <c r="U3448" t="s">
        <v>43</v>
      </c>
      <c r="V3448" s="1">
        <v>45387</v>
      </c>
      <c r="W3448">
        <f>Table1[[#This Row],[customer_purchase count]]+1</f>
        <v>21</v>
      </c>
      <c r="X3448">
        <f>Table1[[#This Row],[customer_purchase count]]*Rules!$B$3</f>
        <v>1195.2871794871796</v>
      </c>
      <c r="Y3448" t="str">
        <f>IF(Table1[[#This Row],[customer_subscription]]=1,"Subscribed","Not Subscribed")</f>
        <v>Not Subscribed</v>
      </c>
    </row>
    <row r="3449" spans="1:26" x14ac:dyDescent="0.25">
      <c r="A3449">
        <v>3448</v>
      </c>
      <c r="B3449">
        <v>62</v>
      </c>
      <c r="C3449" t="s">
        <v>156</v>
      </c>
      <c r="D3449">
        <v>3448</v>
      </c>
      <c r="E3449" t="s">
        <v>44</v>
      </c>
      <c r="F3449" t="s">
        <v>45</v>
      </c>
      <c r="G3449">
        <v>3448</v>
      </c>
      <c r="H3449">
        <v>4336</v>
      </c>
      <c r="I3449">
        <v>58</v>
      </c>
      <c r="J3449" t="s">
        <v>75</v>
      </c>
      <c r="K3449" t="s">
        <v>47</v>
      </c>
      <c r="L3449" t="s">
        <v>147</v>
      </c>
      <c r="M3449" t="s">
        <v>60</v>
      </c>
      <c r="N3449">
        <v>4.3</v>
      </c>
      <c r="O3449">
        <v>0</v>
      </c>
      <c r="P3449" t="s">
        <v>29</v>
      </c>
      <c r="Q3449" t="s">
        <v>155</v>
      </c>
      <c r="R3449" t="s">
        <v>155</v>
      </c>
      <c r="S3449">
        <v>3</v>
      </c>
      <c r="T3449" t="s">
        <v>78</v>
      </c>
      <c r="U3449" t="s">
        <v>79</v>
      </c>
      <c r="V3449" s="1">
        <v>45583</v>
      </c>
      <c r="W3449">
        <f>Table1[[#This Row],[customer_purchase count]]+1</f>
        <v>4</v>
      </c>
      <c r="X3449">
        <f>Table1[[#This Row],[customer_purchase count]]*Rules!$B$3</f>
        <v>179.29307692307694</v>
      </c>
      <c r="Y3449" t="str">
        <f>IF(Table1[[#This Row],[customer_subscription]]=1,"Subscribed","Not Subscribed")</f>
        <v>Not Subscribed</v>
      </c>
      <c r="Z3449" t="s">
        <v>194</v>
      </c>
    </row>
    <row r="3450" spans="1:26" x14ac:dyDescent="0.25">
      <c r="A3450">
        <v>3449</v>
      </c>
      <c r="B3450">
        <v>18</v>
      </c>
      <c r="C3450" t="s">
        <v>156</v>
      </c>
      <c r="D3450">
        <v>3449</v>
      </c>
      <c r="E3450" t="s">
        <v>65</v>
      </c>
      <c r="F3450" t="s">
        <v>66</v>
      </c>
      <c r="G3450">
        <v>3449</v>
      </c>
      <c r="H3450">
        <v>4337</v>
      </c>
      <c r="I3450">
        <v>28</v>
      </c>
      <c r="J3450" t="s">
        <v>25</v>
      </c>
      <c r="K3450" t="s">
        <v>39</v>
      </c>
      <c r="L3450" t="s">
        <v>137</v>
      </c>
      <c r="M3450" t="s">
        <v>28</v>
      </c>
      <c r="N3450">
        <v>4.0999999999999996</v>
      </c>
      <c r="O3450">
        <v>0</v>
      </c>
      <c r="P3450" t="s">
        <v>29</v>
      </c>
      <c r="Q3450" t="s">
        <v>155</v>
      </c>
      <c r="R3450" t="s">
        <v>155</v>
      </c>
      <c r="S3450">
        <v>32</v>
      </c>
      <c r="T3450" t="s">
        <v>78</v>
      </c>
      <c r="U3450" t="s">
        <v>32</v>
      </c>
      <c r="V3450" s="1">
        <v>45631</v>
      </c>
      <c r="W3450">
        <f>Table1[[#This Row],[customer_purchase count]]+1</f>
        <v>33</v>
      </c>
      <c r="X3450">
        <f>Table1[[#This Row],[customer_purchase count]]*Rules!$B$3</f>
        <v>1912.4594871794873</v>
      </c>
      <c r="Y3450" t="str">
        <f>IF(Table1[[#This Row],[customer_subscription]]=1,"Subscribed","Not Subscribed")</f>
        <v>Not Subscribed</v>
      </c>
    </row>
    <row r="3451" spans="1:26" x14ac:dyDescent="0.25">
      <c r="A3451">
        <v>3450</v>
      </c>
      <c r="B3451">
        <v>48</v>
      </c>
      <c r="C3451" t="s">
        <v>156</v>
      </c>
      <c r="D3451">
        <v>3450</v>
      </c>
      <c r="E3451" t="s">
        <v>23</v>
      </c>
      <c r="F3451" t="s">
        <v>24</v>
      </c>
      <c r="G3451">
        <v>3450</v>
      </c>
      <c r="H3451">
        <v>4339</v>
      </c>
      <c r="I3451">
        <v>37</v>
      </c>
      <c r="J3451" t="s">
        <v>114</v>
      </c>
      <c r="K3451" t="s">
        <v>47</v>
      </c>
      <c r="L3451" t="s">
        <v>113</v>
      </c>
      <c r="M3451" t="s">
        <v>40</v>
      </c>
      <c r="N3451">
        <v>4.5</v>
      </c>
      <c r="O3451">
        <v>0</v>
      </c>
      <c r="P3451" t="s">
        <v>57</v>
      </c>
      <c r="Q3451" t="s">
        <v>155</v>
      </c>
      <c r="R3451" t="s">
        <v>155</v>
      </c>
      <c r="S3451">
        <v>35</v>
      </c>
      <c r="T3451" t="s">
        <v>36</v>
      </c>
      <c r="U3451" t="s">
        <v>91</v>
      </c>
      <c r="V3451" s="1">
        <v>45414</v>
      </c>
      <c r="W3451">
        <f>Table1[[#This Row],[customer_purchase count]]+1</f>
        <v>36</v>
      </c>
      <c r="X3451">
        <f>Table1[[#This Row],[customer_purchase count]]*Rules!$B$3</f>
        <v>2091.7525641025641</v>
      </c>
      <c r="Y3451" t="str">
        <f>IF(Table1[[#This Row],[customer_subscription]]=1,"Subscribed","Not Subscribed")</f>
        <v>Not Subscribed</v>
      </c>
    </row>
    <row r="3452" spans="1:26" x14ac:dyDescent="0.25">
      <c r="A3452">
        <v>3451</v>
      </c>
      <c r="B3452">
        <v>20</v>
      </c>
      <c r="C3452" t="s">
        <v>156</v>
      </c>
      <c r="D3452">
        <v>3451</v>
      </c>
      <c r="E3452" t="s">
        <v>62</v>
      </c>
      <c r="F3452" t="s">
        <v>24</v>
      </c>
      <c r="G3452">
        <v>3451</v>
      </c>
      <c r="H3452">
        <v>4340</v>
      </c>
      <c r="I3452">
        <v>78</v>
      </c>
      <c r="J3452" t="s">
        <v>132</v>
      </c>
      <c r="K3452" t="s">
        <v>47</v>
      </c>
      <c r="L3452" t="s">
        <v>72</v>
      </c>
      <c r="M3452" t="s">
        <v>40</v>
      </c>
      <c r="N3452">
        <v>3.6</v>
      </c>
      <c r="O3452">
        <v>0</v>
      </c>
      <c r="P3452" t="s">
        <v>77</v>
      </c>
      <c r="Q3452" t="s">
        <v>155</v>
      </c>
      <c r="R3452" t="s">
        <v>155</v>
      </c>
      <c r="S3452">
        <v>31</v>
      </c>
      <c r="T3452" t="s">
        <v>49</v>
      </c>
      <c r="U3452" t="s">
        <v>91</v>
      </c>
      <c r="V3452" s="1">
        <v>45377</v>
      </c>
      <c r="W3452">
        <f>Table1[[#This Row],[customer_purchase count]]+1</f>
        <v>32</v>
      </c>
      <c r="X3452">
        <f>Table1[[#This Row],[customer_purchase count]]*Rules!$B$3</f>
        <v>1852.6951282051282</v>
      </c>
      <c r="Y3452" t="str">
        <f>IF(Table1[[#This Row],[customer_subscription]]=1,"Subscribed","Not Subscribed")</f>
        <v>Not Subscribed</v>
      </c>
    </row>
    <row r="3453" spans="1:26" x14ac:dyDescent="0.25">
      <c r="A3453">
        <v>3452</v>
      </c>
      <c r="B3453">
        <v>32</v>
      </c>
      <c r="C3453" t="s">
        <v>156</v>
      </c>
      <c r="D3453">
        <v>3452</v>
      </c>
      <c r="E3453" t="s">
        <v>23</v>
      </c>
      <c r="F3453" t="s">
        <v>24</v>
      </c>
      <c r="G3453">
        <v>3452</v>
      </c>
      <c r="H3453">
        <v>4341</v>
      </c>
      <c r="I3453">
        <v>73</v>
      </c>
      <c r="J3453" t="s">
        <v>110</v>
      </c>
      <c r="K3453" t="s">
        <v>95</v>
      </c>
      <c r="L3453" t="s">
        <v>68</v>
      </c>
      <c r="M3453" t="s">
        <v>60</v>
      </c>
      <c r="N3453">
        <v>3</v>
      </c>
      <c r="O3453">
        <v>0</v>
      </c>
      <c r="P3453" t="s">
        <v>41</v>
      </c>
      <c r="Q3453" t="s">
        <v>155</v>
      </c>
      <c r="R3453" t="s">
        <v>155</v>
      </c>
      <c r="S3453">
        <v>13</v>
      </c>
      <c r="T3453" t="s">
        <v>42</v>
      </c>
      <c r="U3453" t="s">
        <v>52</v>
      </c>
      <c r="V3453" s="1">
        <v>45597</v>
      </c>
      <c r="W3453">
        <f>Table1[[#This Row],[customer_purchase count]]+1</f>
        <v>14</v>
      </c>
      <c r="X3453">
        <f>Table1[[#This Row],[customer_purchase count]]*Rules!$B$3</f>
        <v>776.93666666666672</v>
      </c>
      <c r="Y3453" t="str">
        <f>IF(Table1[[#This Row],[customer_subscription]]=1,"Subscribed","Not Subscribed")</f>
        <v>Not Subscribed</v>
      </c>
      <c r="Z3453" t="s">
        <v>194</v>
      </c>
    </row>
    <row r="3454" spans="1:26" x14ac:dyDescent="0.25">
      <c r="A3454">
        <v>3453</v>
      </c>
      <c r="B3454">
        <v>26</v>
      </c>
      <c r="C3454" t="s">
        <v>156</v>
      </c>
      <c r="D3454">
        <v>3453</v>
      </c>
      <c r="E3454" t="s">
        <v>105</v>
      </c>
      <c r="F3454" t="s">
        <v>66</v>
      </c>
      <c r="G3454">
        <v>3453</v>
      </c>
      <c r="H3454">
        <v>4342</v>
      </c>
      <c r="I3454">
        <v>20</v>
      </c>
      <c r="J3454" t="s">
        <v>104</v>
      </c>
      <c r="K3454" t="s">
        <v>47</v>
      </c>
      <c r="L3454" t="s">
        <v>129</v>
      </c>
      <c r="M3454" t="s">
        <v>40</v>
      </c>
      <c r="N3454">
        <v>3.7</v>
      </c>
      <c r="O3454">
        <v>0</v>
      </c>
      <c r="P3454" t="s">
        <v>48</v>
      </c>
      <c r="Q3454" t="s">
        <v>155</v>
      </c>
      <c r="R3454" t="s">
        <v>155</v>
      </c>
      <c r="S3454">
        <v>3</v>
      </c>
      <c r="T3454" t="s">
        <v>31</v>
      </c>
      <c r="U3454" t="s">
        <v>32</v>
      </c>
      <c r="V3454" s="1">
        <v>45415</v>
      </c>
      <c r="W3454">
        <f>Table1[[#This Row],[customer_purchase count]]+1</f>
        <v>4</v>
      </c>
      <c r="X3454">
        <f>Table1[[#This Row],[customer_purchase count]]*Rules!$B$3</f>
        <v>179.29307692307694</v>
      </c>
      <c r="Y3454" t="str">
        <f>IF(Table1[[#This Row],[customer_subscription]]=1,"Subscribed","Not Subscribed")</f>
        <v>Not Subscribed</v>
      </c>
      <c r="Z3454" t="s">
        <v>194</v>
      </c>
    </row>
    <row r="3455" spans="1:26" x14ac:dyDescent="0.25">
      <c r="A3455">
        <v>3454</v>
      </c>
      <c r="B3455">
        <v>31</v>
      </c>
      <c r="C3455" t="s">
        <v>156</v>
      </c>
      <c r="D3455">
        <v>3454</v>
      </c>
      <c r="E3455" t="s">
        <v>58</v>
      </c>
      <c r="F3455" t="s">
        <v>24</v>
      </c>
      <c r="G3455">
        <v>3454</v>
      </c>
      <c r="H3455">
        <v>4343</v>
      </c>
      <c r="I3455">
        <v>60</v>
      </c>
      <c r="J3455" t="s">
        <v>93</v>
      </c>
      <c r="K3455" t="s">
        <v>26</v>
      </c>
      <c r="L3455" t="s">
        <v>72</v>
      </c>
      <c r="M3455" t="s">
        <v>28</v>
      </c>
      <c r="N3455">
        <v>4.3</v>
      </c>
      <c r="O3455">
        <v>0</v>
      </c>
      <c r="P3455" t="s">
        <v>57</v>
      </c>
      <c r="Q3455" t="s">
        <v>155</v>
      </c>
      <c r="R3455" t="s">
        <v>155</v>
      </c>
      <c r="S3455">
        <v>48</v>
      </c>
      <c r="T3455" t="s">
        <v>31</v>
      </c>
      <c r="U3455" t="s">
        <v>79</v>
      </c>
      <c r="V3455" s="1">
        <v>45653</v>
      </c>
      <c r="W3455">
        <f>Table1[[#This Row],[customer_purchase count]]+1</f>
        <v>49</v>
      </c>
      <c r="X3455">
        <f>Table1[[#This Row],[customer_purchase count]]*Rules!$B$3</f>
        <v>2868.689230769231</v>
      </c>
      <c r="Y3455" t="str">
        <f>IF(Table1[[#This Row],[customer_subscription]]=1,"Subscribed","Not Subscribed")</f>
        <v>Not Subscribed</v>
      </c>
    </row>
    <row r="3456" spans="1:26" x14ac:dyDescent="0.25">
      <c r="A3456">
        <v>3455</v>
      </c>
      <c r="B3456">
        <v>55</v>
      </c>
      <c r="C3456" t="s">
        <v>156</v>
      </c>
      <c r="D3456">
        <v>3455</v>
      </c>
      <c r="E3456" t="s">
        <v>69</v>
      </c>
      <c r="F3456" t="s">
        <v>70</v>
      </c>
      <c r="G3456">
        <v>3455</v>
      </c>
      <c r="H3456">
        <v>4345</v>
      </c>
      <c r="I3456">
        <v>71</v>
      </c>
      <c r="J3456" t="s">
        <v>63</v>
      </c>
      <c r="K3456" t="s">
        <v>39</v>
      </c>
      <c r="L3456" t="s">
        <v>96</v>
      </c>
      <c r="M3456" t="s">
        <v>60</v>
      </c>
      <c r="N3456">
        <v>4.5999999999999996</v>
      </c>
      <c r="O3456">
        <v>0</v>
      </c>
      <c r="P3456" t="s">
        <v>77</v>
      </c>
      <c r="Q3456" t="s">
        <v>155</v>
      </c>
      <c r="R3456" t="s">
        <v>155</v>
      </c>
      <c r="S3456">
        <v>15</v>
      </c>
      <c r="T3456" t="s">
        <v>49</v>
      </c>
      <c r="U3456" t="s">
        <v>79</v>
      </c>
      <c r="V3456" s="1">
        <v>45577</v>
      </c>
      <c r="W3456">
        <f>Table1[[#This Row],[customer_purchase count]]+1</f>
        <v>16</v>
      </c>
      <c r="X3456">
        <f>Table1[[#This Row],[customer_purchase count]]*Rules!$B$3</f>
        <v>896.46538461538466</v>
      </c>
      <c r="Y3456" t="str">
        <f>IF(Table1[[#This Row],[customer_subscription]]=1,"Subscribed","Not Subscribed")</f>
        <v>Not Subscribed</v>
      </c>
      <c r="Z3456" t="s">
        <v>194</v>
      </c>
    </row>
    <row r="3457" spans="1:26" x14ac:dyDescent="0.25">
      <c r="A3457">
        <v>3456</v>
      </c>
      <c r="B3457">
        <v>49</v>
      </c>
      <c r="C3457" t="s">
        <v>156</v>
      </c>
      <c r="D3457">
        <v>3456</v>
      </c>
      <c r="E3457" t="s">
        <v>116</v>
      </c>
      <c r="F3457" t="s">
        <v>24</v>
      </c>
      <c r="G3457">
        <v>3456</v>
      </c>
      <c r="H3457">
        <v>4346</v>
      </c>
      <c r="I3457">
        <v>89</v>
      </c>
      <c r="J3457" t="s">
        <v>126</v>
      </c>
      <c r="K3457" t="s">
        <v>47</v>
      </c>
      <c r="L3457" t="s">
        <v>124</v>
      </c>
      <c r="M3457" t="s">
        <v>60</v>
      </c>
      <c r="N3457">
        <v>4.7</v>
      </c>
      <c r="O3457">
        <v>0</v>
      </c>
      <c r="P3457" t="s">
        <v>57</v>
      </c>
      <c r="Q3457" t="s">
        <v>155</v>
      </c>
      <c r="R3457" t="s">
        <v>155</v>
      </c>
      <c r="S3457">
        <v>13</v>
      </c>
      <c r="T3457" t="s">
        <v>31</v>
      </c>
      <c r="U3457" t="s">
        <v>52</v>
      </c>
      <c r="V3457" s="1">
        <v>45618</v>
      </c>
      <c r="W3457">
        <f>Table1[[#This Row],[customer_purchase count]]+1</f>
        <v>14</v>
      </c>
      <c r="X3457">
        <f>Table1[[#This Row],[customer_purchase count]]*Rules!$B$3</f>
        <v>776.93666666666672</v>
      </c>
      <c r="Y3457" t="str">
        <f>IF(Table1[[#This Row],[customer_subscription]]=1,"Subscribed","Not Subscribed")</f>
        <v>Not Subscribed</v>
      </c>
      <c r="Z3457" t="s">
        <v>194</v>
      </c>
    </row>
    <row r="3458" spans="1:26" x14ac:dyDescent="0.25">
      <c r="A3458">
        <v>3457</v>
      </c>
      <c r="B3458">
        <v>42</v>
      </c>
      <c r="C3458" t="s">
        <v>156</v>
      </c>
      <c r="D3458">
        <v>3457</v>
      </c>
      <c r="E3458" t="s">
        <v>107</v>
      </c>
      <c r="F3458" t="s">
        <v>24</v>
      </c>
      <c r="G3458">
        <v>3457</v>
      </c>
      <c r="H3458">
        <v>4347</v>
      </c>
      <c r="I3458">
        <v>53</v>
      </c>
      <c r="J3458" t="s">
        <v>108</v>
      </c>
      <c r="K3458" t="s">
        <v>47</v>
      </c>
      <c r="L3458" t="s">
        <v>111</v>
      </c>
      <c r="M3458" t="s">
        <v>60</v>
      </c>
      <c r="N3458">
        <v>4.5999999999999996</v>
      </c>
      <c r="O3458">
        <v>0</v>
      </c>
      <c r="P3458" t="s">
        <v>29</v>
      </c>
      <c r="Q3458" t="s">
        <v>155</v>
      </c>
      <c r="R3458" t="s">
        <v>155</v>
      </c>
      <c r="S3458">
        <v>21</v>
      </c>
      <c r="T3458" t="s">
        <v>31</v>
      </c>
      <c r="U3458" t="s">
        <v>91</v>
      </c>
      <c r="V3458" s="1">
        <v>45540</v>
      </c>
      <c r="W3458">
        <f>Table1[[#This Row],[customer_purchase count]]+1</f>
        <v>22</v>
      </c>
      <c r="X3458">
        <f>Table1[[#This Row],[customer_purchase count]]*Rules!$B$3</f>
        <v>1255.0515384615385</v>
      </c>
      <c r="Y3458" t="str">
        <f>IF(Table1[[#This Row],[customer_subscription]]=1,"Subscribed","Not Subscribed")</f>
        <v>Not Subscribed</v>
      </c>
    </row>
    <row r="3459" spans="1:26" x14ac:dyDescent="0.25">
      <c r="A3459">
        <v>3458</v>
      </c>
      <c r="B3459">
        <v>64</v>
      </c>
      <c r="C3459" t="s">
        <v>156</v>
      </c>
      <c r="D3459">
        <v>3458</v>
      </c>
      <c r="E3459" t="s">
        <v>109</v>
      </c>
      <c r="F3459" t="s">
        <v>70</v>
      </c>
      <c r="G3459">
        <v>3458</v>
      </c>
      <c r="H3459">
        <v>4348</v>
      </c>
      <c r="I3459">
        <v>87</v>
      </c>
      <c r="J3459" t="s">
        <v>131</v>
      </c>
      <c r="K3459" t="s">
        <v>47</v>
      </c>
      <c r="L3459" t="s">
        <v>27</v>
      </c>
      <c r="M3459" t="s">
        <v>56</v>
      </c>
      <c r="N3459">
        <v>3</v>
      </c>
      <c r="O3459">
        <v>0</v>
      </c>
      <c r="P3459" t="s">
        <v>29</v>
      </c>
      <c r="Q3459" t="s">
        <v>155</v>
      </c>
      <c r="R3459" t="s">
        <v>155</v>
      </c>
      <c r="S3459">
        <v>29</v>
      </c>
      <c r="T3459" t="s">
        <v>36</v>
      </c>
      <c r="U3459" t="s">
        <v>32</v>
      </c>
      <c r="V3459" s="1">
        <v>45449</v>
      </c>
      <c r="W3459">
        <f>Table1[[#This Row],[customer_purchase count]]+1</f>
        <v>30</v>
      </c>
      <c r="X3459">
        <f>Table1[[#This Row],[customer_purchase count]]*Rules!$B$3</f>
        <v>1733.1664102564102</v>
      </c>
      <c r="Y3459" t="str">
        <f>IF(Table1[[#This Row],[customer_subscription]]=1,"Subscribed","Not Subscribed")</f>
        <v>Not Subscribed</v>
      </c>
    </row>
    <row r="3460" spans="1:26" x14ac:dyDescent="0.25">
      <c r="A3460">
        <v>3459</v>
      </c>
      <c r="B3460">
        <v>68</v>
      </c>
      <c r="C3460" t="s">
        <v>156</v>
      </c>
      <c r="D3460">
        <v>3459</v>
      </c>
      <c r="E3460" t="s">
        <v>109</v>
      </c>
      <c r="F3460" t="s">
        <v>70</v>
      </c>
      <c r="G3460">
        <v>3459</v>
      </c>
      <c r="H3460">
        <v>4349</v>
      </c>
      <c r="I3460">
        <v>37</v>
      </c>
      <c r="J3460" t="s">
        <v>67</v>
      </c>
      <c r="K3460" t="s">
        <v>26</v>
      </c>
      <c r="L3460" t="s">
        <v>86</v>
      </c>
      <c r="M3460" t="s">
        <v>40</v>
      </c>
      <c r="N3460">
        <v>3.4</v>
      </c>
      <c r="O3460">
        <v>0</v>
      </c>
      <c r="P3460" t="s">
        <v>57</v>
      </c>
      <c r="Q3460" t="s">
        <v>155</v>
      </c>
      <c r="R3460" t="s">
        <v>155</v>
      </c>
      <c r="S3460">
        <v>24</v>
      </c>
      <c r="T3460" t="s">
        <v>31</v>
      </c>
      <c r="U3460" t="s">
        <v>61</v>
      </c>
      <c r="V3460" s="1">
        <v>45424</v>
      </c>
      <c r="W3460">
        <f>Table1[[#This Row],[customer_purchase count]]+1</f>
        <v>25</v>
      </c>
      <c r="X3460">
        <f>Table1[[#This Row],[customer_purchase count]]*Rules!$B$3</f>
        <v>1434.3446153846155</v>
      </c>
      <c r="Y3460" t="str">
        <f>IF(Table1[[#This Row],[customer_subscription]]=1,"Subscribed","Not Subscribed")</f>
        <v>Not Subscribed</v>
      </c>
    </row>
    <row r="3461" spans="1:26" x14ac:dyDescent="0.25">
      <c r="A3461">
        <v>3460</v>
      </c>
      <c r="B3461">
        <v>68</v>
      </c>
      <c r="C3461" t="s">
        <v>156</v>
      </c>
      <c r="D3461">
        <v>3460</v>
      </c>
      <c r="E3461" t="s">
        <v>107</v>
      </c>
      <c r="F3461" t="s">
        <v>24</v>
      </c>
      <c r="G3461">
        <v>3460</v>
      </c>
      <c r="H3461">
        <v>4351</v>
      </c>
      <c r="I3461">
        <v>37</v>
      </c>
      <c r="J3461" t="s">
        <v>126</v>
      </c>
      <c r="K3461" t="s">
        <v>26</v>
      </c>
      <c r="L3461" t="s">
        <v>99</v>
      </c>
      <c r="M3461" t="s">
        <v>60</v>
      </c>
      <c r="N3461">
        <v>3.8</v>
      </c>
      <c r="O3461">
        <v>0</v>
      </c>
      <c r="P3461" t="s">
        <v>29</v>
      </c>
      <c r="Q3461" t="s">
        <v>155</v>
      </c>
      <c r="R3461" t="s">
        <v>155</v>
      </c>
      <c r="S3461">
        <v>21</v>
      </c>
      <c r="T3461" t="s">
        <v>49</v>
      </c>
      <c r="U3461" t="s">
        <v>52</v>
      </c>
      <c r="V3461" s="1">
        <v>45617</v>
      </c>
      <c r="W3461">
        <f>Table1[[#This Row],[customer_purchase count]]+1</f>
        <v>22</v>
      </c>
      <c r="X3461">
        <f>Table1[[#This Row],[customer_purchase count]]*Rules!$B$3</f>
        <v>1255.0515384615385</v>
      </c>
      <c r="Y3461" t="str">
        <f>IF(Table1[[#This Row],[customer_subscription]]=1,"Subscribed","Not Subscribed")</f>
        <v>Not Subscribed</v>
      </c>
    </row>
    <row r="3462" spans="1:26" x14ac:dyDescent="0.25">
      <c r="A3462">
        <v>3461</v>
      </c>
      <c r="B3462">
        <v>41</v>
      </c>
      <c r="C3462" t="s">
        <v>156</v>
      </c>
      <c r="D3462">
        <v>3461</v>
      </c>
      <c r="E3462" t="s">
        <v>122</v>
      </c>
      <c r="F3462" t="s">
        <v>70</v>
      </c>
      <c r="G3462">
        <v>3461</v>
      </c>
      <c r="H3462">
        <v>4352</v>
      </c>
      <c r="I3462">
        <v>78</v>
      </c>
      <c r="J3462" t="s">
        <v>119</v>
      </c>
      <c r="K3462" t="s">
        <v>47</v>
      </c>
      <c r="L3462" t="s">
        <v>83</v>
      </c>
      <c r="M3462" t="s">
        <v>40</v>
      </c>
      <c r="N3462">
        <v>3.1</v>
      </c>
      <c r="O3462">
        <v>0</v>
      </c>
      <c r="P3462" t="s">
        <v>29</v>
      </c>
      <c r="Q3462" t="s">
        <v>155</v>
      </c>
      <c r="R3462" t="s">
        <v>155</v>
      </c>
      <c r="S3462">
        <v>5</v>
      </c>
      <c r="T3462" t="s">
        <v>78</v>
      </c>
      <c r="U3462" t="s">
        <v>79</v>
      </c>
      <c r="V3462" s="1">
        <v>45376</v>
      </c>
      <c r="W3462">
        <f>Table1[[#This Row],[customer_purchase count]]+1</f>
        <v>6</v>
      </c>
      <c r="X3462">
        <f>Table1[[#This Row],[customer_purchase count]]*Rules!$B$3</f>
        <v>298.82179487179491</v>
      </c>
      <c r="Y3462" t="str">
        <f>IF(Table1[[#This Row],[customer_subscription]]=1,"Subscribed","Not Subscribed")</f>
        <v>Not Subscribed</v>
      </c>
      <c r="Z3462" t="s">
        <v>194</v>
      </c>
    </row>
    <row r="3463" spans="1:26" x14ac:dyDescent="0.25">
      <c r="A3463">
        <v>3462</v>
      </c>
      <c r="B3463">
        <v>51</v>
      </c>
      <c r="C3463" t="s">
        <v>156</v>
      </c>
      <c r="D3463">
        <v>3462</v>
      </c>
      <c r="E3463" t="s">
        <v>74</v>
      </c>
      <c r="F3463" t="s">
        <v>45</v>
      </c>
      <c r="G3463">
        <v>3462</v>
      </c>
      <c r="H3463">
        <v>4353</v>
      </c>
      <c r="I3463">
        <v>23</v>
      </c>
      <c r="J3463" t="s">
        <v>54</v>
      </c>
      <c r="K3463" t="s">
        <v>39</v>
      </c>
      <c r="L3463" t="s">
        <v>35</v>
      </c>
      <c r="M3463" t="s">
        <v>40</v>
      </c>
      <c r="N3463">
        <v>4.4000000000000004</v>
      </c>
      <c r="O3463">
        <v>0</v>
      </c>
      <c r="P3463" t="s">
        <v>57</v>
      </c>
      <c r="Q3463" t="s">
        <v>155</v>
      </c>
      <c r="R3463" t="s">
        <v>155</v>
      </c>
      <c r="S3463">
        <v>47</v>
      </c>
      <c r="T3463" t="s">
        <v>36</v>
      </c>
      <c r="U3463" t="s">
        <v>61</v>
      </c>
      <c r="V3463" s="1">
        <v>45424</v>
      </c>
      <c r="W3463">
        <f>Table1[[#This Row],[customer_purchase count]]+1</f>
        <v>48</v>
      </c>
      <c r="X3463">
        <f>Table1[[#This Row],[customer_purchase count]]*Rules!$B$3</f>
        <v>2808.9248717948717</v>
      </c>
      <c r="Y3463" t="str">
        <f>IF(Table1[[#This Row],[customer_subscription]]=1,"Subscribed","Not Subscribed")</f>
        <v>Not Subscribed</v>
      </c>
    </row>
    <row r="3464" spans="1:26" x14ac:dyDescent="0.25">
      <c r="A3464">
        <v>3463</v>
      </c>
      <c r="B3464">
        <v>44</v>
      </c>
      <c r="C3464" t="s">
        <v>156</v>
      </c>
      <c r="D3464">
        <v>3463</v>
      </c>
      <c r="E3464" t="s">
        <v>37</v>
      </c>
      <c r="F3464" t="s">
        <v>24</v>
      </c>
      <c r="G3464">
        <v>3463</v>
      </c>
      <c r="H3464">
        <v>4354</v>
      </c>
      <c r="I3464">
        <v>73</v>
      </c>
      <c r="J3464" t="s">
        <v>154</v>
      </c>
      <c r="K3464" t="s">
        <v>26</v>
      </c>
      <c r="L3464" t="s">
        <v>81</v>
      </c>
      <c r="M3464" t="s">
        <v>40</v>
      </c>
      <c r="N3464">
        <v>4.5</v>
      </c>
      <c r="O3464">
        <v>0</v>
      </c>
      <c r="P3464" t="s">
        <v>57</v>
      </c>
      <c r="Q3464" t="s">
        <v>155</v>
      </c>
      <c r="R3464" t="s">
        <v>155</v>
      </c>
      <c r="S3464">
        <v>34</v>
      </c>
      <c r="T3464" t="s">
        <v>42</v>
      </c>
      <c r="U3464" t="s">
        <v>100</v>
      </c>
      <c r="V3464" s="1">
        <v>45440</v>
      </c>
      <c r="W3464">
        <f>Table1[[#This Row],[customer_purchase count]]+1</f>
        <v>35</v>
      </c>
      <c r="X3464">
        <f>Table1[[#This Row],[customer_purchase count]]*Rules!$B$3</f>
        <v>2031.9882051282052</v>
      </c>
      <c r="Y3464" t="str">
        <f>IF(Table1[[#This Row],[customer_subscription]]=1,"Subscribed","Not Subscribed")</f>
        <v>Not Subscribed</v>
      </c>
    </row>
    <row r="3465" spans="1:26" x14ac:dyDescent="0.25">
      <c r="A3465">
        <v>3464</v>
      </c>
      <c r="B3465">
        <v>27</v>
      </c>
      <c r="C3465" t="s">
        <v>156</v>
      </c>
      <c r="D3465">
        <v>3464</v>
      </c>
      <c r="E3465" t="s">
        <v>109</v>
      </c>
      <c r="F3465" t="s">
        <v>70</v>
      </c>
      <c r="G3465">
        <v>3464</v>
      </c>
      <c r="H3465">
        <v>4355</v>
      </c>
      <c r="I3465">
        <v>27</v>
      </c>
      <c r="J3465" t="s">
        <v>34</v>
      </c>
      <c r="K3465" t="s">
        <v>47</v>
      </c>
      <c r="L3465" t="s">
        <v>137</v>
      </c>
      <c r="M3465" t="s">
        <v>60</v>
      </c>
      <c r="N3465">
        <v>2.8</v>
      </c>
      <c r="O3465">
        <v>0</v>
      </c>
      <c r="P3465" t="s">
        <v>73</v>
      </c>
      <c r="Q3465" t="s">
        <v>155</v>
      </c>
      <c r="R3465" t="s">
        <v>155</v>
      </c>
      <c r="S3465">
        <v>45</v>
      </c>
      <c r="T3465" t="s">
        <v>49</v>
      </c>
      <c r="U3465" t="s">
        <v>32</v>
      </c>
      <c r="V3465" s="1">
        <v>45553</v>
      </c>
      <c r="W3465">
        <f>Table1[[#This Row],[customer_purchase count]]+1</f>
        <v>46</v>
      </c>
      <c r="X3465">
        <f>Table1[[#This Row],[customer_purchase count]]*Rules!$B$3</f>
        <v>2689.396153846154</v>
      </c>
      <c r="Y3465" t="str">
        <f>IF(Table1[[#This Row],[customer_subscription]]=1,"Subscribed","Not Subscribed")</f>
        <v>Not Subscribed</v>
      </c>
    </row>
    <row r="3466" spans="1:26" x14ac:dyDescent="0.25">
      <c r="A3466">
        <v>3465</v>
      </c>
      <c r="B3466">
        <v>36</v>
      </c>
      <c r="C3466" t="s">
        <v>156</v>
      </c>
      <c r="D3466">
        <v>3465</v>
      </c>
      <c r="E3466" t="s">
        <v>65</v>
      </c>
      <c r="F3466" t="s">
        <v>66</v>
      </c>
      <c r="G3466">
        <v>3465</v>
      </c>
      <c r="H3466">
        <v>4357</v>
      </c>
      <c r="I3466">
        <v>59</v>
      </c>
      <c r="J3466" t="s">
        <v>143</v>
      </c>
      <c r="K3466" t="s">
        <v>39</v>
      </c>
      <c r="L3466" t="s">
        <v>103</v>
      </c>
      <c r="M3466" t="s">
        <v>28</v>
      </c>
      <c r="N3466">
        <v>2.7</v>
      </c>
      <c r="O3466">
        <v>0</v>
      </c>
      <c r="P3466" t="s">
        <v>48</v>
      </c>
      <c r="Q3466" t="s">
        <v>155</v>
      </c>
      <c r="R3466" t="s">
        <v>155</v>
      </c>
      <c r="S3466">
        <v>12</v>
      </c>
      <c r="T3466" t="s">
        <v>49</v>
      </c>
      <c r="U3466" t="s">
        <v>52</v>
      </c>
      <c r="V3466" s="1">
        <v>45317</v>
      </c>
      <c r="W3466">
        <f>Table1[[#This Row],[customer_purchase count]]+1</f>
        <v>13</v>
      </c>
      <c r="X3466">
        <f>Table1[[#This Row],[customer_purchase count]]*Rules!$B$3</f>
        <v>717.17230769230775</v>
      </c>
      <c r="Y3466" t="str">
        <f>IF(Table1[[#This Row],[customer_subscription]]=1,"Subscribed","Not Subscribed")</f>
        <v>Not Subscribed</v>
      </c>
      <c r="Z3466" t="s">
        <v>194</v>
      </c>
    </row>
    <row r="3467" spans="1:26" x14ac:dyDescent="0.25">
      <c r="A3467">
        <v>3466</v>
      </c>
      <c r="B3467">
        <v>19</v>
      </c>
      <c r="C3467" t="s">
        <v>156</v>
      </c>
      <c r="D3467">
        <v>3466</v>
      </c>
      <c r="E3467" t="s">
        <v>135</v>
      </c>
      <c r="F3467" t="s">
        <v>70</v>
      </c>
      <c r="G3467">
        <v>3466</v>
      </c>
      <c r="H3467">
        <v>4358</v>
      </c>
      <c r="I3467">
        <v>53</v>
      </c>
      <c r="J3467" t="s">
        <v>149</v>
      </c>
      <c r="K3467" t="s">
        <v>47</v>
      </c>
      <c r="L3467" t="s">
        <v>83</v>
      </c>
      <c r="M3467" t="s">
        <v>40</v>
      </c>
      <c r="N3467">
        <v>3.4</v>
      </c>
      <c r="O3467">
        <v>0</v>
      </c>
      <c r="P3467" t="s">
        <v>57</v>
      </c>
      <c r="Q3467" t="s">
        <v>155</v>
      </c>
      <c r="R3467" t="s">
        <v>155</v>
      </c>
      <c r="S3467">
        <v>31</v>
      </c>
      <c r="T3467" t="s">
        <v>89</v>
      </c>
      <c r="U3467" t="s">
        <v>43</v>
      </c>
      <c r="V3467" s="1">
        <v>45359</v>
      </c>
      <c r="W3467">
        <f>Table1[[#This Row],[customer_purchase count]]+1</f>
        <v>32</v>
      </c>
      <c r="X3467">
        <f>Table1[[#This Row],[customer_purchase count]]*Rules!$B$3</f>
        <v>1852.6951282051282</v>
      </c>
      <c r="Y3467" t="str">
        <f>IF(Table1[[#This Row],[customer_subscription]]=1,"Subscribed","Not Subscribed")</f>
        <v>Not Subscribed</v>
      </c>
    </row>
    <row r="3468" spans="1:26" x14ac:dyDescent="0.25">
      <c r="A3468">
        <v>3467</v>
      </c>
      <c r="B3468">
        <v>49</v>
      </c>
      <c r="C3468" t="s">
        <v>156</v>
      </c>
      <c r="D3468">
        <v>3467</v>
      </c>
      <c r="E3468" t="s">
        <v>128</v>
      </c>
      <c r="F3468" t="s">
        <v>24</v>
      </c>
      <c r="G3468">
        <v>3467</v>
      </c>
      <c r="H3468">
        <v>4359</v>
      </c>
      <c r="I3468">
        <v>42</v>
      </c>
      <c r="J3468" t="s">
        <v>131</v>
      </c>
      <c r="K3468" t="s">
        <v>39</v>
      </c>
      <c r="L3468" t="s">
        <v>76</v>
      </c>
      <c r="M3468" t="s">
        <v>56</v>
      </c>
      <c r="N3468">
        <v>4.5999999999999996</v>
      </c>
      <c r="O3468">
        <v>0</v>
      </c>
      <c r="P3468" t="s">
        <v>57</v>
      </c>
      <c r="Q3468" t="s">
        <v>155</v>
      </c>
      <c r="R3468" t="s">
        <v>155</v>
      </c>
      <c r="S3468">
        <v>43</v>
      </c>
      <c r="T3468" t="s">
        <v>78</v>
      </c>
      <c r="U3468" t="s">
        <v>52</v>
      </c>
      <c r="V3468" s="1">
        <v>45524</v>
      </c>
      <c r="W3468">
        <f>Table1[[#This Row],[customer_purchase count]]+1</f>
        <v>44</v>
      </c>
      <c r="X3468">
        <f>Table1[[#This Row],[customer_purchase count]]*Rules!$B$3</f>
        <v>2569.8674358974358</v>
      </c>
      <c r="Y3468" t="str">
        <f>IF(Table1[[#This Row],[customer_subscription]]=1,"Subscribed","Not Subscribed")</f>
        <v>Not Subscribed</v>
      </c>
    </row>
    <row r="3469" spans="1:26" x14ac:dyDescent="0.25">
      <c r="A3469">
        <v>3468</v>
      </c>
      <c r="B3469">
        <v>18</v>
      </c>
      <c r="C3469" t="s">
        <v>156</v>
      </c>
      <c r="D3469">
        <v>3468</v>
      </c>
      <c r="E3469" t="s">
        <v>122</v>
      </c>
      <c r="F3469" t="s">
        <v>70</v>
      </c>
      <c r="G3469">
        <v>3468</v>
      </c>
      <c r="H3469">
        <v>4360</v>
      </c>
      <c r="I3469">
        <v>45</v>
      </c>
      <c r="J3469" t="s">
        <v>108</v>
      </c>
      <c r="K3469" t="s">
        <v>47</v>
      </c>
      <c r="L3469" t="s">
        <v>64</v>
      </c>
      <c r="M3469" t="s">
        <v>60</v>
      </c>
      <c r="N3469">
        <v>5</v>
      </c>
      <c r="O3469">
        <v>0</v>
      </c>
      <c r="P3469" t="s">
        <v>48</v>
      </c>
      <c r="Q3469" t="s">
        <v>155</v>
      </c>
      <c r="R3469" t="s">
        <v>155</v>
      </c>
      <c r="S3469">
        <v>5</v>
      </c>
      <c r="T3469" t="s">
        <v>42</v>
      </c>
      <c r="U3469" t="s">
        <v>52</v>
      </c>
      <c r="V3469" s="1">
        <v>45586</v>
      </c>
      <c r="W3469">
        <f>Table1[[#This Row],[customer_purchase count]]+1</f>
        <v>6</v>
      </c>
      <c r="X3469">
        <f>Table1[[#This Row],[customer_purchase count]]*Rules!$B$3</f>
        <v>298.82179487179491</v>
      </c>
      <c r="Y3469" t="str">
        <f>IF(Table1[[#This Row],[customer_subscription]]=1,"Subscribed","Not Subscribed")</f>
        <v>Not Subscribed</v>
      </c>
      <c r="Z3469" t="s">
        <v>194</v>
      </c>
    </row>
    <row r="3470" spans="1:26" x14ac:dyDescent="0.25">
      <c r="A3470">
        <v>3469</v>
      </c>
      <c r="B3470">
        <v>36</v>
      </c>
      <c r="C3470" t="s">
        <v>156</v>
      </c>
      <c r="D3470">
        <v>3469</v>
      </c>
      <c r="E3470" t="s">
        <v>92</v>
      </c>
      <c r="F3470" t="s">
        <v>70</v>
      </c>
      <c r="G3470">
        <v>3469</v>
      </c>
      <c r="H3470">
        <v>4361</v>
      </c>
      <c r="I3470">
        <v>89</v>
      </c>
      <c r="J3470" t="s">
        <v>126</v>
      </c>
      <c r="K3470" t="s">
        <v>39</v>
      </c>
      <c r="L3470" t="s">
        <v>129</v>
      </c>
      <c r="M3470" t="s">
        <v>28</v>
      </c>
      <c r="N3470">
        <v>3.5</v>
      </c>
      <c r="O3470">
        <v>0</v>
      </c>
      <c r="P3470" t="s">
        <v>57</v>
      </c>
      <c r="Q3470" t="s">
        <v>155</v>
      </c>
      <c r="R3470" t="s">
        <v>155</v>
      </c>
      <c r="S3470">
        <v>36</v>
      </c>
      <c r="T3470" t="s">
        <v>89</v>
      </c>
      <c r="U3470" t="s">
        <v>61</v>
      </c>
      <c r="V3470" s="1">
        <v>45636</v>
      </c>
      <c r="W3470">
        <f>Table1[[#This Row],[customer_purchase count]]+1</f>
        <v>37</v>
      </c>
      <c r="X3470">
        <f>Table1[[#This Row],[customer_purchase count]]*Rules!$B$3</f>
        <v>2151.5169230769234</v>
      </c>
      <c r="Y3470" t="str">
        <f>IF(Table1[[#This Row],[customer_subscription]]=1,"Subscribed","Not Subscribed")</f>
        <v>Not Subscribed</v>
      </c>
    </row>
    <row r="3471" spans="1:26" x14ac:dyDescent="0.25">
      <c r="A3471">
        <v>3470</v>
      </c>
      <c r="B3471">
        <v>36</v>
      </c>
      <c r="C3471" t="s">
        <v>156</v>
      </c>
      <c r="D3471">
        <v>3470</v>
      </c>
      <c r="E3471" t="s">
        <v>128</v>
      </c>
      <c r="F3471" t="s">
        <v>24</v>
      </c>
      <c r="G3471">
        <v>3470</v>
      </c>
      <c r="H3471">
        <v>4363</v>
      </c>
      <c r="I3471">
        <v>85</v>
      </c>
      <c r="J3471" t="s">
        <v>117</v>
      </c>
      <c r="K3471" t="s">
        <v>26</v>
      </c>
      <c r="L3471" t="s">
        <v>139</v>
      </c>
      <c r="M3471" t="s">
        <v>60</v>
      </c>
      <c r="N3471">
        <v>3.3</v>
      </c>
      <c r="O3471">
        <v>0</v>
      </c>
      <c r="P3471" t="s">
        <v>77</v>
      </c>
      <c r="Q3471" t="s">
        <v>155</v>
      </c>
      <c r="R3471" t="s">
        <v>155</v>
      </c>
      <c r="S3471">
        <v>12</v>
      </c>
      <c r="T3471" t="s">
        <v>36</v>
      </c>
      <c r="U3471" t="s">
        <v>52</v>
      </c>
      <c r="V3471" s="1">
        <v>45592</v>
      </c>
      <c r="W3471">
        <f>Table1[[#This Row],[customer_purchase count]]+1</f>
        <v>13</v>
      </c>
      <c r="X3471">
        <f>Table1[[#This Row],[customer_purchase count]]*Rules!$B$3</f>
        <v>717.17230769230775</v>
      </c>
      <c r="Y3471" t="str">
        <f>IF(Table1[[#This Row],[customer_subscription]]=1,"Subscribed","Not Subscribed")</f>
        <v>Not Subscribed</v>
      </c>
      <c r="Z3471" t="s">
        <v>194</v>
      </c>
    </row>
    <row r="3472" spans="1:26" x14ac:dyDescent="0.25">
      <c r="A3472">
        <v>3471</v>
      </c>
      <c r="B3472">
        <v>19</v>
      </c>
      <c r="C3472" t="s">
        <v>156</v>
      </c>
      <c r="D3472">
        <v>3471</v>
      </c>
      <c r="E3472" t="s">
        <v>65</v>
      </c>
      <c r="F3472" t="s">
        <v>66</v>
      </c>
      <c r="G3472">
        <v>3471</v>
      </c>
      <c r="H3472">
        <v>4364</v>
      </c>
      <c r="I3472">
        <v>69</v>
      </c>
      <c r="J3472" t="s">
        <v>67</v>
      </c>
      <c r="K3472" t="s">
        <v>39</v>
      </c>
      <c r="L3472" t="s">
        <v>81</v>
      </c>
      <c r="M3472" t="s">
        <v>56</v>
      </c>
      <c r="N3472">
        <v>4.5</v>
      </c>
      <c r="O3472">
        <v>0</v>
      </c>
      <c r="P3472" t="s">
        <v>41</v>
      </c>
      <c r="Q3472" t="s">
        <v>155</v>
      </c>
      <c r="R3472" t="s">
        <v>155</v>
      </c>
      <c r="S3472">
        <v>31</v>
      </c>
      <c r="T3472" t="s">
        <v>36</v>
      </c>
      <c r="U3472" t="s">
        <v>79</v>
      </c>
      <c r="V3472" s="1">
        <v>45465</v>
      </c>
      <c r="W3472">
        <f>Table1[[#This Row],[customer_purchase count]]+1</f>
        <v>32</v>
      </c>
      <c r="X3472">
        <f>Table1[[#This Row],[customer_purchase count]]*Rules!$B$3</f>
        <v>1852.6951282051282</v>
      </c>
      <c r="Y3472" t="str">
        <f>IF(Table1[[#This Row],[customer_subscription]]=1,"Subscribed","Not Subscribed")</f>
        <v>Not Subscribed</v>
      </c>
    </row>
    <row r="3473" spans="1:26" x14ac:dyDescent="0.25">
      <c r="A3473">
        <v>3472</v>
      </c>
      <c r="B3473">
        <v>43</v>
      </c>
      <c r="C3473" t="s">
        <v>156</v>
      </c>
      <c r="D3473">
        <v>3472</v>
      </c>
      <c r="E3473" t="s">
        <v>44</v>
      </c>
      <c r="F3473" t="s">
        <v>45</v>
      </c>
      <c r="G3473">
        <v>3472</v>
      </c>
      <c r="H3473">
        <v>4365</v>
      </c>
      <c r="I3473">
        <v>66</v>
      </c>
      <c r="J3473" t="s">
        <v>101</v>
      </c>
      <c r="K3473" t="s">
        <v>39</v>
      </c>
      <c r="L3473" t="s">
        <v>147</v>
      </c>
      <c r="M3473" t="s">
        <v>40</v>
      </c>
      <c r="N3473">
        <v>3.1</v>
      </c>
      <c r="O3473">
        <v>0</v>
      </c>
      <c r="P3473" t="s">
        <v>77</v>
      </c>
      <c r="Q3473" t="s">
        <v>155</v>
      </c>
      <c r="R3473" t="s">
        <v>155</v>
      </c>
      <c r="S3473">
        <v>31</v>
      </c>
      <c r="T3473" t="s">
        <v>36</v>
      </c>
      <c r="U3473" t="s">
        <v>79</v>
      </c>
      <c r="V3473" s="1">
        <v>45408</v>
      </c>
      <c r="W3473">
        <f>Table1[[#This Row],[customer_purchase count]]+1</f>
        <v>32</v>
      </c>
      <c r="X3473">
        <f>Table1[[#This Row],[customer_purchase count]]*Rules!$B$3</f>
        <v>1852.6951282051282</v>
      </c>
      <c r="Y3473" t="str">
        <f>IF(Table1[[#This Row],[customer_subscription]]=1,"Subscribed","Not Subscribed")</f>
        <v>Not Subscribed</v>
      </c>
    </row>
    <row r="3474" spans="1:26" x14ac:dyDescent="0.25">
      <c r="A3474">
        <v>3473</v>
      </c>
      <c r="B3474">
        <v>31</v>
      </c>
      <c r="C3474" t="s">
        <v>156</v>
      </c>
      <c r="D3474">
        <v>3473</v>
      </c>
      <c r="E3474" t="s">
        <v>23</v>
      </c>
      <c r="F3474" t="s">
        <v>24</v>
      </c>
      <c r="G3474">
        <v>3473</v>
      </c>
      <c r="H3474">
        <v>4366</v>
      </c>
      <c r="I3474">
        <v>42</v>
      </c>
      <c r="J3474" t="s">
        <v>145</v>
      </c>
      <c r="K3474" t="s">
        <v>39</v>
      </c>
      <c r="L3474" t="s">
        <v>55</v>
      </c>
      <c r="M3474" t="s">
        <v>56</v>
      </c>
      <c r="N3474">
        <v>4</v>
      </c>
      <c r="O3474">
        <v>0</v>
      </c>
      <c r="P3474" t="s">
        <v>41</v>
      </c>
      <c r="Q3474" t="s">
        <v>155</v>
      </c>
      <c r="R3474" t="s">
        <v>155</v>
      </c>
      <c r="S3474">
        <v>15</v>
      </c>
      <c r="T3474" t="s">
        <v>89</v>
      </c>
      <c r="U3474" t="s">
        <v>43</v>
      </c>
      <c r="V3474" s="1">
        <v>45521</v>
      </c>
      <c r="W3474">
        <f>Table1[[#This Row],[customer_purchase count]]+1</f>
        <v>16</v>
      </c>
      <c r="X3474">
        <f>Table1[[#This Row],[customer_purchase count]]*Rules!$B$3</f>
        <v>896.46538461538466</v>
      </c>
      <c r="Y3474" t="str">
        <f>IF(Table1[[#This Row],[customer_subscription]]=1,"Subscribed","Not Subscribed")</f>
        <v>Not Subscribed</v>
      </c>
      <c r="Z3474" t="s">
        <v>194</v>
      </c>
    </row>
    <row r="3475" spans="1:26" x14ac:dyDescent="0.25">
      <c r="A3475">
        <v>3474</v>
      </c>
      <c r="B3475">
        <v>63</v>
      </c>
      <c r="C3475" t="s">
        <v>156</v>
      </c>
      <c r="D3475">
        <v>3474</v>
      </c>
      <c r="E3475" t="s">
        <v>84</v>
      </c>
      <c r="F3475" t="s">
        <v>24</v>
      </c>
      <c r="G3475">
        <v>3474</v>
      </c>
      <c r="H3475">
        <v>4367</v>
      </c>
      <c r="I3475">
        <v>40</v>
      </c>
      <c r="J3475" t="s">
        <v>114</v>
      </c>
      <c r="K3475" t="s">
        <v>47</v>
      </c>
      <c r="L3475" t="s">
        <v>112</v>
      </c>
      <c r="M3475" t="s">
        <v>40</v>
      </c>
      <c r="N3475">
        <v>2.5</v>
      </c>
      <c r="O3475">
        <v>0</v>
      </c>
      <c r="P3475" t="s">
        <v>29</v>
      </c>
      <c r="Q3475" t="s">
        <v>155</v>
      </c>
      <c r="R3475" t="s">
        <v>155</v>
      </c>
      <c r="S3475">
        <v>11</v>
      </c>
      <c r="T3475" t="s">
        <v>36</v>
      </c>
      <c r="U3475" t="s">
        <v>43</v>
      </c>
      <c r="V3475" s="1">
        <v>45433</v>
      </c>
      <c r="W3475">
        <f>Table1[[#This Row],[customer_purchase count]]+1</f>
        <v>12</v>
      </c>
      <c r="X3475">
        <f>Table1[[#This Row],[customer_purchase count]]*Rules!$B$3</f>
        <v>657.40794871794878</v>
      </c>
      <c r="Y3475" t="str">
        <f>IF(Table1[[#This Row],[customer_subscription]]=1,"Subscribed","Not Subscribed")</f>
        <v>Not Subscribed</v>
      </c>
      <c r="Z3475" t="s">
        <v>194</v>
      </c>
    </row>
    <row r="3476" spans="1:26" x14ac:dyDescent="0.25">
      <c r="A3476">
        <v>3475</v>
      </c>
      <c r="B3476">
        <v>41</v>
      </c>
      <c r="C3476" t="s">
        <v>156</v>
      </c>
      <c r="D3476">
        <v>3475</v>
      </c>
      <c r="E3476" t="s">
        <v>98</v>
      </c>
      <c r="F3476" t="s">
        <v>24</v>
      </c>
      <c r="G3476">
        <v>3475</v>
      </c>
      <c r="H3476">
        <v>4369</v>
      </c>
      <c r="I3476">
        <v>82</v>
      </c>
      <c r="J3476" t="s">
        <v>34</v>
      </c>
      <c r="K3476" t="s">
        <v>47</v>
      </c>
      <c r="L3476" t="s">
        <v>112</v>
      </c>
      <c r="M3476" t="s">
        <v>28</v>
      </c>
      <c r="N3476">
        <v>4.4000000000000004</v>
      </c>
      <c r="O3476">
        <v>0</v>
      </c>
      <c r="P3476" t="s">
        <v>77</v>
      </c>
      <c r="Q3476" t="s">
        <v>155</v>
      </c>
      <c r="R3476" t="s">
        <v>155</v>
      </c>
      <c r="S3476">
        <v>18</v>
      </c>
      <c r="T3476" t="s">
        <v>31</v>
      </c>
      <c r="U3476" t="s">
        <v>91</v>
      </c>
      <c r="V3476" s="1">
        <v>45303</v>
      </c>
      <c r="W3476">
        <f>Table1[[#This Row],[customer_purchase count]]+1</f>
        <v>19</v>
      </c>
      <c r="X3476">
        <f>Table1[[#This Row],[customer_purchase count]]*Rules!$B$3</f>
        <v>1075.7584615384617</v>
      </c>
      <c r="Y3476" t="str">
        <f>IF(Table1[[#This Row],[customer_subscription]]=1,"Subscribed","Not Subscribed")</f>
        <v>Not Subscribed</v>
      </c>
    </row>
    <row r="3477" spans="1:26" x14ac:dyDescent="0.25">
      <c r="A3477">
        <v>3476</v>
      </c>
      <c r="B3477">
        <v>48</v>
      </c>
      <c r="C3477" t="s">
        <v>156</v>
      </c>
      <c r="D3477">
        <v>3476</v>
      </c>
      <c r="E3477" t="s">
        <v>53</v>
      </c>
      <c r="F3477" t="s">
        <v>45</v>
      </c>
      <c r="G3477">
        <v>3476</v>
      </c>
      <c r="H3477">
        <v>4370</v>
      </c>
      <c r="I3477">
        <v>88</v>
      </c>
      <c r="J3477" t="s">
        <v>134</v>
      </c>
      <c r="K3477" t="s">
        <v>47</v>
      </c>
      <c r="L3477" t="s">
        <v>124</v>
      </c>
      <c r="M3477" t="s">
        <v>40</v>
      </c>
      <c r="N3477">
        <v>4.4000000000000004</v>
      </c>
      <c r="O3477">
        <v>0</v>
      </c>
      <c r="P3477" t="s">
        <v>29</v>
      </c>
      <c r="Q3477" t="s">
        <v>155</v>
      </c>
      <c r="R3477" t="s">
        <v>155</v>
      </c>
      <c r="S3477">
        <v>9</v>
      </c>
      <c r="T3477" t="s">
        <v>36</v>
      </c>
      <c r="U3477" t="s">
        <v>61</v>
      </c>
      <c r="V3477" s="1">
        <v>45431</v>
      </c>
      <c r="W3477">
        <f>Table1[[#This Row],[customer_purchase count]]+1</f>
        <v>10</v>
      </c>
      <c r="X3477">
        <f>Table1[[#This Row],[customer_purchase count]]*Rules!$B$3</f>
        <v>537.87923076923084</v>
      </c>
      <c r="Y3477" t="str">
        <f>IF(Table1[[#This Row],[customer_subscription]]=1,"Subscribed","Not Subscribed")</f>
        <v>Not Subscribed</v>
      </c>
      <c r="Z3477" t="s">
        <v>194</v>
      </c>
    </row>
    <row r="3478" spans="1:26" x14ac:dyDescent="0.25">
      <c r="A3478">
        <v>3477</v>
      </c>
      <c r="B3478">
        <v>68</v>
      </c>
      <c r="C3478" t="s">
        <v>156</v>
      </c>
      <c r="D3478">
        <v>3477</v>
      </c>
      <c r="E3478" t="s">
        <v>140</v>
      </c>
      <c r="F3478" t="s">
        <v>45</v>
      </c>
      <c r="G3478">
        <v>3477</v>
      </c>
      <c r="H3478">
        <v>4371</v>
      </c>
      <c r="I3478">
        <v>99</v>
      </c>
      <c r="J3478" t="s">
        <v>134</v>
      </c>
      <c r="K3478" t="s">
        <v>95</v>
      </c>
      <c r="L3478" t="s">
        <v>124</v>
      </c>
      <c r="M3478" t="s">
        <v>56</v>
      </c>
      <c r="N3478">
        <v>3.2</v>
      </c>
      <c r="O3478">
        <v>0</v>
      </c>
      <c r="P3478" t="s">
        <v>41</v>
      </c>
      <c r="Q3478" t="s">
        <v>155</v>
      </c>
      <c r="R3478" t="s">
        <v>155</v>
      </c>
      <c r="S3478">
        <v>11</v>
      </c>
      <c r="T3478" t="s">
        <v>36</v>
      </c>
      <c r="U3478" t="s">
        <v>43</v>
      </c>
      <c r="V3478" s="1">
        <v>45482</v>
      </c>
      <c r="W3478">
        <f>Table1[[#This Row],[customer_purchase count]]+1</f>
        <v>12</v>
      </c>
      <c r="X3478">
        <f>Table1[[#This Row],[customer_purchase count]]*Rules!$B$3</f>
        <v>657.40794871794878</v>
      </c>
      <c r="Y3478" t="str">
        <f>IF(Table1[[#This Row],[customer_subscription]]=1,"Subscribed","Not Subscribed")</f>
        <v>Not Subscribed</v>
      </c>
      <c r="Z3478" t="s">
        <v>194</v>
      </c>
    </row>
    <row r="3479" spans="1:26" x14ac:dyDescent="0.25">
      <c r="A3479">
        <v>3478</v>
      </c>
      <c r="B3479">
        <v>53</v>
      </c>
      <c r="C3479" t="s">
        <v>156</v>
      </c>
      <c r="D3479">
        <v>3478</v>
      </c>
      <c r="E3479" t="s">
        <v>69</v>
      </c>
      <c r="F3479" t="s">
        <v>70</v>
      </c>
      <c r="G3479">
        <v>3478</v>
      </c>
      <c r="H3479">
        <v>4372</v>
      </c>
      <c r="I3479">
        <v>85</v>
      </c>
      <c r="J3479" t="s">
        <v>25</v>
      </c>
      <c r="K3479" t="s">
        <v>39</v>
      </c>
      <c r="L3479" t="s">
        <v>88</v>
      </c>
      <c r="M3479" t="s">
        <v>40</v>
      </c>
      <c r="N3479">
        <v>3.8</v>
      </c>
      <c r="O3479">
        <v>0</v>
      </c>
      <c r="P3479" t="s">
        <v>77</v>
      </c>
      <c r="Q3479" t="s">
        <v>155</v>
      </c>
      <c r="R3479" t="s">
        <v>155</v>
      </c>
      <c r="S3479">
        <v>38</v>
      </c>
      <c r="T3479" t="s">
        <v>89</v>
      </c>
      <c r="U3479" t="s">
        <v>79</v>
      </c>
      <c r="V3479" s="1">
        <v>45437</v>
      </c>
      <c r="W3479">
        <f>Table1[[#This Row],[customer_purchase count]]+1</f>
        <v>39</v>
      </c>
      <c r="X3479">
        <f>Table1[[#This Row],[customer_purchase count]]*Rules!$B$3</f>
        <v>2271.0456410256411</v>
      </c>
      <c r="Y3479" t="str">
        <f>IF(Table1[[#This Row],[customer_subscription]]=1,"Subscribed","Not Subscribed")</f>
        <v>Not Subscribed</v>
      </c>
    </row>
    <row r="3480" spans="1:26" x14ac:dyDescent="0.25">
      <c r="A3480">
        <v>3479</v>
      </c>
      <c r="B3480">
        <v>36</v>
      </c>
      <c r="C3480" t="s">
        <v>156</v>
      </c>
      <c r="D3480">
        <v>3479</v>
      </c>
      <c r="E3480" t="s">
        <v>69</v>
      </c>
      <c r="F3480" t="s">
        <v>70</v>
      </c>
      <c r="G3480">
        <v>3479</v>
      </c>
      <c r="H3480">
        <v>4373</v>
      </c>
      <c r="I3480">
        <v>57</v>
      </c>
      <c r="J3480" t="s">
        <v>120</v>
      </c>
      <c r="K3480" t="s">
        <v>47</v>
      </c>
      <c r="L3480" t="s">
        <v>139</v>
      </c>
      <c r="M3480" t="s">
        <v>60</v>
      </c>
      <c r="N3480">
        <v>4.5999999999999996</v>
      </c>
      <c r="O3480">
        <v>0</v>
      </c>
      <c r="P3480" t="s">
        <v>77</v>
      </c>
      <c r="Q3480" t="s">
        <v>155</v>
      </c>
      <c r="R3480" t="s">
        <v>155</v>
      </c>
      <c r="S3480">
        <v>42</v>
      </c>
      <c r="T3480" t="s">
        <v>49</v>
      </c>
      <c r="U3480" t="s">
        <v>61</v>
      </c>
      <c r="V3480" s="1">
        <v>45582</v>
      </c>
      <c r="W3480">
        <f>Table1[[#This Row],[customer_purchase count]]+1</f>
        <v>43</v>
      </c>
      <c r="X3480">
        <f>Table1[[#This Row],[customer_purchase count]]*Rules!$B$3</f>
        <v>2510.103076923077</v>
      </c>
      <c r="Y3480" t="str">
        <f>IF(Table1[[#This Row],[customer_subscription]]=1,"Subscribed","Not Subscribed")</f>
        <v>Not Subscribed</v>
      </c>
    </row>
    <row r="3481" spans="1:26" x14ac:dyDescent="0.25">
      <c r="A3481">
        <v>3480</v>
      </c>
      <c r="B3481">
        <v>46</v>
      </c>
      <c r="C3481" t="s">
        <v>156</v>
      </c>
      <c r="D3481">
        <v>3480</v>
      </c>
      <c r="E3481" t="s">
        <v>33</v>
      </c>
      <c r="F3481" t="s">
        <v>24</v>
      </c>
      <c r="G3481">
        <v>3480</v>
      </c>
      <c r="H3481">
        <v>4375</v>
      </c>
      <c r="I3481">
        <v>56</v>
      </c>
      <c r="J3481" t="s">
        <v>87</v>
      </c>
      <c r="K3481" t="s">
        <v>39</v>
      </c>
      <c r="L3481" t="s">
        <v>124</v>
      </c>
      <c r="M3481" t="s">
        <v>56</v>
      </c>
      <c r="N3481">
        <v>4.9000000000000004</v>
      </c>
      <c r="O3481">
        <v>0</v>
      </c>
      <c r="P3481" t="s">
        <v>57</v>
      </c>
      <c r="Q3481" t="s">
        <v>155</v>
      </c>
      <c r="R3481" t="s">
        <v>155</v>
      </c>
      <c r="S3481">
        <v>41</v>
      </c>
      <c r="T3481" t="s">
        <v>36</v>
      </c>
      <c r="U3481" t="s">
        <v>91</v>
      </c>
      <c r="V3481" s="1">
        <v>45524</v>
      </c>
      <c r="W3481">
        <f>Table1[[#This Row],[customer_purchase count]]+1</f>
        <v>42</v>
      </c>
      <c r="X3481">
        <f>Table1[[#This Row],[customer_purchase count]]*Rules!$B$3</f>
        <v>2450.3387179487181</v>
      </c>
      <c r="Y3481" t="str">
        <f>IF(Table1[[#This Row],[customer_subscription]]=1,"Subscribed","Not Subscribed")</f>
        <v>Not Subscribed</v>
      </c>
    </row>
    <row r="3482" spans="1:26" x14ac:dyDescent="0.25">
      <c r="A3482">
        <v>3481</v>
      </c>
      <c r="B3482">
        <v>21</v>
      </c>
      <c r="C3482" t="s">
        <v>156</v>
      </c>
      <c r="D3482">
        <v>3481</v>
      </c>
      <c r="E3482" t="s">
        <v>44</v>
      </c>
      <c r="F3482" t="s">
        <v>45</v>
      </c>
      <c r="G3482">
        <v>3481</v>
      </c>
      <c r="H3482">
        <v>4376</v>
      </c>
      <c r="I3482">
        <v>79</v>
      </c>
      <c r="J3482" t="s">
        <v>85</v>
      </c>
      <c r="K3482" t="s">
        <v>26</v>
      </c>
      <c r="L3482" t="s">
        <v>103</v>
      </c>
      <c r="M3482" t="s">
        <v>28</v>
      </c>
      <c r="N3482">
        <v>3.5</v>
      </c>
      <c r="O3482">
        <v>0</v>
      </c>
      <c r="P3482" t="s">
        <v>41</v>
      </c>
      <c r="Q3482" t="s">
        <v>155</v>
      </c>
      <c r="R3482" t="s">
        <v>155</v>
      </c>
      <c r="S3482">
        <v>45</v>
      </c>
      <c r="T3482" t="s">
        <v>49</v>
      </c>
      <c r="U3482" t="s">
        <v>91</v>
      </c>
      <c r="V3482" s="1">
        <v>45324</v>
      </c>
      <c r="W3482">
        <f>Table1[[#This Row],[customer_purchase count]]+1</f>
        <v>46</v>
      </c>
      <c r="X3482">
        <f>Table1[[#This Row],[customer_purchase count]]*Rules!$B$3</f>
        <v>2689.396153846154</v>
      </c>
      <c r="Y3482" t="str">
        <f>IF(Table1[[#This Row],[customer_subscription]]=1,"Subscribed","Not Subscribed")</f>
        <v>Not Subscribed</v>
      </c>
    </row>
    <row r="3483" spans="1:26" x14ac:dyDescent="0.25">
      <c r="A3483">
        <v>3482</v>
      </c>
      <c r="B3483">
        <v>52</v>
      </c>
      <c r="C3483" t="s">
        <v>156</v>
      </c>
      <c r="D3483">
        <v>3482</v>
      </c>
      <c r="E3483" t="s">
        <v>128</v>
      </c>
      <c r="F3483" t="s">
        <v>24</v>
      </c>
      <c r="G3483">
        <v>3482</v>
      </c>
      <c r="H3483">
        <v>4377</v>
      </c>
      <c r="I3483">
        <v>67</v>
      </c>
      <c r="J3483" t="s">
        <v>126</v>
      </c>
      <c r="K3483" t="s">
        <v>39</v>
      </c>
      <c r="L3483" t="s">
        <v>35</v>
      </c>
      <c r="M3483" t="s">
        <v>56</v>
      </c>
      <c r="N3483">
        <v>3.4</v>
      </c>
      <c r="O3483">
        <v>0</v>
      </c>
      <c r="P3483" t="s">
        <v>77</v>
      </c>
      <c r="Q3483" t="s">
        <v>155</v>
      </c>
      <c r="R3483" t="s">
        <v>155</v>
      </c>
      <c r="S3483">
        <v>41</v>
      </c>
      <c r="T3483" t="s">
        <v>89</v>
      </c>
      <c r="U3483" t="s">
        <v>79</v>
      </c>
      <c r="V3483" s="1">
        <v>45493</v>
      </c>
      <c r="W3483">
        <f>Table1[[#This Row],[customer_purchase count]]+1</f>
        <v>42</v>
      </c>
      <c r="X3483">
        <f>Table1[[#This Row],[customer_purchase count]]*Rules!$B$3</f>
        <v>2450.3387179487181</v>
      </c>
      <c r="Y3483" t="str">
        <f>IF(Table1[[#This Row],[customer_subscription]]=1,"Subscribed","Not Subscribed")</f>
        <v>Not Subscribed</v>
      </c>
    </row>
    <row r="3484" spans="1:26" x14ac:dyDescent="0.25">
      <c r="A3484">
        <v>3483</v>
      </c>
      <c r="B3484">
        <v>66</v>
      </c>
      <c r="C3484" t="s">
        <v>156</v>
      </c>
      <c r="D3484">
        <v>3483</v>
      </c>
      <c r="E3484" t="s">
        <v>146</v>
      </c>
      <c r="F3484" t="s">
        <v>70</v>
      </c>
      <c r="G3484">
        <v>3483</v>
      </c>
      <c r="H3484">
        <v>4378</v>
      </c>
      <c r="I3484">
        <v>61</v>
      </c>
      <c r="J3484" t="s">
        <v>80</v>
      </c>
      <c r="K3484" t="s">
        <v>47</v>
      </c>
      <c r="L3484" t="s">
        <v>83</v>
      </c>
      <c r="M3484" t="s">
        <v>28</v>
      </c>
      <c r="N3484">
        <v>3.9</v>
      </c>
      <c r="O3484">
        <v>0</v>
      </c>
      <c r="P3484" t="s">
        <v>48</v>
      </c>
      <c r="Q3484" t="s">
        <v>155</v>
      </c>
      <c r="R3484" t="s">
        <v>155</v>
      </c>
      <c r="S3484">
        <v>35</v>
      </c>
      <c r="T3484" t="s">
        <v>89</v>
      </c>
      <c r="U3484" t="s">
        <v>43</v>
      </c>
      <c r="V3484" s="1">
        <v>45343</v>
      </c>
      <c r="W3484">
        <f>Table1[[#This Row],[customer_purchase count]]+1</f>
        <v>36</v>
      </c>
      <c r="X3484">
        <f>Table1[[#This Row],[customer_purchase count]]*Rules!$B$3</f>
        <v>2091.7525641025641</v>
      </c>
      <c r="Y3484" t="str">
        <f>IF(Table1[[#This Row],[customer_subscription]]=1,"Subscribed","Not Subscribed")</f>
        <v>Not Subscribed</v>
      </c>
    </row>
    <row r="3485" spans="1:26" x14ac:dyDescent="0.25">
      <c r="A3485">
        <v>3484</v>
      </c>
      <c r="B3485">
        <v>19</v>
      </c>
      <c r="C3485" t="s">
        <v>156</v>
      </c>
      <c r="D3485">
        <v>3484</v>
      </c>
      <c r="E3485" t="s">
        <v>107</v>
      </c>
      <c r="F3485" t="s">
        <v>24</v>
      </c>
      <c r="G3485">
        <v>3484</v>
      </c>
      <c r="H3485">
        <v>4379</v>
      </c>
      <c r="I3485">
        <v>37</v>
      </c>
      <c r="J3485" t="s">
        <v>108</v>
      </c>
      <c r="K3485" t="s">
        <v>26</v>
      </c>
      <c r="L3485" t="s">
        <v>55</v>
      </c>
      <c r="M3485" t="s">
        <v>28</v>
      </c>
      <c r="N3485">
        <v>3.9</v>
      </c>
      <c r="O3485">
        <v>0</v>
      </c>
      <c r="P3485" t="s">
        <v>29</v>
      </c>
      <c r="Q3485" t="s">
        <v>155</v>
      </c>
      <c r="R3485" t="s">
        <v>155</v>
      </c>
      <c r="S3485">
        <v>21</v>
      </c>
      <c r="T3485" t="s">
        <v>42</v>
      </c>
      <c r="U3485" t="s">
        <v>100</v>
      </c>
      <c r="V3485" s="1">
        <v>45650</v>
      </c>
      <c r="W3485">
        <f>Table1[[#This Row],[customer_purchase count]]+1</f>
        <v>22</v>
      </c>
      <c r="X3485">
        <f>Table1[[#This Row],[customer_purchase count]]*Rules!$B$3</f>
        <v>1255.0515384615385</v>
      </c>
      <c r="Y3485" t="str">
        <f>IF(Table1[[#This Row],[customer_subscription]]=1,"Subscribed","Not Subscribed")</f>
        <v>Not Subscribed</v>
      </c>
    </row>
    <row r="3486" spans="1:26" x14ac:dyDescent="0.25">
      <c r="A3486">
        <v>3485</v>
      </c>
      <c r="B3486">
        <v>44</v>
      </c>
      <c r="C3486" t="s">
        <v>156</v>
      </c>
      <c r="D3486">
        <v>3485</v>
      </c>
      <c r="E3486" t="s">
        <v>84</v>
      </c>
      <c r="F3486" t="s">
        <v>24</v>
      </c>
      <c r="G3486">
        <v>3485</v>
      </c>
      <c r="H3486">
        <v>4381</v>
      </c>
      <c r="I3486">
        <v>75</v>
      </c>
      <c r="J3486" t="s">
        <v>118</v>
      </c>
      <c r="K3486" t="s">
        <v>26</v>
      </c>
      <c r="L3486" t="s">
        <v>27</v>
      </c>
      <c r="M3486" t="s">
        <v>60</v>
      </c>
      <c r="N3486">
        <v>4.2</v>
      </c>
      <c r="O3486">
        <v>0</v>
      </c>
      <c r="P3486" t="s">
        <v>41</v>
      </c>
      <c r="Q3486" t="s">
        <v>155</v>
      </c>
      <c r="R3486" t="s">
        <v>155</v>
      </c>
      <c r="S3486">
        <v>13</v>
      </c>
      <c r="T3486" t="s">
        <v>42</v>
      </c>
      <c r="U3486" t="s">
        <v>79</v>
      </c>
      <c r="V3486" s="1">
        <v>45588</v>
      </c>
      <c r="W3486">
        <f>Table1[[#This Row],[customer_purchase count]]+1</f>
        <v>14</v>
      </c>
      <c r="X3486">
        <f>Table1[[#This Row],[customer_purchase count]]*Rules!$B$3</f>
        <v>776.93666666666672</v>
      </c>
      <c r="Y3486" t="str">
        <f>IF(Table1[[#This Row],[customer_subscription]]=1,"Subscribed","Not Subscribed")</f>
        <v>Not Subscribed</v>
      </c>
      <c r="Z3486" t="s">
        <v>194</v>
      </c>
    </row>
    <row r="3487" spans="1:26" x14ac:dyDescent="0.25">
      <c r="A3487">
        <v>3486</v>
      </c>
      <c r="B3487">
        <v>50</v>
      </c>
      <c r="C3487" t="s">
        <v>156</v>
      </c>
      <c r="D3487">
        <v>3486</v>
      </c>
      <c r="E3487" t="s">
        <v>58</v>
      </c>
      <c r="F3487" t="s">
        <v>24</v>
      </c>
      <c r="G3487">
        <v>3486</v>
      </c>
      <c r="H3487">
        <v>4382</v>
      </c>
      <c r="I3487">
        <v>21</v>
      </c>
      <c r="J3487" t="s">
        <v>38</v>
      </c>
      <c r="K3487" t="s">
        <v>95</v>
      </c>
      <c r="L3487" t="s">
        <v>113</v>
      </c>
      <c r="M3487" t="s">
        <v>28</v>
      </c>
      <c r="N3487">
        <v>3.4</v>
      </c>
      <c r="O3487">
        <v>0</v>
      </c>
      <c r="P3487" t="s">
        <v>57</v>
      </c>
      <c r="Q3487" t="s">
        <v>155</v>
      </c>
      <c r="R3487" t="s">
        <v>155</v>
      </c>
      <c r="S3487">
        <v>23</v>
      </c>
      <c r="T3487" t="s">
        <v>89</v>
      </c>
      <c r="U3487" t="s">
        <v>32</v>
      </c>
      <c r="V3487" s="1">
        <v>45301</v>
      </c>
      <c r="W3487">
        <f>Table1[[#This Row],[customer_purchase count]]+1</f>
        <v>24</v>
      </c>
      <c r="X3487">
        <f>Table1[[#This Row],[customer_purchase count]]*Rules!$B$3</f>
        <v>1374.5802564102564</v>
      </c>
      <c r="Y3487" t="str">
        <f>IF(Table1[[#This Row],[customer_subscription]]=1,"Subscribed","Not Subscribed")</f>
        <v>Not Subscribed</v>
      </c>
    </row>
    <row r="3488" spans="1:26" x14ac:dyDescent="0.25">
      <c r="A3488">
        <v>3487</v>
      </c>
      <c r="B3488">
        <v>51</v>
      </c>
      <c r="C3488" t="s">
        <v>156</v>
      </c>
      <c r="D3488">
        <v>3487</v>
      </c>
      <c r="E3488" t="s">
        <v>62</v>
      </c>
      <c r="F3488" t="s">
        <v>24</v>
      </c>
      <c r="G3488">
        <v>3487</v>
      </c>
      <c r="H3488">
        <v>4383</v>
      </c>
      <c r="I3488">
        <v>89</v>
      </c>
      <c r="J3488" t="s">
        <v>101</v>
      </c>
      <c r="K3488" t="s">
        <v>26</v>
      </c>
      <c r="L3488" t="s">
        <v>64</v>
      </c>
      <c r="M3488" t="s">
        <v>28</v>
      </c>
      <c r="N3488">
        <v>4.9000000000000004</v>
      </c>
      <c r="O3488">
        <v>0</v>
      </c>
      <c r="P3488" t="s">
        <v>57</v>
      </c>
      <c r="Q3488" t="s">
        <v>155</v>
      </c>
      <c r="R3488" t="s">
        <v>155</v>
      </c>
      <c r="S3488">
        <v>6</v>
      </c>
      <c r="T3488" t="s">
        <v>49</v>
      </c>
      <c r="U3488" t="s">
        <v>43</v>
      </c>
      <c r="V3488" s="1">
        <v>45632</v>
      </c>
      <c r="W3488">
        <f>Table1[[#This Row],[customer_purchase count]]+1</f>
        <v>7</v>
      </c>
      <c r="X3488">
        <f>Table1[[#This Row],[customer_purchase count]]*Rules!$B$3</f>
        <v>358.58615384615388</v>
      </c>
      <c r="Y3488" t="str">
        <f>IF(Table1[[#This Row],[customer_subscription]]=1,"Subscribed","Not Subscribed")</f>
        <v>Not Subscribed</v>
      </c>
      <c r="Z3488" t="s">
        <v>194</v>
      </c>
    </row>
    <row r="3489" spans="1:26" x14ac:dyDescent="0.25">
      <c r="A3489">
        <v>3488</v>
      </c>
      <c r="B3489">
        <v>25</v>
      </c>
      <c r="C3489" t="s">
        <v>156</v>
      </c>
      <c r="D3489">
        <v>3488</v>
      </c>
      <c r="E3489" t="s">
        <v>44</v>
      </c>
      <c r="F3489" t="s">
        <v>45</v>
      </c>
      <c r="G3489">
        <v>3488</v>
      </c>
      <c r="H3489">
        <v>4384</v>
      </c>
      <c r="I3489">
        <v>24</v>
      </c>
      <c r="J3489" t="s">
        <v>67</v>
      </c>
      <c r="K3489" t="s">
        <v>26</v>
      </c>
      <c r="L3489" t="s">
        <v>121</v>
      </c>
      <c r="M3489" t="s">
        <v>60</v>
      </c>
      <c r="N3489">
        <v>2.9</v>
      </c>
      <c r="O3489">
        <v>0</v>
      </c>
      <c r="P3489" t="s">
        <v>77</v>
      </c>
      <c r="Q3489" t="s">
        <v>155</v>
      </c>
      <c r="R3489" t="s">
        <v>155</v>
      </c>
      <c r="S3489">
        <v>39</v>
      </c>
      <c r="T3489" t="s">
        <v>78</v>
      </c>
      <c r="U3489" t="s">
        <v>52</v>
      </c>
      <c r="V3489" s="1">
        <v>45608</v>
      </c>
      <c r="W3489">
        <f>Table1[[#This Row],[customer_purchase count]]+1</f>
        <v>40</v>
      </c>
      <c r="X3489">
        <f>Table1[[#This Row],[customer_purchase count]]*Rules!$B$3</f>
        <v>2330.81</v>
      </c>
      <c r="Y3489" t="str">
        <f>IF(Table1[[#This Row],[customer_subscription]]=1,"Subscribed","Not Subscribed")</f>
        <v>Not Subscribed</v>
      </c>
    </row>
    <row r="3490" spans="1:26" x14ac:dyDescent="0.25">
      <c r="A3490">
        <v>3489</v>
      </c>
      <c r="B3490">
        <v>62</v>
      </c>
      <c r="C3490" t="s">
        <v>156</v>
      </c>
      <c r="D3490">
        <v>3489</v>
      </c>
      <c r="E3490" t="s">
        <v>33</v>
      </c>
      <c r="F3490" t="s">
        <v>24</v>
      </c>
      <c r="G3490">
        <v>3489</v>
      </c>
      <c r="H3490">
        <v>4385</v>
      </c>
      <c r="I3490">
        <v>27</v>
      </c>
      <c r="J3490" t="s">
        <v>82</v>
      </c>
      <c r="K3490" t="s">
        <v>95</v>
      </c>
      <c r="L3490" t="s">
        <v>88</v>
      </c>
      <c r="M3490" t="s">
        <v>40</v>
      </c>
      <c r="N3490">
        <v>4.9000000000000004</v>
      </c>
      <c r="O3490">
        <v>0</v>
      </c>
      <c r="P3490" t="s">
        <v>77</v>
      </c>
      <c r="Q3490" t="s">
        <v>155</v>
      </c>
      <c r="R3490" t="s">
        <v>155</v>
      </c>
      <c r="S3490">
        <v>7</v>
      </c>
      <c r="T3490" t="s">
        <v>36</v>
      </c>
      <c r="U3490" t="s">
        <v>61</v>
      </c>
      <c r="V3490" s="1">
        <v>45435</v>
      </c>
      <c r="W3490">
        <f>Table1[[#This Row],[customer_purchase count]]+1</f>
        <v>8</v>
      </c>
      <c r="X3490">
        <f>Table1[[#This Row],[customer_purchase count]]*Rules!$B$3</f>
        <v>418.35051282051285</v>
      </c>
      <c r="Y3490" t="str">
        <f>IF(Table1[[#This Row],[customer_subscription]]=1,"Subscribed","Not Subscribed")</f>
        <v>Not Subscribed</v>
      </c>
      <c r="Z3490" t="s">
        <v>194</v>
      </c>
    </row>
    <row r="3491" spans="1:26" x14ac:dyDescent="0.25">
      <c r="A3491">
        <v>3490</v>
      </c>
      <c r="B3491">
        <v>48</v>
      </c>
      <c r="C3491" t="s">
        <v>156</v>
      </c>
      <c r="D3491">
        <v>3490</v>
      </c>
      <c r="E3491" t="s">
        <v>84</v>
      </c>
      <c r="F3491" t="s">
        <v>24</v>
      </c>
      <c r="G3491">
        <v>3490</v>
      </c>
      <c r="H3491">
        <v>4387</v>
      </c>
      <c r="I3491">
        <v>26</v>
      </c>
      <c r="J3491" t="s">
        <v>138</v>
      </c>
      <c r="K3491" t="s">
        <v>26</v>
      </c>
      <c r="L3491" t="s">
        <v>97</v>
      </c>
      <c r="M3491" t="s">
        <v>56</v>
      </c>
      <c r="N3491">
        <v>4.5999999999999996</v>
      </c>
      <c r="O3491">
        <v>0</v>
      </c>
      <c r="P3491" t="s">
        <v>73</v>
      </c>
      <c r="Q3491" t="s">
        <v>155</v>
      </c>
      <c r="R3491" t="s">
        <v>155</v>
      </c>
      <c r="S3491">
        <v>32</v>
      </c>
      <c r="T3491" t="s">
        <v>49</v>
      </c>
      <c r="U3491" t="s">
        <v>100</v>
      </c>
      <c r="V3491" s="1">
        <v>45481</v>
      </c>
      <c r="W3491">
        <f>Table1[[#This Row],[customer_purchase count]]+1</f>
        <v>33</v>
      </c>
      <c r="X3491">
        <f>Table1[[#This Row],[customer_purchase count]]*Rules!$B$3</f>
        <v>1912.4594871794873</v>
      </c>
      <c r="Y3491" t="str">
        <f>IF(Table1[[#This Row],[customer_subscription]]=1,"Subscribed","Not Subscribed")</f>
        <v>Not Subscribed</v>
      </c>
    </row>
    <row r="3492" spans="1:26" x14ac:dyDescent="0.25">
      <c r="A3492">
        <v>3491</v>
      </c>
      <c r="B3492">
        <v>62</v>
      </c>
      <c r="C3492" t="s">
        <v>156</v>
      </c>
      <c r="D3492">
        <v>3491</v>
      </c>
      <c r="E3492" t="s">
        <v>140</v>
      </c>
      <c r="F3492" t="s">
        <v>45</v>
      </c>
      <c r="G3492">
        <v>3491</v>
      </c>
      <c r="H3492">
        <v>4388</v>
      </c>
      <c r="I3492">
        <v>82</v>
      </c>
      <c r="J3492" t="s">
        <v>50</v>
      </c>
      <c r="K3492" t="s">
        <v>47</v>
      </c>
      <c r="L3492" t="s">
        <v>86</v>
      </c>
      <c r="M3492" t="s">
        <v>40</v>
      </c>
      <c r="N3492">
        <v>3.6</v>
      </c>
      <c r="O3492">
        <v>0</v>
      </c>
      <c r="P3492" t="s">
        <v>77</v>
      </c>
      <c r="Q3492" t="s">
        <v>155</v>
      </c>
      <c r="R3492" t="s">
        <v>155</v>
      </c>
      <c r="S3492">
        <v>43</v>
      </c>
      <c r="T3492" t="s">
        <v>42</v>
      </c>
      <c r="U3492" t="s">
        <v>61</v>
      </c>
      <c r="V3492" s="1">
        <v>45356</v>
      </c>
      <c r="W3492">
        <f>Table1[[#This Row],[customer_purchase count]]+1</f>
        <v>44</v>
      </c>
      <c r="X3492">
        <f>Table1[[#This Row],[customer_purchase count]]*Rules!$B$3</f>
        <v>2569.8674358974358</v>
      </c>
      <c r="Y3492" t="str">
        <f>IF(Table1[[#This Row],[customer_subscription]]=1,"Subscribed","Not Subscribed")</f>
        <v>Not Subscribed</v>
      </c>
    </row>
    <row r="3493" spans="1:26" x14ac:dyDescent="0.25">
      <c r="A3493">
        <v>3492</v>
      </c>
      <c r="B3493">
        <v>22</v>
      </c>
      <c r="C3493" t="s">
        <v>156</v>
      </c>
      <c r="D3493">
        <v>3492</v>
      </c>
      <c r="E3493" t="s">
        <v>98</v>
      </c>
      <c r="F3493" t="s">
        <v>24</v>
      </c>
      <c r="G3493">
        <v>3492</v>
      </c>
      <c r="H3493">
        <v>4389</v>
      </c>
      <c r="I3493">
        <v>28</v>
      </c>
      <c r="J3493" t="s">
        <v>34</v>
      </c>
      <c r="K3493" t="s">
        <v>47</v>
      </c>
      <c r="L3493" t="s">
        <v>124</v>
      </c>
      <c r="M3493" t="s">
        <v>28</v>
      </c>
      <c r="N3493">
        <v>4.3</v>
      </c>
      <c r="O3493">
        <v>0</v>
      </c>
      <c r="P3493" t="s">
        <v>29</v>
      </c>
      <c r="Q3493" t="s">
        <v>155</v>
      </c>
      <c r="R3493" t="s">
        <v>155</v>
      </c>
      <c r="S3493">
        <v>15</v>
      </c>
      <c r="T3493" t="s">
        <v>36</v>
      </c>
      <c r="U3493" t="s">
        <v>91</v>
      </c>
      <c r="V3493" s="1">
        <v>45649</v>
      </c>
      <c r="W3493">
        <f>Table1[[#This Row],[customer_purchase count]]+1</f>
        <v>16</v>
      </c>
      <c r="X3493">
        <f>Table1[[#This Row],[customer_purchase count]]*Rules!$B$3</f>
        <v>896.46538461538466</v>
      </c>
      <c r="Y3493" t="str">
        <f>IF(Table1[[#This Row],[customer_subscription]]=1,"Subscribed","Not Subscribed")</f>
        <v>Not Subscribed</v>
      </c>
      <c r="Z3493" t="s">
        <v>187</v>
      </c>
    </row>
    <row r="3494" spans="1:26" x14ac:dyDescent="0.25">
      <c r="A3494">
        <v>3493</v>
      </c>
      <c r="B3494">
        <v>48</v>
      </c>
      <c r="C3494" t="s">
        <v>156</v>
      </c>
      <c r="D3494">
        <v>3493</v>
      </c>
      <c r="E3494" t="s">
        <v>146</v>
      </c>
      <c r="F3494" t="s">
        <v>70</v>
      </c>
      <c r="G3494">
        <v>3493</v>
      </c>
      <c r="H3494">
        <v>4390</v>
      </c>
      <c r="I3494">
        <v>65</v>
      </c>
      <c r="J3494" t="s">
        <v>150</v>
      </c>
      <c r="K3494" t="s">
        <v>47</v>
      </c>
      <c r="L3494" t="s">
        <v>51</v>
      </c>
      <c r="M3494" t="s">
        <v>60</v>
      </c>
      <c r="N3494">
        <v>4.5999999999999996</v>
      </c>
      <c r="O3494">
        <v>0</v>
      </c>
      <c r="P3494" t="s">
        <v>57</v>
      </c>
      <c r="Q3494" t="s">
        <v>155</v>
      </c>
      <c r="R3494" t="s">
        <v>155</v>
      </c>
      <c r="S3494">
        <v>48</v>
      </c>
      <c r="T3494" t="s">
        <v>78</v>
      </c>
      <c r="U3494" t="s">
        <v>52</v>
      </c>
      <c r="V3494" s="1">
        <v>45603</v>
      </c>
      <c r="W3494">
        <f>Table1[[#This Row],[customer_purchase count]]+1</f>
        <v>49</v>
      </c>
      <c r="X3494">
        <f>Table1[[#This Row],[customer_purchase count]]*Rules!$B$3</f>
        <v>2868.689230769231</v>
      </c>
      <c r="Y3494" t="str">
        <f>IF(Table1[[#This Row],[customer_subscription]]=1,"Subscribed","Not Subscribed")</f>
        <v>Not Subscribed</v>
      </c>
    </row>
    <row r="3495" spans="1:26" x14ac:dyDescent="0.25">
      <c r="A3495">
        <v>3494</v>
      </c>
      <c r="B3495">
        <v>48</v>
      </c>
      <c r="C3495" t="s">
        <v>156</v>
      </c>
      <c r="D3495">
        <v>3494</v>
      </c>
      <c r="E3495" t="s">
        <v>98</v>
      </c>
      <c r="F3495" t="s">
        <v>24</v>
      </c>
      <c r="G3495">
        <v>3494</v>
      </c>
      <c r="H3495">
        <v>4391</v>
      </c>
      <c r="I3495">
        <v>82</v>
      </c>
      <c r="J3495" t="s">
        <v>133</v>
      </c>
      <c r="K3495" t="s">
        <v>95</v>
      </c>
      <c r="L3495" t="s">
        <v>97</v>
      </c>
      <c r="M3495" t="s">
        <v>28</v>
      </c>
      <c r="N3495">
        <v>4.7</v>
      </c>
      <c r="O3495">
        <v>0</v>
      </c>
      <c r="P3495" t="s">
        <v>77</v>
      </c>
      <c r="Q3495" t="s">
        <v>155</v>
      </c>
      <c r="R3495" t="s">
        <v>155</v>
      </c>
      <c r="S3495">
        <v>35</v>
      </c>
      <c r="T3495" t="s">
        <v>42</v>
      </c>
      <c r="U3495" t="s">
        <v>43</v>
      </c>
      <c r="V3495" s="1">
        <v>45325</v>
      </c>
      <c r="W3495">
        <f>Table1[[#This Row],[customer_purchase count]]+1</f>
        <v>36</v>
      </c>
      <c r="X3495">
        <f>Table1[[#This Row],[customer_purchase count]]*Rules!$B$3</f>
        <v>2091.7525641025641</v>
      </c>
      <c r="Y3495" t="str">
        <f>IF(Table1[[#This Row],[customer_subscription]]=1,"Subscribed","Not Subscribed")</f>
        <v>Not Subscribed</v>
      </c>
    </row>
    <row r="3496" spans="1:26" x14ac:dyDescent="0.25">
      <c r="A3496">
        <v>3495</v>
      </c>
      <c r="B3496">
        <v>62</v>
      </c>
      <c r="C3496" t="s">
        <v>156</v>
      </c>
      <c r="D3496">
        <v>3495</v>
      </c>
      <c r="E3496" t="s">
        <v>122</v>
      </c>
      <c r="F3496" t="s">
        <v>70</v>
      </c>
      <c r="G3496">
        <v>3495</v>
      </c>
      <c r="H3496">
        <v>4393</v>
      </c>
      <c r="I3496">
        <v>38</v>
      </c>
      <c r="J3496" t="s">
        <v>152</v>
      </c>
      <c r="K3496" t="s">
        <v>47</v>
      </c>
      <c r="L3496" t="s">
        <v>68</v>
      </c>
      <c r="M3496" t="s">
        <v>28</v>
      </c>
      <c r="N3496">
        <v>3.5</v>
      </c>
      <c r="O3496">
        <v>0</v>
      </c>
      <c r="P3496" t="s">
        <v>41</v>
      </c>
      <c r="Q3496" t="s">
        <v>155</v>
      </c>
      <c r="R3496" t="s">
        <v>155</v>
      </c>
      <c r="S3496">
        <v>41</v>
      </c>
      <c r="T3496" t="s">
        <v>49</v>
      </c>
      <c r="U3496" t="s">
        <v>61</v>
      </c>
      <c r="V3496" s="1">
        <v>45646</v>
      </c>
      <c r="W3496">
        <f>Table1[[#This Row],[customer_purchase count]]+1</f>
        <v>42</v>
      </c>
      <c r="X3496">
        <f>Table1[[#This Row],[customer_purchase count]]*Rules!$B$3</f>
        <v>2450.3387179487181</v>
      </c>
      <c r="Y3496" t="str">
        <f>IF(Table1[[#This Row],[customer_subscription]]=1,"Subscribed","Not Subscribed")</f>
        <v>Not Subscribed</v>
      </c>
    </row>
    <row r="3497" spans="1:26" x14ac:dyDescent="0.25">
      <c r="A3497">
        <v>3496</v>
      </c>
      <c r="B3497">
        <v>24</v>
      </c>
      <c r="C3497" t="s">
        <v>156</v>
      </c>
      <c r="D3497">
        <v>3496</v>
      </c>
      <c r="E3497" t="s">
        <v>62</v>
      </c>
      <c r="F3497" t="s">
        <v>24</v>
      </c>
      <c r="G3497">
        <v>3496</v>
      </c>
      <c r="H3497">
        <v>4394</v>
      </c>
      <c r="I3497">
        <v>33</v>
      </c>
      <c r="J3497" t="s">
        <v>145</v>
      </c>
      <c r="K3497" t="s">
        <v>95</v>
      </c>
      <c r="L3497" t="s">
        <v>27</v>
      </c>
      <c r="M3497" t="s">
        <v>40</v>
      </c>
      <c r="N3497">
        <v>2.8</v>
      </c>
      <c r="O3497">
        <v>0</v>
      </c>
      <c r="P3497" t="s">
        <v>41</v>
      </c>
      <c r="Q3497" t="s">
        <v>155</v>
      </c>
      <c r="R3497" t="s">
        <v>155</v>
      </c>
      <c r="S3497">
        <v>14</v>
      </c>
      <c r="T3497" t="s">
        <v>36</v>
      </c>
      <c r="U3497" t="s">
        <v>43</v>
      </c>
      <c r="V3497" s="1">
        <v>45424</v>
      </c>
      <c r="W3497">
        <f>Table1[[#This Row],[customer_purchase count]]+1</f>
        <v>15</v>
      </c>
      <c r="X3497">
        <f>Table1[[#This Row],[customer_purchase count]]*Rules!$B$3</f>
        <v>836.70102564102569</v>
      </c>
      <c r="Y3497" t="str">
        <f>IF(Table1[[#This Row],[customer_subscription]]=1,"Subscribed","Not Subscribed")</f>
        <v>Not Subscribed</v>
      </c>
      <c r="Z3497" t="s">
        <v>187</v>
      </c>
    </row>
    <row r="3498" spans="1:26" x14ac:dyDescent="0.25">
      <c r="A3498">
        <v>3497</v>
      </c>
      <c r="B3498">
        <v>39</v>
      </c>
      <c r="C3498" t="s">
        <v>156</v>
      </c>
      <c r="D3498">
        <v>3497</v>
      </c>
      <c r="E3498" t="s">
        <v>74</v>
      </c>
      <c r="F3498" t="s">
        <v>45</v>
      </c>
      <c r="G3498">
        <v>3497</v>
      </c>
      <c r="H3498">
        <v>4395</v>
      </c>
      <c r="I3498">
        <v>38</v>
      </c>
      <c r="J3498" t="s">
        <v>138</v>
      </c>
      <c r="K3498" t="s">
        <v>47</v>
      </c>
      <c r="L3498" t="s">
        <v>72</v>
      </c>
      <c r="M3498" t="s">
        <v>56</v>
      </c>
      <c r="N3498">
        <v>4</v>
      </c>
      <c r="O3498">
        <v>0</v>
      </c>
      <c r="P3498" t="s">
        <v>41</v>
      </c>
      <c r="Q3498" t="s">
        <v>155</v>
      </c>
      <c r="R3498" t="s">
        <v>155</v>
      </c>
      <c r="S3498">
        <v>22</v>
      </c>
      <c r="T3498" t="s">
        <v>49</v>
      </c>
      <c r="U3498" t="s">
        <v>91</v>
      </c>
      <c r="V3498" s="1">
        <v>45496</v>
      </c>
      <c r="W3498">
        <f>Table1[[#This Row],[customer_purchase count]]+1</f>
        <v>23</v>
      </c>
      <c r="X3498">
        <f>Table1[[#This Row],[customer_purchase count]]*Rules!$B$3</f>
        <v>1314.8158974358976</v>
      </c>
      <c r="Y3498" t="str">
        <f>IF(Table1[[#This Row],[customer_subscription]]=1,"Subscribed","Not Subscribed")</f>
        <v>Not Subscribed</v>
      </c>
    </row>
    <row r="3499" spans="1:26" x14ac:dyDescent="0.25">
      <c r="A3499">
        <v>3498</v>
      </c>
      <c r="B3499">
        <v>35</v>
      </c>
      <c r="C3499" t="s">
        <v>156</v>
      </c>
      <c r="D3499">
        <v>3498</v>
      </c>
      <c r="E3499" t="s">
        <v>69</v>
      </c>
      <c r="F3499" t="s">
        <v>70</v>
      </c>
      <c r="G3499">
        <v>3498</v>
      </c>
      <c r="H3499">
        <v>4396</v>
      </c>
      <c r="I3499">
        <v>48</v>
      </c>
      <c r="J3499" t="s">
        <v>115</v>
      </c>
      <c r="K3499" t="s">
        <v>47</v>
      </c>
      <c r="L3499" t="s">
        <v>111</v>
      </c>
      <c r="M3499" t="s">
        <v>40</v>
      </c>
      <c r="N3499">
        <v>4.3</v>
      </c>
      <c r="O3499">
        <v>0</v>
      </c>
      <c r="P3499" t="s">
        <v>77</v>
      </c>
      <c r="Q3499" t="s">
        <v>155</v>
      </c>
      <c r="R3499" t="s">
        <v>155</v>
      </c>
      <c r="S3499">
        <v>16</v>
      </c>
      <c r="T3499" t="s">
        <v>31</v>
      </c>
      <c r="U3499" t="s">
        <v>100</v>
      </c>
      <c r="V3499" s="1">
        <v>45413</v>
      </c>
      <c r="W3499">
        <f>Table1[[#This Row],[customer_purchase count]]+1</f>
        <v>17</v>
      </c>
      <c r="X3499">
        <f>Table1[[#This Row],[customer_purchase count]]*Rules!$B$3</f>
        <v>956.22974358974363</v>
      </c>
      <c r="Y3499" t="str">
        <f>IF(Table1[[#This Row],[customer_subscription]]=1,"Subscribed","Not Subscribed")</f>
        <v>Not Subscribed</v>
      </c>
      <c r="Z3499" t="s">
        <v>194</v>
      </c>
    </row>
    <row r="3500" spans="1:26" x14ac:dyDescent="0.25">
      <c r="A3500">
        <v>3499</v>
      </c>
      <c r="B3500">
        <v>47</v>
      </c>
      <c r="C3500" t="s">
        <v>156</v>
      </c>
      <c r="D3500">
        <v>3499</v>
      </c>
      <c r="E3500" t="s">
        <v>44</v>
      </c>
      <c r="F3500" t="s">
        <v>45</v>
      </c>
      <c r="G3500">
        <v>3499</v>
      </c>
      <c r="H3500">
        <v>4397</v>
      </c>
      <c r="I3500">
        <v>35</v>
      </c>
      <c r="J3500" t="s">
        <v>25</v>
      </c>
      <c r="K3500" t="s">
        <v>47</v>
      </c>
      <c r="L3500" t="s">
        <v>96</v>
      </c>
      <c r="M3500" t="s">
        <v>56</v>
      </c>
      <c r="N3500">
        <v>3.8</v>
      </c>
      <c r="O3500">
        <v>0</v>
      </c>
      <c r="P3500" t="s">
        <v>57</v>
      </c>
      <c r="Q3500" t="s">
        <v>155</v>
      </c>
      <c r="R3500" t="s">
        <v>155</v>
      </c>
      <c r="S3500">
        <v>2</v>
      </c>
      <c r="T3500" t="s">
        <v>78</v>
      </c>
      <c r="U3500" t="s">
        <v>79</v>
      </c>
      <c r="V3500" s="1">
        <v>45513</v>
      </c>
      <c r="W3500">
        <f>Table1[[#This Row],[customer_purchase count]]+1</f>
        <v>3</v>
      </c>
      <c r="X3500">
        <f>Table1[[#This Row],[customer_purchase count]]*Rules!$B$3</f>
        <v>119.52871794871795</v>
      </c>
      <c r="Y3500" t="str">
        <f>IF(Table1[[#This Row],[customer_subscription]]=1,"Subscribed","Not Subscribed")</f>
        <v>Not Subscribed</v>
      </c>
      <c r="Z3500" t="s">
        <v>194</v>
      </c>
    </row>
    <row r="3501" spans="1:26" x14ac:dyDescent="0.25">
      <c r="A3501">
        <v>3500</v>
      </c>
      <c r="B3501">
        <v>22</v>
      </c>
      <c r="C3501" t="s">
        <v>156</v>
      </c>
      <c r="D3501">
        <v>3500</v>
      </c>
      <c r="E3501" t="s">
        <v>128</v>
      </c>
      <c r="F3501" t="s">
        <v>24</v>
      </c>
      <c r="G3501">
        <v>3500</v>
      </c>
      <c r="H3501">
        <v>4399</v>
      </c>
      <c r="I3501">
        <v>29</v>
      </c>
      <c r="J3501" t="s">
        <v>130</v>
      </c>
      <c r="K3501" t="s">
        <v>26</v>
      </c>
      <c r="L3501" t="s">
        <v>129</v>
      </c>
      <c r="M3501" t="s">
        <v>60</v>
      </c>
      <c r="N3501">
        <v>3</v>
      </c>
      <c r="O3501">
        <v>0</v>
      </c>
      <c r="P3501" t="s">
        <v>48</v>
      </c>
      <c r="Q3501" t="s">
        <v>155</v>
      </c>
      <c r="R3501" t="s">
        <v>155</v>
      </c>
      <c r="S3501">
        <v>13</v>
      </c>
      <c r="T3501" t="s">
        <v>49</v>
      </c>
      <c r="U3501" t="s">
        <v>100</v>
      </c>
      <c r="V3501" s="1">
        <v>45544</v>
      </c>
      <c r="W3501">
        <f>Table1[[#This Row],[customer_purchase count]]+1</f>
        <v>14</v>
      </c>
      <c r="X3501">
        <f>Table1[[#This Row],[customer_purchase count]]*Rules!$B$3</f>
        <v>776.93666666666672</v>
      </c>
      <c r="Y3501" t="str">
        <f>IF(Table1[[#This Row],[customer_subscription]]=1,"Subscribed","Not Subscribed")</f>
        <v>Not Subscribed</v>
      </c>
      <c r="Z3501" t="s">
        <v>187</v>
      </c>
    </row>
    <row r="3502" spans="1:26" x14ac:dyDescent="0.25">
      <c r="A3502">
        <v>3501</v>
      </c>
      <c r="B3502">
        <v>38</v>
      </c>
      <c r="C3502" t="s">
        <v>156</v>
      </c>
      <c r="D3502">
        <v>3501</v>
      </c>
      <c r="E3502" t="s">
        <v>58</v>
      </c>
      <c r="F3502" t="s">
        <v>24</v>
      </c>
      <c r="G3502">
        <v>3501</v>
      </c>
      <c r="H3502">
        <v>4400</v>
      </c>
      <c r="I3502">
        <v>48</v>
      </c>
      <c r="J3502" t="s">
        <v>50</v>
      </c>
      <c r="K3502" t="s">
        <v>39</v>
      </c>
      <c r="L3502" t="s">
        <v>68</v>
      </c>
      <c r="M3502" t="s">
        <v>60</v>
      </c>
      <c r="N3502">
        <v>4.5999999999999996</v>
      </c>
      <c r="O3502">
        <v>0</v>
      </c>
      <c r="P3502" t="s">
        <v>48</v>
      </c>
      <c r="Q3502" t="s">
        <v>155</v>
      </c>
      <c r="R3502" t="s">
        <v>155</v>
      </c>
      <c r="S3502">
        <v>38</v>
      </c>
      <c r="T3502" t="s">
        <v>89</v>
      </c>
      <c r="U3502" t="s">
        <v>32</v>
      </c>
      <c r="V3502" s="1">
        <v>45606</v>
      </c>
      <c r="W3502">
        <f>Table1[[#This Row],[customer_purchase count]]+1</f>
        <v>39</v>
      </c>
      <c r="X3502">
        <f>Table1[[#This Row],[customer_purchase count]]*Rules!$B$3</f>
        <v>2271.0456410256411</v>
      </c>
      <c r="Y3502" t="str">
        <f>IF(Table1[[#This Row],[customer_subscription]]=1,"Subscribed","Not Subscribed")</f>
        <v>Not Subscribed</v>
      </c>
    </row>
    <row r="3503" spans="1:26" x14ac:dyDescent="0.25">
      <c r="A3503">
        <v>3502</v>
      </c>
      <c r="B3503">
        <v>53</v>
      </c>
      <c r="C3503" t="s">
        <v>156</v>
      </c>
      <c r="D3503">
        <v>3502</v>
      </c>
      <c r="E3503" t="s">
        <v>74</v>
      </c>
      <c r="F3503" t="s">
        <v>45</v>
      </c>
      <c r="G3503">
        <v>3502</v>
      </c>
      <c r="H3503">
        <v>4401</v>
      </c>
      <c r="I3503">
        <v>87</v>
      </c>
      <c r="J3503" t="s">
        <v>148</v>
      </c>
      <c r="K3503" t="s">
        <v>47</v>
      </c>
      <c r="L3503" t="s">
        <v>68</v>
      </c>
      <c r="M3503" t="s">
        <v>60</v>
      </c>
      <c r="N3503">
        <v>4.8</v>
      </c>
      <c r="O3503">
        <v>0</v>
      </c>
      <c r="P3503" t="s">
        <v>57</v>
      </c>
      <c r="Q3503" t="s">
        <v>155</v>
      </c>
      <c r="R3503" t="s">
        <v>155</v>
      </c>
      <c r="S3503">
        <v>43</v>
      </c>
      <c r="T3503" t="s">
        <v>78</v>
      </c>
      <c r="U3503" t="s">
        <v>43</v>
      </c>
      <c r="V3503" s="1">
        <v>45581</v>
      </c>
      <c r="W3503">
        <f>Table1[[#This Row],[customer_purchase count]]+1</f>
        <v>44</v>
      </c>
      <c r="X3503">
        <f>Table1[[#This Row],[customer_purchase count]]*Rules!$B$3</f>
        <v>2569.8674358974358</v>
      </c>
      <c r="Y3503" t="str">
        <f>IF(Table1[[#This Row],[customer_subscription]]=1,"Subscribed","Not Subscribed")</f>
        <v>Not Subscribed</v>
      </c>
    </row>
    <row r="3504" spans="1:26" x14ac:dyDescent="0.25">
      <c r="A3504">
        <v>3503</v>
      </c>
      <c r="B3504">
        <v>31</v>
      </c>
      <c r="C3504" t="s">
        <v>156</v>
      </c>
      <c r="D3504">
        <v>3503</v>
      </c>
      <c r="E3504" t="s">
        <v>135</v>
      </c>
      <c r="F3504" t="s">
        <v>70</v>
      </c>
      <c r="G3504">
        <v>3503</v>
      </c>
      <c r="H3504">
        <v>4402</v>
      </c>
      <c r="I3504">
        <v>62</v>
      </c>
      <c r="J3504" t="s">
        <v>38</v>
      </c>
      <c r="K3504" t="s">
        <v>47</v>
      </c>
      <c r="L3504" t="s">
        <v>99</v>
      </c>
      <c r="M3504" t="s">
        <v>60</v>
      </c>
      <c r="N3504">
        <v>4.7</v>
      </c>
      <c r="O3504">
        <v>0</v>
      </c>
      <c r="P3504" t="s">
        <v>48</v>
      </c>
      <c r="Q3504" t="s">
        <v>155</v>
      </c>
      <c r="R3504" t="s">
        <v>155</v>
      </c>
      <c r="S3504">
        <v>26</v>
      </c>
      <c r="T3504" t="s">
        <v>78</v>
      </c>
      <c r="U3504" t="s">
        <v>61</v>
      </c>
      <c r="V3504" s="1">
        <v>45560</v>
      </c>
      <c r="W3504">
        <f>Table1[[#This Row],[customer_purchase count]]+1</f>
        <v>27</v>
      </c>
      <c r="X3504">
        <f>Table1[[#This Row],[customer_purchase count]]*Rules!$B$3</f>
        <v>1553.8733333333334</v>
      </c>
      <c r="Y3504" t="str">
        <f>IF(Table1[[#This Row],[customer_subscription]]=1,"Subscribed","Not Subscribed")</f>
        <v>Not Subscribed</v>
      </c>
    </row>
    <row r="3505" spans="1:26" x14ac:dyDescent="0.25">
      <c r="A3505">
        <v>3504</v>
      </c>
      <c r="B3505">
        <v>31</v>
      </c>
      <c r="C3505" t="s">
        <v>156</v>
      </c>
      <c r="D3505">
        <v>3504</v>
      </c>
      <c r="E3505" t="s">
        <v>58</v>
      </c>
      <c r="F3505" t="s">
        <v>24</v>
      </c>
      <c r="G3505">
        <v>3504</v>
      </c>
      <c r="H3505">
        <v>4403</v>
      </c>
      <c r="I3505">
        <v>96</v>
      </c>
      <c r="J3505" t="s">
        <v>148</v>
      </c>
      <c r="K3505" t="s">
        <v>47</v>
      </c>
      <c r="L3505" t="s">
        <v>72</v>
      </c>
      <c r="M3505" t="s">
        <v>40</v>
      </c>
      <c r="N3505">
        <v>3.9</v>
      </c>
      <c r="O3505">
        <v>0</v>
      </c>
      <c r="P3505" t="s">
        <v>41</v>
      </c>
      <c r="Q3505" t="s">
        <v>155</v>
      </c>
      <c r="R3505" t="s">
        <v>155</v>
      </c>
      <c r="S3505">
        <v>39</v>
      </c>
      <c r="T3505" t="s">
        <v>36</v>
      </c>
      <c r="U3505" t="s">
        <v>43</v>
      </c>
      <c r="V3505" s="1">
        <v>45357</v>
      </c>
      <c r="W3505">
        <f>Table1[[#This Row],[customer_purchase count]]+1</f>
        <v>40</v>
      </c>
      <c r="X3505">
        <f>Table1[[#This Row],[customer_purchase count]]*Rules!$B$3</f>
        <v>2330.81</v>
      </c>
      <c r="Y3505" t="str">
        <f>IF(Table1[[#This Row],[customer_subscription]]=1,"Subscribed","Not Subscribed")</f>
        <v>Not Subscribed</v>
      </c>
    </row>
    <row r="3506" spans="1:26" x14ac:dyDescent="0.25">
      <c r="A3506">
        <v>3505</v>
      </c>
      <c r="B3506">
        <v>65</v>
      </c>
      <c r="C3506" t="s">
        <v>156</v>
      </c>
      <c r="D3506">
        <v>3505</v>
      </c>
      <c r="E3506" t="s">
        <v>69</v>
      </c>
      <c r="F3506" t="s">
        <v>70</v>
      </c>
      <c r="G3506">
        <v>3505</v>
      </c>
      <c r="H3506">
        <v>4405</v>
      </c>
      <c r="I3506">
        <v>41</v>
      </c>
      <c r="J3506" t="s">
        <v>80</v>
      </c>
      <c r="K3506" t="s">
        <v>39</v>
      </c>
      <c r="L3506" t="s">
        <v>86</v>
      </c>
      <c r="M3506" t="s">
        <v>60</v>
      </c>
      <c r="N3506">
        <v>4</v>
      </c>
      <c r="O3506">
        <v>0</v>
      </c>
      <c r="P3506" t="s">
        <v>48</v>
      </c>
      <c r="Q3506" t="s">
        <v>155</v>
      </c>
      <c r="R3506" t="s">
        <v>155</v>
      </c>
      <c r="S3506">
        <v>50</v>
      </c>
      <c r="T3506" t="s">
        <v>31</v>
      </c>
      <c r="U3506" t="s">
        <v>91</v>
      </c>
      <c r="V3506" s="1">
        <v>45585</v>
      </c>
      <c r="W3506">
        <f>Table1[[#This Row],[customer_purchase count]]+1</f>
        <v>51</v>
      </c>
      <c r="X3506">
        <f>Table1[[#This Row],[customer_purchase count]]*Rules!$B$3</f>
        <v>2988.2179487179487</v>
      </c>
      <c r="Y3506" t="str">
        <f>IF(Table1[[#This Row],[customer_subscription]]=1,"Subscribed","Not Subscribed")</f>
        <v>Not Subscribed</v>
      </c>
    </row>
    <row r="3507" spans="1:26" x14ac:dyDescent="0.25">
      <c r="A3507">
        <v>3506</v>
      </c>
      <c r="B3507">
        <v>48</v>
      </c>
      <c r="C3507" t="s">
        <v>156</v>
      </c>
      <c r="D3507">
        <v>3506</v>
      </c>
      <c r="E3507" t="s">
        <v>109</v>
      </c>
      <c r="F3507" t="s">
        <v>70</v>
      </c>
      <c r="G3507">
        <v>3506</v>
      </c>
      <c r="H3507">
        <v>4406</v>
      </c>
      <c r="I3507">
        <v>42</v>
      </c>
      <c r="J3507" t="s">
        <v>119</v>
      </c>
      <c r="K3507" t="s">
        <v>26</v>
      </c>
      <c r="L3507" t="s">
        <v>111</v>
      </c>
      <c r="M3507" t="s">
        <v>28</v>
      </c>
      <c r="N3507">
        <v>3.7</v>
      </c>
      <c r="O3507">
        <v>0</v>
      </c>
      <c r="P3507" t="s">
        <v>73</v>
      </c>
      <c r="Q3507" t="s">
        <v>155</v>
      </c>
      <c r="R3507" t="s">
        <v>155</v>
      </c>
      <c r="S3507">
        <v>40</v>
      </c>
      <c r="T3507" t="s">
        <v>78</v>
      </c>
      <c r="U3507" t="s">
        <v>100</v>
      </c>
      <c r="V3507" s="1">
        <v>45304</v>
      </c>
      <c r="W3507">
        <f>Table1[[#This Row],[customer_purchase count]]+1</f>
        <v>41</v>
      </c>
      <c r="X3507">
        <f>Table1[[#This Row],[customer_purchase count]]*Rules!$B$3</f>
        <v>2390.5743589743593</v>
      </c>
      <c r="Y3507" t="str">
        <f>IF(Table1[[#This Row],[customer_subscription]]=1,"Subscribed","Not Subscribed")</f>
        <v>Not Subscribed</v>
      </c>
    </row>
    <row r="3508" spans="1:26" x14ac:dyDescent="0.25">
      <c r="A3508">
        <v>3507</v>
      </c>
      <c r="B3508">
        <v>18</v>
      </c>
      <c r="C3508" t="s">
        <v>156</v>
      </c>
      <c r="D3508">
        <v>3507</v>
      </c>
      <c r="E3508" t="s">
        <v>58</v>
      </c>
      <c r="F3508" t="s">
        <v>24</v>
      </c>
      <c r="G3508">
        <v>3507</v>
      </c>
      <c r="H3508">
        <v>4407</v>
      </c>
      <c r="I3508">
        <v>57</v>
      </c>
      <c r="J3508" t="s">
        <v>118</v>
      </c>
      <c r="K3508" t="s">
        <v>26</v>
      </c>
      <c r="L3508" t="s">
        <v>81</v>
      </c>
      <c r="M3508" t="s">
        <v>28</v>
      </c>
      <c r="N3508">
        <v>3.7</v>
      </c>
      <c r="O3508">
        <v>0</v>
      </c>
      <c r="P3508" t="s">
        <v>73</v>
      </c>
      <c r="Q3508" t="s">
        <v>155</v>
      </c>
      <c r="R3508" t="s">
        <v>155</v>
      </c>
      <c r="S3508">
        <v>12</v>
      </c>
      <c r="T3508" t="s">
        <v>36</v>
      </c>
      <c r="U3508" t="s">
        <v>32</v>
      </c>
      <c r="V3508" s="1">
        <v>45346</v>
      </c>
      <c r="W3508">
        <f>Table1[[#This Row],[customer_purchase count]]+1</f>
        <v>13</v>
      </c>
      <c r="X3508">
        <f>Table1[[#This Row],[customer_purchase count]]*Rules!$B$3</f>
        <v>717.17230769230775</v>
      </c>
      <c r="Y3508" t="str">
        <f>IF(Table1[[#This Row],[customer_subscription]]=1,"Subscribed","Not Subscribed")</f>
        <v>Not Subscribed</v>
      </c>
      <c r="Z3508" t="s">
        <v>187</v>
      </c>
    </row>
    <row r="3509" spans="1:26" x14ac:dyDescent="0.25">
      <c r="A3509">
        <v>3508</v>
      </c>
      <c r="B3509">
        <v>46</v>
      </c>
      <c r="C3509" t="s">
        <v>156</v>
      </c>
      <c r="D3509">
        <v>3508</v>
      </c>
      <c r="E3509" t="s">
        <v>69</v>
      </c>
      <c r="F3509" t="s">
        <v>70</v>
      </c>
      <c r="G3509">
        <v>3508</v>
      </c>
      <c r="H3509">
        <v>4408</v>
      </c>
      <c r="I3509">
        <v>65</v>
      </c>
      <c r="J3509" t="s">
        <v>115</v>
      </c>
      <c r="K3509" t="s">
        <v>39</v>
      </c>
      <c r="L3509" t="s">
        <v>76</v>
      </c>
      <c r="M3509" t="s">
        <v>40</v>
      </c>
      <c r="N3509">
        <v>4.2</v>
      </c>
      <c r="O3509">
        <v>0</v>
      </c>
      <c r="P3509" t="s">
        <v>77</v>
      </c>
      <c r="Q3509" t="s">
        <v>155</v>
      </c>
      <c r="R3509" t="s">
        <v>155</v>
      </c>
      <c r="S3509">
        <v>33</v>
      </c>
      <c r="T3509" t="s">
        <v>42</v>
      </c>
      <c r="U3509" t="s">
        <v>100</v>
      </c>
      <c r="V3509" s="1">
        <v>45396</v>
      </c>
      <c r="W3509">
        <f>Table1[[#This Row],[customer_purchase count]]+1</f>
        <v>34</v>
      </c>
      <c r="X3509">
        <f>Table1[[#This Row],[customer_purchase count]]*Rules!$B$3</f>
        <v>1972.2238461538464</v>
      </c>
      <c r="Y3509" t="str">
        <f>IF(Table1[[#This Row],[customer_subscription]]=1,"Subscribed","Not Subscribed")</f>
        <v>Not Subscribed</v>
      </c>
    </row>
    <row r="3510" spans="1:26" x14ac:dyDescent="0.25">
      <c r="A3510">
        <v>3509</v>
      </c>
      <c r="B3510">
        <v>52</v>
      </c>
      <c r="C3510" t="s">
        <v>156</v>
      </c>
      <c r="D3510">
        <v>3509</v>
      </c>
      <c r="E3510" t="s">
        <v>98</v>
      </c>
      <c r="F3510" t="s">
        <v>24</v>
      </c>
      <c r="G3510">
        <v>3509</v>
      </c>
      <c r="H3510">
        <v>4409</v>
      </c>
      <c r="I3510">
        <v>54</v>
      </c>
      <c r="J3510" t="s">
        <v>141</v>
      </c>
      <c r="K3510" t="s">
        <v>47</v>
      </c>
      <c r="L3510" t="s">
        <v>27</v>
      </c>
      <c r="M3510" t="s">
        <v>60</v>
      </c>
      <c r="N3510">
        <v>4.7</v>
      </c>
      <c r="O3510">
        <v>0</v>
      </c>
      <c r="P3510" t="s">
        <v>57</v>
      </c>
      <c r="Q3510" t="s">
        <v>155</v>
      </c>
      <c r="R3510" t="s">
        <v>155</v>
      </c>
      <c r="S3510">
        <v>49</v>
      </c>
      <c r="T3510" t="s">
        <v>78</v>
      </c>
      <c r="U3510" t="s">
        <v>43</v>
      </c>
      <c r="V3510" s="1">
        <v>45615</v>
      </c>
      <c r="W3510">
        <f>Table1[[#This Row],[customer_purchase count]]+1</f>
        <v>50</v>
      </c>
      <c r="X3510">
        <f>Table1[[#This Row],[customer_purchase count]]*Rules!$B$3</f>
        <v>2928.4535897435899</v>
      </c>
      <c r="Y3510" t="str">
        <f>IF(Table1[[#This Row],[customer_subscription]]=1,"Subscribed","Not Subscribed")</f>
        <v>Not Subscribed</v>
      </c>
    </row>
    <row r="3511" spans="1:26" x14ac:dyDescent="0.25">
      <c r="A3511">
        <v>3510</v>
      </c>
      <c r="B3511">
        <v>50</v>
      </c>
      <c r="C3511" t="s">
        <v>156</v>
      </c>
      <c r="D3511">
        <v>3510</v>
      </c>
      <c r="E3511" t="s">
        <v>116</v>
      </c>
      <c r="F3511" t="s">
        <v>24</v>
      </c>
      <c r="G3511">
        <v>3510</v>
      </c>
      <c r="H3511">
        <v>4411</v>
      </c>
      <c r="I3511">
        <v>22</v>
      </c>
      <c r="J3511" t="s">
        <v>126</v>
      </c>
      <c r="K3511" t="s">
        <v>26</v>
      </c>
      <c r="L3511" t="s">
        <v>113</v>
      </c>
      <c r="M3511" t="s">
        <v>28</v>
      </c>
      <c r="N3511">
        <v>4.3</v>
      </c>
      <c r="O3511">
        <v>0</v>
      </c>
      <c r="P3511" t="s">
        <v>48</v>
      </c>
      <c r="Q3511" t="s">
        <v>155</v>
      </c>
      <c r="R3511" t="s">
        <v>155</v>
      </c>
      <c r="S3511">
        <v>43</v>
      </c>
      <c r="T3511" t="s">
        <v>31</v>
      </c>
      <c r="U3511" t="s">
        <v>79</v>
      </c>
      <c r="V3511" s="1">
        <v>45646</v>
      </c>
      <c r="W3511">
        <f>Table1[[#This Row],[customer_purchase count]]+1</f>
        <v>44</v>
      </c>
      <c r="X3511">
        <f>Table1[[#This Row],[customer_purchase count]]*Rules!$B$3</f>
        <v>2569.8674358974358</v>
      </c>
      <c r="Y3511" t="str">
        <f>IF(Table1[[#This Row],[customer_subscription]]=1,"Subscribed","Not Subscribed")</f>
        <v>Not Subscribed</v>
      </c>
    </row>
    <row r="3512" spans="1:26" x14ac:dyDescent="0.25">
      <c r="A3512">
        <v>3511</v>
      </c>
      <c r="B3512">
        <v>49</v>
      </c>
      <c r="C3512" t="s">
        <v>156</v>
      </c>
      <c r="D3512">
        <v>3511</v>
      </c>
      <c r="E3512" t="s">
        <v>53</v>
      </c>
      <c r="F3512" t="s">
        <v>45</v>
      </c>
      <c r="G3512">
        <v>3511</v>
      </c>
      <c r="H3512">
        <v>4412</v>
      </c>
      <c r="I3512">
        <v>96</v>
      </c>
      <c r="J3512" t="s">
        <v>141</v>
      </c>
      <c r="K3512" t="s">
        <v>39</v>
      </c>
      <c r="L3512" t="s">
        <v>124</v>
      </c>
      <c r="M3512" t="s">
        <v>60</v>
      </c>
      <c r="N3512">
        <v>4.9000000000000004</v>
      </c>
      <c r="O3512">
        <v>0</v>
      </c>
      <c r="P3512" t="s">
        <v>73</v>
      </c>
      <c r="Q3512" t="s">
        <v>155</v>
      </c>
      <c r="R3512" t="s">
        <v>155</v>
      </c>
      <c r="S3512">
        <v>14</v>
      </c>
      <c r="T3512" t="s">
        <v>31</v>
      </c>
      <c r="U3512" t="s">
        <v>91</v>
      </c>
      <c r="V3512" s="1">
        <v>45618</v>
      </c>
      <c r="W3512">
        <f>Table1[[#This Row],[customer_purchase count]]+1</f>
        <v>15</v>
      </c>
      <c r="X3512">
        <f>Table1[[#This Row],[customer_purchase count]]*Rules!$B$3</f>
        <v>836.70102564102569</v>
      </c>
      <c r="Y3512" t="str">
        <f>IF(Table1[[#This Row],[customer_subscription]]=1,"Subscribed","Not Subscribed")</f>
        <v>Not Subscribed</v>
      </c>
      <c r="Z3512" t="s">
        <v>194</v>
      </c>
    </row>
    <row r="3513" spans="1:26" x14ac:dyDescent="0.25">
      <c r="A3513">
        <v>3512</v>
      </c>
      <c r="B3513">
        <v>69</v>
      </c>
      <c r="C3513" t="s">
        <v>156</v>
      </c>
      <c r="D3513">
        <v>3512</v>
      </c>
      <c r="E3513" t="s">
        <v>109</v>
      </c>
      <c r="F3513" t="s">
        <v>70</v>
      </c>
      <c r="G3513">
        <v>3512</v>
      </c>
      <c r="H3513">
        <v>4413</v>
      </c>
      <c r="I3513">
        <v>81</v>
      </c>
      <c r="J3513" t="s">
        <v>94</v>
      </c>
      <c r="K3513" t="s">
        <v>47</v>
      </c>
      <c r="L3513" t="s">
        <v>147</v>
      </c>
      <c r="M3513" t="s">
        <v>56</v>
      </c>
      <c r="N3513">
        <v>3.9</v>
      </c>
      <c r="O3513">
        <v>0</v>
      </c>
      <c r="P3513" t="s">
        <v>73</v>
      </c>
      <c r="Q3513" t="s">
        <v>155</v>
      </c>
      <c r="R3513" t="s">
        <v>155</v>
      </c>
      <c r="S3513">
        <v>21</v>
      </c>
      <c r="T3513" t="s">
        <v>42</v>
      </c>
      <c r="U3513" t="s">
        <v>100</v>
      </c>
      <c r="V3513" s="1">
        <v>45457</v>
      </c>
      <c r="W3513">
        <f>Table1[[#This Row],[customer_purchase count]]+1</f>
        <v>22</v>
      </c>
      <c r="X3513">
        <f>Table1[[#This Row],[customer_purchase count]]*Rules!$B$3</f>
        <v>1255.0515384615385</v>
      </c>
      <c r="Y3513" t="str">
        <f>IF(Table1[[#This Row],[customer_subscription]]=1,"Subscribed","Not Subscribed")</f>
        <v>Not Subscribed</v>
      </c>
    </row>
    <row r="3514" spans="1:26" x14ac:dyDescent="0.25">
      <c r="A3514">
        <v>3513</v>
      </c>
      <c r="B3514">
        <v>36</v>
      </c>
      <c r="C3514" t="s">
        <v>156</v>
      </c>
      <c r="D3514">
        <v>3513</v>
      </c>
      <c r="E3514" t="s">
        <v>58</v>
      </c>
      <c r="F3514" t="s">
        <v>24</v>
      </c>
      <c r="G3514">
        <v>3513</v>
      </c>
      <c r="H3514">
        <v>4414</v>
      </c>
      <c r="I3514">
        <v>46</v>
      </c>
      <c r="J3514" t="s">
        <v>25</v>
      </c>
      <c r="K3514" t="s">
        <v>47</v>
      </c>
      <c r="L3514" t="s">
        <v>55</v>
      </c>
      <c r="M3514" t="s">
        <v>60</v>
      </c>
      <c r="N3514">
        <v>3.4</v>
      </c>
      <c r="O3514">
        <v>0</v>
      </c>
      <c r="P3514" t="s">
        <v>41</v>
      </c>
      <c r="Q3514" t="s">
        <v>155</v>
      </c>
      <c r="R3514" t="s">
        <v>155</v>
      </c>
      <c r="S3514">
        <v>31</v>
      </c>
      <c r="T3514" t="s">
        <v>89</v>
      </c>
      <c r="U3514" t="s">
        <v>61</v>
      </c>
      <c r="V3514" s="1">
        <v>45577</v>
      </c>
      <c r="W3514">
        <f>Table1[[#This Row],[customer_purchase count]]+1</f>
        <v>32</v>
      </c>
      <c r="X3514">
        <f>Table1[[#This Row],[customer_purchase count]]*Rules!$B$3</f>
        <v>1852.6951282051282</v>
      </c>
      <c r="Y3514" t="str">
        <f>IF(Table1[[#This Row],[customer_subscription]]=1,"Subscribed","Not Subscribed")</f>
        <v>Not Subscribed</v>
      </c>
    </row>
    <row r="3515" spans="1:26" x14ac:dyDescent="0.25">
      <c r="A3515">
        <v>3514</v>
      </c>
      <c r="B3515">
        <v>30</v>
      </c>
      <c r="C3515" t="s">
        <v>156</v>
      </c>
      <c r="D3515">
        <v>3514</v>
      </c>
      <c r="E3515" t="s">
        <v>23</v>
      </c>
      <c r="F3515" t="s">
        <v>24</v>
      </c>
      <c r="G3515">
        <v>3514</v>
      </c>
      <c r="H3515">
        <v>4415</v>
      </c>
      <c r="I3515">
        <v>74</v>
      </c>
      <c r="J3515" t="s">
        <v>123</v>
      </c>
      <c r="K3515" t="s">
        <v>95</v>
      </c>
      <c r="L3515" t="s">
        <v>64</v>
      </c>
      <c r="M3515" t="s">
        <v>40</v>
      </c>
      <c r="N3515">
        <v>4.2</v>
      </c>
      <c r="O3515">
        <v>0</v>
      </c>
      <c r="P3515" t="s">
        <v>77</v>
      </c>
      <c r="Q3515" t="s">
        <v>155</v>
      </c>
      <c r="R3515" t="s">
        <v>155</v>
      </c>
      <c r="S3515">
        <v>29</v>
      </c>
      <c r="T3515" t="s">
        <v>42</v>
      </c>
      <c r="U3515" t="s">
        <v>32</v>
      </c>
      <c r="V3515" s="1">
        <v>45359</v>
      </c>
      <c r="W3515">
        <f>Table1[[#This Row],[customer_purchase count]]+1</f>
        <v>30</v>
      </c>
      <c r="X3515">
        <f>Table1[[#This Row],[customer_purchase count]]*Rules!$B$3</f>
        <v>1733.1664102564102</v>
      </c>
      <c r="Y3515" t="str">
        <f>IF(Table1[[#This Row],[customer_subscription]]=1,"Subscribed","Not Subscribed")</f>
        <v>Not Subscribed</v>
      </c>
    </row>
    <row r="3516" spans="1:26" x14ac:dyDescent="0.25">
      <c r="A3516">
        <v>3515</v>
      </c>
      <c r="B3516">
        <v>25</v>
      </c>
      <c r="C3516" t="s">
        <v>156</v>
      </c>
      <c r="D3516">
        <v>3515</v>
      </c>
      <c r="E3516" t="s">
        <v>53</v>
      </c>
      <c r="F3516" t="s">
        <v>45</v>
      </c>
      <c r="G3516">
        <v>3515</v>
      </c>
      <c r="H3516">
        <v>4417</v>
      </c>
      <c r="I3516">
        <v>50</v>
      </c>
      <c r="J3516" t="s">
        <v>145</v>
      </c>
      <c r="K3516" t="s">
        <v>95</v>
      </c>
      <c r="L3516" t="s">
        <v>27</v>
      </c>
      <c r="M3516" t="s">
        <v>28</v>
      </c>
      <c r="N3516">
        <v>4.7</v>
      </c>
      <c r="O3516">
        <v>0</v>
      </c>
      <c r="P3516" t="s">
        <v>29</v>
      </c>
      <c r="Q3516" t="s">
        <v>155</v>
      </c>
      <c r="R3516" t="s">
        <v>155</v>
      </c>
      <c r="S3516">
        <v>32</v>
      </c>
      <c r="T3516" t="s">
        <v>36</v>
      </c>
      <c r="U3516" t="s">
        <v>91</v>
      </c>
      <c r="V3516" s="1">
        <v>45650</v>
      </c>
      <c r="W3516">
        <f>Table1[[#This Row],[customer_purchase count]]+1</f>
        <v>33</v>
      </c>
      <c r="X3516">
        <f>Table1[[#This Row],[customer_purchase count]]*Rules!$B$3</f>
        <v>1912.4594871794873</v>
      </c>
      <c r="Y3516" t="str">
        <f>IF(Table1[[#This Row],[customer_subscription]]=1,"Subscribed","Not Subscribed")</f>
        <v>Not Subscribed</v>
      </c>
    </row>
    <row r="3517" spans="1:26" x14ac:dyDescent="0.25">
      <c r="A3517">
        <v>3516</v>
      </c>
      <c r="B3517">
        <v>19</v>
      </c>
      <c r="C3517" t="s">
        <v>156</v>
      </c>
      <c r="D3517">
        <v>3516</v>
      </c>
      <c r="E3517" t="s">
        <v>84</v>
      </c>
      <c r="F3517" t="s">
        <v>24</v>
      </c>
      <c r="G3517">
        <v>3516</v>
      </c>
      <c r="H3517">
        <v>4418</v>
      </c>
      <c r="I3517">
        <v>80</v>
      </c>
      <c r="J3517" t="s">
        <v>150</v>
      </c>
      <c r="K3517" t="s">
        <v>95</v>
      </c>
      <c r="L3517" t="s">
        <v>64</v>
      </c>
      <c r="M3517" t="s">
        <v>28</v>
      </c>
      <c r="N3517">
        <v>4</v>
      </c>
      <c r="O3517">
        <v>0</v>
      </c>
      <c r="P3517" t="s">
        <v>48</v>
      </c>
      <c r="Q3517" t="s">
        <v>155</v>
      </c>
      <c r="R3517" t="s">
        <v>155</v>
      </c>
      <c r="S3517">
        <v>16</v>
      </c>
      <c r="T3517" t="s">
        <v>89</v>
      </c>
      <c r="U3517" t="s">
        <v>79</v>
      </c>
      <c r="V3517" s="1">
        <v>45350</v>
      </c>
      <c r="W3517">
        <f>Table1[[#This Row],[customer_purchase count]]+1</f>
        <v>17</v>
      </c>
      <c r="X3517">
        <f>Table1[[#This Row],[customer_purchase count]]*Rules!$B$3</f>
        <v>956.22974358974363</v>
      </c>
      <c r="Y3517" t="str">
        <f>IF(Table1[[#This Row],[customer_subscription]]=1,"Subscribed","Not Subscribed")</f>
        <v>Not Subscribed</v>
      </c>
      <c r="Z3517" t="s">
        <v>187</v>
      </c>
    </row>
    <row r="3518" spans="1:26" x14ac:dyDescent="0.25">
      <c r="A3518">
        <v>3517</v>
      </c>
      <c r="B3518">
        <v>34</v>
      </c>
      <c r="C3518" t="s">
        <v>156</v>
      </c>
      <c r="D3518">
        <v>3517</v>
      </c>
      <c r="E3518" t="s">
        <v>140</v>
      </c>
      <c r="F3518" t="s">
        <v>45</v>
      </c>
      <c r="G3518">
        <v>3517</v>
      </c>
      <c r="H3518">
        <v>4419</v>
      </c>
      <c r="I3518">
        <v>56</v>
      </c>
      <c r="J3518" t="s">
        <v>134</v>
      </c>
      <c r="K3518" t="s">
        <v>39</v>
      </c>
      <c r="L3518" t="s">
        <v>55</v>
      </c>
      <c r="M3518" t="s">
        <v>56</v>
      </c>
      <c r="N3518">
        <v>4</v>
      </c>
      <c r="O3518">
        <v>0</v>
      </c>
      <c r="P3518" t="s">
        <v>41</v>
      </c>
      <c r="Q3518" t="s">
        <v>155</v>
      </c>
      <c r="R3518" t="s">
        <v>155</v>
      </c>
      <c r="S3518">
        <v>38</v>
      </c>
      <c r="T3518" t="s">
        <v>49</v>
      </c>
      <c r="U3518" t="s">
        <v>79</v>
      </c>
      <c r="V3518" s="1">
        <v>45469</v>
      </c>
      <c r="W3518">
        <f>Table1[[#This Row],[customer_purchase count]]+1</f>
        <v>39</v>
      </c>
      <c r="X3518">
        <f>Table1[[#This Row],[customer_purchase count]]*Rules!$B$3</f>
        <v>2271.0456410256411</v>
      </c>
      <c r="Y3518" t="str">
        <f>IF(Table1[[#This Row],[customer_subscription]]=1,"Subscribed","Not Subscribed")</f>
        <v>Not Subscribed</v>
      </c>
    </row>
    <row r="3519" spans="1:26" x14ac:dyDescent="0.25">
      <c r="A3519">
        <v>3518</v>
      </c>
      <c r="B3519">
        <v>29</v>
      </c>
      <c r="C3519" t="s">
        <v>156</v>
      </c>
      <c r="D3519">
        <v>3518</v>
      </c>
      <c r="E3519" t="s">
        <v>90</v>
      </c>
      <c r="F3519" t="s">
        <v>24</v>
      </c>
      <c r="G3519">
        <v>3518</v>
      </c>
      <c r="H3519">
        <v>4420</v>
      </c>
      <c r="I3519">
        <v>69</v>
      </c>
      <c r="J3519" t="s">
        <v>125</v>
      </c>
      <c r="K3519" t="s">
        <v>47</v>
      </c>
      <c r="L3519" t="s">
        <v>124</v>
      </c>
      <c r="M3519" t="s">
        <v>28</v>
      </c>
      <c r="N3519">
        <v>3.1</v>
      </c>
      <c r="O3519">
        <v>0</v>
      </c>
      <c r="P3519" t="s">
        <v>48</v>
      </c>
      <c r="Q3519" t="s">
        <v>155</v>
      </c>
      <c r="R3519" t="s">
        <v>155</v>
      </c>
      <c r="S3519">
        <v>34</v>
      </c>
      <c r="T3519" t="s">
        <v>89</v>
      </c>
      <c r="U3519" t="s">
        <v>100</v>
      </c>
      <c r="V3519" s="1">
        <v>45630</v>
      </c>
      <c r="W3519">
        <f>Table1[[#This Row],[customer_purchase count]]+1</f>
        <v>35</v>
      </c>
      <c r="X3519">
        <f>Table1[[#This Row],[customer_purchase count]]*Rules!$B$3</f>
        <v>2031.9882051282052</v>
      </c>
      <c r="Y3519" t="str">
        <f>IF(Table1[[#This Row],[customer_subscription]]=1,"Subscribed","Not Subscribed")</f>
        <v>Not Subscribed</v>
      </c>
    </row>
    <row r="3520" spans="1:26" x14ac:dyDescent="0.25">
      <c r="A3520">
        <v>3519</v>
      </c>
      <c r="B3520">
        <v>50</v>
      </c>
      <c r="C3520" t="s">
        <v>156</v>
      </c>
      <c r="D3520">
        <v>3519</v>
      </c>
      <c r="E3520" t="s">
        <v>58</v>
      </c>
      <c r="F3520" t="s">
        <v>24</v>
      </c>
      <c r="G3520">
        <v>3519</v>
      </c>
      <c r="H3520">
        <v>4421</v>
      </c>
      <c r="I3520">
        <v>97</v>
      </c>
      <c r="J3520" t="s">
        <v>115</v>
      </c>
      <c r="K3520" t="s">
        <v>47</v>
      </c>
      <c r="L3520" t="s">
        <v>97</v>
      </c>
      <c r="M3520" t="s">
        <v>40</v>
      </c>
      <c r="N3520">
        <v>4.2</v>
      </c>
      <c r="O3520">
        <v>0</v>
      </c>
      <c r="P3520" t="s">
        <v>57</v>
      </c>
      <c r="Q3520" t="s">
        <v>155</v>
      </c>
      <c r="R3520" t="s">
        <v>155</v>
      </c>
      <c r="S3520">
        <v>30</v>
      </c>
      <c r="T3520" t="s">
        <v>49</v>
      </c>
      <c r="U3520" t="s">
        <v>61</v>
      </c>
      <c r="V3520" s="1">
        <v>45408</v>
      </c>
      <c r="W3520">
        <f>Table1[[#This Row],[customer_purchase count]]+1</f>
        <v>31</v>
      </c>
      <c r="X3520">
        <f>Table1[[#This Row],[customer_purchase count]]*Rules!$B$3</f>
        <v>1792.9307692307693</v>
      </c>
      <c r="Y3520" t="str">
        <f>IF(Table1[[#This Row],[customer_subscription]]=1,"Subscribed","Not Subscribed")</f>
        <v>Not Subscribed</v>
      </c>
    </row>
    <row r="3521" spans="1:26" x14ac:dyDescent="0.25">
      <c r="A3521">
        <v>3520</v>
      </c>
      <c r="B3521">
        <v>31</v>
      </c>
      <c r="C3521" t="s">
        <v>156</v>
      </c>
      <c r="D3521">
        <v>3520</v>
      </c>
      <c r="E3521" t="s">
        <v>62</v>
      </c>
      <c r="F3521" t="s">
        <v>24</v>
      </c>
      <c r="G3521">
        <v>3520</v>
      </c>
      <c r="H3521">
        <v>4423</v>
      </c>
      <c r="I3521">
        <v>66</v>
      </c>
      <c r="J3521" t="s">
        <v>153</v>
      </c>
      <c r="K3521" t="s">
        <v>47</v>
      </c>
      <c r="L3521" t="s">
        <v>55</v>
      </c>
      <c r="M3521" t="s">
        <v>28</v>
      </c>
      <c r="N3521">
        <v>3.7</v>
      </c>
      <c r="O3521">
        <v>0</v>
      </c>
      <c r="P3521" t="s">
        <v>48</v>
      </c>
      <c r="Q3521" t="s">
        <v>155</v>
      </c>
      <c r="R3521" t="s">
        <v>155</v>
      </c>
      <c r="S3521">
        <v>14</v>
      </c>
      <c r="T3521" t="s">
        <v>78</v>
      </c>
      <c r="U3521" t="s">
        <v>32</v>
      </c>
      <c r="V3521" s="1">
        <v>45653</v>
      </c>
      <c r="W3521">
        <f>Table1[[#This Row],[customer_purchase count]]+1</f>
        <v>15</v>
      </c>
      <c r="X3521">
        <f>Table1[[#This Row],[customer_purchase count]]*Rules!$B$3</f>
        <v>836.70102564102569</v>
      </c>
      <c r="Y3521" t="str">
        <f>IF(Table1[[#This Row],[customer_subscription]]=1,"Subscribed","Not Subscribed")</f>
        <v>Not Subscribed</v>
      </c>
      <c r="Z3521" t="s">
        <v>194</v>
      </c>
    </row>
    <row r="3522" spans="1:26" x14ac:dyDescent="0.25">
      <c r="A3522">
        <v>3521</v>
      </c>
      <c r="B3522">
        <v>41</v>
      </c>
      <c r="C3522" t="s">
        <v>156</v>
      </c>
      <c r="D3522">
        <v>3521</v>
      </c>
      <c r="E3522" t="s">
        <v>127</v>
      </c>
      <c r="F3522" t="s">
        <v>70</v>
      </c>
      <c r="G3522">
        <v>3521</v>
      </c>
      <c r="H3522">
        <v>4424</v>
      </c>
      <c r="I3522">
        <v>70</v>
      </c>
      <c r="J3522" t="s">
        <v>145</v>
      </c>
      <c r="K3522" t="s">
        <v>39</v>
      </c>
      <c r="L3522" t="s">
        <v>113</v>
      </c>
      <c r="M3522" t="s">
        <v>40</v>
      </c>
      <c r="N3522">
        <v>3.1</v>
      </c>
      <c r="O3522">
        <v>0</v>
      </c>
      <c r="P3522" t="s">
        <v>29</v>
      </c>
      <c r="Q3522" t="s">
        <v>155</v>
      </c>
      <c r="R3522" t="s">
        <v>155</v>
      </c>
      <c r="S3522">
        <v>33</v>
      </c>
      <c r="T3522" t="s">
        <v>78</v>
      </c>
      <c r="U3522" t="s">
        <v>91</v>
      </c>
      <c r="V3522" s="1">
        <v>45398</v>
      </c>
      <c r="W3522">
        <f>Table1[[#This Row],[customer_purchase count]]+1</f>
        <v>34</v>
      </c>
      <c r="X3522">
        <f>Table1[[#This Row],[customer_purchase count]]*Rules!$B$3</f>
        <v>1972.2238461538464</v>
      </c>
      <c r="Y3522" t="str">
        <f>IF(Table1[[#This Row],[customer_subscription]]=1,"Subscribed","Not Subscribed")</f>
        <v>Not Subscribed</v>
      </c>
    </row>
    <row r="3523" spans="1:26" x14ac:dyDescent="0.25">
      <c r="A3523">
        <v>3522</v>
      </c>
      <c r="B3523">
        <v>52</v>
      </c>
      <c r="C3523" t="s">
        <v>156</v>
      </c>
      <c r="D3523">
        <v>3522</v>
      </c>
      <c r="E3523" t="s">
        <v>74</v>
      </c>
      <c r="F3523" t="s">
        <v>45</v>
      </c>
      <c r="G3523">
        <v>3522</v>
      </c>
      <c r="H3523">
        <v>4425</v>
      </c>
      <c r="I3523">
        <v>50</v>
      </c>
      <c r="J3523" t="s">
        <v>131</v>
      </c>
      <c r="K3523" t="s">
        <v>47</v>
      </c>
      <c r="L3523" t="s">
        <v>72</v>
      </c>
      <c r="M3523" t="s">
        <v>28</v>
      </c>
      <c r="N3523">
        <v>3.7</v>
      </c>
      <c r="O3523">
        <v>0</v>
      </c>
      <c r="P3523" t="s">
        <v>77</v>
      </c>
      <c r="Q3523" t="s">
        <v>155</v>
      </c>
      <c r="R3523" t="s">
        <v>155</v>
      </c>
      <c r="S3523">
        <v>35</v>
      </c>
      <c r="T3523" t="s">
        <v>31</v>
      </c>
      <c r="U3523" t="s">
        <v>43</v>
      </c>
      <c r="V3523" s="1">
        <v>45332</v>
      </c>
      <c r="W3523">
        <f>Table1[[#This Row],[customer_purchase count]]+1</f>
        <v>36</v>
      </c>
      <c r="X3523">
        <f>Table1[[#This Row],[customer_purchase count]]*Rules!$B$3</f>
        <v>2091.7525641025641</v>
      </c>
      <c r="Y3523" t="str">
        <f>IF(Table1[[#This Row],[customer_subscription]]=1,"Subscribed","Not Subscribed")</f>
        <v>Not Subscribed</v>
      </c>
    </row>
    <row r="3524" spans="1:26" x14ac:dyDescent="0.25">
      <c r="A3524">
        <v>3523</v>
      </c>
      <c r="B3524">
        <v>27</v>
      </c>
      <c r="C3524" t="s">
        <v>156</v>
      </c>
      <c r="D3524">
        <v>3523</v>
      </c>
      <c r="E3524" t="s">
        <v>98</v>
      </c>
      <c r="F3524" t="s">
        <v>24</v>
      </c>
      <c r="G3524">
        <v>3523</v>
      </c>
      <c r="H3524">
        <v>4426</v>
      </c>
      <c r="I3524">
        <v>85</v>
      </c>
      <c r="J3524" t="s">
        <v>130</v>
      </c>
      <c r="K3524" t="s">
        <v>47</v>
      </c>
      <c r="L3524" t="s">
        <v>137</v>
      </c>
      <c r="M3524" t="s">
        <v>40</v>
      </c>
      <c r="N3524">
        <v>3.2</v>
      </c>
      <c r="O3524">
        <v>0</v>
      </c>
      <c r="P3524" t="s">
        <v>77</v>
      </c>
      <c r="Q3524" t="s">
        <v>155</v>
      </c>
      <c r="R3524" t="s">
        <v>155</v>
      </c>
      <c r="S3524">
        <v>13</v>
      </c>
      <c r="T3524" t="s">
        <v>36</v>
      </c>
      <c r="U3524" t="s">
        <v>61</v>
      </c>
      <c r="V3524" s="1">
        <v>45353</v>
      </c>
      <c r="W3524">
        <f>Table1[[#This Row],[customer_purchase count]]+1</f>
        <v>14</v>
      </c>
      <c r="X3524">
        <f>Table1[[#This Row],[customer_purchase count]]*Rules!$B$3</f>
        <v>776.93666666666672</v>
      </c>
      <c r="Y3524" t="str">
        <f>IF(Table1[[#This Row],[customer_subscription]]=1,"Subscribed","Not Subscribed")</f>
        <v>Not Subscribed</v>
      </c>
      <c r="Z3524" t="s">
        <v>187</v>
      </c>
    </row>
    <row r="3525" spans="1:26" x14ac:dyDescent="0.25">
      <c r="A3525">
        <v>3524</v>
      </c>
      <c r="B3525">
        <v>49</v>
      </c>
      <c r="C3525" t="s">
        <v>156</v>
      </c>
      <c r="D3525">
        <v>3524</v>
      </c>
      <c r="E3525" t="s">
        <v>135</v>
      </c>
      <c r="F3525" t="s">
        <v>70</v>
      </c>
      <c r="G3525">
        <v>3524</v>
      </c>
      <c r="H3525">
        <v>4427</v>
      </c>
      <c r="I3525">
        <v>59</v>
      </c>
      <c r="J3525" t="s">
        <v>110</v>
      </c>
      <c r="K3525" t="s">
        <v>47</v>
      </c>
      <c r="L3525" t="s">
        <v>112</v>
      </c>
      <c r="M3525" t="s">
        <v>56</v>
      </c>
      <c r="N3525">
        <v>2.8</v>
      </c>
      <c r="O3525">
        <v>0</v>
      </c>
      <c r="P3525" t="s">
        <v>57</v>
      </c>
      <c r="Q3525" t="s">
        <v>155</v>
      </c>
      <c r="R3525" t="s">
        <v>155</v>
      </c>
      <c r="S3525">
        <v>30</v>
      </c>
      <c r="T3525" t="s">
        <v>36</v>
      </c>
      <c r="U3525" t="s">
        <v>32</v>
      </c>
      <c r="V3525" s="1">
        <v>45468</v>
      </c>
      <c r="W3525">
        <f>Table1[[#This Row],[customer_purchase count]]+1</f>
        <v>31</v>
      </c>
      <c r="X3525">
        <f>Table1[[#This Row],[customer_purchase count]]*Rules!$B$3</f>
        <v>1792.9307692307693</v>
      </c>
      <c r="Y3525" t="str">
        <f>IF(Table1[[#This Row],[customer_subscription]]=1,"Subscribed","Not Subscribed")</f>
        <v>Not Subscribed</v>
      </c>
    </row>
    <row r="3526" spans="1:26" x14ac:dyDescent="0.25">
      <c r="A3526">
        <v>3525</v>
      </c>
      <c r="B3526">
        <v>69</v>
      </c>
      <c r="C3526" t="s">
        <v>156</v>
      </c>
      <c r="D3526">
        <v>3525</v>
      </c>
      <c r="E3526" t="s">
        <v>98</v>
      </c>
      <c r="F3526" t="s">
        <v>24</v>
      </c>
      <c r="G3526">
        <v>3525</v>
      </c>
      <c r="H3526">
        <v>4429</v>
      </c>
      <c r="I3526">
        <v>74</v>
      </c>
      <c r="J3526" t="s">
        <v>154</v>
      </c>
      <c r="K3526" t="s">
        <v>26</v>
      </c>
      <c r="L3526" t="s">
        <v>68</v>
      </c>
      <c r="M3526" t="s">
        <v>56</v>
      </c>
      <c r="N3526">
        <v>2.9</v>
      </c>
      <c r="O3526">
        <v>0</v>
      </c>
      <c r="P3526" t="s">
        <v>41</v>
      </c>
      <c r="Q3526" t="s">
        <v>155</v>
      </c>
      <c r="R3526" t="s">
        <v>155</v>
      </c>
      <c r="S3526">
        <v>30</v>
      </c>
      <c r="T3526" t="s">
        <v>42</v>
      </c>
      <c r="U3526" t="s">
        <v>91</v>
      </c>
      <c r="V3526" s="1">
        <v>45485</v>
      </c>
      <c r="W3526">
        <f>Table1[[#This Row],[customer_purchase count]]+1</f>
        <v>31</v>
      </c>
      <c r="X3526">
        <f>Table1[[#This Row],[customer_purchase count]]*Rules!$B$3</f>
        <v>1792.9307692307693</v>
      </c>
      <c r="Y3526" t="str">
        <f>IF(Table1[[#This Row],[customer_subscription]]=1,"Subscribed","Not Subscribed")</f>
        <v>Not Subscribed</v>
      </c>
    </row>
    <row r="3527" spans="1:26" x14ac:dyDescent="0.25">
      <c r="A3527">
        <v>3526</v>
      </c>
      <c r="B3527">
        <v>45</v>
      </c>
      <c r="C3527" t="s">
        <v>156</v>
      </c>
      <c r="D3527">
        <v>3526</v>
      </c>
      <c r="E3527" t="s">
        <v>92</v>
      </c>
      <c r="F3527" t="s">
        <v>70</v>
      </c>
      <c r="G3527">
        <v>3526</v>
      </c>
      <c r="H3527">
        <v>4430</v>
      </c>
      <c r="I3527">
        <v>38</v>
      </c>
      <c r="J3527" t="s">
        <v>54</v>
      </c>
      <c r="K3527" t="s">
        <v>26</v>
      </c>
      <c r="L3527" t="s">
        <v>81</v>
      </c>
      <c r="M3527" t="s">
        <v>28</v>
      </c>
      <c r="N3527">
        <v>3.5</v>
      </c>
      <c r="O3527">
        <v>0</v>
      </c>
      <c r="P3527" t="s">
        <v>57</v>
      </c>
      <c r="Q3527" t="s">
        <v>155</v>
      </c>
      <c r="R3527" t="s">
        <v>155</v>
      </c>
      <c r="S3527">
        <v>47</v>
      </c>
      <c r="T3527" t="s">
        <v>78</v>
      </c>
      <c r="U3527" t="s">
        <v>52</v>
      </c>
      <c r="V3527" s="1">
        <v>45636</v>
      </c>
      <c r="W3527">
        <f>Table1[[#This Row],[customer_purchase count]]+1</f>
        <v>48</v>
      </c>
      <c r="X3527">
        <f>Table1[[#This Row],[customer_purchase count]]*Rules!$B$3</f>
        <v>2808.9248717948717</v>
      </c>
      <c r="Y3527" t="str">
        <f>IF(Table1[[#This Row],[customer_subscription]]=1,"Subscribed","Not Subscribed")</f>
        <v>Not Subscribed</v>
      </c>
    </row>
    <row r="3528" spans="1:26" x14ac:dyDescent="0.25">
      <c r="A3528">
        <v>3527</v>
      </c>
      <c r="B3528">
        <v>20</v>
      </c>
      <c r="C3528" t="s">
        <v>156</v>
      </c>
      <c r="D3528">
        <v>3527</v>
      </c>
      <c r="E3528" t="s">
        <v>33</v>
      </c>
      <c r="F3528" t="s">
        <v>24</v>
      </c>
      <c r="G3528">
        <v>3527</v>
      </c>
      <c r="H3528">
        <v>4431</v>
      </c>
      <c r="I3528">
        <v>99</v>
      </c>
      <c r="J3528" t="s">
        <v>38</v>
      </c>
      <c r="K3528" t="s">
        <v>47</v>
      </c>
      <c r="L3528" t="s">
        <v>81</v>
      </c>
      <c r="M3528" t="s">
        <v>40</v>
      </c>
      <c r="N3528">
        <v>3.8</v>
      </c>
      <c r="O3528">
        <v>0</v>
      </c>
      <c r="P3528" t="s">
        <v>29</v>
      </c>
      <c r="Q3528" t="s">
        <v>155</v>
      </c>
      <c r="R3528" t="s">
        <v>155</v>
      </c>
      <c r="S3528">
        <v>1</v>
      </c>
      <c r="T3528" t="s">
        <v>49</v>
      </c>
      <c r="U3528" t="s">
        <v>100</v>
      </c>
      <c r="V3528" s="1">
        <v>45408</v>
      </c>
      <c r="W3528">
        <f>Table1[[#This Row],[customer_purchase count]]+1</f>
        <v>2</v>
      </c>
      <c r="X3528">
        <f>Table1[[#This Row],[customer_purchase count]]*Rules!$B$3</f>
        <v>59.764358974358977</v>
      </c>
      <c r="Y3528" t="str">
        <f>IF(Table1[[#This Row],[customer_subscription]]=1,"Subscribed","Not Subscribed")</f>
        <v>Not Subscribed</v>
      </c>
      <c r="Z3528" t="s">
        <v>194</v>
      </c>
    </row>
    <row r="3529" spans="1:26" x14ac:dyDescent="0.25">
      <c r="A3529">
        <v>3528</v>
      </c>
      <c r="B3529">
        <v>25</v>
      </c>
      <c r="C3529" t="s">
        <v>156</v>
      </c>
      <c r="D3529">
        <v>3528</v>
      </c>
      <c r="E3529" t="s">
        <v>23</v>
      </c>
      <c r="F3529" t="s">
        <v>24</v>
      </c>
      <c r="G3529">
        <v>3528</v>
      </c>
      <c r="H3529">
        <v>4432</v>
      </c>
      <c r="I3529">
        <v>97</v>
      </c>
      <c r="J3529" t="s">
        <v>152</v>
      </c>
      <c r="K3529" t="s">
        <v>39</v>
      </c>
      <c r="L3529" t="s">
        <v>64</v>
      </c>
      <c r="M3529" t="s">
        <v>40</v>
      </c>
      <c r="N3529">
        <v>4.7</v>
      </c>
      <c r="O3529">
        <v>0</v>
      </c>
      <c r="P3529" t="s">
        <v>41</v>
      </c>
      <c r="Q3529" t="s">
        <v>155</v>
      </c>
      <c r="R3529" t="s">
        <v>155</v>
      </c>
      <c r="S3529">
        <v>1</v>
      </c>
      <c r="T3529" t="s">
        <v>36</v>
      </c>
      <c r="U3529" t="s">
        <v>43</v>
      </c>
      <c r="V3529" s="1">
        <v>45384</v>
      </c>
      <c r="W3529">
        <f>Table1[[#This Row],[customer_purchase count]]+1</f>
        <v>2</v>
      </c>
      <c r="X3529">
        <f>Table1[[#This Row],[customer_purchase count]]*Rules!$B$3</f>
        <v>59.764358974358977</v>
      </c>
      <c r="Y3529" t="str">
        <f>IF(Table1[[#This Row],[customer_subscription]]=1,"Subscribed","Not Subscribed")</f>
        <v>Not Subscribed</v>
      </c>
      <c r="Z3529" t="s">
        <v>194</v>
      </c>
    </row>
    <row r="3530" spans="1:26" x14ac:dyDescent="0.25">
      <c r="A3530">
        <v>3529</v>
      </c>
      <c r="B3530">
        <v>38</v>
      </c>
      <c r="C3530" t="s">
        <v>156</v>
      </c>
      <c r="D3530">
        <v>3529</v>
      </c>
      <c r="E3530" t="s">
        <v>122</v>
      </c>
      <c r="F3530" t="s">
        <v>70</v>
      </c>
      <c r="G3530">
        <v>3529</v>
      </c>
      <c r="H3530">
        <v>4433</v>
      </c>
      <c r="I3530">
        <v>67</v>
      </c>
      <c r="J3530" t="s">
        <v>34</v>
      </c>
      <c r="K3530" t="s">
        <v>26</v>
      </c>
      <c r="L3530" t="s">
        <v>27</v>
      </c>
      <c r="M3530" t="s">
        <v>56</v>
      </c>
      <c r="N3530">
        <v>4.5</v>
      </c>
      <c r="O3530">
        <v>0</v>
      </c>
      <c r="P3530" t="s">
        <v>41</v>
      </c>
      <c r="Q3530" t="s">
        <v>155</v>
      </c>
      <c r="R3530" t="s">
        <v>155</v>
      </c>
      <c r="S3530">
        <v>33</v>
      </c>
      <c r="T3530" t="s">
        <v>49</v>
      </c>
      <c r="U3530" t="s">
        <v>52</v>
      </c>
      <c r="V3530" s="1">
        <v>45459</v>
      </c>
      <c r="W3530">
        <f>Table1[[#This Row],[customer_purchase count]]+1</f>
        <v>34</v>
      </c>
      <c r="X3530">
        <f>Table1[[#This Row],[customer_purchase count]]*Rules!$B$3</f>
        <v>1972.2238461538464</v>
      </c>
      <c r="Y3530" t="str">
        <f>IF(Table1[[#This Row],[customer_subscription]]=1,"Subscribed","Not Subscribed")</f>
        <v>Not Subscribed</v>
      </c>
    </row>
    <row r="3531" spans="1:26" x14ac:dyDescent="0.25">
      <c r="A3531">
        <v>3530</v>
      </c>
      <c r="B3531">
        <v>55</v>
      </c>
      <c r="C3531" t="s">
        <v>156</v>
      </c>
      <c r="D3531">
        <v>3530</v>
      </c>
      <c r="E3531" t="s">
        <v>116</v>
      </c>
      <c r="F3531" t="s">
        <v>24</v>
      </c>
      <c r="G3531">
        <v>3530</v>
      </c>
      <c r="H3531">
        <v>4435</v>
      </c>
      <c r="I3531">
        <v>20</v>
      </c>
      <c r="J3531" t="s">
        <v>59</v>
      </c>
      <c r="K3531" t="s">
        <v>39</v>
      </c>
      <c r="L3531" t="s">
        <v>35</v>
      </c>
      <c r="M3531" t="s">
        <v>28</v>
      </c>
      <c r="N3531">
        <v>3.9</v>
      </c>
      <c r="O3531">
        <v>0</v>
      </c>
      <c r="P3531" t="s">
        <v>48</v>
      </c>
      <c r="Q3531" t="s">
        <v>155</v>
      </c>
      <c r="R3531" t="s">
        <v>155</v>
      </c>
      <c r="S3531">
        <v>43</v>
      </c>
      <c r="T3531" t="s">
        <v>78</v>
      </c>
      <c r="U3531" t="s">
        <v>43</v>
      </c>
      <c r="V3531" s="1">
        <v>45336</v>
      </c>
      <c r="W3531">
        <f>Table1[[#This Row],[customer_purchase count]]+1</f>
        <v>44</v>
      </c>
      <c r="X3531">
        <f>Table1[[#This Row],[customer_purchase count]]*Rules!$B$3</f>
        <v>2569.8674358974358</v>
      </c>
      <c r="Y3531" t="str">
        <f>IF(Table1[[#This Row],[customer_subscription]]=1,"Subscribed","Not Subscribed")</f>
        <v>Not Subscribed</v>
      </c>
    </row>
    <row r="3532" spans="1:26" x14ac:dyDescent="0.25">
      <c r="A3532">
        <v>3531</v>
      </c>
      <c r="B3532">
        <v>62</v>
      </c>
      <c r="C3532" t="s">
        <v>156</v>
      </c>
      <c r="D3532">
        <v>3531</v>
      </c>
      <c r="E3532" t="s">
        <v>92</v>
      </c>
      <c r="F3532" t="s">
        <v>70</v>
      </c>
      <c r="G3532">
        <v>3531</v>
      </c>
      <c r="H3532">
        <v>4436</v>
      </c>
      <c r="I3532">
        <v>45</v>
      </c>
      <c r="J3532" t="s">
        <v>104</v>
      </c>
      <c r="K3532" t="s">
        <v>26</v>
      </c>
      <c r="L3532" t="s">
        <v>97</v>
      </c>
      <c r="M3532" t="s">
        <v>40</v>
      </c>
      <c r="N3532">
        <v>3.4</v>
      </c>
      <c r="O3532">
        <v>0</v>
      </c>
      <c r="P3532" t="s">
        <v>29</v>
      </c>
      <c r="Q3532" t="s">
        <v>155</v>
      </c>
      <c r="R3532" t="s">
        <v>155</v>
      </c>
      <c r="S3532">
        <v>37</v>
      </c>
      <c r="T3532" t="s">
        <v>49</v>
      </c>
      <c r="U3532" t="s">
        <v>43</v>
      </c>
      <c r="V3532" s="1">
        <v>45410</v>
      </c>
      <c r="W3532">
        <f>Table1[[#This Row],[customer_purchase count]]+1</f>
        <v>38</v>
      </c>
      <c r="X3532">
        <f>Table1[[#This Row],[customer_purchase count]]*Rules!$B$3</f>
        <v>2211.2812820512822</v>
      </c>
      <c r="Y3532" t="str">
        <f>IF(Table1[[#This Row],[customer_subscription]]=1,"Subscribed","Not Subscribed")</f>
        <v>Not Subscribed</v>
      </c>
    </row>
    <row r="3533" spans="1:26" x14ac:dyDescent="0.25">
      <c r="A3533">
        <v>3532</v>
      </c>
      <c r="B3533">
        <v>54</v>
      </c>
      <c r="C3533" t="s">
        <v>156</v>
      </c>
      <c r="D3533">
        <v>3532</v>
      </c>
      <c r="E3533" t="s">
        <v>74</v>
      </c>
      <c r="F3533" t="s">
        <v>45</v>
      </c>
      <c r="G3533">
        <v>3532</v>
      </c>
      <c r="H3533">
        <v>4437</v>
      </c>
      <c r="I3533">
        <v>52</v>
      </c>
      <c r="J3533" t="s">
        <v>117</v>
      </c>
      <c r="K3533" t="s">
        <v>95</v>
      </c>
      <c r="L3533" t="s">
        <v>86</v>
      </c>
      <c r="M3533" t="s">
        <v>28</v>
      </c>
      <c r="N3533">
        <v>4.5999999999999996</v>
      </c>
      <c r="O3533">
        <v>0</v>
      </c>
      <c r="P3533" t="s">
        <v>73</v>
      </c>
      <c r="Q3533" t="s">
        <v>155</v>
      </c>
      <c r="R3533" t="s">
        <v>155</v>
      </c>
      <c r="S3533">
        <v>23</v>
      </c>
      <c r="T3533" t="s">
        <v>36</v>
      </c>
      <c r="U3533" t="s">
        <v>61</v>
      </c>
      <c r="V3533" s="1">
        <v>45649</v>
      </c>
      <c r="W3533">
        <f>Table1[[#This Row],[customer_purchase count]]+1</f>
        <v>24</v>
      </c>
      <c r="X3533">
        <f>Table1[[#This Row],[customer_purchase count]]*Rules!$B$3</f>
        <v>1374.5802564102564</v>
      </c>
      <c r="Y3533" t="str">
        <f>IF(Table1[[#This Row],[customer_subscription]]=1,"Subscribed","Not Subscribed")</f>
        <v>Not Subscribed</v>
      </c>
    </row>
    <row r="3534" spans="1:26" x14ac:dyDescent="0.25">
      <c r="A3534">
        <v>3533</v>
      </c>
      <c r="B3534">
        <v>61</v>
      </c>
      <c r="C3534" t="s">
        <v>156</v>
      </c>
      <c r="D3534">
        <v>3533</v>
      </c>
      <c r="E3534" t="s">
        <v>98</v>
      </c>
      <c r="F3534" t="s">
        <v>24</v>
      </c>
      <c r="G3534">
        <v>3533</v>
      </c>
      <c r="H3534">
        <v>4438</v>
      </c>
      <c r="I3534">
        <v>68</v>
      </c>
      <c r="J3534" t="s">
        <v>142</v>
      </c>
      <c r="K3534" t="s">
        <v>26</v>
      </c>
      <c r="L3534" t="s">
        <v>129</v>
      </c>
      <c r="M3534" t="s">
        <v>60</v>
      </c>
      <c r="N3534">
        <v>4.5999999999999996</v>
      </c>
      <c r="O3534">
        <v>0</v>
      </c>
      <c r="P3534" t="s">
        <v>57</v>
      </c>
      <c r="Q3534" t="s">
        <v>155</v>
      </c>
      <c r="R3534" t="s">
        <v>155</v>
      </c>
      <c r="S3534">
        <v>12</v>
      </c>
      <c r="T3534" t="s">
        <v>42</v>
      </c>
      <c r="U3534" t="s">
        <v>52</v>
      </c>
      <c r="V3534" s="1">
        <v>45602</v>
      </c>
      <c r="W3534">
        <f>Table1[[#This Row],[customer_purchase count]]+1</f>
        <v>13</v>
      </c>
      <c r="X3534">
        <f>Table1[[#This Row],[customer_purchase count]]*Rules!$B$3</f>
        <v>717.17230769230775</v>
      </c>
      <c r="Y3534" t="str">
        <f>IF(Table1[[#This Row],[customer_subscription]]=1,"Subscribed","Not Subscribed")</f>
        <v>Not Subscribed</v>
      </c>
      <c r="Z3534" t="s">
        <v>194</v>
      </c>
    </row>
    <row r="3535" spans="1:26" x14ac:dyDescent="0.25">
      <c r="A3535">
        <v>3534</v>
      </c>
      <c r="B3535">
        <v>50</v>
      </c>
      <c r="C3535" t="s">
        <v>156</v>
      </c>
      <c r="D3535">
        <v>3534</v>
      </c>
      <c r="E3535" t="s">
        <v>53</v>
      </c>
      <c r="F3535" t="s">
        <v>45</v>
      </c>
      <c r="G3535">
        <v>3534</v>
      </c>
      <c r="H3535">
        <v>4439</v>
      </c>
      <c r="I3535">
        <v>98</v>
      </c>
      <c r="J3535" t="s">
        <v>108</v>
      </c>
      <c r="K3535" t="s">
        <v>26</v>
      </c>
      <c r="L3535" t="s">
        <v>137</v>
      </c>
      <c r="M3535" t="s">
        <v>60</v>
      </c>
      <c r="N3535">
        <v>4.7</v>
      </c>
      <c r="O3535">
        <v>0</v>
      </c>
      <c r="P3535" t="s">
        <v>57</v>
      </c>
      <c r="Q3535" t="s">
        <v>155</v>
      </c>
      <c r="R3535" t="s">
        <v>155</v>
      </c>
      <c r="S3535">
        <v>30</v>
      </c>
      <c r="T3535" t="s">
        <v>31</v>
      </c>
      <c r="U3535" t="s">
        <v>32</v>
      </c>
      <c r="V3535" s="1">
        <v>45590</v>
      </c>
      <c r="W3535">
        <f>Table1[[#This Row],[customer_purchase count]]+1</f>
        <v>31</v>
      </c>
      <c r="X3535">
        <f>Table1[[#This Row],[customer_purchase count]]*Rules!$B$3</f>
        <v>1792.9307692307693</v>
      </c>
      <c r="Y3535" t="str">
        <f>IF(Table1[[#This Row],[customer_subscription]]=1,"Subscribed","Not Subscribed")</f>
        <v>Not Subscribed</v>
      </c>
    </row>
    <row r="3536" spans="1:26" x14ac:dyDescent="0.25">
      <c r="A3536">
        <v>3535</v>
      </c>
      <c r="B3536">
        <v>65</v>
      </c>
      <c r="C3536" t="s">
        <v>156</v>
      </c>
      <c r="D3536">
        <v>3535</v>
      </c>
      <c r="E3536" t="s">
        <v>74</v>
      </c>
      <c r="F3536" t="s">
        <v>45</v>
      </c>
      <c r="G3536">
        <v>3535</v>
      </c>
      <c r="H3536">
        <v>4441</v>
      </c>
      <c r="I3536">
        <v>83</v>
      </c>
      <c r="J3536" t="s">
        <v>82</v>
      </c>
      <c r="K3536" t="s">
        <v>47</v>
      </c>
      <c r="L3536" t="s">
        <v>27</v>
      </c>
      <c r="M3536" t="s">
        <v>60</v>
      </c>
      <c r="N3536">
        <v>3.2</v>
      </c>
      <c r="O3536">
        <v>0</v>
      </c>
      <c r="P3536" t="s">
        <v>29</v>
      </c>
      <c r="Q3536" t="s">
        <v>155</v>
      </c>
      <c r="R3536" t="s">
        <v>155</v>
      </c>
      <c r="S3536">
        <v>7</v>
      </c>
      <c r="T3536" t="s">
        <v>36</v>
      </c>
      <c r="U3536" t="s">
        <v>43</v>
      </c>
      <c r="V3536" s="1">
        <v>45599</v>
      </c>
      <c r="W3536">
        <f>Table1[[#This Row],[customer_purchase count]]+1</f>
        <v>8</v>
      </c>
      <c r="X3536">
        <f>Table1[[#This Row],[customer_purchase count]]*Rules!$B$3</f>
        <v>418.35051282051285</v>
      </c>
      <c r="Y3536" t="str">
        <f>IF(Table1[[#This Row],[customer_subscription]]=1,"Subscribed","Not Subscribed")</f>
        <v>Not Subscribed</v>
      </c>
      <c r="Z3536" t="s">
        <v>194</v>
      </c>
    </row>
    <row r="3537" spans="1:26" x14ac:dyDescent="0.25">
      <c r="A3537">
        <v>3536</v>
      </c>
      <c r="B3537">
        <v>68</v>
      </c>
      <c r="C3537" t="s">
        <v>156</v>
      </c>
      <c r="D3537">
        <v>3536</v>
      </c>
      <c r="E3537" t="s">
        <v>62</v>
      </c>
      <c r="F3537" t="s">
        <v>24</v>
      </c>
      <c r="G3537">
        <v>3536</v>
      </c>
      <c r="H3537">
        <v>4442</v>
      </c>
      <c r="I3537">
        <v>51</v>
      </c>
      <c r="J3537" t="s">
        <v>94</v>
      </c>
      <c r="K3537" t="s">
        <v>47</v>
      </c>
      <c r="L3537" t="s">
        <v>111</v>
      </c>
      <c r="M3537" t="s">
        <v>56</v>
      </c>
      <c r="N3537">
        <v>5</v>
      </c>
      <c r="O3537">
        <v>0</v>
      </c>
      <c r="P3537" t="s">
        <v>29</v>
      </c>
      <c r="Q3537" t="s">
        <v>155</v>
      </c>
      <c r="R3537" t="s">
        <v>155</v>
      </c>
      <c r="S3537">
        <v>20</v>
      </c>
      <c r="T3537" t="s">
        <v>89</v>
      </c>
      <c r="U3537" t="s">
        <v>91</v>
      </c>
      <c r="V3537" s="1">
        <v>45444</v>
      </c>
      <c r="W3537">
        <f>Table1[[#This Row],[customer_purchase count]]+1</f>
        <v>21</v>
      </c>
      <c r="X3537">
        <f>Table1[[#This Row],[customer_purchase count]]*Rules!$B$3</f>
        <v>1195.2871794871796</v>
      </c>
      <c r="Y3537" t="str">
        <f>IF(Table1[[#This Row],[customer_subscription]]=1,"Subscribed","Not Subscribed")</f>
        <v>Not Subscribed</v>
      </c>
    </row>
    <row r="3538" spans="1:26" x14ac:dyDescent="0.25">
      <c r="A3538">
        <v>3537</v>
      </c>
      <c r="B3538">
        <v>55</v>
      </c>
      <c r="C3538" t="s">
        <v>156</v>
      </c>
      <c r="D3538">
        <v>3537</v>
      </c>
      <c r="E3538" t="s">
        <v>69</v>
      </c>
      <c r="F3538" t="s">
        <v>70</v>
      </c>
      <c r="G3538">
        <v>3537</v>
      </c>
      <c r="H3538">
        <v>4443</v>
      </c>
      <c r="I3538">
        <v>21</v>
      </c>
      <c r="J3538" t="s">
        <v>151</v>
      </c>
      <c r="K3538" t="s">
        <v>26</v>
      </c>
      <c r="L3538" t="s">
        <v>103</v>
      </c>
      <c r="M3538" t="s">
        <v>40</v>
      </c>
      <c r="N3538">
        <v>4.5</v>
      </c>
      <c r="O3538">
        <v>0</v>
      </c>
      <c r="P3538" t="s">
        <v>29</v>
      </c>
      <c r="Q3538" t="s">
        <v>155</v>
      </c>
      <c r="R3538" t="s">
        <v>155</v>
      </c>
      <c r="S3538">
        <v>10</v>
      </c>
      <c r="T3538" t="s">
        <v>31</v>
      </c>
      <c r="U3538" t="s">
        <v>91</v>
      </c>
      <c r="V3538" s="1">
        <v>45420</v>
      </c>
      <c r="W3538">
        <f>Table1[[#This Row],[customer_purchase count]]+1</f>
        <v>11</v>
      </c>
      <c r="X3538">
        <f>Table1[[#This Row],[customer_purchase count]]*Rules!$B$3</f>
        <v>597.64358974358981</v>
      </c>
      <c r="Y3538" t="str">
        <f>IF(Table1[[#This Row],[customer_subscription]]=1,"Subscribed","Not Subscribed")</f>
        <v>Not Subscribed</v>
      </c>
      <c r="Z3538" t="s">
        <v>194</v>
      </c>
    </row>
    <row r="3539" spans="1:26" x14ac:dyDescent="0.25">
      <c r="A3539">
        <v>3538</v>
      </c>
      <c r="B3539">
        <v>57</v>
      </c>
      <c r="C3539" t="s">
        <v>156</v>
      </c>
      <c r="D3539">
        <v>3538</v>
      </c>
      <c r="E3539" t="s">
        <v>69</v>
      </c>
      <c r="F3539" t="s">
        <v>70</v>
      </c>
      <c r="G3539">
        <v>3538</v>
      </c>
      <c r="H3539">
        <v>4444</v>
      </c>
      <c r="I3539">
        <v>92</v>
      </c>
      <c r="J3539" t="s">
        <v>145</v>
      </c>
      <c r="K3539" t="s">
        <v>47</v>
      </c>
      <c r="L3539" t="s">
        <v>27</v>
      </c>
      <c r="M3539" t="s">
        <v>40</v>
      </c>
      <c r="N3539">
        <v>3.5</v>
      </c>
      <c r="O3539">
        <v>0</v>
      </c>
      <c r="P3539" t="s">
        <v>57</v>
      </c>
      <c r="Q3539" t="s">
        <v>155</v>
      </c>
      <c r="R3539" t="s">
        <v>155</v>
      </c>
      <c r="S3539">
        <v>40</v>
      </c>
      <c r="T3539" t="s">
        <v>42</v>
      </c>
      <c r="U3539" t="s">
        <v>100</v>
      </c>
      <c r="V3539" s="1">
        <v>45415</v>
      </c>
      <c r="W3539">
        <f>Table1[[#This Row],[customer_purchase count]]+1</f>
        <v>41</v>
      </c>
      <c r="X3539">
        <f>Table1[[#This Row],[customer_purchase count]]*Rules!$B$3</f>
        <v>2390.5743589743593</v>
      </c>
      <c r="Y3539" t="str">
        <f>IF(Table1[[#This Row],[customer_subscription]]=1,"Subscribed","Not Subscribed")</f>
        <v>Not Subscribed</v>
      </c>
    </row>
    <row r="3540" spans="1:26" x14ac:dyDescent="0.25">
      <c r="A3540">
        <v>3539</v>
      </c>
      <c r="B3540">
        <v>56</v>
      </c>
      <c r="C3540" t="s">
        <v>156</v>
      </c>
      <c r="D3540">
        <v>3539</v>
      </c>
      <c r="E3540" t="s">
        <v>74</v>
      </c>
      <c r="F3540" t="s">
        <v>45</v>
      </c>
      <c r="G3540">
        <v>3539</v>
      </c>
      <c r="H3540">
        <v>4445</v>
      </c>
      <c r="I3540">
        <v>63</v>
      </c>
      <c r="J3540" t="s">
        <v>149</v>
      </c>
      <c r="K3540" t="s">
        <v>39</v>
      </c>
      <c r="L3540" t="s">
        <v>55</v>
      </c>
      <c r="M3540" t="s">
        <v>40</v>
      </c>
      <c r="N3540">
        <v>4.5</v>
      </c>
      <c r="O3540">
        <v>0</v>
      </c>
      <c r="P3540" t="s">
        <v>77</v>
      </c>
      <c r="Q3540" t="s">
        <v>155</v>
      </c>
      <c r="R3540" t="s">
        <v>155</v>
      </c>
      <c r="S3540">
        <v>21</v>
      </c>
      <c r="T3540" t="s">
        <v>31</v>
      </c>
      <c r="U3540" t="s">
        <v>91</v>
      </c>
      <c r="V3540" s="1">
        <v>45360</v>
      </c>
      <c r="W3540">
        <f>Table1[[#This Row],[customer_purchase count]]+1</f>
        <v>22</v>
      </c>
      <c r="X3540">
        <f>Table1[[#This Row],[customer_purchase count]]*Rules!$B$3</f>
        <v>1255.0515384615385</v>
      </c>
      <c r="Y3540" t="str">
        <f>IF(Table1[[#This Row],[customer_subscription]]=1,"Subscribed","Not Subscribed")</f>
        <v>Not Subscribed</v>
      </c>
    </row>
    <row r="3541" spans="1:26" x14ac:dyDescent="0.25">
      <c r="A3541">
        <v>3540</v>
      </c>
      <c r="B3541">
        <v>29</v>
      </c>
      <c r="C3541" t="s">
        <v>156</v>
      </c>
      <c r="D3541">
        <v>3540</v>
      </c>
      <c r="E3541" t="s">
        <v>109</v>
      </c>
      <c r="F3541" t="s">
        <v>70</v>
      </c>
      <c r="G3541">
        <v>3540</v>
      </c>
      <c r="H3541">
        <v>4447</v>
      </c>
      <c r="I3541">
        <v>56</v>
      </c>
      <c r="J3541" t="s">
        <v>87</v>
      </c>
      <c r="K3541" t="s">
        <v>39</v>
      </c>
      <c r="L3541" t="s">
        <v>99</v>
      </c>
      <c r="M3541" t="s">
        <v>40</v>
      </c>
      <c r="N3541">
        <v>3.2</v>
      </c>
      <c r="O3541">
        <v>0</v>
      </c>
      <c r="P3541" t="s">
        <v>29</v>
      </c>
      <c r="Q3541" t="s">
        <v>155</v>
      </c>
      <c r="R3541" t="s">
        <v>155</v>
      </c>
      <c r="S3541">
        <v>17</v>
      </c>
      <c r="T3541" t="s">
        <v>42</v>
      </c>
      <c r="U3541" t="s">
        <v>79</v>
      </c>
      <c r="V3541" s="1">
        <v>45430</v>
      </c>
      <c r="W3541">
        <f>Table1[[#This Row],[customer_purchase count]]+1</f>
        <v>18</v>
      </c>
      <c r="X3541">
        <f>Table1[[#This Row],[customer_purchase count]]*Rules!$B$3</f>
        <v>1015.9941025641026</v>
      </c>
      <c r="Y3541" t="str">
        <f>IF(Table1[[#This Row],[customer_subscription]]=1,"Subscribed","Not Subscribed")</f>
        <v>Not Subscribed</v>
      </c>
      <c r="Z3541" t="s">
        <v>187</v>
      </c>
    </row>
    <row r="3542" spans="1:26" x14ac:dyDescent="0.25">
      <c r="A3542">
        <v>3541</v>
      </c>
      <c r="B3542">
        <v>24</v>
      </c>
      <c r="C3542" t="s">
        <v>156</v>
      </c>
      <c r="D3542">
        <v>3541</v>
      </c>
      <c r="E3542" t="s">
        <v>62</v>
      </c>
      <c r="F3542" t="s">
        <v>24</v>
      </c>
      <c r="G3542">
        <v>3541</v>
      </c>
      <c r="H3542">
        <v>4448</v>
      </c>
      <c r="I3542">
        <v>95</v>
      </c>
      <c r="J3542" t="s">
        <v>110</v>
      </c>
      <c r="K3542" t="s">
        <v>47</v>
      </c>
      <c r="L3542" t="s">
        <v>139</v>
      </c>
      <c r="M3542" t="s">
        <v>40</v>
      </c>
      <c r="N3542">
        <v>4.5999999999999996</v>
      </c>
      <c r="O3542">
        <v>0</v>
      </c>
      <c r="P3542" t="s">
        <v>41</v>
      </c>
      <c r="Q3542" t="s">
        <v>155</v>
      </c>
      <c r="R3542" t="s">
        <v>155</v>
      </c>
      <c r="S3542">
        <v>5</v>
      </c>
      <c r="T3542" t="s">
        <v>78</v>
      </c>
      <c r="U3542" t="s">
        <v>43</v>
      </c>
      <c r="V3542" s="1">
        <v>45437</v>
      </c>
      <c r="W3542">
        <f>Table1[[#This Row],[customer_purchase count]]+1</f>
        <v>6</v>
      </c>
      <c r="X3542">
        <f>Table1[[#This Row],[customer_purchase count]]*Rules!$B$3</f>
        <v>298.82179487179491</v>
      </c>
      <c r="Y3542" t="str">
        <f>IF(Table1[[#This Row],[customer_subscription]]=1,"Subscribed","Not Subscribed")</f>
        <v>Not Subscribed</v>
      </c>
      <c r="Z3542" t="s">
        <v>194</v>
      </c>
    </row>
    <row r="3543" spans="1:26" x14ac:dyDescent="0.25">
      <c r="A3543">
        <v>3542</v>
      </c>
      <c r="B3543">
        <v>59</v>
      </c>
      <c r="C3543" t="s">
        <v>156</v>
      </c>
      <c r="D3543">
        <v>3542</v>
      </c>
      <c r="E3543" t="s">
        <v>23</v>
      </c>
      <c r="F3543" t="s">
        <v>24</v>
      </c>
      <c r="G3543">
        <v>3542</v>
      </c>
      <c r="H3543">
        <v>4449</v>
      </c>
      <c r="I3543">
        <v>66</v>
      </c>
      <c r="J3543" t="s">
        <v>144</v>
      </c>
      <c r="K3543" t="s">
        <v>47</v>
      </c>
      <c r="L3543" t="s">
        <v>81</v>
      </c>
      <c r="M3543" t="s">
        <v>28</v>
      </c>
      <c r="N3543">
        <v>4</v>
      </c>
      <c r="O3543">
        <v>0</v>
      </c>
      <c r="P3543" t="s">
        <v>48</v>
      </c>
      <c r="Q3543" t="s">
        <v>155</v>
      </c>
      <c r="R3543" t="s">
        <v>155</v>
      </c>
      <c r="S3543">
        <v>22</v>
      </c>
      <c r="T3543" t="s">
        <v>49</v>
      </c>
      <c r="U3543" t="s">
        <v>52</v>
      </c>
      <c r="V3543" s="1">
        <v>45628</v>
      </c>
      <c r="W3543">
        <f>Table1[[#This Row],[customer_purchase count]]+1</f>
        <v>23</v>
      </c>
      <c r="X3543">
        <f>Table1[[#This Row],[customer_purchase count]]*Rules!$B$3</f>
        <v>1314.8158974358976</v>
      </c>
      <c r="Y3543" t="str">
        <f>IF(Table1[[#This Row],[customer_subscription]]=1,"Subscribed","Not Subscribed")</f>
        <v>Not Subscribed</v>
      </c>
    </row>
    <row r="3544" spans="1:26" x14ac:dyDescent="0.25">
      <c r="A3544">
        <v>3543</v>
      </c>
      <c r="B3544">
        <v>62</v>
      </c>
      <c r="C3544" t="s">
        <v>156</v>
      </c>
      <c r="D3544">
        <v>3543</v>
      </c>
      <c r="E3544" t="s">
        <v>65</v>
      </c>
      <c r="F3544" t="s">
        <v>66</v>
      </c>
      <c r="G3544">
        <v>3543</v>
      </c>
      <c r="H3544">
        <v>4450</v>
      </c>
      <c r="I3544">
        <v>28</v>
      </c>
      <c r="J3544" t="s">
        <v>138</v>
      </c>
      <c r="K3544" t="s">
        <v>39</v>
      </c>
      <c r="L3544" t="s">
        <v>81</v>
      </c>
      <c r="M3544" t="s">
        <v>40</v>
      </c>
      <c r="N3544">
        <v>4.2</v>
      </c>
      <c r="O3544">
        <v>0</v>
      </c>
      <c r="P3544" t="s">
        <v>29</v>
      </c>
      <c r="Q3544" t="s">
        <v>155</v>
      </c>
      <c r="R3544" t="s">
        <v>155</v>
      </c>
      <c r="S3544">
        <v>5</v>
      </c>
      <c r="T3544" t="s">
        <v>31</v>
      </c>
      <c r="U3544" t="s">
        <v>43</v>
      </c>
      <c r="V3544" s="1">
        <v>45394</v>
      </c>
      <c r="W3544">
        <f>Table1[[#This Row],[customer_purchase count]]+1</f>
        <v>6</v>
      </c>
      <c r="X3544">
        <f>Table1[[#This Row],[customer_purchase count]]*Rules!$B$3</f>
        <v>298.82179487179491</v>
      </c>
      <c r="Y3544" t="str">
        <f>IF(Table1[[#This Row],[customer_subscription]]=1,"Subscribed","Not Subscribed")</f>
        <v>Not Subscribed</v>
      </c>
      <c r="Z3544" t="s">
        <v>194</v>
      </c>
    </row>
    <row r="3545" spans="1:26" x14ac:dyDescent="0.25">
      <c r="A3545">
        <v>3544</v>
      </c>
      <c r="B3545">
        <v>58</v>
      </c>
      <c r="C3545" t="s">
        <v>156</v>
      </c>
      <c r="D3545">
        <v>3544</v>
      </c>
      <c r="E3545" t="s">
        <v>127</v>
      </c>
      <c r="F3545" t="s">
        <v>70</v>
      </c>
      <c r="G3545">
        <v>3544</v>
      </c>
      <c r="H3545">
        <v>4451</v>
      </c>
      <c r="I3545">
        <v>83</v>
      </c>
      <c r="J3545" t="s">
        <v>115</v>
      </c>
      <c r="K3545" t="s">
        <v>47</v>
      </c>
      <c r="L3545" t="s">
        <v>147</v>
      </c>
      <c r="M3545" t="s">
        <v>28</v>
      </c>
      <c r="N3545">
        <v>4.0999999999999996</v>
      </c>
      <c r="O3545">
        <v>0</v>
      </c>
      <c r="P3545" t="s">
        <v>57</v>
      </c>
      <c r="Q3545" t="s">
        <v>155</v>
      </c>
      <c r="R3545" t="s">
        <v>155</v>
      </c>
      <c r="S3545">
        <v>18</v>
      </c>
      <c r="T3545" t="s">
        <v>49</v>
      </c>
      <c r="U3545" t="s">
        <v>100</v>
      </c>
      <c r="V3545" s="1">
        <v>45300</v>
      </c>
      <c r="W3545">
        <f>Table1[[#This Row],[customer_purchase count]]+1</f>
        <v>19</v>
      </c>
      <c r="X3545">
        <f>Table1[[#This Row],[customer_purchase count]]*Rules!$B$3</f>
        <v>1075.7584615384617</v>
      </c>
      <c r="Y3545" t="str">
        <f>IF(Table1[[#This Row],[customer_subscription]]=1,"Subscribed","Not Subscribed")</f>
        <v>Not Subscribed</v>
      </c>
    </row>
    <row r="3546" spans="1:26" x14ac:dyDescent="0.25">
      <c r="A3546">
        <v>3545</v>
      </c>
      <c r="B3546">
        <v>64</v>
      </c>
      <c r="C3546" t="s">
        <v>156</v>
      </c>
      <c r="D3546">
        <v>3545</v>
      </c>
      <c r="E3546" t="s">
        <v>128</v>
      </c>
      <c r="F3546" t="s">
        <v>24</v>
      </c>
      <c r="G3546">
        <v>3545</v>
      </c>
      <c r="H3546">
        <v>4453</v>
      </c>
      <c r="I3546">
        <v>55</v>
      </c>
      <c r="J3546" t="s">
        <v>153</v>
      </c>
      <c r="K3546" t="s">
        <v>95</v>
      </c>
      <c r="L3546" t="s">
        <v>64</v>
      </c>
      <c r="M3546" t="s">
        <v>60</v>
      </c>
      <c r="N3546">
        <v>3.6</v>
      </c>
      <c r="O3546">
        <v>0</v>
      </c>
      <c r="P3546" t="s">
        <v>73</v>
      </c>
      <c r="Q3546" t="s">
        <v>155</v>
      </c>
      <c r="R3546" t="s">
        <v>155</v>
      </c>
      <c r="S3546">
        <v>42</v>
      </c>
      <c r="T3546" t="s">
        <v>36</v>
      </c>
      <c r="U3546" t="s">
        <v>100</v>
      </c>
      <c r="V3546" s="1">
        <v>45567</v>
      </c>
      <c r="W3546">
        <f>Table1[[#This Row],[customer_purchase count]]+1</f>
        <v>43</v>
      </c>
      <c r="X3546">
        <f>Table1[[#This Row],[customer_purchase count]]*Rules!$B$3</f>
        <v>2510.103076923077</v>
      </c>
      <c r="Y3546" t="str">
        <f>IF(Table1[[#This Row],[customer_subscription]]=1,"Subscribed","Not Subscribed")</f>
        <v>Not Subscribed</v>
      </c>
    </row>
    <row r="3547" spans="1:26" x14ac:dyDescent="0.25">
      <c r="A3547">
        <v>3546</v>
      </c>
      <c r="B3547">
        <v>48</v>
      </c>
      <c r="C3547" t="s">
        <v>156</v>
      </c>
      <c r="D3547">
        <v>3546</v>
      </c>
      <c r="E3547" t="s">
        <v>44</v>
      </c>
      <c r="F3547" t="s">
        <v>45</v>
      </c>
      <c r="G3547">
        <v>3546</v>
      </c>
      <c r="H3547">
        <v>4454</v>
      </c>
      <c r="I3547">
        <v>28</v>
      </c>
      <c r="J3547" t="s">
        <v>142</v>
      </c>
      <c r="K3547" t="s">
        <v>47</v>
      </c>
      <c r="L3547" t="s">
        <v>137</v>
      </c>
      <c r="M3547" t="s">
        <v>40</v>
      </c>
      <c r="N3547">
        <v>3.7</v>
      </c>
      <c r="O3547">
        <v>0</v>
      </c>
      <c r="P3547" t="s">
        <v>73</v>
      </c>
      <c r="Q3547" t="s">
        <v>155</v>
      </c>
      <c r="R3547" t="s">
        <v>155</v>
      </c>
      <c r="S3547">
        <v>22</v>
      </c>
      <c r="T3547" t="s">
        <v>89</v>
      </c>
      <c r="U3547" t="s">
        <v>52</v>
      </c>
      <c r="V3547" s="1">
        <v>45440</v>
      </c>
      <c r="W3547">
        <f>Table1[[#This Row],[customer_purchase count]]+1</f>
        <v>23</v>
      </c>
      <c r="X3547">
        <f>Table1[[#This Row],[customer_purchase count]]*Rules!$B$3</f>
        <v>1314.8158974358976</v>
      </c>
      <c r="Y3547" t="str">
        <f>IF(Table1[[#This Row],[customer_subscription]]=1,"Subscribed","Not Subscribed")</f>
        <v>Not Subscribed</v>
      </c>
    </row>
    <row r="3548" spans="1:26" x14ac:dyDescent="0.25">
      <c r="A3548">
        <v>3547</v>
      </c>
      <c r="B3548">
        <v>60</v>
      </c>
      <c r="C3548" t="s">
        <v>156</v>
      </c>
      <c r="D3548">
        <v>3547</v>
      </c>
      <c r="E3548" t="s">
        <v>122</v>
      </c>
      <c r="F3548" t="s">
        <v>70</v>
      </c>
      <c r="G3548">
        <v>3547</v>
      </c>
      <c r="H3548">
        <v>4455</v>
      </c>
      <c r="I3548">
        <v>79</v>
      </c>
      <c r="J3548" t="s">
        <v>114</v>
      </c>
      <c r="K3548" t="s">
        <v>47</v>
      </c>
      <c r="L3548" t="s">
        <v>86</v>
      </c>
      <c r="M3548" t="s">
        <v>56</v>
      </c>
      <c r="N3548">
        <v>3.6</v>
      </c>
      <c r="O3548">
        <v>0</v>
      </c>
      <c r="P3548" t="s">
        <v>41</v>
      </c>
      <c r="Q3548" t="s">
        <v>155</v>
      </c>
      <c r="R3548" t="s">
        <v>155</v>
      </c>
      <c r="S3548">
        <v>37</v>
      </c>
      <c r="T3548" t="s">
        <v>78</v>
      </c>
      <c r="U3548" t="s">
        <v>79</v>
      </c>
      <c r="V3548" s="1">
        <v>45487</v>
      </c>
      <c r="W3548">
        <f>Table1[[#This Row],[customer_purchase count]]+1</f>
        <v>38</v>
      </c>
      <c r="X3548">
        <f>Table1[[#This Row],[customer_purchase count]]*Rules!$B$3</f>
        <v>2211.2812820512822</v>
      </c>
      <c r="Y3548" t="str">
        <f>IF(Table1[[#This Row],[customer_subscription]]=1,"Subscribed","Not Subscribed")</f>
        <v>Not Subscribed</v>
      </c>
    </row>
    <row r="3549" spans="1:26" x14ac:dyDescent="0.25">
      <c r="A3549">
        <v>3548</v>
      </c>
      <c r="B3549">
        <v>52</v>
      </c>
      <c r="C3549" t="s">
        <v>156</v>
      </c>
      <c r="D3549">
        <v>3548</v>
      </c>
      <c r="E3549" t="s">
        <v>122</v>
      </c>
      <c r="F3549" t="s">
        <v>70</v>
      </c>
      <c r="G3549">
        <v>3548</v>
      </c>
      <c r="H3549">
        <v>4456</v>
      </c>
      <c r="I3549">
        <v>31</v>
      </c>
      <c r="J3549" t="s">
        <v>141</v>
      </c>
      <c r="K3549" t="s">
        <v>26</v>
      </c>
      <c r="L3549" t="s">
        <v>139</v>
      </c>
      <c r="M3549" t="s">
        <v>56</v>
      </c>
      <c r="N3549">
        <v>3.8</v>
      </c>
      <c r="O3549">
        <v>0</v>
      </c>
      <c r="P3549" t="s">
        <v>57</v>
      </c>
      <c r="Q3549" t="s">
        <v>155</v>
      </c>
      <c r="R3549" t="s">
        <v>155</v>
      </c>
      <c r="S3549">
        <v>23</v>
      </c>
      <c r="T3549" t="s">
        <v>42</v>
      </c>
      <c r="U3549" t="s">
        <v>52</v>
      </c>
      <c r="V3549" s="1">
        <v>45460</v>
      </c>
      <c r="W3549">
        <f>Table1[[#This Row],[customer_purchase count]]+1</f>
        <v>24</v>
      </c>
      <c r="X3549">
        <f>Table1[[#This Row],[customer_purchase count]]*Rules!$B$3</f>
        <v>1374.5802564102564</v>
      </c>
      <c r="Y3549" t="str">
        <f>IF(Table1[[#This Row],[customer_subscription]]=1,"Subscribed","Not Subscribed")</f>
        <v>Not Subscribed</v>
      </c>
    </row>
    <row r="3550" spans="1:26" x14ac:dyDescent="0.25">
      <c r="A3550">
        <v>3549</v>
      </c>
      <c r="B3550">
        <v>63</v>
      </c>
      <c r="C3550" t="s">
        <v>156</v>
      </c>
      <c r="D3550">
        <v>3549</v>
      </c>
      <c r="E3550" t="s">
        <v>23</v>
      </c>
      <c r="F3550" t="s">
        <v>24</v>
      </c>
      <c r="G3550">
        <v>3549</v>
      </c>
      <c r="H3550">
        <v>4457</v>
      </c>
      <c r="I3550">
        <v>37</v>
      </c>
      <c r="J3550" t="s">
        <v>143</v>
      </c>
      <c r="K3550" t="s">
        <v>47</v>
      </c>
      <c r="L3550" t="s">
        <v>111</v>
      </c>
      <c r="M3550" t="s">
        <v>60</v>
      </c>
      <c r="N3550">
        <v>3</v>
      </c>
      <c r="O3550">
        <v>0</v>
      </c>
      <c r="P3550" t="s">
        <v>57</v>
      </c>
      <c r="Q3550" t="s">
        <v>155</v>
      </c>
      <c r="R3550" t="s">
        <v>155</v>
      </c>
      <c r="S3550">
        <v>47</v>
      </c>
      <c r="T3550" t="s">
        <v>89</v>
      </c>
      <c r="U3550" t="s">
        <v>32</v>
      </c>
      <c r="V3550" s="1">
        <v>45622</v>
      </c>
      <c r="W3550">
        <f>Table1[[#This Row],[customer_purchase count]]+1</f>
        <v>48</v>
      </c>
      <c r="X3550">
        <f>Table1[[#This Row],[customer_purchase count]]*Rules!$B$3</f>
        <v>2808.9248717948717</v>
      </c>
      <c r="Y3550" t="str">
        <f>IF(Table1[[#This Row],[customer_subscription]]=1,"Subscribed","Not Subscribed")</f>
        <v>Not Subscribed</v>
      </c>
    </row>
    <row r="3551" spans="1:26" x14ac:dyDescent="0.25">
      <c r="A3551">
        <v>3550</v>
      </c>
      <c r="B3551">
        <v>44</v>
      </c>
      <c r="C3551" t="s">
        <v>156</v>
      </c>
      <c r="D3551">
        <v>3550</v>
      </c>
      <c r="E3551" t="s">
        <v>116</v>
      </c>
      <c r="F3551" t="s">
        <v>24</v>
      </c>
      <c r="G3551">
        <v>3550</v>
      </c>
      <c r="H3551">
        <v>4459</v>
      </c>
      <c r="I3551">
        <v>34</v>
      </c>
      <c r="J3551" t="s">
        <v>50</v>
      </c>
      <c r="K3551" t="s">
        <v>47</v>
      </c>
      <c r="L3551" t="s">
        <v>112</v>
      </c>
      <c r="M3551" t="s">
        <v>56</v>
      </c>
      <c r="N3551">
        <v>3.4</v>
      </c>
      <c r="O3551">
        <v>0</v>
      </c>
      <c r="P3551" t="s">
        <v>73</v>
      </c>
      <c r="Q3551" t="s">
        <v>155</v>
      </c>
      <c r="R3551" t="s">
        <v>155</v>
      </c>
      <c r="S3551">
        <v>11</v>
      </c>
      <c r="T3551" t="s">
        <v>78</v>
      </c>
      <c r="U3551" t="s">
        <v>32</v>
      </c>
      <c r="V3551" s="1">
        <v>45483</v>
      </c>
      <c r="W3551">
        <f>Table1[[#This Row],[customer_purchase count]]+1</f>
        <v>12</v>
      </c>
      <c r="X3551">
        <f>Table1[[#This Row],[customer_purchase count]]*Rules!$B$3</f>
        <v>657.40794871794878</v>
      </c>
      <c r="Y3551" t="str">
        <f>IF(Table1[[#This Row],[customer_subscription]]=1,"Subscribed","Not Subscribed")</f>
        <v>Not Subscribed</v>
      </c>
      <c r="Z3551" t="s">
        <v>194</v>
      </c>
    </row>
    <row r="3552" spans="1:26" x14ac:dyDescent="0.25">
      <c r="A3552">
        <v>3551</v>
      </c>
      <c r="B3552">
        <v>63</v>
      </c>
      <c r="C3552" t="s">
        <v>156</v>
      </c>
      <c r="D3552">
        <v>3551</v>
      </c>
      <c r="E3552" t="s">
        <v>74</v>
      </c>
      <c r="F3552" t="s">
        <v>45</v>
      </c>
      <c r="G3552">
        <v>3551</v>
      </c>
      <c r="H3552">
        <v>4460</v>
      </c>
      <c r="I3552">
        <v>74</v>
      </c>
      <c r="J3552" t="s">
        <v>67</v>
      </c>
      <c r="K3552" t="s">
        <v>39</v>
      </c>
      <c r="L3552" t="s">
        <v>124</v>
      </c>
      <c r="M3552" t="s">
        <v>28</v>
      </c>
      <c r="N3552">
        <v>4.8</v>
      </c>
      <c r="O3552">
        <v>0</v>
      </c>
      <c r="P3552" t="s">
        <v>57</v>
      </c>
      <c r="Q3552" t="s">
        <v>155</v>
      </c>
      <c r="R3552" t="s">
        <v>155</v>
      </c>
      <c r="S3552">
        <v>32</v>
      </c>
      <c r="T3552" t="s">
        <v>36</v>
      </c>
      <c r="U3552" t="s">
        <v>43</v>
      </c>
      <c r="V3552" s="1">
        <v>45303</v>
      </c>
      <c r="W3552">
        <f>Table1[[#This Row],[customer_purchase count]]+1</f>
        <v>33</v>
      </c>
      <c r="X3552">
        <f>Table1[[#This Row],[customer_purchase count]]*Rules!$B$3</f>
        <v>1912.4594871794873</v>
      </c>
      <c r="Y3552" t="str">
        <f>IF(Table1[[#This Row],[customer_subscription]]=1,"Subscribed","Not Subscribed")</f>
        <v>Not Subscribed</v>
      </c>
    </row>
    <row r="3553" spans="1:26" x14ac:dyDescent="0.25">
      <c r="A3553">
        <v>3552</v>
      </c>
      <c r="B3553">
        <v>66</v>
      </c>
      <c r="C3553" t="s">
        <v>156</v>
      </c>
      <c r="D3553">
        <v>3552</v>
      </c>
      <c r="E3553" t="s">
        <v>146</v>
      </c>
      <c r="F3553" t="s">
        <v>70</v>
      </c>
      <c r="G3553">
        <v>3552</v>
      </c>
      <c r="H3553">
        <v>4461</v>
      </c>
      <c r="I3553">
        <v>31</v>
      </c>
      <c r="J3553" t="s">
        <v>59</v>
      </c>
      <c r="K3553" t="s">
        <v>26</v>
      </c>
      <c r="L3553" t="s">
        <v>97</v>
      </c>
      <c r="M3553" t="s">
        <v>40</v>
      </c>
      <c r="N3553">
        <v>2.6</v>
      </c>
      <c r="O3553">
        <v>0</v>
      </c>
      <c r="P3553" t="s">
        <v>77</v>
      </c>
      <c r="Q3553" t="s">
        <v>155</v>
      </c>
      <c r="R3553" t="s">
        <v>155</v>
      </c>
      <c r="S3553">
        <v>20</v>
      </c>
      <c r="T3553" t="s">
        <v>31</v>
      </c>
      <c r="U3553" t="s">
        <v>43</v>
      </c>
      <c r="V3553" s="1">
        <v>45357</v>
      </c>
      <c r="W3553">
        <f>Table1[[#This Row],[customer_purchase count]]+1</f>
        <v>21</v>
      </c>
      <c r="X3553">
        <f>Table1[[#This Row],[customer_purchase count]]*Rules!$B$3</f>
        <v>1195.2871794871796</v>
      </c>
      <c r="Y3553" t="str">
        <f>IF(Table1[[#This Row],[customer_subscription]]=1,"Subscribed","Not Subscribed")</f>
        <v>Not Subscribed</v>
      </c>
    </row>
    <row r="3554" spans="1:26" x14ac:dyDescent="0.25">
      <c r="A3554">
        <v>3553</v>
      </c>
      <c r="B3554">
        <v>22</v>
      </c>
      <c r="C3554" t="s">
        <v>156</v>
      </c>
      <c r="D3554">
        <v>3553</v>
      </c>
      <c r="E3554" t="s">
        <v>92</v>
      </c>
      <c r="F3554" t="s">
        <v>70</v>
      </c>
      <c r="G3554">
        <v>3553</v>
      </c>
      <c r="H3554">
        <v>4462</v>
      </c>
      <c r="I3554">
        <v>66</v>
      </c>
      <c r="J3554" t="s">
        <v>25</v>
      </c>
      <c r="K3554" t="s">
        <v>47</v>
      </c>
      <c r="L3554" t="s">
        <v>147</v>
      </c>
      <c r="M3554" t="s">
        <v>28</v>
      </c>
      <c r="N3554">
        <v>2.9</v>
      </c>
      <c r="O3554">
        <v>0</v>
      </c>
      <c r="P3554" t="s">
        <v>48</v>
      </c>
      <c r="Q3554" t="s">
        <v>155</v>
      </c>
      <c r="R3554" t="s">
        <v>155</v>
      </c>
      <c r="S3554">
        <v>3</v>
      </c>
      <c r="T3554" t="s">
        <v>49</v>
      </c>
      <c r="U3554" t="s">
        <v>61</v>
      </c>
      <c r="V3554" s="1">
        <v>45632</v>
      </c>
      <c r="W3554">
        <f>Table1[[#This Row],[customer_purchase count]]+1</f>
        <v>4</v>
      </c>
      <c r="X3554">
        <f>Table1[[#This Row],[customer_purchase count]]*Rules!$B$3</f>
        <v>179.29307692307694</v>
      </c>
      <c r="Y3554" t="str">
        <f>IF(Table1[[#This Row],[customer_subscription]]=1,"Subscribed","Not Subscribed")</f>
        <v>Not Subscribed</v>
      </c>
      <c r="Z3554" t="s">
        <v>194</v>
      </c>
    </row>
    <row r="3555" spans="1:26" x14ac:dyDescent="0.25">
      <c r="A3555">
        <v>3554</v>
      </c>
      <c r="B3555">
        <v>62</v>
      </c>
      <c r="C3555" t="s">
        <v>156</v>
      </c>
      <c r="D3555">
        <v>3554</v>
      </c>
      <c r="E3555" t="s">
        <v>74</v>
      </c>
      <c r="F3555" t="s">
        <v>45</v>
      </c>
      <c r="G3555">
        <v>3554</v>
      </c>
      <c r="H3555">
        <v>4463</v>
      </c>
      <c r="I3555">
        <v>99</v>
      </c>
      <c r="J3555" t="s">
        <v>151</v>
      </c>
      <c r="K3555" t="s">
        <v>47</v>
      </c>
      <c r="L3555" t="s">
        <v>64</v>
      </c>
      <c r="M3555" t="s">
        <v>40</v>
      </c>
      <c r="N3555">
        <v>4.9000000000000004</v>
      </c>
      <c r="O3555">
        <v>0</v>
      </c>
      <c r="P3555" t="s">
        <v>41</v>
      </c>
      <c r="Q3555" t="s">
        <v>155</v>
      </c>
      <c r="R3555" t="s">
        <v>155</v>
      </c>
      <c r="S3555">
        <v>32</v>
      </c>
      <c r="T3555" t="s">
        <v>78</v>
      </c>
      <c r="U3555" t="s">
        <v>43</v>
      </c>
      <c r="V3555" s="1">
        <v>45356</v>
      </c>
      <c r="W3555">
        <f>Table1[[#This Row],[customer_purchase count]]+1</f>
        <v>33</v>
      </c>
      <c r="X3555">
        <f>Table1[[#This Row],[customer_purchase count]]*Rules!$B$3</f>
        <v>1912.4594871794873</v>
      </c>
      <c r="Y3555" t="str">
        <f>IF(Table1[[#This Row],[customer_subscription]]=1,"Subscribed","Not Subscribed")</f>
        <v>Not Subscribed</v>
      </c>
    </row>
    <row r="3556" spans="1:26" x14ac:dyDescent="0.25">
      <c r="A3556">
        <v>3555</v>
      </c>
      <c r="B3556">
        <v>39</v>
      </c>
      <c r="C3556" t="s">
        <v>156</v>
      </c>
      <c r="D3556">
        <v>3555</v>
      </c>
      <c r="E3556" t="s">
        <v>84</v>
      </c>
      <c r="F3556" t="s">
        <v>24</v>
      </c>
      <c r="G3556">
        <v>3555</v>
      </c>
      <c r="H3556">
        <v>4465</v>
      </c>
      <c r="I3556">
        <v>55</v>
      </c>
      <c r="J3556" t="s">
        <v>63</v>
      </c>
      <c r="K3556" t="s">
        <v>47</v>
      </c>
      <c r="L3556" t="s">
        <v>129</v>
      </c>
      <c r="M3556" t="s">
        <v>40</v>
      </c>
      <c r="N3556">
        <v>5</v>
      </c>
      <c r="O3556">
        <v>0</v>
      </c>
      <c r="P3556" t="s">
        <v>41</v>
      </c>
      <c r="Q3556" t="s">
        <v>155</v>
      </c>
      <c r="R3556" t="s">
        <v>155</v>
      </c>
      <c r="S3556">
        <v>5</v>
      </c>
      <c r="T3556" t="s">
        <v>42</v>
      </c>
      <c r="U3556" t="s">
        <v>32</v>
      </c>
      <c r="V3556" s="1">
        <v>45430</v>
      </c>
      <c r="W3556">
        <f>Table1[[#This Row],[customer_purchase count]]+1</f>
        <v>6</v>
      </c>
      <c r="X3556">
        <f>Table1[[#This Row],[customer_purchase count]]*Rules!$B$3</f>
        <v>298.82179487179491</v>
      </c>
      <c r="Y3556" t="str">
        <f>IF(Table1[[#This Row],[customer_subscription]]=1,"Subscribed","Not Subscribed")</f>
        <v>Not Subscribed</v>
      </c>
      <c r="Z3556" t="s">
        <v>194</v>
      </c>
    </row>
    <row r="3557" spans="1:26" x14ac:dyDescent="0.25">
      <c r="A3557">
        <v>3556</v>
      </c>
      <c r="B3557">
        <v>25</v>
      </c>
      <c r="C3557" t="s">
        <v>156</v>
      </c>
      <c r="D3557">
        <v>3556</v>
      </c>
      <c r="E3557" t="s">
        <v>23</v>
      </c>
      <c r="F3557" t="s">
        <v>24</v>
      </c>
      <c r="G3557">
        <v>3556</v>
      </c>
      <c r="H3557">
        <v>4466</v>
      </c>
      <c r="I3557">
        <v>23</v>
      </c>
      <c r="J3557" t="s">
        <v>82</v>
      </c>
      <c r="K3557" t="s">
        <v>26</v>
      </c>
      <c r="L3557" t="s">
        <v>68</v>
      </c>
      <c r="M3557" t="s">
        <v>40</v>
      </c>
      <c r="N3557">
        <v>4.5999999999999996</v>
      </c>
      <c r="O3557">
        <v>0</v>
      </c>
      <c r="P3557" t="s">
        <v>48</v>
      </c>
      <c r="Q3557" t="s">
        <v>155</v>
      </c>
      <c r="R3557" t="s">
        <v>155</v>
      </c>
      <c r="S3557">
        <v>45</v>
      </c>
      <c r="T3557" t="s">
        <v>36</v>
      </c>
      <c r="U3557" t="s">
        <v>61</v>
      </c>
      <c r="V3557" s="1">
        <v>45385</v>
      </c>
      <c r="W3557">
        <f>Table1[[#This Row],[customer_purchase count]]+1</f>
        <v>46</v>
      </c>
      <c r="X3557">
        <f>Table1[[#This Row],[customer_purchase count]]*Rules!$B$3</f>
        <v>2689.396153846154</v>
      </c>
      <c r="Y3557" t="str">
        <f>IF(Table1[[#This Row],[customer_subscription]]=1,"Subscribed","Not Subscribed")</f>
        <v>Not Subscribed</v>
      </c>
    </row>
    <row r="3558" spans="1:26" x14ac:dyDescent="0.25">
      <c r="A3558">
        <v>3557</v>
      </c>
      <c r="B3558">
        <v>70</v>
      </c>
      <c r="C3558" t="s">
        <v>156</v>
      </c>
      <c r="D3558">
        <v>3557</v>
      </c>
      <c r="E3558" t="s">
        <v>33</v>
      </c>
      <c r="F3558" t="s">
        <v>24</v>
      </c>
      <c r="G3558">
        <v>3557</v>
      </c>
      <c r="H3558">
        <v>4467</v>
      </c>
      <c r="I3558">
        <v>88</v>
      </c>
      <c r="J3558" t="s">
        <v>120</v>
      </c>
      <c r="K3558" t="s">
        <v>47</v>
      </c>
      <c r="L3558" t="s">
        <v>113</v>
      </c>
      <c r="M3558" t="s">
        <v>60</v>
      </c>
      <c r="N3558">
        <v>4.2</v>
      </c>
      <c r="O3558">
        <v>0</v>
      </c>
      <c r="P3558" t="s">
        <v>29</v>
      </c>
      <c r="Q3558" t="s">
        <v>155</v>
      </c>
      <c r="R3558" t="s">
        <v>155</v>
      </c>
      <c r="S3558">
        <v>43</v>
      </c>
      <c r="T3558" t="s">
        <v>36</v>
      </c>
      <c r="U3558" t="s">
        <v>79</v>
      </c>
      <c r="V3558" s="1">
        <v>45600</v>
      </c>
      <c r="W3558">
        <f>Table1[[#This Row],[customer_purchase count]]+1</f>
        <v>44</v>
      </c>
      <c r="X3558">
        <f>Table1[[#This Row],[customer_purchase count]]*Rules!$B$3</f>
        <v>2569.8674358974358</v>
      </c>
      <c r="Y3558" t="str">
        <f>IF(Table1[[#This Row],[customer_subscription]]=1,"Subscribed","Not Subscribed")</f>
        <v>Not Subscribed</v>
      </c>
    </row>
    <row r="3559" spans="1:26" x14ac:dyDescent="0.25">
      <c r="A3559">
        <v>3558</v>
      </c>
      <c r="B3559">
        <v>52</v>
      </c>
      <c r="C3559" t="s">
        <v>156</v>
      </c>
      <c r="D3559">
        <v>3558</v>
      </c>
      <c r="E3559" t="s">
        <v>105</v>
      </c>
      <c r="F3559" t="s">
        <v>66</v>
      </c>
      <c r="G3559">
        <v>3558</v>
      </c>
      <c r="H3559">
        <v>4468</v>
      </c>
      <c r="I3559">
        <v>26</v>
      </c>
      <c r="J3559" t="s">
        <v>110</v>
      </c>
      <c r="K3559" t="s">
        <v>47</v>
      </c>
      <c r="L3559" t="s">
        <v>103</v>
      </c>
      <c r="M3559" t="s">
        <v>56</v>
      </c>
      <c r="N3559">
        <v>4.9000000000000004</v>
      </c>
      <c r="O3559">
        <v>0</v>
      </c>
      <c r="P3559" t="s">
        <v>48</v>
      </c>
      <c r="Q3559" t="s">
        <v>155</v>
      </c>
      <c r="R3559" t="s">
        <v>155</v>
      </c>
      <c r="S3559">
        <v>1</v>
      </c>
      <c r="T3559" t="s">
        <v>49</v>
      </c>
      <c r="U3559" t="s">
        <v>100</v>
      </c>
      <c r="V3559" s="1">
        <v>45500</v>
      </c>
      <c r="W3559">
        <f>Table1[[#This Row],[customer_purchase count]]+1</f>
        <v>2</v>
      </c>
      <c r="X3559">
        <f>Table1[[#This Row],[customer_purchase count]]*Rules!$B$3</f>
        <v>59.764358974358977</v>
      </c>
      <c r="Y3559" t="str">
        <f>IF(Table1[[#This Row],[customer_subscription]]=1,"Subscribed","Not Subscribed")</f>
        <v>Not Subscribed</v>
      </c>
      <c r="Z3559" t="s">
        <v>194</v>
      </c>
    </row>
    <row r="3560" spans="1:26" x14ac:dyDescent="0.25">
      <c r="A3560">
        <v>3559</v>
      </c>
      <c r="B3560">
        <v>68</v>
      </c>
      <c r="C3560" t="s">
        <v>156</v>
      </c>
      <c r="D3560">
        <v>3559</v>
      </c>
      <c r="E3560" t="s">
        <v>135</v>
      </c>
      <c r="F3560" t="s">
        <v>70</v>
      </c>
      <c r="G3560">
        <v>3559</v>
      </c>
      <c r="H3560">
        <v>4469</v>
      </c>
      <c r="I3560">
        <v>94</v>
      </c>
      <c r="J3560" t="s">
        <v>123</v>
      </c>
      <c r="K3560" t="s">
        <v>26</v>
      </c>
      <c r="L3560" t="s">
        <v>139</v>
      </c>
      <c r="M3560" t="s">
        <v>56</v>
      </c>
      <c r="N3560">
        <v>4.8</v>
      </c>
      <c r="O3560">
        <v>0</v>
      </c>
      <c r="P3560" t="s">
        <v>57</v>
      </c>
      <c r="Q3560" t="s">
        <v>155</v>
      </c>
      <c r="R3560" t="s">
        <v>155</v>
      </c>
      <c r="S3560">
        <v>9</v>
      </c>
      <c r="T3560" t="s">
        <v>31</v>
      </c>
      <c r="U3560" t="s">
        <v>61</v>
      </c>
      <c r="V3560" s="1">
        <v>45474</v>
      </c>
      <c r="W3560">
        <f>Table1[[#This Row],[customer_purchase count]]+1</f>
        <v>10</v>
      </c>
      <c r="X3560">
        <f>Table1[[#This Row],[customer_purchase count]]*Rules!$B$3</f>
        <v>537.87923076923084</v>
      </c>
      <c r="Y3560" t="str">
        <f>IF(Table1[[#This Row],[customer_subscription]]=1,"Subscribed","Not Subscribed")</f>
        <v>Not Subscribed</v>
      </c>
      <c r="Z3560" t="s">
        <v>194</v>
      </c>
    </row>
    <row r="3561" spans="1:26" x14ac:dyDescent="0.25">
      <c r="A3561">
        <v>3560</v>
      </c>
      <c r="B3561">
        <v>18</v>
      </c>
      <c r="C3561" t="s">
        <v>156</v>
      </c>
      <c r="D3561">
        <v>3560</v>
      </c>
      <c r="E3561" t="s">
        <v>62</v>
      </c>
      <c r="F3561" t="s">
        <v>24</v>
      </c>
      <c r="G3561">
        <v>3560</v>
      </c>
      <c r="H3561">
        <v>4471</v>
      </c>
      <c r="I3561">
        <v>25</v>
      </c>
      <c r="J3561" t="s">
        <v>143</v>
      </c>
      <c r="K3561" t="s">
        <v>47</v>
      </c>
      <c r="L3561" t="s">
        <v>121</v>
      </c>
      <c r="M3561" t="s">
        <v>60</v>
      </c>
      <c r="N3561">
        <v>3</v>
      </c>
      <c r="O3561">
        <v>0</v>
      </c>
      <c r="P3561" t="s">
        <v>48</v>
      </c>
      <c r="Q3561" t="s">
        <v>155</v>
      </c>
      <c r="R3561" t="s">
        <v>155</v>
      </c>
      <c r="S3561">
        <v>13</v>
      </c>
      <c r="T3561" t="s">
        <v>31</v>
      </c>
      <c r="U3561" t="s">
        <v>100</v>
      </c>
      <c r="V3561" s="1">
        <v>45604</v>
      </c>
      <c r="W3561">
        <f>Table1[[#This Row],[customer_purchase count]]+1</f>
        <v>14</v>
      </c>
      <c r="X3561">
        <f>Table1[[#This Row],[customer_purchase count]]*Rules!$B$3</f>
        <v>776.93666666666672</v>
      </c>
      <c r="Y3561" t="str">
        <f>IF(Table1[[#This Row],[customer_subscription]]=1,"Subscribed","Not Subscribed")</f>
        <v>Not Subscribed</v>
      </c>
      <c r="Z3561" t="s">
        <v>187</v>
      </c>
    </row>
    <row r="3562" spans="1:26" x14ac:dyDescent="0.25">
      <c r="A3562">
        <v>3561</v>
      </c>
      <c r="B3562">
        <v>18</v>
      </c>
      <c r="C3562" t="s">
        <v>156</v>
      </c>
      <c r="D3562">
        <v>3561</v>
      </c>
      <c r="E3562" t="s">
        <v>128</v>
      </c>
      <c r="F3562" t="s">
        <v>24</v>
      </c>
      <c r="G3562">
        <v>3561</v>
      </c>
      <c r="H3562">
        <v>4472</v>
      </c>
      <c r="I3562">
        <v>96</v>
      </c>
      <c r="J3562" t="s">
        <v>114</v>
      </c>
      <c r="K3562" t="s">
        <v>95</v>
      </c>
      <c r="L3562" t="s">
        <v>86</v>
      </c>
      <c r="M3562" t="s">
        <v>60</v>
      </c>
      <c r="N3562">
        <v>3.5</v>
      </c>
      <c r="O3562">
        <v>0</v>
      </c>
      <c r="P3562" t="s">
        <v>29</v>
      </c>
      <c r="Q3562" t="s">
        <v>155</v>
      </c>
      <c r="R3562" t="s">
        <v>155</v>
      </c>
      <c r="S3562">
        <v>5</v>
      </c>
      <c r="T3562" t="s">
        <v>42</v>
      </c>
      <c r="U3562" t="s">
        <v>52</v>
      </c>
      <c r="V3562" s="1">
        <v>45601</v>
      </c>
      <c r="W3562">
        <f>Table1[[#This Row],[customer_purchase count]]+1</f>
        <v>6</v>
      </c>
      <c r="X3562">
        <f>Table1[[#This Row],[customer_purchase count]]*Rules!$B$3</f>
        <v>298.82179487179491</v>
      </c>
      <c r="Y3562" t="str">
        <f>IF(Table1[[#This Row],[customer_subscription]]=1,"Subscribed","Not Subscribed")</f>
        <v>Not Subscribed</v>
      </c>
      <c r="Z3562" t="s">
        <v>194</v>
      </c>
    </row>
    <row r="3563" spans="1:26" x14ac:dyDescent="0.25">
      <c r="A3563">
        <v>3562</v>
      </c>
      <c r="B3563">
        <v>63</v>
      </c>
      <c r="C3563" t="s">
        <v>156</v>
      </c>
      <c r="D3563">
        <v>3562</v>
      </c>
      <c r="E3563" t="s">
        <v>53</v>
      </c>
      <c r="F3563" t="s">
        <v>45</v>
      </c>
      <c r="G3563">
        <v>3562</v>
      </c>
      <c r="H3563">
        <v>4473</v>
      </c>
      <c r="I3563">
        <v>29</v>
      </c>
      <c r="J3563" t="s">
        <v>101</v>
      </c>
      <c r="K3563" t="s">
        <v>26</v>
      </c>
      <c r="L3563" t="s">
        <v>97</v>
      </c>
      <c r="M3563" t="s">
        <v>40</v>
      </c>
      <c r="N3563">
        <v>3.4</v>
      </c>
      <c r="O3563">
        <v>0</v>
      </c>
      <c r="P3563" t="s">
        <v>57</v>
      </c>
      <c r="Q3563" t="s">
        <v>155</v>
      </c>
      <c r="R3563" t="s">
        <v>155</v>
      </c>
      <c r="S3563">
        <v>39</v>
      </c>
      <c r="T3563" t="s">
        <v>42</v>
      </c>
      <c r="U3563" t="s">
        <v>32</v>
      </c>
      <c r="V3563" s="1">
        <v>45392</v>
      </c>
      <c r="W3563">
        <f>Table1[[#This Row],[customer_purchase count]]+1</f>
        <v>40</v>
      </c>
      <c r="X3563">
        <f>Table1[[#This Row],[customer_purchase count]]*Rules!$B$3</f>
        <v>2330.81</v>
      </c>
      <c r="Y3563" t="str">
        <f>IF(Table1[[#This Row],[customer_subscription]]=1,"Subscribed","Not Subscribed")</f>
        <v>Not Subscribed</v>
      </c>
    </row>
    <row r="3564" spans="1:26" x14ac:dyDescent="0.25">
      <c r="A3564">
        <v>3563</v>
      </c>
      <c r="B3564">
        <v>47</v>
      </c>
      <c r="C3564" t="s">
        <v>156</v>
      </c>
      <c r="D3564">
        <v>3563</v>
      </c>
      <c r="E3564" t="s">
        <v>53</v>
      </c>
      <c r="F3564" t="s">
        <v>45</v>
      </c>
      <c r="G3564">
        <v>3563</v>
      </c>
      <c r="H3564">
        <v>4474</v>
      </c>
      <c r="I3564">
        <v>36</v>
      </c>
      <c r="J3564" t="s">
        <v>131</v>
      </c>
      <c r="K3564" t="s">
        <v>47</v>
      </c>
      <c r="L3564" t="s">
        <v>112</v>
      </c>
      <c r="M3564" t="s">
        <v>28</v>
      </c>
      <c r="N3564">
        <v>3.4</v>
      </c>
      <c r="O3564">
        <v>0</v>
      </c>
      <c r="P3564" t="s">
        <v>41</v>
      </c>
      <c r="Q3564" t="s">
        <v>155</v>
      </c>
      <c r="R3564" t="s">
        <v>155</v>
      </c>
      <c r="S3564">
        <v>7</v>
      </c>
      <c r="T3564" t="s">
        <v>78</v>
      </c>
      <c r="U3564" t="s">
        <v>43</v>
      </c>
      <c r="V3564" s="1">
        <v>45298</v>
      </c>
      <c r="W3564">
        <f>Table1[[#This Row],[customer_purchase count]]+1</f>
        <v>8</v>
      </c>
      <c r="X3564">
        <f>Table1[[#This Row],[customer_purchase count]]*Rules!$B$3</f>
        <v>418.35051282051285</v>
      </c>
      <c r="Y3564" t="str">
        <f>IF(Table1[[#This Row],[customer_subscription]]=1,"Subscribed","Not Subscribed")</f>
        <v>Not Subscribed</v>
      </c>
      <c r="Z3564" t="s">
        <v>194</v>
      </c>
    </row>
    <row r="3565" spans="1:26" x14ac:dyDescent="0.25">
      <c r="A3565">
        <v>3564</v>
      </c>
      <c r="B3565">
        <v>43</v>
      </c>
      <c r="C3565" t="s">
        <v>156</v>
      </c>
      <c r="D3565">
        <v>3564</v>
      </c>
      <c r="E3565" t="s">
        <v>23</v>
      </c>
      <c r="F3565" t="s">
        <v>24</v>
      </c>
      <c r="G3565">
        <v>3564</v>
      </c>
      <c r="H3565">
        <v>4475</v>
      </c>
      <c r="I3565">
        <v>90</v>
      </c>
      <c r="J3565" t="s">
        <v>34</v>
      </c>
      <c r="K3565" t="s">
        <v>47</v>
      </c>
      <c r="L3565" t="s">
        <v>99</v>
      </c>
      <c r="M3565" t="s">
        <v>56</v>
      </c>
      <c r="N3565">
        <v>4.9000000000000004</v>
      </c>
      <c r="O3565">
        <v>0</v>
      </c>
      <c r="P3565" t="s">
        <v>57</v>
      </c>
      <c r="Q3565" t="s">
        <v>155</v>
      </c>
      <c r="R3565" t="s">
        <v>155</v>
      </c>
      <c r="S3565">
        <v>8</v>
      </c>
      <c r="T3565" t="s">
        <v>42</v>
      </c>
      <c r="U3565" t="s">
        <v>100</v>
      </c>
      <c r="V3565" s="1">
        <v>45500</v>
      </c>
      <c r="W3565">
        <f>Table1[[#This Row],[customer_purchase count]]+1</f>
        <v>9</v>
      </c>
      <c r="X3565">
        <f>Table1[[#This Row],[customer_purchase count]]*Rules!$B$3</f>
        <v>478.11487179487182</v>
      </c>
      <c r="Y3565" t="str">
        <f>IF(Table1[[#This Row],[customer_subscription]]=1,"Subscribed","Not Subscribed")</f>
        <v>Not Subscribed</v>
      </c>
      <c r="Z3565" t="s">
        <v>194</v>
      </c>
    </row>
    <row r="3566" spans="1:26" x14ac:dyDescent="0.25">
      <c r="A3566">
        <v>3565</v>
      </c>
      <c r="B3566">
        <v>60</v>
      </c>
      <c r="C3566" t="s">
        <v>156</v>
      </c>
      <c r="D3566">
        <v>3565</v>
      </c>
      <c r="E3566" t="s">
        <v>146</v>
      </c>
      <c r="F3566" t="s">
        <v>70</v>
      </c>
      <c r="G3566">
        <v>3565</v>
      </c>
      <c r="H3566">
        <v>4477</v>
      </c>
      <c r="I3566">
        <v>38</v>
      </c>
      <c r="J3566" t="s">
        <v>118</v>
      </c>
      <c r="K3566" t="s">
        <v>39</v>
      </c>
      <c r="L3566" t="s">
        <v>113</v>
      </c>
      <c r="M3566" t="s">
        <v>56</v>
      </c>
      <c r="N3566">
        <v>4.4000000000000004</v>
      </c>
      <c r="O3566">
        <v>0</v>
      </c>
      <c r="P3566" t="s">
        <v>41</v>
      </c>
      <c r="Q3566" t="s">
        <v>155</v>
      </c>
      <c r="R3566" t="s">
        <v>155</v>
      </c>
      <c r="S3566">
        <v>40</v>
      </c>
      <c r="T3566" t="s">
        <v>31</v>
      </c>
      <c r="U3566" t="s">
        <v>52</v>
      </c>
      <c r="V3566" s="1">
        <v>45481</v>
      </c>
      <c r="W3566">
        <f>Table1[[#This Row],[customer_purchase count]]+1</f>
        <v>41</v>
      </c>
      <c r="X3566">
        <f>Table1[[#This Row],[customer_purchase count]]*Rules!$B$3</f>
        <v>2390.5743589743593</v>
      </c>
      <c r="Y3566" t="str">
        <f>IF(Table1[[#This Row],[customer_subscription]]=1,"Subscribed","Not Subscribed")</f>
        <v>Not Subscribed</v>
      </c>
    </row>
    <row r="3567" spans="1:26" x14ac:dyDescent="0.25">
      <c r="A3567">
        <v>3566</v>
      </c>
      <c r="B3567">
        <v>49</v>
      </c>
      <c r="C3567" t="s">
        <v>156</v>
      </c>
      <c r="D3567">
        <v>3566</v>
      </c>
      <c r="E3567" t="s">
        <v>69</v>
      </c>
      <c r="F3567" t="s">
        <v>70</v>
      </c>
      <c r="G3567">
        <v>3566</v>
      </c>
      <c r="H3567">
        <v>4478</v>
      </c>
      <c r="I3567">
        <v>52</v>
      </c>
      <c r="J3567" t="s">
        <v>141</v>
      </c>
      <c r="K3567" t="s">
        <v>39</v>
      </c>
      <c r="L3567" t="s">
        <v>27</v>
      </c>
      <c r="M3567" t="s">
        <v>40</v>
      </c>
      <c r="N3567">
        <v>4.2</v>
      </c>
      <c r="O3567">
        <v>0</v>
      </c>
      <c r="P3567" t="s">
        <v>77</v>
      </c>
      <c r="Q3567" t="s">
        <v>155</v>
      </c>
      <c r="R3567" t="s">
        <v>155</v>
      </c>
      <c r="S3567">
        <v>35</v>
      </c>
      <c r="T3567" t="s">
        <v>49</v>
      </c>
      <c r="U3567" t="s">
        <v>91</v>
      </c>
      <c r="V3567" s="1">
        <v>45434</v>
      </c>
      <c r="W3567">
        <f>Table1[[#This Row],[customer_purchase count]]+1</f>
        <v>36</v>
      </c>
      <c r="X3567">
        <f>Table1[[#This Row],[customer_purchase count]]*Rules!$B$3</f>
        <v>2091.7525641025641</v>
      </c>
      <c r="Y3567" t="str">
        <f>IF(Table1[[#This Row],[customer_subscription]]=1,"Subscribed","Not Subscribed")</f>
        <v>Not Subscribed</v>
      </c>
    </row>
    <row r="3568" spans="1:26" x14ac:dyDescent="0.25">
      <c r="A3568">
        <v>3567</v>
      </c>
      <c r="B3568">
        <v>28</v>
      </c>
      <c r="C3568" t="s">
        <v>156</v>
      </c>
      <c r="D3568">
        <v>3567</v>
      </c>
      <c r="E3568" t="s">
        <v>37</v>
      </c>
      <c r="F3568" t="s">
        <v>24</v>
      </c>
      <c r="G3568">
        <v>3567</v>
      </c>
      <c r="H3568">
        <v>4479</v>
      </c>
      <c r="I3568">
        <v>88</v>
      </c>
      <c r="J3568" t="s">
        <v>123</v>
      </c>
      <c r="K3568" t="s">
        <v>39</v>
      </c>
      <c r="L3568" t="s">
        <v>124</v>
      </c>
      <c r="M3568" t="s">
        <v>40</v>
      </c>
      <c r="N3568">
        <v>3.1</v>
      </c>
      <c r="O3568">
        <v>0</v>
      </c>
      <c r="P3568" t="s">
        <v>48</v>
      </c>
      <c r="Q3568" t="s">
        <v>155</v>
      </c>
      <c r="R3568" t="s">
        <v>155</v>
      </c>
      <c r="S3568">
        <v>14</v>
      </c>
      <c r="T3568" t="s">
        <v>31</v>
      </c>
      <c r="U3568" t="s">
        <v>91</v>
      </c>
      <c r="V3568" s="1">
        <v>45433</v>
      </c>
      <c r="W3568">
        <f>Table1[[#This Row],[customer_purchase count]]+1</f>
        <v>15</v>
      </c>
      <c r="X3568">
        <f>Table1[[#This Row],[customer_purchase count]]*Rules!$B$3</f>
        <v>836.70102564102569</v>
      </c>
      <c r="Y3568" t="str">
        <f>IF(Table1[[#This Row],[customer_subscription]]=1,"Subscribed","Not Subscribed")</f>
        <v>Not Subscribed</v>
      </c>
      <c r="Z3568" t="s">
        <v>187</v>
      </c>
    </row>
    <row r="3569" spans="1:26" x14ac:dyDescent="0.25">
      <c r="A3569">
        <v>3568</v>
      </c>
      <c r="B3569">
        <v>32</v>
      </c>
      <c r="C3569" t="s">
        <v>156</v>
      </c>
      <c r="D3569">
        <v>3568</v>
      </c>
      <c r="E3569" t="s">
        <v>122</v>
      </c>
      <c r="F3569" t="s">
        <v>70</v>
      </c>
      <c r="G3569">
        <v>3568</v>
      </c>
      <c r="H3569">
        <v>4480</v>
      </c>
      <c r="I3569">
        <v>56</v>
      </c>
      <c r="J3569" t="s">
        <v>133</v>
      </c>
      <c r="K3569" t="s">
        <v>39</v>
      </c>
      <c r="L3569" t="s">
        <v>68</v>
      </c>
      <c r="M3569" t="s">
        <v>56</v>
      </c>
      <c r="N3569">
        <v>4</v>
      </c>
      <c r="O3569">
        <v>0</v>
      </c>
      <c r="P3569" t="s">
        <v>48</v>
      </c>
      <c r="Q3569" t="s">
        <v>155</v>
      </c>
      <c r="R3569" t="s">
        <v>155</v>
      </c>
      <c r="S3569">
        <v>26</v>
      </c>
      <c r="T3569" t="s">
        <v>42</v>
      </c>
      <c r="U3569" t="s">
        <v>91</v>
      </c>
      <c r="V3569" s="1">
        <v>45520</v>
      </c>
      <c r="W3569">
        <f>Table1[[#This Row],[customer_purchase count]]+1</f>
        <v>27</v>
      </c>
      <c r="X3569">
        <f>Table1[[#This Row],[customer_purchase count]]*Rules!$B$3</f>
        <v>1553.8733333333334</v>
      </c>
      <c r="Y3569" t="str">
        <f>IF(Table1[[#This Row],[customer_subscription]]=1,"Subscribed","Not Subscribed")</f>
        <v>Not Subscribed</v>
      </c>
    </row>
    <row r="3570" spans="1:26" x14ac:dyDescent="0.25">
      <c r="A3570">
        <v>3569</v>
      </c>
      <c r="B3570">
        <v>29</v>
      </c>
      <c r="C3570" t="s">
        <v>156</v>
      </c>
      <c r="D3570">
        <v>3569</v>
      </c>
      <c r="E3570" t="s">
        <v>44</v>
      </c>
      <c r="F3570" t="s">
        <v>45</v>
      </c>
      <c r="G3570">
        <v>3569</v>
      </c>
      <c r="H3570">
        <v>4481</v>
      </c>
      <c r="I3570">
        <v>71</v>
      </c>
      <c r="J3570" t="s">
        <v>75</v>
      </c>
      <c r="K3570" t="s">
        <v>47</v>
      </c>
      <c r="L3570" t="s">
        <v>76</v>
      </c>
      <c r="M3570" t="s">
        <v>40</v>
      </c>
      <c r="N3570">
        <v>4.8</v>
      </c>
      <c r="O3570">
        <v>0</v>
      </c>
      <c r="P3570" t="s">
        <v>48</v>
      </c>
      <c r="Q3570" t="s">
        <v>155</v>
      </c>
      <c r="R3570" t="s">
        <v>155</v>
      </c>
      <c r="S3570">
        <v>14</v>
      </c>
      <c r="T3570" t="s">
        <v>49</v>
      </c>
      <c r="U3570" t="s">
        <v>61</v>
      </c>
      <c r="V3570" s="1">
        <v>45425</v>
      </c>
      <c r="W3570">
        <f>Table1[[#This Row],[customer_purchase count]]+1</f>
        <v>15</v>
      </c>
      <c r="X3570">
        <f>Table1[[#This Row],[customer_purchase count]]*Rules!$B$3</f>
        <v>836.70102564102569</v>
      </c>
      <c r="Y3570" t="str">
        <f>IF(Table1[[#This Row],[customer_subscription]]=1,"Subscribed","Not Subscribed")</f>
        <v>Not Subscribed</v>
      </c>
      <c r="Z3570" t="s">
        <v>187</v>
      </c>
    </row>
    <row r="3571" spans="1:26" x14ac:dyDescent="0.25">
      <c r="A3571">
        <v>3570</v>
      </c>
      <c r="B3571">
        <v>35</v>
      </c>
      <c r="C3571" t="s">
        <v>156</v>
      </c>
      <c r="D3571">
        <v>3570</v>
      </c>
      <c r="E3571" t="s">
        <v>44</v>
      </c>
      <c r="F3571" t="s">
        <v>45</v>
      </c>
      <c r="G3571">
        <v>3570</v>
      </c>
      <c r="H3571">
        <v>4483</v>
      </c>
      <c r="I3571">
        <v>94</v>
      </c>
      <c r="J3571" t="s">
        <v>123</v>
      </c>
      <c r="K3571" t="s">
        <v>47</v>
      </c>
      <c r="L3571" t="s">
        <v>81</v>
      </c>
      <c r="M3571" t="s">
        <v>60</v>
      </c>
      <c r="N3571">
        <v>3.3</v>
      </c>
      <c r="O3571">
        <v>0</v>
      </c>
      <c r="P3571" t="s">
        <v>29</v>
      </c>
      <c r="Q3571" t="s">
        <v>155</v>
      </c>
      <c r="R3571" t="s">
        <v>155</v>
      </c>
      <c r="S3571">
        <v>9</v>
      </c>
      <c r="T3571" t="s">
        <v>78</v>
      </c>
      <c r="U3571" t="s">
        <v>32</v>
      </c>
      <c r="V3571" s="1">
        <v>45566</v>
      </c>
      <c r="W3571">
        <f>Table1[[#This Row],[customer_purchase count]]+1</f>
        <v>10</v>
      </c>
      <c r="X3571">
        <f>Table1[[#This Row],[customer_purchase count]]*Rules!$B$3</f>
        <v>537.87923076923084</v>
      </c>
      <c r="Y3571" t="str">
        <f>IF(Table1[[#This Row],[customer_subscription]]=1,"Subscribed","Not Subscribed")</f>
        <v>Not Subscribed</v>
      </c>
      <c r="Z3571" t="s">
        <v>194</v>
      </c>
    </row>
    <row r="3572" spans="1:26" x14ac:dyDescent="0.25">
      <c r="A3572">
        <v>3571</v>
      </c>
      <c r="B3572">
        <v>23</v>
      </c>
      <c r="C3572" t="s">
        <v>156</v>
      </c>
      <c r="D3572">
        <v>3571</v>
      </c>
      <c r="E3572" t="s">
        <v>84</v>
      </c>
      <c r="F3572" t="s">
        <v>24</v>
      </c>
      <c r="G3572">
        <v>3571</v>
      </c>
      <c r="H3572">
        <v>4484</v>
      </c>
      <c r="I3572">
        <v>97</v>
      </c>
      <c r="J3572" t="s">
        <v>63</v>
      </c>
      <c r="K3572" t="s">
        <v>95</v>
      </c>
      <c r="L3572" t="s">
        <v>88</v>
      </c>
      <c r="M3572" t="s">
        <v>28</v>
      </c>
      <c r="N3572">
        <v>4.7</v>
      </c>
      <c r="O3572">
        <v>0</v>
      </c>
      <c r="P3572" t="s">
        <v>57</v>
      </c>
      <c r="Q3572" t="s">
        <v>155</v>
      </c>
      <c r="R3572" t="s">
        <v>155</v>
      </c>
      <c r="S3572">
        <v>32</v>
      </c>
      <c r="T3572" t="s">
        <v>89</v>
      </c>
      <c r="U3572" t="s">
        <v>52</v>
      </c>
      <c r="V3572" s="1">
        <v>45337</v>
      </c>
      <c r="W3572">
        <f>Table1[[#This Row],[customer_purchase count]]+1</f>
        <v>33</v>
      </c>
      <c r="X3572">
        <f>Table1[[#This Row],[customer_purchase count]]*Rules!$B$3</f>
        <v>1912.4594871794873</v>
      </c>
      <c r="Y3572" t="str">
        <f>IF(Table1[[#This Row],[customer_subscription]]=1,"Subscribed","Not Subscribed")</f>
        <v>Not Subscribed</v>
      </c>
    </row>
    <row r="3573" spans="1:26" x14ac:dyDescent="0.25">
      <c r="A3573">
        <v>3572</v>
      </c>
      <c r="B3573">
        <v>70</v>
      </c>
      <c r="C3573" t="s">
        <v>156</v>
      </c>
      <c r="D3573">
        <v>3572</v>
      </c>
      <c r="E3573" t="s">
        <v>90</v>
      </c>
      <c r="F3573" t="s">
        <v>24</v>
      </c>
      <c r="G3573">
        <v>3572</v>
      </c>
      <c r="H3573">
        <v>4485</v>
      </c>
      <c r="I3573">
        <v>27</v>
      </c>
      <c r="J3573" t="s">
        <v>117</v>
      </c>
      <c r="K3573" t="s">
        <v>47</v>
      </c>
      <c r="L3573" t="s">
        <v>55</v>
      </c>
      <c r="M3573" t="s">
        <v>56</v>
      </c>
      <c r="N3573">
        <v>3.2</v>
      </c>
      <c r="O3573">
        <v>0</v>
      </c>
      <c r="P3573" t="s">
        <v>57</v>
      </c>
      <c r="Q3573" t="s">
        <v>155</v>
      </c>
      <c r="R3573" t="s">
        <v>155</v>
      </c>
      <c r="S3573">
        <v>15</v>
      </c>
      <c r="T3573" t="s">
        <v>78</v>
      </c>
      <c r="U3573" t="s">
        <v>100</v>
      </c>
      <c r="V3573" s="1">
        <v>45446</v>
      </c>
      <c r="W3573">
        <f>Table1[[#This Row],[customer_purchase count]]+1</f>
        <v>16</v>
      </c>
      <c r="X3573">
        <f>Table1[[#This Row],[customer_purchase count]]*Rules!$B$3</f>
        <v>896.46538461538466</v>
      </c>
      <c r="Y3573" t="str">
        <f>IF(Table1[[#This Row],[customer_subscription]]=1,"Subscribed","Not Subscribed")</f>
        <v>Not Subscribed</v>
      </c>
      <c r="Z3573" t="s">
        <v>194</v>
      </c>
    </row>
    <row r="3574" spans="1:26" x14ac:dyDescent="0.25">
      <c r="A3574">
        <v>3573</v>
      </c>
      <c r="B3574">
        <v>23</v>
      </c>
      <c r="C3574" t="s">
        <v>156</v>
      </c>
      <c r="D3574">
        <v>3573</v>
      </c>
      <c r="E3574" t="s">
        <v>62</v>
      </c>
      <c r="F3574" t="s">
        <v>24</v>
      </c>
      <c r="G3574">
        <v>3573</v>
      </c>
      <c r="H3574">
        <v>4486</v>
      </c>
      <c r="I3574">
        <v>28</v>
      </c>
      <c r="J3574" t="s">
        <v>46</v>
      </c>
      <c r="K3574" t="s">
        <v>47</v>
      </c>
      <c r="L3574" t="s">
        <v>97</v>
      </c>
      <c r="M3574" t="s">
        <v>40</v>
      </c>
      <c r="N3574">
        <v>5</v>
      </c>
      <c r="O3574">
        <v>0</v>
      </c>
      <c r="P3574" t="s">
        <v>57</v>
      </c>
      <c r="Q3574" t="s">
        <v>155</v>
      </c>
      <c r="R3574" t="s">
        <v>155</v>
      </c>
      <c r="S3574">
        <v>25</v>
      </c>
      <c r="T3574" t="s">
        <v>42</v>
      </c>
      <c r="U3574" t="s">
        <v>91</v>
      </c>
      <c r="V3574" s="1">
        <v>45428</v>
      </c>
      <c r="W3574">
        <f>Table1[[#This Row],[customer_purchase count]]+1</f>
        <v>26</v>
      </c>
      <c r="X3574">
        <f>Table1[[#This Row],[customer_purchase count]]*Rules!$B$3</f>
        <v>1494.1089743589744</v>
      </c>
      <c r="Y3574" t="str">
        <f>IF(Table1[[#This Row],[customer_subscription]]=1,"Subscribed","Not Subscribed")</f>
        <v>Not Subscribed</v>
      </c>
    </row>
    <row r="3575" spans="1:26" x14ac:dyDescent="0.25">
      <c r="A3575">
        <v>3574</v>
      </c>
      <c r="B3575">
        <v>43</v>
      </c>
      <c r="C3575" t="s">
        <v>156</v>
      </c>
      <c r="D3575">
        <v>3574</v>
      </c>
      <c r="E3575" t="s">
        <v>37</v>
      </c>
      <c r="F3575" t="s">
        <v>24</v>
      </c>
      <c r="G3575">
        <v>3574</v>
      </c>
      <c r="H3575">
        <v>4487</v>
      </c>
      <c r="I3575">
        <v>67</v>
      </c>
      <c r="J3575" t="s">
        <v>142</v>
      </c>
      <c r="K3575" t="s">
        <v>26</v>
      </c>
      <c r="L3575" t="s">
        <v>35</v>
      </c>
      <c r="M3575" t="s">
        <v>60</v>
      </c>
      <c r="N3575">
        <v>4.9000000000000004</v>
      </c>
      <c r="O3575">
        <v>0</v>
      </c>
      <c r="P3575" t="s">
        <v>41</v>
      </c>
      <c r="Q3575" t="s">
        <v>155</v>
      </c>
      <c r="R3575" t="s">
        <v>155</v>
      </c>
      <c r="S3575">
        <v>27</v>
      </c>
      <c r="T3575" t="s">
        <v>49</v>
      </c>
      <c r="U3575" t="s">
        <v>91</v>
      </c>
      <c r="V3575" s="1">
        <v>45566</v>
      </c>
      <c r="W3575">
        <f>Table1[[#This Row],[customer_purchase count]]+1</f>
        <v>28</v>
      </c>
      <c r="X3575">
        <f>Table1[[#This Row],[customer_purchase count]]*Rules!$B$3</f>
        <v>1613.6376923076923</v>
      </c>
      <c r="Y3575" t="str">
        <f>IF(Table1[[#This Row],[customer_subscription]]=1,"Subscribed","Not Subscribed")</f>
        <v>Not Subscribed</v>
      </c>
    </row>
    <row r="3576" spans="1:26" x14ac:dyDescent="0.25">
      <c r="A3576">
        <v>3575</v>
      </c>
      <c r="B3576">
        <v>29</v>
      </c>
      <c r="C3576" t="s">
        <v>156</v>
      </c>
      <c r="D3576">
        <v>3575</v>
      </c>
      <c r="E3576" t="s">
        <v>128</v>
      </c>
      <c r="F3576" t="s">
        <v>24</v>
      </c>
      <c r="G3576">
        <v>3575</v>
      </c>
      <c r="H3576">
        <v>4489</v>
      </c>
      <c r="I3576">
        <v>70</v>
      </c>
      <c r="J3576" t="s">
        <v>87</v>
      </c>
      <c r="K3576" t="s">
        <v>47</v>
      </c>
      <c r="L3576" t="s">
        <v>112</v>
      </c>
      <c r="M3576" t="s">
        <v>60</v>
      </c>
      <c r="N3576">
        <v>4.9000000000000004</v>
      </c>
      <c r="O3576">
        <v>0</v>
      </c>
      <c r="P3576" t="s">
        <v>29</v>
      </c>
      <c r="Q3576" t="s">
        <v>155</v>
      </c>
      <c r="R3576" t="s">
        <v>155</v>
      </c>
      <c r="S3576">
        <v>39</v>
      </c>
      <c r="T3576" t="s">
        <v>78</v>
      </c>
      <c r="U3576" t="s">
        <v>61</v>
      </c>
      <c r="V3576" s="1">
        <v>45538</v>
      </c>
      <c r="W3576">
        <f>Table1[[#This Row],[customer_purchase count]]+1</f>
        <v>40</v>
      </c>
      <c r="X3576">
        <f>Table1[[#This Row],[customer_purchase count]]*Rules!$B$3</f>
        <v>2330.81</v>
      </c>
      <c r="Y3576" t="str">
        <f>IF(Table1[[#This Row],[customer_subscription]]=1,"Subscribed","Not Subscribed")</f>
        <v>Not Subscribed</v>
      </c>
    </row>
    <row r="3577" spans="1:26" x14ac:dyDescent="0.25">
      <c r="A3577">
        <v>3576</v>
      </c>
      <c r="B3577">
        <v>61</v>
      </c>
      <c r="C3577" t="s">
        <v>156</v>
      </c>
      <c r="D3577">
        <v>3576</v>
      </c>
      <c r="E3577" t="s">
        <v>65</v>
      </c>
      <c r="F3577" t="s">
        <v>66</v>
      </c>
      <c r="G3577">
        <v>3576</v>
      </c>
      <c r="H3577">
        <v>4490</v>
      </c>
      <c r="I3577">
        <v>95</v>
      </c>
      <c r="J3577" t="s">
        <v>25</v>
      </c>
      <c r="K3577" t="s">
        <v>47</v>
      </c>
      <c r="L3577" t="s">
        <v>86</v>
      </c>
      <c r="M3577" t="s">
        <v>60</v>
      </c>
      <c r="N3577">
        <v>3.7</v>
      </c>
      <c r="O3577">
        <v>0</v>
      </c>
      <c r="P3577" t="s">
        <v>29</v>
      </c>
      <c r="Q3577" t="s">
        <v>155</v>
      </c>
      <c r="R3577" t="s">
        <v>155</v>
      </c>
      <c r="S3577">
        <v>49</v>
      </c>
      <c r="T3577" t="s">
        <v>31</v>
      </c>
      <c r="U3577" t="s">
        <v>79</v>
      </c>
      <c r="V3577" s="1">
        <v>45573</v>
      </c>
      <c r="W3577">
        <f>Table1[[#This Row],[customer_purchase count]]+1</f>
        <v>50</v>
      </c>
      <c r="X3577">
        <f>Table1[[#This Row],[customer_purchase count]]*Rules!$B$3</f>
        <v>2928.4535897435899</v>
      </c>
      <c r="Y3577" t="str">
        <f>IF(Table1[[#This Row],[customer_subscription]]=1,"Subscribed","Not Subscribed")</f>
        <v>Not Subscribed</v>
      </c>
    </row>
    <row r="3578" spans="1:26" x14ac:dyDescent="0.25">
      <c r="A3578">
        <v>3577</v>
      </c>
      <c r="B3578">
        <v>29</v>
      </c>
      <c r="C3578" t="s">
        <v>156</v>
      </c>
      <c r="D3578">
        <v>3577</v>
      </c>
      <c r="E3578" t="s">
        <v>140</v>
      </c>
      <c r="F3578" t="s">
        <v>45</v>
      </c>
      <c r="G3578">
        <v>3577</v>
      </c>
      <c r="H3578">
        <v>4491</v>
      </c>
      <c r="I3578">
        <v>24</v>
      </c>
      <c r="J3578" t="s">
        <v>34</v>
      </c>
      <c r="K3578" t="s">
        <v>26</v>
      </c>
      <c r="L3578" t="s">
        <v>137</v>
      </c>
      <c r="M3578" t="s">
        <v>40</v>
      </c>
      <c r="N3578">
        <v>3</v>
      </c>
      <c r="O3578">
        <v>0</v>
      </c>
      <c r="P3578" t="s">
        <v>29</v>
      </c>
      <c r="Q3578" t="s">
        <v>155</v>
      </c>
      <c r="R3578" t="s">
        <v>155</v>
      </c>
      <c r="S3578">
        <v>12</v>
      </c>
      <c r="T3578" t="s">
        <v>31</v>
      </c>
      <c r="U3578" t="s">
        <v>79</v>
      </c>
      <c r="V3578" s="1">
        <v>45385</v>
      </c>
      <c r="W3578">
        <f>Table1[[#This Row],[customer_purchase count]]+1</f>
        <v>13</v>
      </c>
      <c r="X3578">
        <f>Table1[[#This Row],[customer_purchase count]]*Rules!$B$3</f>
        <v>717.17230769230775</v>
      </c>
      <c r="Y3578" t="str">
        <f>IF(Table1[[#This Row],[customer_subscription]]=1,"Subscribed","Not Subscribed")</f>
        <v>Not Subscribed</v>
      </c>
      <c r="Z3578" t="s">
        <v>187</v>
      </c>
    </row>
    <row r="3579" spans="1:26" x14ac:dyDescent="0.25">
      <c r="A3579">
        <v>3578</v>
      </c>
      <c r="B3579">
        <v>66</v>
      </c>
      <c r="C3579" t="s">
        <v>156</v>
      </c>
      <c r="D3579">
        <v>3578</v>
      </c>
      <c r="E3579" t="s">
        <v>136</v>
      </c>
      <c r="F3579" t="s">
        <v>70</v>
      </c>
      <c r="G3579">
        <v>3578</v>
      </c>
      <c r="H3579">
        <v>4492</v>
      </c>
      <c r="I3579">
        <v>35</v>
      </c>
      <c r="J3579" t="s">
        <v>71</v>
      </c>
      <c r="K3579" t="s">
        <v>39</v>
      </c>
      <c r="L3579" t="s">
        <v>137</v>
      </c>
      <c r="M3579" t="s">
        <v>28</v>
      </c>
      <c r="N3579">
        <v>2.6</v>
      </c>
      <c r="O3579">
        <v>0</v>
      </c>
      <c r="P3579" t="s">
        <v>57</v>
      </c>
      <c r="Q3579" t="s">
        <v>155</v>
      </c>
      <c r="R3579" t="s">
        <v>155</v>
      </c>
      <c r="S3579">
        <v>13</v>
      </c>
      <c r="T3579" t="s">
        <v>78</v>
      </c>
      <c r="U3579" t="s">
        <v>43</v>
      </c>
      <c r="V3579" s="1">
        <v>45337</v>
      </c>
      <c r="W3579">
        <f>Table1[[#This Row],[customer_purchase count]]+1</f>
        <v>14</v>
      </c>
      <c r="X3579">
        <f>Table1[[#This Row],[customer_purchase count]]*Rules!$B$3</f>
        <v>776.93666666666672</v>
      </c>
      <c r="Y3579" t="str">
        <f>IF(Table1[[#This Row],[customer_subscription]]=1,"Subscribed","Not Subscribed")</f>
        <v>Not Subscribed</v>
      </c>
      <c r="Z3579" t="s">
        <v>194</v>
      </c>
    </row>
    <row r="3580" spans="1:26" x14ac:dyDescent="0.25">
      <c r="A3580">
        <v>3579</v>
      </c>
      <c r="B3580">
        <v>46</v>
      </c>
      <c r="C3580" t="s">
        <v>156</v>
      </c>
      <c r="D3580">
        <v>3579</v>
      </c>
      <c r="E3580" t="s">
        <v>74</v>
      </c>
      <c r="F3580" t="s">
        <v>45</v>
      </c>
      <c r="G3580">
        <v>3579</v>
      </c>
      <c r="H3580">
        <v>4493</v>
      </c>
      <c r="I3580">
        <v>22</v>
      </c>
      <c r="J3580" t="s">
        <v>145</v>
      </c>
      <c r="K3580" t="s">
        <v>26</v>
      </c>
      <c r="L3580" t="s">
        <v>81</v>
      </c>
      <c r="M3580" t="s">
        <v>28</v>
      </c>
      <c r="N3580">
        <v>2.6</v>
      </c>
      <c r="O3580">
        <v>0</v>
      </c>
      <c r="P3580" t="s">
        <v>57</v>
      </c>
      <c r="Q3580" t="s">
        <v>155</v>
      </c>
      <c r="R3580" t="s">
        <v>155</v>
      </c>
      <c r="S3580">
        <v>22</v>
      </c>
      <c r="T3580" t="s">
        <v>78</v>
      </c>
      <c r="U3580" t="s">
        <v>61</v>
      </c>
      <c r="V3580" s="1">
        <v>45334</v>
      </c>
      <c r="W3580">
        <f>Table1[[#This Row],[customer_purchase count]]+1</f>
        <v>23</v>
      </c>
      <c r="X3580">
        <f>Table1[[#This Row],[customer_purchase count]]*Rules!$B$3</f>
        <v>1314.8158974358976</v>
      </c>
      <c r="Y3580" t="str">
        <f>IF(Table1[[#This Row],[customer_subscription]]=1,"Subscribed","Not Subscribed")</f>
        <v>Not Subscribed</v>
      </c>
    </row>
    <row r="3581" spans="1:26" x14ac:dyDescent="0.25">
      <c r="A3581">
        <v>3580</v>
      </c>
      <c r="B3581">
        <v>34</v>
      </c>
      <c r="C3581" t="s">
        <v>156</v>
      </c>
      <c r="D3581">
        <v>3580</v>
      </c>
      <c r="E3581" t="s">
        <v>122</v>
      </c>
      <c r="F3581" t="s">
        <v>70</v>
      </c>
      <c r="G3581">
        <v>3580</v>
      </c>
      <c r="H3581">
        <v>4495</v>
      </c>
      <c r="I3581">
        <v>66</v>
      </c>
      <c r="J3581" t="s">
        <v>120</v>
      </c>
      <c r="K3581" t="s">
        <v>26</v>
      </c>
      <c r="L3581" t="s">
        <v>81</v>
      </c>
      <c r="M3581" t="s">
        <v>60</v>
      </c>
      <c r="N3581">
        <v>4.8</v>
      </c>
      <c r="O3581">
        <v>0</v>
      </c>
      <c r="P3581" t="s">
        <v>57</v>
      </c>
      <c r="Q3581" t="s">
        <v>155</v>
      </c>
      <c r="R3581" t="s">
        <v>155</v>
      </c>
      <c r="S3581">
        <v>19</v>
      </c>
      <c r="T3581" t="s">
        <v>42</v>
      </c>
      <c r="U3581" t="s">
        <v>100</v>
      </c>
      <c r="V3581" s="1">
        <v>45559</v>
      </c>
      <c r="W3581">
        <f>Table1[[#This Row],[customer_purchase count]]+1</f>
        <v>20</v>
      </c>
      <c r="X3581">
        <f>Table1[[#This Row],[customer_purchase count]]*Rules!$B$3</f>
        <v>1135.5228205128205</v>
      </c>
      <c r="Y3581" t="str">
        <f>IF(Table1[[#This Row],[customer_subscription]]=1,"Subscribed","Not Subscribed")</f>
        <v>Not Subscribed</v>
      </c>
    </row>
    <row r="3582" spans="1:26" x14ac:dyDescent="0.25">
      <c r="A3582">
        <v>3581</v>
      </c>
      <c r="B3582">
        <v>51</v>
      </c>
      <c r="C3582" t="s">
        <v>156</v>
      </c>
      <c r="D3582">
        <v>3581</v>
      </c>
      <c r="E3582" t="s">
        <v>23</v>
      </c>
      <c r="F3582" t="s">
        <v>24</v>
      </c>
      <c r="G3582">
        <v>3581</v>
      </c>
      <c r="H3582">
        <v>4496</v>
      </c>
      <c r="I3582">
        <v>83</v>
      </c>
      <c r="J3582" t="s">
        <v>85</v>
      </c>
      <c r="K3582" t="s">
        <v>47</v>
      </c>
      <c r="L3582" t="s">
        <v>139</v>
      </c>
      <c r="M3582" t="s">
        <v>56</v>
      </c>
      <c r="N3582">
        <v>3.2</v>
      </c>
      <c r="O3582">
        <v>0</v>
      </c>
      <c r="P3582" t="s">
        <v>73</v>
      </c>
      <c r="Q3582" t="s">
        <v>155</v>
      </c>
      <c r="R3582" t="s">
        <v>155</v>
      </c>
      <c r="S3582">
        <v>3</v>
      </c>
      <c r="T3582" t="s">
        <v>36</v>
      </c>
      <c r="U3582" t="s">
        <v>79</v>
      </c>
      <c r="V3582" s="1">
        <v>45478</v>
      </c>
      <c r="W3582">
        <f>Table1[[#This Row],[customer_purchase count]]+1</f>
        <v>4</v>
      </c>
      <c r="X3582">
        <f>Table1[[#This Row],[customer_purchase count]]*Rules!$B$3</f>
        <v>179.29307692307694</v>
      </c>
      <c r="Y3582" t="str">
        <f>IF(Table1[[#This Row],[customer_subscription]]=1,"Subscribed","Not Subscribed")</f>
        <v>Not Subscribed</v>
      </c>
      <c r="Z3582" t="s">
        <v>194</v>
      </c>
    </row>
    <row r="3583" spans="1:26" x14ac:dyDescent="0.25">
      <c r="A3583">
        <v>3582</v>
      </c>
      <c r="B3583">
        <v>26</v>
      </c>
      <c r="C3583" t="s">
        <v>156</v>
      </c>
      <c r="D3583">
        <v>3582</v>
      </c>
      <c r="E3583" t="s">
        <v>84</v>
      </c>
      <c r="F3583" t="s">
        <v>24</v>
      </c>
      <c r="G3583">
        <v>3582</v>
      </c>
      <c r="H3583">
        <v>4497</v>
      </c>
      <c r="I3583">
        <v>95</v>
      </c>
      <c r="J3583" t="s">
        <v>145</v>
      </c>
      <c r="K3583" t="s">
        <v>47</v>
      </c>
      <c r="L3583" t="s">
        <v>124</v>
      </c>
      <c r="M3583" t="s">
        <v>60</v>
      </c>
      <c r="N3583">
        <v>4.9000000000000004</v>
      </c>
      <c r="O3583">
        <v>0</v>
      </c>
      <c r="P3583" t="s">
        <v>48</v>
      </c>
      <c r="Q3583" t="s">
        <v>155</v>
      </c>
      <c r="R3583" t="s">
        <v>155</v>
      </c>
      <c r="S3583">
        <v>50</v>
      </c>
      <c r="T3583" t="s">
        <v>42</v>
      </c>
      <c r="U3583" t="s">
        <v>43</v>
      </c>
      <c r="V3583" s="1">
        <v>45617</v>
      </c>
      <c r="W3583">
        <f>Table1[[#This Row],[customer_purchase count]]+1</f>
        <v>51</v>
      </c>
      <c r="X3583">
        <f>Table1[[#This Row],[customer_purchase count]]*Rules!$B$3</f>
        <v>2988.2179487179487</v>
      </c>
      <c r="Y3583" t="str">
        <f>IF(Table1[[#This Row],[customer_subscription]]=1,"Subscribed","Not Subscribed")</f>
        <v>Not Subscribed</v>
      </c>
    </row>
    <row r="3584" spans="1:26" x14ac:dyDescent="0.25">
      <c r="A3584">
        <v>3583</v>
      </c>
      <c r="B3584">
        <v>23</v>
      </c>
      <c r="C3584" t="s">
        <v>156</v>
      </c>
      <c r="D3584">
        <v>3583</v>
      </c>
      <c r="E3584" t="s">
        <v>62</v>
      </c>
      <c r="F3584" t="s">
        <v>24</v>
      </c>
      <c r="G3584">
        <v>3583</v>
      </c>
      <c r="H3584">
        <v>4498</v>
      </c>
      <c r="I3584">
        <v>41</v>
      </c>
      <c r="J3584" t="s">
        <v>102</v>
      </c>
      <c r="K3584" t="s">
        <v>39</v>
      </c>
      <c r="L3584" t="s">
        <v>121</v>
      </c>
      <c r="M3584" t="s">
        <v>56</v>
      </c>
      <c r="N3584">
        <v>3.4</v>
      </c>
      <c r="O3584">
        <v>0</v>
      </c>
      <c r="P3584" t="s">
        <v>73</v>
      </c>
      <c r="Q3584" t="s">
        <v>155</v>
      </c>
      <c r="R3584" t="s">
        <v>155</v>
      </c>
      <c r="S3584">
        <v>15</v>
      </c>
      <c r="T3584" t="s">
        <v>49</v>
      </c>
      <c r="U3584" t="s">
        <v>52</v>
      </c>
      <c r="V3584" s="1">
        <v>45494</v>
      </c>
      <c r="W3584">
        <f>Table1[[#This Row],[customer_purchase count]]+1</f>
        <v>16</v>
      </c>
      <c r="X3584">
        <f>Table1[[#This Row],[customer_purchase count]]*Rules!$B$3</f>
        <v>896.46538461538466</v>
      </c>
      <c r="Y3584" t="str">
        <f>IF(Table1[[#This Row],[customer_subscription]]=1,"Subscribed","Not Subscribed")</f>
        <v>Not Subscribed</v>
      </c>
      <c r="Z3584" t="s">
        <v>187</v>
      </c>
    </row>
    <row r="3585" spans="1:26" x14ac:dyDescent="0.25">
      <c r="A3585">
        <v>3584</v>
      </c>
      <c r="B3585">
        <v>52</v>
      </c>
      <c r="C3585" t="s">
        <v>156</v>
      </c>
      <c r="D3585">
        <v>3584</v>
      </c>
      <c r="E3585" t="s">
        <v>23</v>
      </c>
      <c r="F3585" t="s">
        <v>24</v>
      </c>
      <c r="G3585">
        <v>3584</v>
      </c>
      <c r="H3585">
        <v>4499</v>
      </c>
      <c r="I3585">
        <v>77</v>
      </c>
      <c r="J3585" t="s">
        <v>120</v>
      </c>
      <c r="K3585" t="s">
        <v>26</v>
      </c>
      <c r="L3585" t="s">
        <v>113</v>
      </c>
      <c r="M3585" t="s">
        <v>56</v>
      </c>
      <c r="N3585">
        <v>2.7</v>
      </c>
      <c r="O3585">
        <v>0</v>
      </c>
      <c r="P3585" t="s">
        <v>77</v>
      </c>
      <c r="Q3585" t="s">
        <v>155</v>
      </c>
      <c r="R3585" t="s">
        <v>155</v>
      </c>
      <c r="S3585">
        <v>44</v>
      </c>
      <c r="T3585" t="s">
        <v>42</v>
      </c>
      <c r="U3585" t="s">
        <v>100</v>
      </c>
      <c r="V3585" s="1">
        <v>45482</v>
      </c>
      <c r="W3585">
        <f>Table1[[#This Row],[customer_purchase count]]+1</f>
        <v>45</v>
      </c>
      <c r="X3585">
        <f>Table1[[#This Row],[customer_purchase count]]*Rules!$B$3</f>
        <v>2629.6317948717951</v>
      </c>
      <c r="Y3585" t="str">
        <f>IF(Table1[[#This Row],[customer_subscription]]=1,"Subscribed","Not Subscribed")</f>
        <v>Not Subscribed</v>
      </c>
    </row>
    <row r="3586" spans="1:26" x14ac:dyDescent="0.25">
      <c r="A3586">
        <v>3585</v>
      </c>
      <c r="B3586">
        <v>39</v>
      </c>
      <c r="C3586" t="s">
        <v>156</v>
      </c>
      <c r="D3586">
        <v>3585</v>
      </c>
      <c r="E3586" t="s">
        <v>53</v>
      </c>
      <c r="F3586" t="s">
        <v>45</v>
      </c>
      <c r="G3586">
        <v>3585</v>
      </c>
      <c r="H3586">
        <v>4501</v>
      </c>
      <c r="I3586">
        <v>52</v>
      </c>
      <c r="J3586" t="s">
        <v>106</v>
      </c>
      <c r="K3586" t="s">
        <v>26</v>
      </c>
      <c r="L3586" t="s">
        <v>129</v>
      </c>
      <c r="M3586" t="s">
        <v>60</v>
      </c>
      <c r="N3586">
        <v>4.8</v>
      </c>
      <c r="O3586">
        <v>0</v>
      </c>
      <c r="P3586" t="s">
        <v>29</v>
      </c>
      <c r="Q3586" t="s">
        <v>155</v>
      </c>
      <c r="R3586" t="s">
        <v>155</v>
      </c>
      <c r="S3586">
        <v>48</v>
      </c>
      <c r="T3586" t="s">
        <v>89</v>
      </c>
      <c r="U3586" t="s">
        <v>91</v>
      </c>
      <c r="V3586" s="1">
        <v>45581</v>
      </c>
      <c r="W3586">
        <f>Table1[[#This Row],[customer_purchase count]]+1</f>
        <v>49</v>
      </c>
      <c r="X3586">
        <f>Table1[[#This Row],[customer_purchase count]]*Rules!$B$3</f>
        <v>2868.689230769231</v>
      </c>
      <c r="Y3586" t="str">
        <f>IF(Table1[[#This Row],[customer_subscription]]=1,"Subscribed","Not Subscribed")</f>
        <v>Not Subscribed</v>
      </c>
    </row>
    <row r="3587" spans="1:26" x14ac:dyDescent="0.25">
      <c r="A3587">
        <v>3586</v>
      </c>
      <c r="B3587">
        <v>39</v>
      </c>
      <c r="C3587" t="s">
        <v>156</v>
      </c>
      <c r="D3587">
        <v>3586</v>
      </c>
      <c r="E3587" t="s">
        <v>146</v>
      </c>
      <c r="F3587" t="s">
        <v>70</v>
      </c>
      <c r="G3587">
        <v>3586</v>
      </c>
      <c r="H3587">
        <v>4502</v>
      </c>
      <c r="I3587">
        <v>41</v>
      </c>
      <c r="J3587" t="s">
        <v>87</v>
      </c>
      <c r="K3587" t="s">
        <v>95</v>
      </c>
      <c r="L3587" t="s">
        <v>27</v>
      </c>
      <c r="M3587" t="s">
        <v>28</v>
      </c>
      <c r="N3587">
        <v>4.0999999999999996</v>
      </c>
      <c r="O3587">
        <v>0</v>
      </c>
      <c r="P3587" t="s">
        <v>57</v>
      </c>
      <c r="Q3587" t="s">
        <v>155</v>
      </c>
      <c r="R3587" t="s">
        <v>155</v>
      </c>
      <c r="S3587">
        <v>4</v>
      </c>
      <c r="T3587" t="s">
        <v>31</v>
      </c>
      <c r="U3587" t="s">
        <v>79</v>
      </c>
      <c r="V3587" s="1">
        <v>45303</v>
      </c>
      <c r="W3587">
        <f>Table1[[#This Row],[customer_purchase count]]+1</f>
        <v>5</v>
      </c>
      <c r="X3587">
        <f>Table1[[#This Row],[customer_purchase count]]*Rules!$B$3</f>
        <v>239.05743589743591</v>
      </c>
      <c r="Y3587" t="str">
        <f>IF(Table1[[#This Row],[customer_subscription]]=1,"Subscribed","Not Subscribed")</f>
        <v>Not Subscribed</v>
      </c>
      <c r="Z3587" t="s">
        <v>194</v>
      </c>
    </row>
    <row r="3588" spans="1:26" x14ac:dyDescent="0.25">
      <c r="A3588">
        <v>3587</v>
      </c>
      <c r="B3588">
        <v>33</v>
      </c>
      <c r="C3588" t="s">
        <v>156</v>
      </c>
      <c r="D3588">
        <v>3587</v>
      </c>
      <c r="E3588" t="s">
        <v>107</v>
      </c>
      <c r="F3588" t="s">
        <v>24</v>
      </c>
      <c r="G3588">
        <v>3587</v>
      </c>
      <c r="H3588">
        <v>4503</v>
      </c>
      <c r="I3588">
        <v>28</v>
      </c>
      <c r="J3588" t="s">
        <v>138</v>
      </c>
      <c r="K3588" t="s">
        <v>47</v>
      </c>
      <c r="L3588" t="s">
        <v>137</v>
      </c>
      <c r="M3588" t="s">
        <v>28</v>
      </c>
      <c r="N3588">
        <v>4.5999999999999996</v>
      </c>
      <c r="O3588">
        <v>0</v>
      </c>
      <c r="P3588" t="s">
        <v>77</v>
      </c>
      <c r="Q3588" t="s">
        <v>155</v>
      </c>
      <c r="R3588" t="s">
        <v>155</v>
      </c>
      <c r="S3588">
        <v>12</v>
      </c>
      <c r="T3588" t="s">
        <v>49</v>
      </c>
      <c r="U3588" t="s">
        <v>79</v>
      </c>
      <c r="V3588" s="1">
        <v>45634</v>
      </c>
      <c r="W3588">
        <f>Table1[[#This Row],[customer_purchase count]]+1</f>
        <v>13</v>
      </c>
      <c r="X3588">
        <f>Table1[[#This Row],[customer_purchase count]]*Rules!$B$3</f>
        <v>717.17230769230775</v>
      </c>
      <c r="Y3588" t="str">
        <f>IF(Table1[[#This Row],[customer_subscription]]=1,"Subscribed","Not Subscribed")</f>
        <v>Not Subscribed</v>
      </c>
      <c r="Z3588" t="s">
        <v>194</v>
      </c>
    </row>
    <row r="3589" spans="1:26" x14ac:dyDescent="0.25">
      <c r="A3589">
        <v>3588</v>
      </c>
      <c r="B3589">
        <v>33</v>
      </c>
      <c r="C3589" t="s">
        <v>156</v>
      </c>
      <c r="D3589">
        <v>3588</v>
      </c>
      <c r="E3589" t="s">
        <v>33</v>
      </c>
      <c r="F3589" t="s">
        <v>24</v>
      </c>
      <c r="G3589">
        <v>3588</v>
      </c>
      <c r="H3589">
        <v>4504</v>
      </c>
      <c r="I3589">
        <v>90</v>
      </c>
      <c r="J3589" t="s">
        <v>144</v>
      </c>
      <c r="K3589" t="s">
        <v>39</v>
      </c>
      <c r="L3589" t="s">
        <v>86</v>
      </c>
      <c r="M3589" t="s">
        <v>56</v>
      </c>
      <c r="N3589">
        <v>4.4000000000000004</v>
      </c>
      <c r="O3589">
        <v>0</v>
      </c>
      <c r="P3589" t="s">
        <v>57</v>
      </c>
      <c r="Q3589" t="s">
        <v>155</v>
      </c>
      <c r="R3589" t="s">
        <v>155</v>
      </c>
      <c r="S3589">
        <v>33</v>
      </c>
      <c r="T3589" t="s">
        <v>89</v>
      </c>
      <c r="U3589" t="s">
        <v>52</v>
      </c>
      <c r="V3589" s="1">
        <v>45529</v>
      </c>
      <c r="W3589">
        <f>Table1[[#This Row],[customer_purchase count]]+1</f>
        <v>34</v>
      </c>
      <c r="X3589">
        <f>Table1[[#This Row],[customer_purchase count]]*Rules!$B$3</f>
        <v>1972.2238461538464</v>
      </c>
      <c r="Y3589" t="str">
        <f>IF(Table1[[#This Row],[customer_subscription]]=1,"Subscribed","Not Subscribed")</f>
        <v>Not Subscribed</v>
      </c>
    </row>
    <row r="3590" spans="1:26" x14ac:dyDescent="0.25">
      <c r="A3590">
        <v>3589</v>
      </c>
      <c r="B3590">
        <v>23</v>
      </c>
      <c r="C3590" t="s">
        <v>156</v>
      </c>
      <c r="D3590">
        <v>3589</v>
      </c>
      <c r="E3590" t="s">
        <v>92</v>
      </c>
      <c r="F3590" t="s">
        <v>70</v>
      </c>
      <c r="G3590">
        <v>3589</v>
      </c>
      <c r="H3590">
        <v>4505</v>
      </c>
      <c r="I3590">
        <v>55</v>
      </c>
      <c r="J3590" t="s">
        <v>154</v>
      </c>
      <c r="K3590" t="s">
        <v>47</v>
      </c>
      <c r="L3590" t="s">
        <v>139</v>
      </c>
      <c r="M3590" t="s">
        <v>40</v>
      </c>
      <c r="N3590">
        <v>3.5</v>
      </c>
      <c r="O3590">
        <v>0</v>
      </c>
      <c r="P3590" t="s">
        <v>73</v>
      </c>
      <c r="Q3590" t="s">
        <v>155</v>
      </c>
      <c r="R3590" t="s">
        <v>155</v>
      </c>
      <c r="S3590">
        <v>40</v>
      </c>
      <c r="T3590" t="s">
        <v>36</v>
      </c>
      <c r="U3590" t="s">
        <v>52</v>
      </c>
      <c r="V3590" s="1">
        <v>45373</v>
      </c>
      <c r="W3590">
        <f>Table1[[#This Row],[customer_purchase count]]+1</f>
        <v>41</v>
      </c>
      <c r="X3590">
        <f>Table1[[#This Row],[customer_purchase count]]*Rules!$B$3</f>
        <v>2390.5743589743593</v>
      </c>
      <c r="Y3590" t="str">
        <f>IF(Table1[[#This Row],[customer_subscription]]=1,"Subscribed","Not Subscribed")</f>
        <v>Not Subscribed</v>
      </c>
    </row>
    <row r="3591" spans="1:26" x14ac:dyDescent="0.25">
      <c r="A3591">
        <v>3590</v>
      </c>
      <c r="B3591">
        <v>31</v>
      </c>
      <c r="C3591" t="s">
        <v>156</v>
      </c>
      <c r="D3591">
        <v>3590</v>
      </c>
      <c r="E3591" t="s">
        <v>136</v>
      </c>
      <c r="F3591" t="s">
        <v>70</v>
      </c>
      <c r="G3591">
        <v>3590</v>
      </c>
      <c r="H3591">
        <v>4507</v>
      </c>
      <c r="I3591">
        <v>73</v>
      </c>
      <c r="J3591" t="s">
        <v>85</v>
      </c>
      <c r="K3591" t="s">
        <v>47</v>
      </c>
      <c r="L3591" t="s">
        <v>147</v>
      </c>
      <c r="M3591" t="s">
        <v>40</v>
      </c>
      <c r="N3591">
        <v>4.8</v>
      </c>
      <c r="O3591">
        <v>0</v>
      </c>
      <c r="P3591" t="s">
        <v>48</v>
      </c>
      <c r="Q3591" t="s">
        <v>155</v>
      </c>
      <c r="R3591" t="s">
        <v>155</v>
      </c>
      <c r="S3591">
        <v>38</v>
      </c>
      <c r="T3591" t="s">
        <v>36</v>
      </c>
      <c r="U3591" t="s">
        <v>100</v>
      </c>
      <c r="V3591" s="1">
        <v>45395</v>
      </c>
      <c r="W3591">
        <f>Table1[[#This Row],[customer_purchase count]]+1</f>
        <v>39</v>
      </c>
      <c r="X3591">
        <f>Table1[[#This Row],[customer_purchase count]]*Rules!$B$3</f>
        <v>2271.0456410256411</v>
      </c>
      <c r="Y3591" t="str">
        <f>IF(Table1[[#This Row],[customer_subscription]]=1,"Subscribed","Not Subscribed")</f>
        <v>Not Subscribed</v>
      </c>
    </row>
    <row r="3592" spans="1:26" x14ac:dyDescent="0.25">
      <c r="A3592">
        <v>3591</v>
      </c>
      <c r="B3592">
        <v>27</v>
      </c>
      <c r="C3592" t="s">
        <v>156</v>
      </c>
      <c r="D3592">
        <v>3591</v>
      </c>
      <c r="E3592" t="s">
        <v>84</v>
      </c>
      <c r="F3592" t="s">
        <v>24</v>
      </c>
      <c r="G3592">
        <v>3591</v>
      </c>
      <c r="H3592">
        <v>4508</v>
      </c>
      <c r="I3592">
        <v>87</v>
      </c>
      <c r="J3592" t="s">
        <v>150</v>
      </c>
      <c r="K3592" t="s">
        <v>47</v>
      </c>
      <c r="L3592" t="s">
        <v>27</v>
      </c>
      <c r="M3592" t="s">
        <v>60</v>
      </c>
      <c r="N3592">
        <v>2.9</v>
      </c>
      <c r="O3592">
        <v>0</v>
      </c>
      <c r="P3592" t="s">
        <v>73</v>
      </c>
      <c r="Q3592" t="s">
        <v>155</v>
      </c>
      <c r="R3592" t="s">
        <v>155</v>
      </c>
      <c r="S3592">
        <v>19</v>
      </c>
      <c r="T3592" t="s">
        <v>31</v>
      </c>
      <c r="U3592" t="s">
        <v>100</v>
      </c>
      <c r="V3592" s="1">
        <v>45570</v>
      </c>
      <c r="W3592">
        <f>Table1[[#This Row],[customer_purchase count]]+1</f>
        <v>20</v>
      </c>
      <c r="X3592">
        <f>Table1[[#This Row],[customer_purchase count]]*Rules!$B$3</f>
        <v>1135.5228205128205</v>
      </c>
      <c r="Y3592" t="str">
        <f>IF(Table1[[#This Row],[customer_subscription]]=1,"Subscribed","Not Subscribed")</f>
        <v>Not Subscribed</v>
      </c>
    </row>
    <row r="3593" spans="1:26" x14ac:dyDescent="0.25">
      <c r="A3593">
        <v>3592</v>
      </c>
      <c r="B3593">
        <v>48</v>
      </c>
      <c r="C3593" t="s">
        <v>156</v>
      </c>
      <c r="D3593">
        <v>3592</v>
      </c>
      <c r="E3593" t="s">
        <v>105</v>
      </c>
      <c r="F3593" t="s">
        <v>66</v>
      </c>
      <c r="G3593">
        <v>3592</v>
      </c>
      <c r="H3593">
        <v>4509</v>
      </c>
      <c r="I3593">
        <v>89</v>
      </c>
      <c r="J3593" t="s">
        <v>150</v>
      </c>
      <c r="K3593" t="s">
        <v>47</v>
      </c>
      <c r="L3593" t="s">
        <v>83</v>
      </c>
      <c r="M3593" t="s">
        <v>28</v>
      </c>
      <c r="N3593">
        <v>3.2</v>
      </c>
      <c r="O3593">
        <v>0</v>
      </c>
      <c r="P3593" t="s">
        <v>73</v>
      </c>
      <c r="Q3593" t="s">
        <v>155</v>
      </c>
      <c r="R3593" t="s">
        <v>155</v>
      </c>
      <c r="S3593">
        <v>38</v>
      </c>
      <c r="T3593" t="s">
        <v>78</v>
      </c>
      <c r="U3593" t="s">
        <v>61</v>
      </c>
      <c r="V3593" s="1">
        <v>45652</v>
      </c>
      <c r="W3593">
        <f>Table1[[#This Row],[customer_purchase count]]+1</f>
        <v>39</v>
      </c>
      <c r="X3593">
        <f>Table1[[#This Row],[customer_purchase count]]*Rules!$B$3</f>
        <v>2271.0456410256411</v>
      </c>
      <c r="Y3593" t="str">
        <f>IF(Table1[[#This Row],[customer_subscription]]=1,"Subscribed","Not Subscribed")</f>
        <v>Not Subscribed</v>
      </c>
    </row>
    <row r="3594" spans="1:26" x14ac:dyDescent="0.25">
      <c r="A3594">
        <v>3593</v>
      </c>
      <c r="B3594">
        <v>61</v>
      </c>
      <c r="C3594" t="s">
        <v>156</v>
      </c>
      <c r="D3594">
        <v>3593</v>
      </c>
      <c r="E3594" t="s">
        <v>140</v>
      </c>
      <c r="F3594" t="s">
        <v>45</v>
      </c>
      <c r="G3594">
        <v>3593</v>
      </c>
      <c r="H3594">
        <v>4510</v>
      </c>
      <c r="I3594">
        <v>82</v>
      </c>
      <c r="J3594" t="s">
        <v>130</v>
      </c>
      <c r="K3594" t="s">
        <v>26</v>
      </c>
      <c r="L3594" t="s">
        <v>96</v>
      </c>
      <c r="M3594" t="s">
        <v>40</v>
      </c>
      <c r="N3594">
        <v>4.4000000000000004</v>
      </c>
      <c r="O3594">
        <v>0</v>
      </c>
      <c r="P3594" t="s">
        <v>73</v>
      </c>
      <c r="Q3594" t="s">
        <v>155</v>
      </c>
      <c r="R3594" t="s">
        <v>155</v>
      </c>
      <c r="S3594">
        <v>18</v>
      </c>
      <c r="T3594" t="s">
        <v>31</v>
      </c>
      <c r="U3594" t="s">
        <v>32</v>
      </c>
      <c r="V3594" s="1">
        <v>45402</v>
      </c>
      <c r="W3594">
        <f>Table1[[#This Row],[customer_purchase count]]+1</f>
        <v>19</v>
      </c>
      <c r="X3594">
        <f>Table1[[#This Row],[customer_purchase count]]*Rules!$B$3</f>
        <v>1075.7584615384617</v>
      </c>
      <c r="Y3594" t="str">
        <f>IF(Table1[[#This Row],[customer_subscription]]=1,"Subscribed","Not Subscribed")</f>
        <v>Not Subscribed</v>
      </c>
    </row>
    <row r="3595" spans="1:26" x14ac:dyDescent="0.25">
      <c r="A3595">
        <v>3594</v>
      </c>
      <c r="B3595">
        <v>63</v>
      </c>
      <c r="C3595" t="s">
        <v>156</v>
      </c>
      <c r="D3595">
        <v>3594</v>
      </c>
      <c r="E3595" t="s">
        <v>44</v>
      </c>
      <c r="F3595" t="s">
        <v>45</v>
      </c>
      <c r="G3595">
        <v>3594</v>
      </c>
      <c r="H3595">
        <v>4511</v>
      </c>
      <c r="I3595">
        <v>80</v>
      </c>
      <c r="J3595" t="s">
        <v>54</v>
      </c>
      <c r="K3595" t="s">
        <v>47</v>
      </c>
      <c r="L3595" t="s">
        <v>97</v>
      </c>
      <c r="M3595" t="s">
        <v>40</v>
      </c>
      <c r="N3595">
        <v>4.5999999999999996</v>
      </c>
      <c r="O3595">
        <v>0</v>
      </c>
      <c r="P3595" t="s">
        <v>48</v>
      </c>
      <c r="Q3595" t="s">
        <v>155</v>
      </c>
      <c r="R3595" t="s">
        <v>155</v>
      </c>
      <c r="S3595">
        <v>24</v>
      </c>
      <c r="T3595" t="s">
        <v>49</v>
      </c>
      <c r="U3595" t="s">
        <v>91</v>
      </c>
      <c r="V3595" s="1">
        <v>45389</v>
      </c>
      <c r="W3595">
        <f>Table1[[#This Row],[customer_purchase count]]+1</f>
        <v>25</v>
      </c>
      <c r="X3595">
        <f>Table1[[#This Row],[customer_purchase count]]*Rules!$B$3</f>
        <v>1434.3446153846155</v>
      </c>
      <c r="Y3595" t="str">
        <f>IF(Table1[[#This Row],[customer_subscription]]=1,"Subscribed","Not Subscribed")</f>
        <v>Not Subscribed</v>
      </c>
    </row>
    <row r="3596" spans="1:26" x14ac:dyDescent="0.25">
      <c r="A3596">
        <v>3595</v>
      </c>
      <c r="B3596">
        <v>19</v>
      </c>
      <c r="C3596" t="s">
        <v>156</v>
      </c>
      <c r="D3596">
        <v>3595</v>
      </c>
      <c r="E3596" t="s">
        <v>122</v>
      </c>
      <c r="F3596" t="s">
        <v>70</v>
      </c>
      <c r="G3596">
        <v>3595</v>
      </c>
      <c r="H3596">
        <v>4513</v>
      </c>
      <c r="I3596">
        <v>87</v>
      </c>
      <c r="J3596" t="s">
        <v>93</v>
      </c>
      <c r="K3596" t="s">
        <v>26</v>
      </c>
      <c r="L3596" t="s">
        <v>64</v>
      </c>
      <c r="M3596" t="s">
        <v>56</v>
      </c>
      <c r="N3596">
        <v>2.6</v>
      </c>
      <c r="O3596">
        <v>0</v>
      </c>
      <c r="P3596" t="s">
        <v>73</v>
      </c>
      <c r="Q3596" t="s">
        <v>155</v>
      </c>
      <c r="R3596" t="s">
        <v>155</v>
      </c>
      <c r="S3596">
        <v>29</v>
      </c>
      <c r="T3596" t="s">
        <v>31</v>
      </c>
      <c r="U3596" t="s">
        <v>61</v>
      </c>
      <c r="V3596" s="1">
        <v>45481</v>
      </c>
      <c r="W3596">
        <f>Table1[[#This Row],[customer_purchase count]]+1</f>
        <v>30</v>
      </c>
      <c r="X3596">
        <f>Table1[[#This Row],[customer_purchase count]]*Rules!$B$3</f>
        <v>1733.1664102564102</v>
      </c>
      <c r="Y3596" t="str">
        <f>IF(Table1[[#This Row],[customer_subscription]]=1,"Subscribed","Not Subscribed")</f>
        <v>Not Subscribed</v>
      </c>
    </row>
    <row r="3597" spans="1:26" x14ac:dyDescent="0.25">
      <c r="A3597">
        <v>3596</v>
      </c>
      <c r="B3597">
        <v>21</v>
      </c>
      <c r="C3597" t="s">
        <v>156</v>
      </c>
      <c r="D3597">
        <v>3596</v>
      </c>
      <c r="E3597" t="s">
        <v>23</v>
      </c>
      <c r="F3597" t="s">
        <v>24</v>
      </c>
      <c r="G3597">
        <v>3596</v>
      </c>
      <c r="H3597">
        <v>4514</v>
      </c>
      <c r="I3597">
        <v>41</v>
      </c>
      <c r="J3597" t="s">
        <v>150</v>
      </c>
      <c r="K3597" t="s">
        <v>47</v>
      </c>
      <c r="L3597" t="s">
        <v>86</v>
      </c>
      <c r="M3597" t="s">
        <v>40</v>
      </c>
      <c r="N3597">
        <v>3.1</v>
      </c>
      <c r="O3597">
        <v>0</v>
      </c>
      <c r="P3597" t="s">
        <v>77</v>
      </c>
      <c r="Q3597" t="s">
        <v>155</v>
      </c>
      <c r="R3597" t="s">
        <v>155</v>
      </c>
      <c r="S3597">
        <v>14</v>
      </c>
      <c r="T3597" t="s">
        <v>49</v>
      </c>
      <c r="U3597" t="s">
        <v>52</v>
      </c>
      <c r="V3597" s="1">
        <v>45402</v>
      </c>
      <c r="W3597">
        <f>Table1[[#This Row],[customer_purchase count]]+1</f>
        <v>15</v>
      </c>
      <c r="X3597">
        <f>Table1[[#This Row],[customer_purchase count]]*Rules!$B$3</f>
        <v>836.70102564102569</v>
      </c>
      <c r="Y3597" t="str">
        <f>IF(Table1[[#This Row],[customer_subscription]]=1,"Subscribed","Not Subscribed")</f>
        <v>Not Subscribed</v>
      </c>
      <c r="Z3597" t="s">
        <v>187</v>
      </c>
    </row>
    <row r="3598" spans="1:26" x14ac:dyDescent="0.25">
      <c r="A3598">
        <v>3597</v>
      </c>
      <c r="B3598">
        <v>28</v>
      </c>
      <c r="C3598" t="s">
        <v>156</v>
      </c>
      <c r="D3598">
        <v>3597</v>
      </c>
      <c r="E3598" t="s">
        <v>107</v>
      </c>
      <c r="F3598" t="s">
        <v>24</v>
      </c>
      <c r="G3598">
        <v>3597</v>
      </c>
      <c r="H3598">
        <v>4515</v>
      </c>
      <c r="I3598">
        <v>83</v>
      </c>
      <c r="J3598" t="s">
        <v>134</v>
      </c>
      <c r="K3598" t="s">
        <v>47</v>
      </c>
      <c r="L3598" t="s">
        <v>64</v>
      </c>
      <c r="M3598" t="s">
        <v>40</v>
      </c>
      <c r="N3598">
        <v>4.3</v>
      </c>
      <c r="O3598">
        <v>0</v>
      </c>
      <c r="P3598" t="s">
        <v>57</v>
      </c>
      <c r="Q3598" t="s">
        <v>155</v>
      </c>
      <c r="R3598" t="s">
        <v>155</v>
      </c>
      <c r="S3598">
        <v>44</v>
      </c>
      <c r="T3598" t="s">
        <v>36</v>
      </c>
      <c r="U3598" t="s">
        <v>32</v>
      </c>
      <c r="V3598" s="1">
        <v>45413</v>
      </c>
      <c r="W3598">
        <f>Table1[[#This Row],[customer_purchase count]]+1</f>
        <v>45</v>
      </c>
      <c r="X3598">
        <f>Table1[[#This Row],[customer_purchase count]]*Rules!$B$3</f>
        <v>2629.6317948717951</v>
      </c>
      <c r="Y3598" t="str">
        <f>IF(Table1[[#This Row],[customer_subscription]]=1,"Subscribed","Not Subscribed")</f>
        <v>Not Subscribed</v>
      </c>
    </row>
    <row r="3599" spans="1:26" x14ac:dyDescent="0.25">
      <c r="A3599">
        <v>3598</v>
      </c>
      <c r="B3599">
        <v>29</v>
      </c>
      <c r="C3599" t="s">
        <v>156</v>
      </c>
      <c r="D3599">
        <v>3598</v>
      </c>
      <c r="E3599" t="s">
        <v>92</v>
      </c>
      <c r="F3599" t="s">
        <v>70</v>
      </c>
      <c r="G3599">
        <v>3598</v>
      </c>
      <c r="H3599">
        <v>4516</v>
      </c>
      <c r="I3599">
        <v>71</v>
      </c>
      <c r="J3599" t="s">
        <v>133</v>
      </c>
      <c r="K3599" t="s">
        <v>47</v>
      </c>
      <c r="L3599" t="s">
        <v>35</v>
      </c>
      <c r="M3599" t="s">
        <v>56</v>
      </c>
      <c r="N3599">
        <v>3.1</v>
      </c>
      <c r="O3599">
        <v>0</v>
      </c>
      <c r="P3599" t="s">
        <v>57</v>
      </c>
      <c r="Q3599" t="s">
        <v>155</v>
      </c>
      <c r="R3599" t="s">
        <v>155</v>
      </c>
      <c r="S3599">
        <v>18</v>
      </c>
      <c r="T3599" t="s">
        <v>78</v>
      </c>
      <c r="U3599" t="s">
        <v>61</v>
      </c>
      <c r="V3599" s="1">
        <v>45452</v>
      </c>
      <c r="W3599">
        <f>Table1[[#This Row],[customer_purchase count]]+1</f>
        <v>19</v>
      </c>
      <c r="X3599">
        <f>Table1[[#This Row],[customer_purchase count]]*Rules!$B$3</f>
        <v>1075.7584615384617</v>
      </c>
      <c r="Y3599" t="str">
        <f>IF(Table1[[#This Row],[customer_subscription]]=1,"Subscribed","Not Subscribed")</f>
        <v>Not Subscribed</v>
      </c>
    </row>
    <row r="3600" spans="1:26" x14ac:dyDescent="0.25">
      <c r="A3600">
        <v>3599</v>
      </c>
      <c r="B3600">
        <v>23</v>
      </c>
      <c r="C3600" t="s">
        <v>156</v>
      </c>
      <c r="D3600">
        <v>3599</v>
      </c>
      <c r="E3600" t="s">
        <v>107</v>
      </c>
      <c r="F3600" t="s">
        <v>24</v>
      </c>
      <c r="G3600">
        <v>3599</v>
      </c>
      <c r="H3600">
        <v>4517</v>
      </c>
      <c r="I3600">
        <v>76</v>
      </c>
      <c r="J3600" t="s">
        <v>142</v>
      </c>
      <c r="K3600" t="s">
        <v>95</v>
      </c>
      <c r="L3600" t="s">
        <v>76</v>
      </c>
      <c r="M3600" t="s">
        <v>40</v>
      </c>
      <c r="N3600">
        <v>4.5999999999999996</v>
      </c>
      <c r="O3600">
        <v>0</v>
      </c>
      <c r="P3600" t="s">
        <v>77</v>
      </c>
      <c r="Q3600" t="s">
        <v>155</v>
      </c>
      <c r="R3600" t="s">
        <v>155</v>
      </c>
      <c r="S3600">
        <v>19</v>
      </c>
      <c r="T3600" t="s">
        <v>78</v>
      </c>
      <c r="U3600" t="s">
        <v>79</v>
      </c>
      <c r="V3600" s="1">
        <v>45373</v>
      </c>
      <c r="W3600">
        <f>Table1[[#This Row],[customer_purchase count]]+1</f>
        <v>20</v>
      </c>
      <c r="X3600">
        <f>Table1[[#This Row],[customer_purchase count]]*Rules!$B$3</f>
        <v>1135.5228205128205</v>
      </c>
      <c r="Y3600" t="str">
        <f>IF(Table1[[#This Row],[customer_subscription]]=1,"Subscribed","Not Subscribed")</f>
        <v>Not Subscribed</v>
      </c>
    </row>
    <row r="3601" spans="1:26" x14ac:dyDescent="0.25">
      <c r="A3601">
        <v>3600</v>
      </c>
      <c r="B3601">
        <v>37</v>
      </c>
      <c r="C3601" t="s">
        <v>156</v>
      </c>
      <c r="D3601">
        <v>3600</v>
      </c>
      <c r="E3601" t="s">
        <v>122</v>
      </c>
      <c r="F3601" t="s">
        <v>70</v>
      </c>
      <c r="G3601">
        <v>3600</v>
      </c>
      <c r="H3601">
        <v>4519</v>
      </c>
      <c r="I3601">
        <v>34</v>
      </c>
      <c r="J3601" t="s">
        <v>114</v>
      </c>
      <c r="K3601" t="s">
        <v>39</v>
      </c>
      <c r="L3601" t="s">
        <v>103</v>
      </c>
      <c r="M3601" t="s">
        <v>40</v>
      </c>
      <c r="N3601">
        <v>4.5999999999999996</v>
      </c>
      <c r="O3601">
        <v>0</v>
      </c>
      <c r="P3601" t="s">
        <v>29</v>
      </c>
      <c r="Q3601" t="s">
        <v>155</v>
      </c>
      <c r="R3601" t="s">
        <v>155</v>
      </c>
      <c r="S3601">
        <v>4</v>
      </c>
      <c r="T3601" t="s">
        <v>36</v>
      </c>
      <c r="U3601" t="s">
        <v>43</v>
      </c>
      <c r="V3601" s="1">
        <v>45371</v>
      </c>
      <c r="W3601">
        <f>Table1[[#This Row],[customer_purchase count]]+1</f>
        <v>5</v>
      </c>
      <c r="X3601">
        <f>Table1[[#This Row],[customer_purchase count]]*Rules!$B$3</f>
        <v>239.05743589743591</v>
      </c>
      <c r="Y3601" t="str">
        <f>IF(Table1[[#This Row],[customer_subscription]]=1,"Subscribed","Not Subscribed")</f>
        <v>Not Subscribed</v>
      </c>
      <c r="Z3601" t="s">
        <v>194</v>
      </c>
    </row>
    <row r="3602" spans="1:26" x14ac:dyDescent="0.25">
      <c r="A3602">
        <v>3601</v>
      </c>
      <c r="B3602">
        <v>67</v>
      </c>
      <c r="C3602" t="s">
        <v>156</v>
      </c>
      <c r="D3602">
        <v>3601</v>
      </c>
      <c r="E3602" t="s">
        <v>84</v>
      </c>
      <c r="F3602" t="s">
        <v>24</v>
      </c>
      <c r="G3602">
        <v>3601</v>
      </c>
      <c r="H3602">
        <v>4520</v>
      </c>
      <c r="I3602">
        <v>81</v>
      </c>
      <c r="J3602" t="s">
        <v>134</v>
      </c>
      <c r="K3602" t="s">
        <v>95</v>
      </c>
      <c r="L3602" t="s">
        <v>81</v>
      </c>
      <c r="M3602" t="s">
        <v>40</v>
      </c>
      <c r="N3602">
        <v>2.7</v>
      </c>
      <c r="O3602">
        <v>0</v>
      </c>
      <c r="P3602" t="s">
        <v>41</v>
      </c>
      <c r="Q3602" t="s">
        <v>155</v>
      </c>
      <c r="R3602" t="s">
        <v>155</v>
      </c>
      <c r="S3602">
        <v>25</v>
      </c>
      <c r="T3602" t="s">
        <v>36</v>
      </c>
      <c r="U3602" t="s">
        <v>79</v>
      </c>
      <c r="V3602" s="1">
        <v>45358</v>
      </c>
      <c r="W3602">
        <f>Table1[[#This Row],[customer_purchase count]]+1</f>
        <v>26</v>
      </c>
      <c r="X3602">
        <f>Table1[[#This Row],[customer_purchase count]]*Rules!$B$3</f>
        <v>1494.1089743589744</v>
      </c>
      <c r="Y3602" t="str">
        <f>IF(Table1[[#This Row],[customer_subscription]]=1,"Subscribed","Not Subscribed")</f>
        <v>Not Subscribed</v>
      </c>
    </row>
    <row r="3603" spans="1:26" x14ac:dyDescent="0.25">
      <c r="A3603">
        <v>3602</v>
      </c>
      <c r="B3603">
        <v>34</v>
      </c>
      <c r="C3603" t="s">
        <v>156</v>
      </c>
      <c r="D3603">
        <v>3602</v>
      </c>
      <c r="E3603" t="s">
        <v>116</v>
      </c>
      <c r="F3603" t="s">
        <v>24</v>
      </c>
      <c r="G3603">
        <v>3602</v>
      </c>
      <c r="H3603">
        <v>4521</v>
      </c>
      <c r="I3603">
        <v>47</v>
      </c>
      <c r="J3603" t="s">
        <v>101</v>
      </c>
      <c r="K3603" t="s">
        <v>47</v>
      </c>
      <c r="L3603" t="s">
        <v>129</v>
      </c>
      <c r="M3603" t="s">
        <v>56</v>
      </c>
      <c r="N3603">
        <v>3</v>
      </c>
      <c r="O3603">
        <v>0</v>
      </c>
      <c r="P3603" t="s">
        <v>48</v>
      </c>
      <c r="Q3603" t="s">
        <v>155</v>
      </c>
      <c r="R3603" t="s">
        <v>155</v>
      </c>
      <c r="S3603">
        <v>3</v>
      </c>
      <c r="T3603" t="s">
        <v>49</v>
      </c>
      <c r="U3603" t="s">
        <v>91</v>
      </c>
      <c r="V3603" s="1">
        <v>45449</v>
      </c>
      <c r="W3603">
        <f>Table1[[#This Row],[customer_purchase count]]+1</f>
        <v>4</v>
      </c>
      <c r="X3603">
        <f>Table1[[#This Row],[customer_purchase count]]*Rules!$B$3</f>
        <v>179.29307692307694</v>
      </c>
      <c r="Y3603" t="str">
        <f>IF(Table1[[#This Row],[customer_subscription]]=1,"Subscribed","Not Subscribed")</f>
        <v>Not Subscribed</v>
      </c>
      <c r="Z3603" t="s">
        <v>194</v>
      </c>
    </row>
    <row r="3604" spans="1:26" x14ac:dyDescent="0.25">
      <c r="A3604">
        <v>3603</v>
      </c>
      <c r="B3604">
        <v>58</v>
      </c>
      <c r="C3604" t="s">
        <v>156</v>
      </c>
      <c r="D3604">
        <v>3603</v>
      </c>
      <c r="E3604" t="s">
        <v>90</v>
      </c>
      <c r="F3604" t="s">
        <v>24</v>
      </c>
      <c r="G3604">
        <v>3603</v>
      </c>
      <c r="H3604">
        <v>4522</v>
      </c>
      <c r="I3604">
        <v>36</v>
      </c>
      <c r="J3604" t="s">
        <v>54</v>
      </c>
      <c r="K3604" t="s">
        <v>39</v>
      </c>
      <c r="L3604" t="s">
        <v>139</v>
      </c>
      <c r="M3604" t="s">
        <v>56</v>
      </c>
      <c r="N3604">
        <v>3.3</v>
      </c>
      <c r="O3604">
        <v>0</v>
      </c>
      <c r="P3604" t="s">
        <v>77</v>
      </c>
      <c r="Q3604" t="s">
        <v>155</v>
      </c>
      <c r="R3604" t="s">
        <v>155</v>
      </c>
      <c r="S3604">
        <v>40</v>
      </c>
      <c r="T3604" t="s">
        <v>89</v>
      </c>
      <c r="U3604" t="s">
        <v>61</v>
      </c>
      <c r="V3604" s="1">
        <v>45451</v>
      </c>
      <c r="W3604">
        <f>Table1[[#This Row],[customer_purchase count]]+1</f>
        <v>41</v>
      </c>
      <c r="X3604">
        <f>Table1[[#This Row],[customer_purchase count]]*Rules!$B$3</f>
        <v>2390.5743589743593</v>
      </c>
      <c r="Y3604" t="str">
        <f>IF(Table1[[#This Row],[customer_subscription]]=1,"Subscribed","Not Subscribed")</f>
        <v>Not Subscribed</v>
      </c>
    </row>
    <row r="3605" spans="1:26" x14ac:dyDescent="0.25">
      <c r="A3605">
        <v>3604</v>
      </c>
      <c r="B3605">
        <v>45</v>
      </c>
      <c r="C3605" t="s">
        <v>156</v>
      </c>
      <c r="D3605">
        <v>3604</v>
      </c>
      <c r="E3605" t="s">
        <v>37</v>
      </c>
      <c r="F3605" t="s">
        <v>24</v>
      </c>
      <c r="G3605">
        <v>3604</v>
      </c>
      <c r="H3605">
        <v>4523</v>
      </c>
      <c r="I3605">
        <v>51</v>
      </c>
      <c r="J3605" t="s">
        <v>63</v>
      </c>
      <c r="K3605" t="s">
        <v>47</v>
      </c>
      <c r="L3605" t="s">
        <v>83</v>
      </c>
      <c r="M3605" t="s">
        <v>40</v>
      </c>
      <c r="N3605">
        <v>2.7</v>
      </c>
      <c r="O3605">
        <v>0</v>
      </c>
      <c r="P3605" t="s">
        <v>41</v>
      </c>
      <c r="Q3605" t="s">
        <v>155</v>
      </c>
      <c r="R3605" t="s">
        <v>155</v>
      </c>
      <c r="S3605">
        <v>5</v>
      </c>
      <c r="T3605" t="s">
        <v>36</v>
      </c>
      <c r="U3605" t="s">
        <v>43</v>
      </c>
      <c r="V3605" s="1">
        <v>45355</v>
      </c>
      <c r="W3605">
        <f>Table1[[#This Row],[customer_purchase count]]+1</f>
        <v>6</v>
      </c>
      <c r="X3605">
        <f>Table1[[#This Row],[customer_purchase count]]*Rules!$B$3</f>
        <v>298.82179487179491</v>
      </c>
      <c r="Y3605" t="str">
        <f>IF(Table1[[#This Row],[customer_subscription]]=1,"Subscribed","Not Subscribed")</f>
        <v>Not Subscribed</v>
      </c>
      <c r="Z3605" t="s">
        <v>194</v>
      </c>
    </row>
    <row r="3606" spans="1:26" x14ac:dyDescent="0.25">
      <c r="A3606">
        <v>3605</v>
      </c>
      <c r="B3606">
        <v>63</v>
      </c>
      <c r="C3606" t="s">
        <v>156</v>
      </c>
      <c r="D3606">
        <v>3605</v>
      </c>
      <c r="E3606" t="s">
        <v>107</v>
      </c>
      <c r="F3606" t="s">
        <v>24</v>
      </c>
      <c r="G3606">
        <v>3605</v>
      </c>
      <c r="H3606">
        <v>4525</v>
      </c>
      <c r="I3606">
        <v>86</v>
      </c>
      <c r="J3606" t="s">
        <v>63</v>
      </c>
      <c r="K3606" t="s">
        <v>47</v>
      </c>
      <c r="L3606" t="s">
        <v>124</v>
      </c>
      <c r="M3606" t="s">
        <v>60</v>
      </c>
      <c r="N3606">
        <v>3.3</v>
      </c>
      <c r="O3606">
        <v>0</v>
      </c>
      <c r="P3606" t="s">
        <v>57</v>
      </c>
      <c r="Q3606" t="s">
        <v>155</v>
      </c>
      <c r="R3606" t="s">
        <v>155</v>
      </c>
      <c r="S3606">
        <v>17</v>
      </c>
      <c r="T3606" t="s">
        <v>89</v>
      </c>
      <c r="U3606" t="s">
        <v>52</v>
      </c>
      <c r="V3606" s="1">
        <v>45550</v>
      </c>
      <c r="W3606">
        <f>Table1[[#This Row],[customer_purchase count]]+1</f>
        <v>18</v>
      </c>
      <c r="X3606">
        <f>Table1[[#This Row],[customer_purchase count]]*Rules!$B$3</f>
        <v>1015.9941025641026</v>
      </c>
      <c r="Y3606" t="str">
        <f>IF(Table1[[#This Row],[customer_subscription]]=1,"Subscribed","Not Subscribed")</f>
        <v>Not Subscribed</v>
      </c>
      <c r="Z3606" t="s">
        <v>194</v>
      </c>
    </row>
    <row r="3607" spans="1:26" x14ac:dyDescent="0.25">
      <c r="A3607">
        <v>3606</v>
      </c>
      <c r="B3607">
        <v>68</v>
      </c>
      <c r="C3607" t="s">
        <v>156</v>
      </c>
      <c r="D3607">
        <v>3606</v>
      </c>
      <c r="E3607" t="s">
        <v>37</v>
      </c>
      <c r="F3607" t="s">
        <v>24</v>
      </c>
      <c r="G3607">
        <v>3606</v>
      </c>
      <c r="H3607">
        <v>4526</v>
      </c>
      <c r="I3607">
        <v>41</v>
      </c>
      <c r="J3607" t="s">
        <v>93</v>
      </c>
      <c r="K3607" t="s">
        <v>47</v>
      </c>
      <c r="L3607" t="s">
        <v>83</v>
      </c>
      <c r="M3607" t="s">
        <v>60</v>
      </c>
      <c r="N3607">
        <v>4.3</v>
      </c>
      <c r="O3607">
        <v>0</v>
      </c>
      <c r="P3607" t="s">
        <v>77</v>
      </c>
      <c r="Q3607" t="s">
        <v>155</v>
      </c>
      <c r="R3607" t="s">
        <v>155</v>
      </c>
      <c r="S3607">
        <v>36</v>
      </c>
      <c r="T3607" t="s">
        <v>78</v>
      </c>
      <c r="U3607" t="s">
        <v>100</v>
      </c>
      <c r="V3607" s="1">
        <v>45563</v>
      </c>
      <c r="W3607">
        <f>Table1[[#This Row],[customer_purchase count]]+1</f>
        <v>37</v>
      </c>
      <c r="X3607">
        <f>Table1[[#This Row],[customer_purchase count]]*Rules!$B$3</f>
        <v>2151.5169230769234</v>
      </c>
      <c r="Y3607" t="str">
        <f>IF(Table1[[#This Row],[customer_subscription]]=1,"Subscribed","Not Subscribed")</f>
        <v>Not Subscribed</v>
      </c>
    </row>
    <row r="3608" spans="1:26" x14ac:dyDescent="0.25">
      <c r="A3608">
        <v>3607</v>
      </c>
      <c r="B3608">
        <v>41</v>
      </c>
      <c r="C3608" t="s">
        <v>156</v>
      </c>
      <c r="D3608">
        <v>3607</v>
      </c>
      <c r="E3608" t="s">
        <v>44</v>
      </c>
      <c r="F3608" t="s">
        <v>45</v>
      </c>
      <c r="G3608">
        <v>3607</v>
      </c>
      <c r="H3608">
        <v>4527</v>
      </c>
      <c r="I3608">
        <v>90</v>
      </c>
      <c r="J3608" t="s">
        <v>151</v>
      </c>
      <c r="K3608" t="s">
        <v>95</v>
      </c>
      <c r="L3608" t="s">
        <v>76</v>
      </c>
      <c r="M3608" t="s">
        <v>60</v>
      </c>
      <c r="N3608">
        <v>4.8</v>
      </c>
      <c r="O3608">
        <v>0</v>
      </c>
      <c r="P3608" t="s">
        <v>29</v>
      </c>
      <c r="Q3608" t="s">
        <v>155</v>
      </c>
      <c r="R3608" t="s">
        <v>155</v>
      </c>
      <c r="S3608">
        <v>41</v>
      </c>
      <c r="T3608" t="s">
        <v>31</v>
      </c>
      <c r="U3608" t="s">
        <v>52</v>
      </c>
      <c r="V3608" s="1">
        <v>45563</v>
      </c>
      <c r="W3608">
        <f>Table1[[#This Row],[customer_purchase count]]+1</f>
        <v>42</v>
      </c>
      <c r="X3608">
        <f>Table1[[#This Row],[customer_purchase count]]*Rules!$B$3</f>
        <v>2450.3387179487181</v>
      </c>
      <c r="Y3608" t="str">
        <f>IF(Table1[[#This Row],[customer_subscription]]=1,"Subscribed","Not Subscribed")</f>
        <v>Not Subscribed</v>
      </c>
    </row>
    <row r="3609" spans="1:26" x14ac:dyDescent="0.25">
      <c r="A3609">
        <v>3608</v>
      </c>
      <c r="B3609">
        <v>50</v>
      </c>
      <c r="C3609" t="s">
        <v>156</v>
      </c>
      <c r="D3609">
        <v>3608</v>
      </c>
      <c r="E3609" t="s">
        <v>127</v>
      </c>
      <c r="F3609" t="s">
        <v>70</v>
      </c>
      <c r="G3609">
        <v>3608</v>
      </c>
      <c r="H3609">
        <v>4528</v>
      </c>
      <c r="I3609">
        <v>93</v>
      </c>
      <c r="J3609" t="s">
        <v>133</v>
      </c>
      <c r="K3609" t="s">
        <v>26</v>
      </c>
      <c r="L3609" t="s">
        <v>64</v>
      </c>
      <c r="M3609" t="s">
        <v>60</v>
      </c>
      <c r="N3609">
        <v>3.3</v>
      </c>
      <c r="O3609">
        <v>0</v>
      </c>
      <c r="P3609" t="s">
        <v>57</v>
      </c>
      <c r="Q3609" t="s">
        <v>155</v>
      </c>
      <c r="R3609" t="s">
        <v>155</v>
      </c>
      <c r="S3609">
        <v>20</v>
      </c>
      <c r="T3609" t="s">
        <v>31</v>
      </c>
      <c r="U3609" t="s">
        <v>79</v>
      </c>
      <c r="V3609" s="1">
        <v>45569</v>
      </c>
      <c r="W3609">
        <f>Table1[[#This Row],[customer_purchase count]]+1</f>
        <v>21</v>
      </c>
      <c r="X3609">
        <f>Table1[[#This Row],[customer_purchase count]]*Rules!$B$3</f>
        <v>1195.2871794871796</v>
      </c>
      <c r="Y3609" t="str">
        <f>IF(Table1[[#This Row],[customer_subscription]]=1,"Subscribed","Not Subscribed")</f>
        <v>Not Subscribed</v>
      </c>
    </row>
    <row r="3610" spans="1:26" x14ac:dyDescent="0.25">
      <c r="A3610">
        <v>3609</v>
      </c>
      <c r="B3610">
        <v>24</v>
      </c>
      <c r="C3610" t="s">
        <v>156</v>
      </c>
      <c r="D3610">
        <v>3609</v>
      </c>
      <c r="E3610" t="s">
        <v>146</v>
      </c>
      <c r="F3610" t="s">
        <v>70</v>
      </c>
      <c r="G3610">
        <v>3609</v>
      </c>
      <c r="H3610">
        <v>4529</v>
      </c>
      <c r="I3610">
        <v>56</v>
      </c>
      <c r="J3610" t="s">
        <v>125</v>
      </c>
      <c r="K3610" t="s">
        <v>47</v>
      </c>
      <c r="L3610" t="s">
        <v>112</v>
      </c>
      <c r="M3610" t="s">
        <v>60</v>
      </c>
      <c r="N3610">
        <v>4.3</v>
      </c>
      <c r="O3610">
        <v>0</v>
      </c>
      <c r="P3610" t="s">
        <v>48</v>
      </c>
      <c r="Q3610" t="s">
        <v>155</v>
      </c>
      <c r="R3610" t="s">
        <v>155</v>
      </c>
      <c r="S3610">
        <v>2</v>
      </c>
      <c r="T3610" t="s">
        <v>36</v>
      </c>
      <c r="U3610" t="s">
        <v>100</v>
      </c>
      <c r="V3610" s="1">
        <v>45546</v>
      </c>
      <c r="W3610">
        <f>Table1[[#This Row],[customer_purchase count]]+1</f>
        <v>3</v>
      </c>
      <c r="X3610">
        <f>Table1[[#This Row],[customer_purchase count]]*Rules!$B$3</f>
        <v>119.52871794871795</v>
      </c>
      <c r="Y3610" t="str">
        <f>IF(Table1[[#This Row],[customer_subscription]]=1,"Subscribed","Not Subscribed")</f>
        <v>Not Subscribed</v>
      </c>
      <c r="Z3610" t="s">
        <v>194</v>
      </c>
    </row>
    <row r="3611" spans="1:26" x14ac:dyDescent="0.25">
      <c r="A3611">
        <v>3610</v>
      </c>
      <c r="B3611">
        <v>21</v>
      </c>
      <c r="C3611" t="s">
        <v>156</v>
      </c>
      <c r="D3611">
        <v>3610</v>
      </c>
      <c r="E3611" t="s">
        <v>128</v>
      </c>
      <c r="F3611" t="s">
        <v>24</v>
      </c>
      <c r="G3611">
        <v>3610</v>
      </c>
      <c r="H3611">
        <v>4531</v>
      </c>
      <c r="I3611">
        <v>39</v>
      </c>
      <c r="J3611" t="s">
        <v>133</v>
      </c>
      <c r="K3611" t="s">
        <v>47</v>
      </c>
      <c r="L3611" t="s">
        <v>112</v>
      </c>
      <c r="M3611" t="s">
        <v>56</v>
      </c>
      <c r="N3611">
        <v>3</v>
      </c>
      <c r="O3611">
        <v>0</v>
      </c>
      <c r="P3611" t="s">
        <v>73</v>
      </c>
      <c r="Q3611" t="s">
        <v>155</v>
      </c>
      <c r="R3611" t="s">
        <v>155</v>
      </c>
      <c r="S3611">
        <v>31</v>
      </c>
      <c r="T3611" t="s">
        <v>89</v>
      </c>
      <c r="U3611" t="s">
        <v>91</v>
      </c>
      <c r="V3611" s="1">
        <v>45452</v>
      </c>
      <c r="W3611">
        <f>Table1[[#This Row],[customer_purchase count]]+1</f>
        <v>32</v>
      </c>
      <c r="X3611">
        <f>Table1[[#This Row],[customer_purchase count]]*Rules!$B$3</f>
        <v>1852.6951282051282</v>
      </c>
      <c r="Y3611" t="str">
        <f>IF(Table1[[#This Row],[customer_subscription]]=1,"Subscribed","Not Subscribed")</f>
        <v>Not Subscribed</v>
      </c>
    </row>
    <row r="3612" spans="1:26" x14ac:dyDescent="0.25">
      <c r="A3612">
        <v>3611</v>
      </c>
      <c r="B3612">
        <v>18</v>
      </c>
      <c r="C3612" t="s">
        <v>156</v>
      </c>
      <c r="D3612">
        <v>3611</v>
      </c>
      <c r="E3612" t="s">
        <v>105</v>
      </c>
      <c r="F3612" t="s">
        <v>66</v>
      </c>
      <c r="G3612">
        <v>3611</v>
      </c>
      <c r="H3612">
        <v>4532</v>
      </c>
      <c r="I3612">
        <v>86</v>
      </c>
      <c r="J3612" t="s">
        <v>108</v>
      </c>
      <c r="K3612" t="s">
        <v>95</v>
      </c>
      <c r="L3612" t="s">
        <v>99</v>
      </c>
      <c r="M3612" t="s">
        <v>60</v>
      </c>
      <c r="N3612">
        <v>4.8</v>
      </c>
      <c r="O3612">
        <v>0</v>
      </c>
      <c r="P3612" t="s">
        <v>73</v>
      </c>
      <c r="Q3612" t="s">
        <v>155</v>
      </c>
      <c r="R3612" t="s">
        <v>155</v>
      </c>
      <c r="S3612">
        <v>23</v>
      </c>
      <c r="T3612" t="s">
        <v>78</v>
      </c>
      <c r="U3612" t="s">
        <v>32</v>
      </c>
      <c r="V3612" s="1">
        <v>45538</v>
      </c>
      <c r="W3612">
        <f>Table1[[#This Row],[customer_purchase count]]+1</f>
        <v>24</v>
      </c>
      <c r="X3612">
        <f>Table1[[#This Row],[customer_purchase count]]*Rules!$B$3</f>
        <v>1374.5802564102564</v>
      </c>
      <c r="Y3612" t="str">
        <f>IF(Table1[[#This Row],[customer_subscription]]=1,"Subscribed","Not Subscribed")</f>
        <v>Not Subscribed</v>
      </c>
    </row>
    <row r="3613" spans="1:26" x14ac:dyDescent="0.25">
      <c r="A3613">
        <v>3612</v>
      </c>
      <c r="B3613">
        <v>63</v>
      </c>
      <c r="C3613" t="s">
        <v>156</v>
      </c>
      <c r="D3613">
        <v>3612</v>
      </c>
      <c r="E3613" t="s">
        <v>116</v>
      </c>
      <c r="F3613" t="s">
        <v>24</v>
      </c>
      <c r="G3613">
        <v>3612</v>
      </c>
      <c r="H3613">
        <v>4533</v>
      </c>
      <c r="I3613">
        <v>82</v>
      </c>
      <c r="J3613" t="s">
        <v>152</v>
      </c>
      <c r="K3613" t="s">
        <v>47</v>
      </c>
      <c r="L3613" t="s">
        <v>68</v>
      </c>
      <c r="M3613" t="s">
        <v>40</v>
      </c>
      <c r="N3613">
        <v>2.9</v>
      </c>
      <c r="O3613">
        <v>0</v>
      </c>
      <c r="P3613" t="s">
        <v>57</v>
      </c>
      <c r="Q3613" t="s">
        <v>155</v>
      </c>
      <c r="R3613" t="s">
        <v>155</v>
      </c>
      <c r="S3613">
        <v>30</v>
      </c>
      <c r="T3613" t="s">
        <v>42</v>
      </c>
      <c r="U3613" t="s">
        <v>52</v>
      </c>
      <c r="V3613" s="1">
        <v>45421</v>
      </c>
      <c r="W3613">
        <f>Table1[[#This Row],[customer_purchase count]]+1</f>
        <v>31</v>
      </c>
      <c r="X3613">
        <f>Table1[[#This Row],[customer_purchase count]]*Rules!$B$3</f>
        <v>1792.9307692307693</v>
      </c>
      <c r="Y3613" t="str">
        <f>IF(Table1[[#This Row],[customer_subscription]]=1,"Subscribed","Not Subscribed")</f>
        <v>Not Subscribed</v>
      </c>
    </row>
    <row r="3614" spans="1:26" x14ac:dyDescent="0.25">
      <c r="A3614">
        <v>3613</v>
      </c>
      <c r="B3614">
        <v>47</v>
      </c>
      <c r="C3614" t="s">
        <v>156</v>
      </c>
      <c r="D3614">
        <v>3613</v>
      </c>
      <c r="E3614" t="s">
        <v>44</v>
      </c>
      <c r="F3614" t="s">
        <v>45</v>
      </c>
      <c r="G3614">
        <v>3613</v>
      </c>
      <c r="H3614">
        <v>4534</v>
      </c>
      <c r="I3614">
        <v>29</v>
      </c>
      <c r="J3614" t="s">
        <v>154</v>
      </c>
      <c r="K3614" t="s">
        <v>47</v>
      </c>
      <c r="L3614" t="s">
        <v>88</v>
      </c>
      <c r="M3614" t="s">
        <v>56</v>
      </c>
      <c r="N3614">
        <v>3.6</v>
      </c>
      <c r="O3614">
        <v>0</v>
      </c>
      <c r="P3614" t="s">
        <v>57</v>
      </c>
      <c r="Q3614" t="s">
        <v>155</v>
      </c>
      <c r="R3614" t="s">
        <v>155</v>
      </c>
      <c r="S3614">
        <v>26</v>
      </c>
      <c r="T3614" t="s">
        <v>36</v>
      </c>
      <c r="U3614" t="s">
        <v>100</v>
      </c>
      <c r="V3614" s="1">
        <v>45518</v>
      </c>
      <c r="W3614">
        <f>Table1[[#This Row],[customer_purchase count]]+1</f>
        <v>27</v>
      </c>
      <c r="X3614">
        <f>Table1[[#This Row],[customer_purchase count]]*Rules!$B$3</f>
        <v>1553.8733333333334</v>
      </c>
      <c r="Y3614" t="str">
        <f>IF(Table1[[#This Row],[customer_subscription]]=1,"Subscribed","Not Subscribed")</f>
        <v>Not Subscribed</v>
      </c>
    </row>
    <row r="3615" spans="1:26" x14ac:dyDescent="0.25">
      <c r="A3615">
        <v>3614</v>
      </c>
      <c r="B3615">
        <v>58</v>
      </c>
      <c r="C3615" t="s">
        <v>156</v>
      </c>
      <c r="D3615">
        <v>3614</v>
      </c>
      <c r="E3615" t="s">
        <v>127</v>
      </c>
      <c r="F3615" t="s">
        <v>70</v>
      </c>
      <c r="G3615">
        <v>3614</v>
      </c>
      <c r="H3615">
        <v>4535</v>
      </c>
      <c r="I3615">
        <v>27</v>
      </c>
      <c r="J3615" t="s">
        <v>151</v>
      </c>
      <c r="K3615" t="s">
        <v>47</v>
      </c>
      <c r="L3615" t="s">
        <v>139</v>
      </c>
      <c r="M3615" t="s">
        <v>60</v>
      </c>
      <c r="N3615">
        <v>3.5</v>
      </c>
      <c r="O3615">
        <v>0</v>
      </c>
      <c r="P3615" t="s">
        <v>77</v>
      </c>
      <c r="Q3615" t="s">
        <v>155</v>
      </c>
      <c r="R3615" t="s">
        <v>155</v>
      </c>
      <c r="S3615">
        <v>40</v>
      </c>
      <c r="T3615" t="s">
        <v>31</v>
      </c>
      <c r="U3615" t="s">
        <v>52</v>
      </c>
      <c r="V3615" s="1">
        <v>45610</v>
      </c>
      <c r="W3615">
        <f>Table1[[#This Row],[customer_purchase count]]+1</f>
        <v>41</v>
      </c>
      <c r="X3615">
        <f>Table1[[#This Row],[customer_purchase count]]*Rules!$B$3</f>
        <v>2390.5743589743593</v>
      </c>
      <c r="Y3615" t="str">
        <f>IF(Table1[[#This Row],[customer_subscription]]=1,"Subscribed","Not Subscribed")</f>
        <v>Not Subscribed</v>
      </c>
    </row>
    <row r="3616" spans="1:26" x14ac:dyDescent="0.25">
      <c r="A3616">
        <v>3615</v>
      </c>
      <c r="B3616">
        <v>46</v>
      </c>
      <c r="C3616" t="s">
        <v>156</v>
      </c>
      <c r="D3616">
        <v>3615</v>
      </c>
      <c r="E3616" t="s">
        <v>146</v>
      </c>
      <c r="F3616" t="s">
        <v>70</v>
      </c>
      <c r="G3616">
        <v>3615</v>
      </c>
      <c r="H3616">
        <v>4537</v>
      </c>
      <c r="I3616">
        <v>25</v>
      </c>
      <c r="J3616" t="s">
        <v>82</v>
      </c>
      <c r="K3616" t="s">
        <v>26</v>
      </c>
      <c r="L3616" t="s">
        <v>35</v>
      </c>
      <c r="M3616" t="s">
        <v>40</v>
      </c>
      <c r="N3616">
        <v>4.7</v>
      </c>
      <c r="O3616">
        <v>0</v>
      </c>
      <c r="P3616" t="s">
        <v>73</v>
      </c>
      <c r="Q3616" t="s">
        <v>155</v>
      </c>
      <c r="R3616" t="s">
        <v>155</v>
      </c>
      <c r="S3616">
        <v>19</v>
      </c>
      <c r="T3616" t="s">
        <v>78</v>
      </c>
      <c r="U3616" t="s">
        <v>52</v>
      </c>
      <c r="V3616" s="1">
        <v>45439</v>
      </c>
      <c r="W3616">
        <f>Table1[[#This Row],[customer_purchase count]]+1</f>
        <v>20</v>
      </c>
      <c r="X3616">
        <f>Table1[[#This Row],[customer_purchase count]]*Rules!$B$3</f>
        <v>1135.5228205128205</v>
      </c>
      <c r="Y3616" t="str">
        <f>IF(Table1[[#This Row],[customer_subscription]]=1,"Subscribed","Not Subscribed")</f>
        <v>Not Subscribed</v>
      </c>
    </row>
    <row r="3617" spans="1:26" x14ac:dyDescent="0.25">
      <c r="A3617">
        <v>3616</v>
      </c>
      <c r="B3617">
        <v>35</v>
      </c>
      <c r="C3617" t="s">
        <v>156</v>
      </c>
      <c r="D3617">
        <v>3616</v>
      </c>
      <c r="E3617" t="s">
        <v>84</v>
      </c>
      <c r="F3617" t="s">
        <v>24</v>
      </c>
      <c r="G3617">
        <v>3616</v>
      </c>
      <c r="H3617">
        <v>4538</v>
      </c>
      <c r="I3617">
        <v>31</v>
      </c>
      <c r="J3617" t="s">
        <v>102</v>
      </c>
      <c r="K3617" t="s">
        <v>47</v>
      </c>
      <c r="L3617" t="s">
        <v>83</v>
      </c>
      <c r="M3617" t="s">
        <v>28</v>
      </c>
      <c r="N3617">
        <v>4.4000000000000004</v>
      </c>
      <c r="O3617">
        <v>0</v>
      </c>
      <c r="P3617" t="s">
        <v>41</v>
      </c>
      <c r="Q3617" t="s">
        <v>155</v>
      </c>
      <c r="R3617" t="s">
        <v>155</v>
      </c>
      <c r="S3617">
        <v>4</v>
      </c>
      <c r="T3617" t="s">
        <v>42</v>
      </c>
      <c r="U3617" t="s">
        <v>91</v>
      </c>
      <c r="V3617" s="1">
        <v>45328</v>
      </c>
      <c r="W3617">
        <f>Table1[[#This Row],[customer_purchase count]]+1</f>
        <v>5</v>
      </c>
      <c r="X3617">
        <f>Table1[[#This Row],[customer_purchase count]]*Rules!$B$3</f>
        <v>239.05743589743591</v>
      </c>
      <c r="Y3617" t="str">
        <f>IF(Table1[[#This Row],[customer_subscription]]=1,"Subscribed","Not Subscribed")</f>
        <v>Not Subscribed</v>
      </c>
      <c r="Z3617" t="s">
        <v>194</v>
      </c>
    </row>
    <row r="3618" spans="1:26" x14ac:dyDescent="0.25">
      <c r="A3618">
        <v>3617</v>
      </c>
      <c r="B3618">
        <v>42</v>
      </c>
      <c r="C3618" t="s">
        <v>156</v>
      </c>
      <c r="D3618">
        <v>3617</v>
      </c>
      <c r="E3618" t="s">
        <v>107</v>
      </c>
      <c r="F3618" t="s">
        <v>24</v>
      </c>
      <c r="G3618">
        <v>3617</v>
      </c>
      <c r="H3618">
        <v>4539</v>
      </c>
      <c r="I3618">
        <v>23</v>
      </c>
      <c r="J3618" t="s">
        <v>153</v>
      </c>
      <c r="K3618" t="s">
        <v>26</v>
      </c>
      <c r="L3618" t="s">
        <v>76</v>
      </c>
      <c r="M3618" t="s">
        <v>28</v>
      </c>
      <c r="N3618">
        <v>3.3</v>
      </c>
      <c r="O3618">
        <v>0</v>
      </c>
      <c r="P3618" t="s">
        <v>77</v>
      </c>
      <c r="Q3618" t="s">
        <v>155</v>
      </c>
      <c r="R3618" t="s">
        <v>155</v>
      </c>
      <c r="S3618">
        <v>33</v>
      </c>
      <c r="T3618" t="s">
        <v>89</v>
      </c>
      <c r="U3618" t="s">
        <v>32</v>
      </c>
      <c r="V3618" s="1">
        <v>45645</v>
      </c>
      <c r="W3618">
        <f>Table1[[#This Row],[customer_purchase count]]+1</f>
        <v>34</v>
      </c>
      <c r="X3618">
        <f>Table1[[#This Row],[customer_purchase count]]*Rules!$B$3</f>
        <v>1972.2238461538464</v>
      </c>
      <c r="Y3618" t="str">
        <f>IF(Table1[[#This Row],[customer_subscription]]=1,"Subscribed","Not Subscribed")</f>
        <v>Not Subscribed</v>
      </c>
    </row>
    <row r="3619" spans="1:26" x14ac:dyDescent="0.25">
      <c r="A3619">
        <v>3618</v>
      </c>
      <c r="B3619">
        <v>48</v>
      </c>
      <c r="C3619" t="s">
        <v>156</v>
      </c>
      <c r="D3619">
        <v>3618</v>
      </c>
      <c r="E3619" t="s">
        <v>136</v>
      </c>
      <c r="F3619" t="s">
        <v>70</v>
      </c>
      <c r="G3619">
        <v>3618</v>
      </c>
      <c r="H3619">
        <v>4540</v>
      </c>
      <c r="I3619">
        <v>47</v>
      </c>
      <c r="J3619" t="s">
        <v>25</v>
      </c>
      <c r="K3619" t="s">
        <v>47</v>
      </c>
      <c r="L3619" t="s">
        <v>96</v>
      </c>
      <c r="M3619" t="s">
        <v>60</v>
      </c>
      <c r="N3619">
        <v>4.3</v>
      </c>
      <c r="O3619">
        <v>0</v>
      </c>
      <c r="P3619" t="s">
        <v>29</v>
      </c>
      <c r="Q3619" t="s">
        <v>155</v>
      </c>
      <c r="R3619" t="s">
        <v>155</v>
      </c>
      <c r="S3619">
        <v>29</v>
      </c>
      <c r="T3619" t="s">
        <v>89</v>
      </c>
      <c r="U3619" t="s">
        <v>91</v>
      </c>
      <c r="V3619" s="1">
        <v>45568</v>
      </c>
      <c r="W3619">
        <f>Table1[[#This Row],[customer_purchase count]]+1</f>
        <v>30</v>
      </c>
      <c r="X3619">
        <f>Table1[[#This Row],[customer_purchase count]]*Rules!$B$3</f>
        <v>1733.1664102564102</v>
      </c>
      <c r="Y3619" t="str">
        <f>IF(Table1[[#This Row],[customer_subscription]]=1,"Subscribed","Not Subscribed")</f>
        <v>Not Subscribed</v>
      </c>
    </row>
    <row r="3620" spans="1:26" x14ac:dyDescent="0.25">
      <c r="A3620">
        <v>3619</v>
      </c>
      <c r="B3620">
        <v>28</v>
      </c>
      <c r="C3620" t="s">
        <v>156</v>
      </c>
      <c r="D3620">
        <v>3619</v>
      </c>
      <c r="E3620" t="s">
        <v>146</v>
      </c>
      <c r="F3620" t="s">
        <v>70</v>
      </c>
      <c r="G3620">
        <v>3619</v>
      </c>
      <c r="H3620">
        <v>4541</v>
      </c>
      <c r="I3620">
        <v>67</v>
      </c>
      <c r="J3620" t="s">
        <v>110</v>
      </c>
      <c r="K3620" t="s">
        <v>47</v>
      </c>
      <c r="L3620" t="s">
        <v>35</v>
      </c>
      <c r="M3620" t="s">
        <v>60</v>
      </c>
      <c r="N3620">
        <v>4</v>
      </c>
      <c r="O3620">
        <v>0</v>
      </c>
      <c r="P3620" t="s">
        <v>73</v>
      </c>
      <c r="Q3620" t="s">
        <v>155</v>
      </c>
      <c r="R3620" t="s">
        <v>155</v>
      </c>
      <c r="S3620">
        <v>47</v>
      </c>
      <c r="T3620" t="s">
        <v>49</v>
      </c>
      <c r="U3620" t="s">
        <v>79</v>
      </c>
      <c r="V3620" s="1">
        <v>45597</v>
      </c>
      <c r="W3620">
        <f>Table1[[#This Row],[customer_purchase count]]+1</f>
        <v>48</v>
      </c>
      <c r="X3620">
        <f>Table1[[#This Row],[customer_purchase count]]*Rules!$B$3</f>
        <v>2808.9248717948717</v>
      </c>
      <c r="Y3620" t="str">
        <f>IF(Table1[[#This Row],[customer_subscription]]=1,"Subscribed","Not Subscribed")</f>
        <v>Not Subscribed</v>
      </c>
    </row>
    <row r="3621" spans="1:26" x14ac:dyDescent="0.25">
      <c r="A3621">
        <v>3620</v>
      </c>
      <c r="B3621">
        <v>44</v>
      </c>
      <c r="C3621" t="s">
        <v>156</v>
      </c>
      <c r="D3621">
        <v>3620</v>
      </c>
      <c r="E3621" t="s">
        <v>122</v>
      </c>
      <c r="F3621" t="s">
        <v>70</v>
      </c>
      <c r="G3621">
        <v>3620</v>
      </c>
      <c r="H3621">
        <v>4543</v>
      </c>
      <c r="I3621">
        <v>75</v>
      </c>
      <c r="J3621" t="s">
        <v>101</v>
      </c>
      <c r="K3621" t="s">
        <v>39</v>
      </c>
      <c r="L3621" t="s">
        <v>139</v>
      </c>
      <c r="M3621" t="s">
        <v>28</v>
      </c>
      <c r="N3621">
        <v>4.9000000000000004</v>
      </c>
      <c r="O3621">
        <v>0</v>
      </c>
      <c r="P3621" t="s">
        <v>73</v>
      </c>
      <c r="Q3621" t="s">
        <v>155</v>
      </c>
      <c r="R3621" t="s">
        <v>155</v>
      </c>
      <c r="S3621">
        <v>50</v>
      </c>
      <c r="T3621" t="s">
        <v>31</v>
      </c>
      <c r="U3621" t="s">
        <v>43</v>
      </c>
      <c r="V3621" s="1">
        <v>45293</v>
      </c>
      <c r="W3621">
        <f>Table1[[#This Row],[customer_purchase count]]+1</f>
        <v>51</v>
      </c>
      <c r="X3621">
        <f>Table1[[#This Row],[customer_purchase count]]*Rules!$B$3</f>
        <v>2988.2179487179487</v>
      </c>
      <c r="Y3621" t="str">
        <f>IF(Table1[[#This Row],[customer_subscription]]=1,"Subscribed","Not Subscribed")</f>
        <v>Not Subscribed</v>
      </c>
    </row>
    <row r="3622" spans="1:26" x14ac:dyDescent="0.25">
      <c r="A3622">
        <v>3621</v>
      </c>
      <c r="B3622">
        <v>60</v>
      </c>
      <c r="C3622" t="s">
        <v>156</v>
      </c>
      <c r="D3622">
        <v>3621</v>
      </c>
      <c r="E3622" t="s">
        <v>44</v>
      </c>
      <c r="F3622" t="s">
        <v>45</v>
      </c>
      <c r="G3622">
        <v>3621</v>
      </c>
      <c r="H3622">
        <v>4544</v>
      </c>
      <c r="I3622">
        <v>82</v>
      </c>
      <c r="J3622" t="s">
        <v>63</v>
      </c>
      <c r="K3622" t="s">
        <v>47</v>
      </c>
      <c r="L3622" t="s">
        <v>51</v>
      </c>
      <c r="M3622" t="s">
        <v>56</v>
      </c>
      <c r="N3622">
        <v>2.9</v>
      </c>
      <c r="O3622">
        <v>0</v>
      </c>
      <c r="P3622" t="s">
        <v>29</v>
      </c>
      <c r="Q3622" t="s">
        <v>155</v>
      </c>
      <c r="R3622" t="s">
        <v>155</v>
      </c>
      <c r="S3622">
        <v>28</v>
      </c>
      <c r="T3622" t="s">
        <v>42</v>
      </c>
      <c r="U3622" t="s">
        <v>32</v>
      </c>
      <c r="V3622" s="1">
        <v>45451</v>
      </c>
      <c r="W3622">
        <f>Table1[[#This Row],[customer_purchase count]]+1</f>
        <v>29</v>
      </c>
      <c r="X3622">
        <f>Table1[[#This Row],[customer_purchase count]]*Rules!$B$3</f>
        <v>1673.4020512820514</v>
      </c>
      <c r="Y3622" t="str">
        <f>IF(Table1[[#This Row],[customer_subscription]]=1,"Subscribed","Not Subscribed")</f>
        <v>Not Subscribed</v>
      </c>
    </row>
    <row r="3623" spans="1:26" x14ac:dyDescent="0.25">
      <c r="A3623">
        <v>3622</v>
      </c>
      <c r="B3623">
        <v>38</v>
      </c>
      <c r="C3623" t="s">
        <v>156</v>
      </c>
      <c r="D3623">
        <v>3622</v>
      </c>
      <c r="E3623" t="s">
        <v>53</v>
      </c>
      <c r="F3623" t="s">
        <v>45</v>
      </c>
      <c r="G3623">
        <v>3622</v>
      </c>
      <c r="H3623">
        <v>4545</v>
      </c>
      <c r="I3623">
        <v>32</v>
      </c>
      <c r="J3623" t="s">
        <v>130</v>
      </c>
      <c r="K3623" t="s">
        <v>95</v>
      </c>
      <c r="L3623" t="s">
        <v>68</v>
      </c>
      <c r="M3623" t="s">
        <v>56</v>
      </c>
      <c r="N3623">
        <v>4</v>
      </c>
      <c r="O3623">
        <v>0</v>
      </c>
      <c r="P3623" t="s">
        <v>73</v>
      </c>
      <c r="Q3623" t="s">
        <v>155</v>
      </c>
      <c r="R3623" t="s">
        <v>155</v>
      </c>
      <c r="S3623">
        <v>5</v>
      </c>
      <c r="T3623" t="s">
        <v>36</v>
      </c>
      <c r="U3623" t="s">
        <v>32</v>
      </c>
      <c r="V3623" s="1">
        <v>45515</v>
      </c>
      <c r="W3623">
        <f>Table1[[#This Row],[customer_purchase count]]+1</f>
        <v>6</v>
      </c>
      <c r="X3623">
        <f>Table1[[#This Row],[customer_purchase count]]*Rules!$B$3</f>
        <v>298.82179487179491</v>
      </c>
      <c r="Y3623" t="str">
        <f>IF(Table1[[#This Row],[customer_subscription]]=1,"Subscribed","Not Subscribed")</f>
        <v>Not Subscribed</v>
      </c>
      <c r="Z3623" t="s">
        <v>194</v>
      </c>
    </row>
    <row r="3624" spans="1:26" x14ac:dyDescent="0.25">
      <c r="A3624">
        <v>3623</v>
      </c>
      <c r="B3624">
        <v>46</v>
      </c>
      <c r="C3624" t="s">
        <v>156</v>
      </c>
      <c r="D3624">
        <v>3623</v>
      </c>
      <c r="E3624" t="s">
        <v>84</v>
      </c>
      <c r="F3624" t="s">
        <v>24</v>
      </c>
      <c r="G3624">
        <v>3623</v>
      </c>
      <c r="H3624">
        <v>4546</v>
      </c>
      <c r="I3624">
        <v>41</v>
      </c>
      <c r="J3624" t="s">
        <v>153</v>
      </c>
      <c r="K3624" t="s">
        <v>47</v>
      </c>
      <c r="L3624" t="s">
        <v>76</v>
      </c>
      <c r="M3624" t="s">
        <v>60</v>
      </c>
      <c r="N3624">
        <v>4.3</v>
      </c>
      <c r="O3624">
        <v>0</v>
      </c>
      <c r="P3624" t="s">
        <v>77</v>
      </c>
      <c r="Q3624" t="s">
        <v>155</v>
      </c>
      <c r="R3624" t="s">
        <v>155</v>
      </c>
      <c r="S3624">
        <v>12</v>
      </c>
      <c r="T3624" t="s">
        <v>42</v>
      </c>
      <c r="U3624" t="s">
        <v>52</v>
      </c>
      <c r="V3624" s="1">
        <v>45583</v>
      </c>
      <c r="W3624">
        <f>Table1[[#This Row],[customer_purchase count]]+1</f>
        <v>13</v>
      </c>
      <c r="X3624">
        <f>Table1[[#This Row],[customer_purchase count]]*Rules!$B$3</f>
        <v>717.17230769230775</v>
      </c>
      <c r="Y3624" t="str">
        <f>IF(Table1[[#This Row],[customer_subscription]]=1,"Subscribed","Not Subscribed")</f>
        <v>Not Subscribed</v>
      </c>
      <c r="Z3624" t="s">
        <v>194</v>
      </c>
    </row>
    <row r="3625" spans="1:26" x14ac:dyDescent="0.25">
      <c r="A3625">
        <v>3624</v>
      </c>
      <c r="B3625">
        <v>39</v>
      </c>
      <c r="C3625" t="s">
        <v>156</v>
      </c>
      <c r="D3625">
        <v>3624</v>
      </c>
      <c r="E3625" t="s">
        <v>109</v>
      </c>
      <c r="F3625" t="s">
        <v>70</v>
      </c>
      <c r="G3625">
        <v>3624</v>
      </c>
      <c r="H3625">
        <v>4547</v>
      </c>
      <c r="I3625">
        <v>89</v>
      </c>
      <c r="J3625" t="s">
        <v>75</v>
      </c>
      <c r="K3625" t="s">
        <v>47</v>
      </c>
      <c r="L3625" t="s">
        <v>86</v>
      </c>
      <c r="M3625" t="s">
        <v>28</v>
      </c>
      <c r="N3625">
        <v>2.7</v>
      </c>
      <c r="O3625">
        <v>0</v>
      </c>
      <c r="P3625" t="s">
        <v>73</v>
      </c>
      <c r="Q3625" t="s">
        <v>155</v>
      </c>
      <c r="R3625" t="s">
        <v>155</v>
      </c>
      <c r="S3625">
        <v>4</v>
      </c>
      <c r="T3625" t="s">
        <v>49</v>
      </c>
      <c r="U3625" t="s">
        <v>43</v>
      </c>
      <c r="V3625" s="1">
        <v>45297</v>
      </c>
      <c r="W3625">
        <f>Table1[[#This Row],[customer_purchase count]]+1</f>
        <v>5</v>
      </c>
      <c r="X3625">
        <f>Table1[[#This Row],[customer_purchase count]]*Rules!$B$3</f>
        <v>239.05743589743591</v>
      </c>
      <c r="Y3625" t="str">
        <f>IF(Table1[[#This Row],[customer_subscription]]=1,"Subscribed","Not Subscribed")</f>
        <v>Not Subscribed</v>
      </c>
      <c r="Z3625" t="s">
        <v>194</v>
      </c>
    </row>
    <row r="3626" spans="1:26" x14ac:dyDescent="0.25">
      <c r="A3626">
        <v>3625</v>
      </c>
      <c r="B3626">
        <v>22</v>
      </c>
      <c r="C3626" t="s">
        <v>156</v>
      </c>
      <c r="D3626">
        <v>3625</v>
      </c>
      <c r="E3626" t="s">
        <v>127</v>
      </c>
      <c r="F3626" t="s">
        <v>70</v>
      </c>
      <c r="G3626">
        <v>3625</v>
      </c>
      <c r="H3626">
        <v>4549</v>
      </c>
      <c r="I3626">
        <v>82</v>
      </c>
      <c r="J3626" t="s">
        <v>108</v>
      </c>
      <c r="K3626" t="s">
        <v>95</v>
      </c>
      <c r="L3626" t="s">
        <v>103</v>
      </c>
      <c r="M3626" t="s">
        <v>60</v>
      </c>
      <c r="N3626">
        <v>5</v>
      </c>
      <c r="O3626">
        <v>0</v>
      </c>
      <c r="P3626" t="s">
        <v>77</v>
      </c>
      <c r="Q3626" t="s">
        <v>155</v>
      </c>
      <c r="R3626" t="s">
        <v>155</v>
      </c>
      <c r="S3626">
        <v>22</v>
      </c>
      <c r="T3626" t="s">
        <v>78</v>
      </c>
      <c r="U3626" t="s">
        <v>79</v>
      </c>
      <c r="V3626" s="1">
        <v>45604</v>
      </c>
      <c r="W3626">
        <f>Table1[[#This Row],[customer_purchase count]]+1</f>
        <v>23</v>
      </c>
      <c r="X3626">
        <f>Table1[[#This Row],[customer_purchase count]]*Rules!$B$3</f>
        <v>1314.8158974358976</v>
      </c>
      <c r="Y3626" t="str">
        <f>IF(Table1[[#This Row],[customer_subscription]]=1,"Subscribed","Not Subscribed")</f>
        <v>Not Subscribed</v>
      </c>
    </row>
    <row r="3627" spans="1:26" x14ac:dyDescent="0.25">
      <c r="A3627">
        <v>3626</v>
      </c>
      <c r="B3627">
        <v>44</v>
      </c>
      <c r="C3627" t="s">
        <v>156</v>
      </c>
      <c r="D3627">
        <v>3626</v>
      </c>
      <c r="E3627" t="s">
        <v>122</v>
      </c>
      <c r="F3627" t="s">
        <v>70</v>
      </c>
      <c r="G3627">
        <v>3626</v>
      </c>
      <c r="H3627">
        <v>4550</v>
      </c>
      <c r="I3627">
        <v>99</v>
      </c>
      <c r="J3627" t="s">
        <v>118</v>
      </c>
      <c r="K3627" t="s">
        <v>26</v>
      </c>
      <c r="L3627" t="s">
        <v>99</v>
      </c>
      <c r="M3627" t="s">
        <v>28</v>
      </c>
      <c r="N3627">
        <v>4.4000000000000004</v>
      </c>
      <c r="O3627">
        <v>0</v>
      </c>
      <c r="P3627" t="s">
        <v>29</v>
      </c>
      <c r="Q3627" t="s">
        <v>155</v>
      </c>
      <c r="R3627" t="s">
        <v>155</v>
      </c>
      <c r="S3627">
        <v>32</v>
      </c>
      <c r="T3627" t="s">
        <v>49</v>
      </c>
      <c r="U3627" t="s">
        <v>43</v>
      </c>
      <c r="V3627" s="1">
        <v>45345</v>
      </c>
      <c r="W3627">
        <f>Table1[[#This Row],[customer_purchase count]]+1</f>
        <v>33</v>
      </c>
      <c r="X3627">
        <f>Table1[[#This Row],[customer_purchase count]]*Rules!$B$3</f>
        <v>1912.4594871794873</v>
      </c>
      <c r="Y3627" t="str">
        <f>IF(Table1[[#This Row],[customer_subscription]]=1,"Subscribed","Not Subscribed")</f>
        <v>Not Subscribed</v>
      </c>
    </row>
    <row r="3628" spans="1:26" x14ac:dyDescent="0.25">
      <c r="A3628">
        <v>3627</v>
      </c>
      <c r="B3628">
        <v>69</v>
      </c>
      <c r="C3628" t="s">
        <v>156</v>
      </c>
      <c r="D3628">
        <v>3627</v>
      </c>
      <c r="E3628" t="s">
        <v>23</v>
      </c>
      <c r="F3628" t="s">
        <v>24</v>
      </c>
      <c r="G3628">
        <v>3627</v>
      </c>
      <c r="H3628">
        <v>4551</v>
      </c>
      <c r="I3628">
        <v>98</v>
      </c>
      <c r="J3628" t="s">
        <v>94</v>
      </c>
      <c r="K3628" t="s">
        <v>26</v>
      </c>
      <c r="L3628" t="s">
        <v>88</v>
      </c>
      <c r="M3628" t="s">
        <v>60</v>
      </c>
      <c r="N3628">
        <v>3.5</v>
      </c>
      <c r="O3628">
        <v>0</v>
      </c>
      <c r="P3628" t="s">
        <v>29</v>
      </c>
      <c r="Q3628" t="s">
        <v>155</v>
      </c>
      <c r="R3628" t="s">
        <v>155</v>
      </c>
      <c r="S3628">
        <v>32</v>
      </c>
      <c r="T3628" t="s">
        <v>31</v>
      </c>
      <c r="U3628" t="s">
        <v>61</v>
      </c>
      <c r="V3628" s="1">
        <v>45623</v>
      </c>
      <c r="W3628">
        <f>Table1[[#This Row],[customer_purchase count]]+1</f>
        <v>33</v>
      </c>
      <c r="X3628">
        <f>Table1[[#This Row],[customer_purchase count]]*Rules!$B$3</f>
        <v>1912.4594871794873</v>
      </c>
      <c r="Y3628" t="str">
        <f>IF(Table1[[#This Row],[customer_subscription]]=1,"Subscribed","Not Subscribed")</f>
        <v>Not Subscribed</v>
      </c>
    </row>
    <row r="3629" spans="1:26" x14ac:dyDescent="0.25">
      <c r="A3629">
        <v>3628</v>
      </c>
      <c r="B3629">
        <v>39</v>
      </c>
      <c r="C3629" t="s">
        <v>156</v>
      </c>
      <c r="D3629">
        <v>3628</v>
      </c>
      <c r="E3629" t="s">
        <v>136</v>
      </c>
      <c r="F3629" t="s">
        <v>70</v>
      </c>
      <c r="G3629">
        <v>3628</v>
      </c>
      <c r="H3629">
        <v>4552</v>
      </c>
      <c r="I3629">
        <v>54</v>
      </c>
      <c r="J3629" t="s">
        <v>82</v>
      </c>
      <c r="K3629" t="s">
        <v>47</v>
      </c>
      <c r="L3629" t="s">
        <v>68</v>
      </c>
      <c r="M3629" t="s">
        <v>28</v>
      </c>
      <c r="N3629">
        <v>3.3</v>
      </c>
      <c r="O3629">
        <v>0</v>
      </c>
      <c r="P3629" t="s">
        <v>48</v>
      </c>
      <c r="Q3629" t="s">
        <v>155</v>
      </c>
      <c r="R3629" t="s">
        <v>155</v>
      </c>
      <c r="S3629">
        <v>48</v>
      </c>
      <c r="T3629" t="s">
        <v>36</v>
      </c>
      <c r="U3629" t="s">
        <v>100</v>
      </c>
      <c r="V3629" s="1">
        <v>45349</v>
      </c>
      <c r="W3629">
        <f>Table1[[#This Row],[customer_purchase count]]+1</f>
        <v>49</v>
      </c>
      <c r="X3629">
        <f>Table1[[#This Row],[customer_purchase count]]*Rules!$B$3</f>
        <v>2868.689230769231</v>
      </c>
      <c r="Y3629" t="str">
        <f>IF(Table1[[#This Row],[customer_subscription]]=1,"Subscribed","Not Subscribed")</f>
        <v>Not Subscribed</v>
      </c>
    </row>
    <row r="3630" spans="1:26" x14ac:dyDescent="0.25">
      <c r="A3630">
        <v>3629</v>
      </c>
      <c r="B3630">
        <v>53</v>
      </c>
      <c r="C3630" t="s">
        <v>156</v>
      </c>
      <c r="D3630">
        <v>3629</v>
      </c>
      <c r="E3630" t="s">
        <v>23</v>
      </c>
      <c r="F3630" t="s">
        <v>24</v>
      </c>
      <c r="G3630">
        <v>3629</v>
      </c>
      <c r="H3630">
        <v>4553</v>
      </c>
      <c r="I3630">
        <v>88</v>
      </c>
      <c r="J3630" t="s">
        <v>145</v>
      </c>
      <c r="K3630" t="s">
        <v>26</v>
      </c>
      <c r="L3630" t="s">
        <v>76</v>
      </c>
      <c r="M3630" t="s">
        <v>56</v>
      </c>
      <c r="N3630">
        <v>3.8</v>
      </c>
      <c r="O3630">
        <v>0</v>
      </c>
      <c r="P3630" t="s">
        <v>41</v>
      </c>
      <c r="Q3630" t="s">
        <v>155</v>
      </c>
      <c r="R3630" t="s">
        <v>155</v>
      </c>
      <c r="S3630">
        <v>35</v>
      </c>
      <c r="T3630" t="s">
        <v>42</v>
      </c>
      <c r="U3630" t="s">
        <v>91</v>
      </c>
      <c r="V3630" s="1">
        <v>45495</v>
      </c>
      <c r="W3630">
        <f>Table1[[#This Row],[customer_purchase count]]+1</f>
        <v>36</v>
      </c>
      <c r="X3630">
        <f>Table1[[#This Row],[customer_purchase count]]*Rules!$B$3</f>
        <v>2091.7525641025641</v>
      </c>
      <c r="Y3630" t="str">
        <f>IF(Table1[[#This Row],[customer_subscription]]=1,"Subscribed","Not Subscribed")</f>
        <v>Not Subscribed</v>
      </c>
    </row>
    <row r="3631" spans="1:26" x14ac:dyDescent="0.25">
      <c r="A3631">
        <v>3630</v>
      </c>
      <c r="B3631">
        <v>52</v>
      </c>
      <c r="C3631" t="s">
        <v>156</v>
      </c>
      <c r="D3631">
        <v>3630</v>
      </c>
      <c r="E3631" t="s">
        <v>116</v>
      </c>
      <c r="F3631" t="s">
        <v>24</v>
      </c>
      <c r="G3631">
        <v>3630</v>
      </c>
      <c r="H3631">
        <v>4555</v>
      </c>
      <c r="I3631">
        <v>43</v>
      </c>
      <c r="J3631" t="s">
        <v>114</v>
      </c>
      <c r="K3631" t="s">
        <v>26</v>
      </c>
      <c r="L3631" t="s">
        <v>96</v>
      </c>
      <c r="M3631" t="s">
        <v>56</v>
      </c>
      <c r="N3631">
        <v>4.5</v>
      </c>
      <c r="O3631">
        <v>0</v>
      </c>
      <c r="P3631" t="s">
        <v>57</v>
      </c>
      <c r="Q3631" t="s">
        <v>155</v>
      </c>
      <c r="R3631" t="s">
        <v>155</v>
      </c>
      <c r="S3631">
        <v>44</v>
      </c>
      <c r="T3631" t="s">
        <v>89</v>
      </c>
      <c r="U3631" t="s">
        <v>32</v>
      </c>
      <c r="V3631" s="1">
        <v>45447</v>
      </c>
      <c r="W3631">
        <f>Table1[[#This Row],[customer_purchase count]]+1</f>
        <v>45</v>
      </c>
      <c r="X3631">
        <f>Table1[[#This Row],[customer_purchase count]]*Rules!$B$3</f>
        <v>2629.6317948717951</v>
      </c>
      <c r="Y3631" t="str">
        <f>IF(Table1[[#This Row],[customer_subscription]]=1,"Subscribed","Not Subscribed")</f>
        <v>Not Subscribed</v>
      </c>
    </row>
    <row r="3632" spans="1:26" x14ac:dyDescent="0.25">
      <c r="A3632">
        <v>3631</v>
      </c>
      <c r="B3632">
        <v>65</v>
      </c>
      <c r="C3632" t="s">
        <v>156</v>
      </c>
      <c r="D3632">
        <v>3631</v>
      </c>
      <c r="E3632" t="s">
        <v>127</v>
      </c>
      <c r="F3632" t="s">
        <v>70</v>
      </c>
      <c r="G3632">
        <v>3631</v>
      </c>
      <c r="H3632">
        <v>4556</v>
      </c>
      <c r="I3632">
        <v>73</v>
      </c>
      <c r="J3632" t="s">
        <v>104</v>
      </c>
      <c r="K3632" t="s">
        <v>47</v>
      </c>
      <c r="L3632" t="s">
        <v>96</v>
      </c>
      <c r="M3632" t="s">
        <v>28</v>
      </c>
      <c r="N3632">
        <v>4.8</v>
      </c>
      <c r="O3632">
        <v>0</v>
      </c>
      <c r="P3632" t="s">
        <v>77</v>
      </c>
      <c r="Q3632" t="s">
        <v>155</v>
      </c>
      <c r="R3632" t="s">
        <v>155</v>
      </c>
      <c r="S3632">
        <v>29</v>
      </c>
      <c r="T3632" t="s">
        <v>36</v>
      </c>
      <c r="U3632" t="s">
        <v>43</v>
      </c>
      <c r="V3632" s="1">
        <v>45343</v>
      </c>
      <c r="W3632">
        <f>Table1[[#This Row],[customer_purchase count]]+1</f>
        <v>30</v>
      </c>
      <c r="X3632">
        <f>Table1[[#This Row],[customer_purchase count]]*Rules!$B$3</f>
        <v>1733.1664102564102</v>
      </c>
      <c r="Y3632" t="str">
        <f>IF(Table1[[#This Row],[customer_subscription]]=1,"Subscribed","Not Subscribed")</f>
        <v>Not Subscribed</v>
      </c>
    </row>
    <row r="3633" spans="1:26" x14ac:dyDescent="0.25">
      <c r="A3633">
        <v>3632</v>
      </c>
      <c r="B3633">
        <v>48</v>
      </c>
      <c r="C3633" t="s">
        <v>156</v>
      </c>
      <c r="D3633">
        <v>3632</v>
      </c>
      <c r="E3633" t="s">
        <v>127</v>
      </c>
      <c r="F3633" t="s">
        <v>70</v>
      </c>
      <c r="G3633">
        <v>3632</v>
      </c>
      <c r="H3633">
        <v>4557</v>
      </c>
      <c r="I3633">
        <v>50</v>
      </c>
      <c r="J3633" t="s">
        <v>130</v>
      </c>
      <c r="K3633" t="s">
        <v>47</v>
      </c>
      <c r="L3633" t="s">
        <v>103</v>
      </c>
      <c r="M3633" t="s">
        <v>60</v>
      </c>
      <c r="N3633">
        <v>2.9</v>
      </c>
      <c r="O3633">
        <v>0</v>
      </c>
      <c r="P3633" t="s">
        <v>77</v>
      </c>
      <c r="Q3633" t="s">
        <v>155</v>
      </c>
      <c r="R3633" t="s">
        <v>155</v>
      </c>
      <c r="S3633">
        <v>26</v>
      </c>
      <c r="T3633" t="s">
        <v>42</v>
      </c>
      <c r="U3633" t="s">
        <v>91</v>
      </c>
      <c r="V3633" s="1">
        <v>45544</v>
      </c>
      <c r="W3633">
        <f>Table1[[#This Row],[customer_purchase count]]+1</f>
        <v>27</v>
      </c>
      <c r="X3633">
        <f>Table1[[#This Row],[customer_purchase count]]*Rules!$B$3</f>
        <v>1553.8733333333334</v>
      </c>
      <c r="Y3633" t="str">
        <f>IF(Table1[[#This Row],[customer_subscription]]=1,"Subscribed","Not Subscribed")</f>
        <v>Not Subscribed</v>
      </c>
    </row>
    <row r="3634" spans="1:26" x14ac:dyDescent="0.25">
      <c r="A3634">
        <v>3633</v>
      </c>
      <c r="B3634">
        <v>27</v>
      </c>
      <c r="C3634" t="s">
        <v>156</v>
      </c>
      <c r="D3634">
        <v>3633</v>
      </c>
      <c r="E3634" t="s">
        <v>53</v>
      </c>
      <c r="F3634" t="s">
        <v>45</v>
      </c>
      <c r="G3634">
        <v>3633</v>
      </c>
      <c r="H3634">
        <v>4558</v>
      </c>
      <c r="I3634">
        <v>73</v>
      </c>
      <c r="J3634" t="s">
        <v>143</v>
      </c>
      <c r="K3634" t="s">
        <v>26</v>
      </c>
      <c r="L3634" t="s">
        <v>99</v>
      </c>
      <c r="M3634" t="s">
        <v>40</v>
      </c>
      <c r="N3634">
        <v>3.2</v>
      </c>
      <c r="O3634">
        <v>0</v>
      </c>
      <c r="P3634" t="s">
        <v>29</v>
      </c>
      <c r="Q3634" t="s">
        <v>155</v>
      </c>
      <c r="R3634" t="s">
        <v>155</v>
      </c>
      <c r="S3634">
        <v>3</v>
      </c>
      <c r="T3634" t="s">
        <v>89</v>
      </c>
      <c r="U3634" t="s">
        <v>61</v>
      </c>
      <c r="V3634" s="1">
        <v>45421</v>
      </c>
      <c r="W3634">
        <f>Table1[[#This Row],[customer_purchase count]]+1</f>
        <v>4</v>
      </c>
      <c r="X3634">
        <f>Table1[[#This Row],[customer_purchase count]]*Rules!$B$3</f>
        <v>179.29307692307694</v>
      </c>
      <c r="Y3634" t="str">
        <f>IF(Table1[[#This Row],[customer_subscription]]=1,"Subscribed","Not Subscribed")</f>
        <v>Not Subscribed</v>
      </c>
      <c r="Z3634" t="s">
        <v>194</v>
      </c>
    </row>
    <row r="3635" spans="1:26" x14ac:dyDescent="0.25">
      <c r="A3635">
        <v>3634</v>
      </c>
      <c r="B3635">
        <v>39</v>
      </c>
      <c r="C3635" t="s">
        <v>156</v>
      </c>
      <c r="D3635">
        <v>3634</v>
      </c>
      <c r="E3635" t="s">
        <v>146</v>
      </c>
      <c r="F3635" t="s">
        <v>70</v>
      </c>
      <c r="G3635">
        <v>3634</v>
      </c>
      <c r="H3635">
        <v>4559</v>
      </c>
      <c r="I3635">
        <v>51</v>
      </c>
      <c r="J3635" t="s">
        <v>59</v>
      </c>
      <c r="K3635" t="s">
        <v>47</v>
      </c>
      <c r="L3635" t="s">
        <v>124</v>
      </c>
      <c r="M3635" t="s">
        <v>40</v>
      </c>
      <c r="N3635">
        <v>2.8</v>
      </c>
      <c r="O3635">
        <v>0</v>
      </c>
      <c r="P3635" t="s">
        <v>41</v>
      </c>
      <c r="Q3635" t="s">
        <v>155</v>
      </c>
      <c r="R3635" t="s">
        <v>155</v>
      </c>
      <c r="S3635">
        <v>1</v>
      </c>
      <c r="T3635" t="s">
        <v>78</v>
      </c>
      <c r="U3635" t="s">
        <v>79</v>
      </c>
      <c r="V3635" s="1">
        <v>45389</v>
      </c>
      <c r="W3635">
        <f>Table1[[#This Row],[customer_purchase count]]+1</f>
        <v>2</v>
      </c>
      <c r="X3635">
        <f>Table1[[#This Row],[customer_purchase count]]*Rules!$B$3</f>
        <v>59.764358974358977</v>
      </c>
      <c r="Y3635" t="str">
        <f>IF(Table1[[#This Row],[customer_subscription]]=1,"Subscribed","Not Subscribed")</f>
        <v>Not Subscribed</v>
      </c>
      <c r="Z3635" t="s">
        <v>194</v>
      </c>
    </row>
    <row r="3636" spans="1:26" x14ac:dyDescent="0.25">
      <c r="A3636">
        <v>3635</v>
      </c>
      <c r="B3636">
        <v>59</v>
      </c>
      <c r="C3636" t="s">
        <v>156</v>
      </c>
      <c r="D3636">
        <v>3635</v>
      </c>
      <c r="E3636" t="s">
        <v>128</v>
      </c>
      <c r="F3636" t="s">
        <v>24</v>
      </c>
      <c r="G3636">
        <v>3635</v>
      </c>
      <c r="H3636">
        <v>4561</v>
      </c>
      <c r="I3636">
        <v>22</v>
      </c>
      <c r="J3636" t="s">
        <v>126</v>
      </c>
      <c r="K3636" t="s">
        <v>47</v>
      </c>
      <c r="L3636" t="s">
        <v>72</v>
      </c>
      <c r="M3636" t="s">
        <v>28</v>
      </c>
      <c r="N3636">
        <v>3.3</v>
      </c>
      <c r="O3636">
        <v>0</v>
      </c>
      <c r="P3636" t="s">
        <v>57</v>
      </c>
      <c r="Q3636" t="s">
        <v>155</v>
      </c>
      <c r="R3636" t="s">
        <v>155</v>
      </c>
      <c r="S3636">
        <v>17</v>
      </c>
      <c r="T3636" t="s">
        <v>49</v>
      </c>
      <c r="U3636" t="s">
        <v>52</v>
      </c>
      <c r="V3636" s="1">
        <v>45629</v>
      </c>
      <c r="W3636">
        <f>Table1[[#This Row],[customer_purchase count]]+1</f>
        <v>18</v>
      </c>
      <c r="X3636">
        <f>Table1[[#This Row],[customer_purchase count]]*Rules!$B$3</f>
        <v>1015.9941025641026</v>
      </c>
      <c r="Y3636" t="str">
        <f>IF(Table1[[#This Row],[customer_subscription]]=1,"Subscribed","Not Subscribed")</f>
        <v>Not Subscribed</v>
      </c>
      <c r="Z3636" t="s">
        <v>194</v>
      </c>
    </row>
    <row r="3637" spans="1:26" x14ac:dyDescent="0.25">
      <c r="A3637">
        <v>3636</v>
      </c>
      <c r="B3637">
        <v>52</v>
      </c>
      <c r="C3637" t="s">
        <v>156</v>
      </c>
      <c r="D3637">
        <v>3636</v>
      </c>
      <c r="E3637" t="s">
        <v>44</v>
      </c>
      <c r="F3637" t="s">
        <v>45</v>
      </c>
      <c r="G3637">
        <v>3636</v>
      </c>
      <c r="H3637">
        <v>4562</v>
      </c>
      <c r="I3637">
        <v>32</v>
      </c>
      <c r="J3637" t="s">
        <v>115</v>
      </c>
      <c r="K3637" t="s">
        <v>26</v>
      </c>
      <c r="L3637" t="s">
        <v>112</v>
      </c>
      <c r="M3637" t="s">
        <v>60</v>
      </c>
      <c r="N3637">
        <v>3.3</v>
      </c>
      <c r="O3637">
        <v>0</v>
      </c>
      <c r="P3637" t="s">
        <v>41</v>
      </c>
      <c r="Q3637" t="s">
        <v>155</v>
      </c>
      <c r="R3637" t="s">
        <v>155</v>
      </c>
      <c r="S3637">
        <v>17</v>
      </c>
      <c r="T3637" t="s">
        <v>42</v>
      </c>
      <c r="U3637" t="s">
        <v>32</v>
      </c>
      <c r="V3637" s="1">
        <v>45578</v>
      </c>
      <c r="W3637">
        <f>Table1[[#This Row],[customer_purchase count]]+1</f>
        <v>18</v>
      </c>
      <c r="X3637">
        <f>Table1[[#This Row],[customer_purchase count]]*Rules!$B$3</f>
        <v>1015.9941025641026</v>
      </c>
      <c r="Y3637" t="str">
        <f>IF(Table1[[#This Row],[customer_subscription]]=1,"Subscribed","Not Subscribed")</f>
        <v>Not Subscribed</v>
      </c>
      <c r="Z3637" t="s">
        <v>194</v>
      </c>
    </row>
    <row r="3638" spans="1:26" x14ac:dyDescent="0.25">
      <c r="A3638">
        <v>3637</v>
      </c>
      <c r="B3638">
        <v>50</v>
      </c>
      <c r="C3638" t="s">
        <v>156</v>
      </c>
      <c r="D3638">
        <v>3637</v>
      </c>
      <c r="E3638" t="s">
        <v>44</v>
      </c>
      <c r="F3638" t="s">
        <v>45</v>
      </c>
      <c r="G3638">
        <v>3637</v>
      </c>
      <c r="H3638">
        <v>4563</v>
      </c>
      <c r="I3638">
        <v>38</v>
      </c>
      <c r="J3638" t="s">
        <v>102</v>
      </c>
      <c r="K3638" t="s">
        <v>26</v>
      </c>
      <c r="L3638" t="s">
        <v>96</v>
      </c>
      <c r="M3638" t="s">
        <v>56</v>
      </c>
      <c r="N3638">
        <v>4.2</v>
      </c>
      <c r="O3638">
        <v>0</v>
      </c>
      <c r="P3638" t="s">
        <v>73</v>
      </c>
      <c r="Q3638" t="s">
        <v>155</v>
      </c>
      <c r="R3638" t="s">
        <v>155</v>
      </c>
      <c r="S3638">
        <v>36</v>
      </c>
      <c r="T3638" t="s">
        <v>36</v>
      </c>
      <c r="U3638" t="s">
        <v>43</v>
      </c>
      <c r="V3638" s="1">
        <v>45477</v>
      </c>
      <c r="W3638">
        <f>Table1[[#This Row],[customer_purchase count]]+1</f>
        <v>37</v>
      </c>
      <c r="X3638">
        <f>Table1[[#This Row],[customer_purchase count]]*Rules!$B$3</f>
        <v>2151.5169230769234</v>
      </c>
      <c r="Y3638" t="str">
        <f>IF(Table1[[#This Row],[customer_subscription]]=1,"Subscribed","Not Subscribed")</f>
        <v>Not Subscribed</v>
      </c>
    </row>
    <row r="3639" spans="1:26" x14ac:dyDescent="0.25">
      <c r="A3639">
        <v>3638</v>
      </c>
      <c r="B3639">
        <v>32</v>
      </c>
      <c r="C3639" t="s">
        <v>156</v>
      </c>
      <c r="D3639">
        <v>3638</v>
      </c>
      <c r="E3639" t="s">
        <v>140</v>
      </c>
      <c r="F3639" t="s">
        <v>45</v>
      </c>
      <c r="G3639">
        <v>3638</v>
      </c>
      <c r="H3639">
        <v>4564</v>
      </c>
      <c r="I3639">
        <v>66</v>
      </c>
      <c r="J3639" t="s">
        <v>143</v>
      </c>
      <c r="K3639" t="s">
        <v>26</v>
      </c>
      <c r="L3639" t="s">
        <v>137</v>
      </c>
      <c r="M3639" t="s">
        <v>28</v>
      </c>
      <c r="N3639">
        <v>3.6</v>
      </c>
      <c r="O3639">
        <v>0</v>
      </c>
      <c r="P3639" t="s">
        <v>29</v>
      </c>
      <c r="Q3639" t="s">
        <v>155</v>
      </c>
      <c r="R3639" t="s">
        <v>155</v>
      </c>
      <c r="S3639">
        <v>32</v>
      </c>
      <c r="T3639" t="s">
        <v>42</v>
      </c>
      <c r="U3639" t="s">
        <v>32</v>
      </c>
      <c r="V3639" s="1">
        <v>45294</v>
      </c>
      <c r="W3639">
        <f>Table1[[#This Row],[customer_purchase count]]+1</f>
        <v>33</v>
      </c>
      <c r="X3639">
        <f>Table1[[#This Row],[customer_purchase count]]*Rules!$B$3</f>
        <v>1912.4594871794873</v>
      </c>
      <c r="Y3639" t="str">
        <f>IF(Table1[[#This Row],[customer_subscription]]=1,"Subscribed","Not Subscribed")</f>
        <v>Not Subscribed</v>
      </c>
    </row>
    <row r="3640" spans="1:26" x14ac:dyDescent="0.25">
      <c r="A3640">
        <v>3639</v>
      </c>
      <c r="B3640">
        <v>40</v>
      </c>
      <c r="C3640" t="s">
        <v>156</v>
      </c>
      <c r="D3640">
        <v>3639</v>
      </c>
      <c r="E3640" t="s">
        <v>135</v>
      </c>
      <c r="F3640" t="s">
        <v>70</v>
      </c>
      <c r="G3640">
        <v>3639</v>
      </c>
      <c r="H3640">
        <v>4565</v>
      </c>
      <c r="I3640">
        <v>20</v>
      </c>
      <c r="J3640" t="s">
        <v>114</v>
      </c>
      <c r="K3640" t="s">
        <v>47</v>
      </c>
      <c r="L3640" t="s">
        <v>81</v>
      </c>
      <c r="M3640" t="s">
        <v>40</v>
      </c>
      <c r="N3640">
        <v>4.5999999999999996</v>
      </c>
      <c r="O3640">
        <v>0</v>
      </c>
      <c r="P3640" t="s">
        <v>29</v>
      </c>
      <c r="Q3640" t="s">
        <v>155</v>
      </c>
      <c r="R3640" t="s">
        <v>155</v>
      </c>
      <c r="S3640">
        <v>50</v>
      </c>
      <c r="T3640" t="s">
        <v>49</v>
      </c>
      <c r="U3640" t="s">
        <v>79</v>
      </c>
      <c r="V3640" s="1">
        <v>45404</v>
      </c>
      <c r="W3640">
        <f>Table1[[#This Row],[customer_purchase count]]+1</f>
        <v>51</v>
      </c>
      <c r="X3640">
        <f>Table1[[#This Row],[customer_purchase count]]*Rules!$B$3</f>
        <v>2988.2179487179487</v>
      </c>
      <c r="Y3640" t="str">
        <f>IF(Table1[[#This Row],[customer_subscription]]=1,"Subscribed","Not Subscribed")</f>
        <v>Not Subscribed</v>
      </c>
    </row>
    <row r="3641" spans="1:26" x14ac:dyDescent="0.25">
      <c r="A3641">
        <v>3640</v>
      </c>
      <c r="B3641">
        <v>26</v>
      </c>
      <c r="C3641" t="s">
        <v>156</v>
      </c>
      <c r="D3641">
        <v>3640</v>
      </c>
      <c r="E3641" t="s">
        <v>65</v>
      </c>
      <c r="F3641" t="s">
        <v>66</v>
      </c>
      <c r="G3641">
        <v>3640</v>
      </c>
      <c r="H3641">
        <v>4567</v>
      </c>
      <c r="I3641">
        <v>44</v>
      </c>
      <c r="J3641" t="s">
        <v>118</v>
      </c>
      <c r="K3641" t="s">
        <v>47</v>
      </c>
      <c r="L3641" t="s">
        <v>113</v>
      </c>
      <c r="M3641" t="s">
        <v>56</v>
      </c>
      <c r="N3641">
        <v>3.6</v>
      </c>
      <c r="O3641">
        <v>0</v>
      </c>
      <c r="P3641" t="s">
        <v>73</v>
      </c>
      <c r="Q3641" t="s">
        <v>155</v>
      </c>
      <c r="R3641" t="s">
        <v>155</v>
      </c>
      <c r="S3641">
        <v>39</v>
      </c>
      <c r="T3641" t="s">
        <v>31</v>
      </c>
      <c r="U3641" t="s">
        <v>52</v>
      </c>
      <c r="V3641" s="1">
        <v>45462</v>
      </c>
      <c r="W3641">
        <f>Table1[[#This Row],[customer_purchase count]]+1</f>
        <v>40</v>
      </c>
      <c r="X3641">
        <f>Table1[[#This Row],[customer_purchase count]]*Rules!$B$3</f>
        <v>2330.81</v>
      </c>
      <c r="Y3641" t="str">
        <f>IF(Table1[[#This Row],[customer_subscription]]=1,"Subscribed","Not Subscribed")</f>
        <v>Not Subscribed</v>
      </c>
    </row>
    <row r="3642" spans="1:26" x14ac:dyDescent="0.25">
      <c r="A3642">
        <v>3641</v>
      </c>
      <c r="B3642">
        <v>47</v>
      </c>
      <c r="C3642" t="s">
        <v>156</v>
      </c>
      <c r="D3642">
        <v>3641</v>
      </c>
      <c r="E3642" t="s">
        <v>92</v>
      </c>
      <c r="F3642" t="s">
        <v>70</v>
      </c>
      <c r="G3642">
        <v>3641</v>
      </c>
      <c r="H3642">
        <v>4568</v>
      </c>
      <c r="I3642">
        <v>31</v>
      </c>
      <c r="J3642" t="s">
        <v>151</v>
      </c>
      <c r="K3642" t="s">
        <v>26</v>
      </c>
      <c r="L3642" t="s">
        <v>72</v>
      </c>
      <c r="M3642" t="s">
        <v>40</v>
      </c>
      <c r="N3642">
        <v>4</v>
      </c>
      <c r="O3642">
        <v>0</v>
      </c>
      <c r="P3642" t="s">
        <v>48</v>
      </c>
      <c r="Q3642" t="s">
        <v>155</v>
      </c>
      <c r="R3642" t="s">
        <v>155</v>
      </c>
      <c r="S3642">
        <v>17</v>
      </c>
      <c r="T3642" t="s">
        <v>49</v>
      </c>
      <c r="U3642" t="s">
        <v>91</v>
      </c>
      <c r="V3642" s="1">
        <v>45422</v>
      </c>
      <c r="W3642">
        <f>Table1[[#This Row],[customer_purchase count]]+1</f>
        <v>18</v>
      </c>
      <c r="X3642">
        <f>Table1[[#This Row],[customer_purchase count]]*Rules!$B$3</f>
        <v>1015.9941025641026</v>
      </c>
      <c r="Y3642" t="str">
        <f>IF(Table1[[#This Row],[customer_subscription]]=1,"Subscribed","Not Subscribed")</f>
        <v>Not Subscribed</v>
      </c>
      <c r="Z3642" t="s">
        <v>194</v>
      </c>
    </row>
    <row r="3643" spans="1:26" x14ac:dyDescent="0.25">
      <c r="A3643">
        <v>3642</v>
      </c>
      <c r="B3643">
        <v>51</v>
      </c>
      <c r="C3643" t="s">
        <v>156</v>
      </c>
      <c r="D3643">
        <v>3642</v>
      </c>
      <c r="E3643" t="s">
        <v>105</v>
      </c>
      <c r="F3643" t="s">
        <v>66</v>
      </c>
      <c r="G3643">
        <v>3642</v>
      </c>
      <c r="H3643">
        <v>4569</v>
      </c>
      <c r="I3643">
        <v>45</v>
      </c>
      <c r="J3643" t="s">
        <v>87</v>
      </c>
      <c r="K3643" t="s">
        <v>47</v>
      </c>
      <c r="L3643" t="s">
        <v>112</v>
      </c>
      <c r="M3643" t="s">
        <v>60</v>
      </c>
      <c r="N3643">
        <v>2.7</v>
      </c>
      <c r="O3643">
        <v>0</v>
      </c>
      <c r="P3643" t="s">
        <v>41</v>
      </c>
      <c r="Q3643" t="s">
        <v>155</v>
      </c>
      <c r="R3643" t="s">
        <v>155</v>
      </c>
      <c r="S3643">
        <v>39</v>
      </c>
      <c r="T3643" t="s">
        <v>78</v>
      </c>
      <c r="U3643" t="s">
        <v>100</v>
      </c>
      <c r="V3643" s="1">
        <v>45611</v>
      </c>
      <c r="W3643">
        <f>Table1[[#This Row],[customer_purchase count]]+1</f>
        <v>40</v>
      </c>
      <c r="X3643">
        <f>Table1[[#This Row],[customer_purchase count]]*Rules!$B$3</f>
        <v>2330.81</v>
      </c>
      <c r="Y3643" t="str">
        <f>IF(Table1[[#This Row],[customer_subscription]]=1,"Subscribed","Not Subscribed")</f>
        <v>Not Subscribed</v>
      </c>
    </row>
    <row r="3644" spans="1:26" x14ac:dyDescent="0.25">
      <c r="A3644">
        <v>3643</v>
      </c>
      <c r="B3644">
        <v>47</v>
      </c>
      <c r="C3644" t="s">
        <v>156</v>
      </c>
      <c r="D3644">
        <v>3643</v>
      </c>
      <c r="E3644" t="s">
        <v>84</v>
      </c>
      <c r="F3644" t="s">
        <v>24</v>
      </c>
      <c r="G3644">
        <v>3643</v>
      </c>
      <c r="H3644">
        <v>4570</v>
      </c>
      <c r="I3644">
        <v>71</v>
      </c>
      <c r="J3644" t="s">
        <v>120</v>
      </c>
      <c r="K3644" t="s">
        <v>26</v>
      </c>
      <c r="L3644" t="s">
        <v>35</v>
      </c>
      <c r="M3644" t="s">
        <v>56</v>
      </c>
      <c r="N3644">
        <v>4.4000000000000004</v>
      </c>
      <c r="O3644">
        <v>0</v>
      </c>
      <c r="P3644" t="s">
        <v>77</v>
      </c>
      <c r="Q3644" t="s">
        <v>155</v>
      </c>
      <c r="R3644" t="s">
        <v>155</v>
      </c>
      <c r="S3644">
        <v>5</v>
      </c>
      <c r="T3644" t="s">
        <v>49</v>
      </c>
      <c r="U3644" t="s">
        <v>52</v>
      </c>
      <c r="V3644" s="1">
        <v>45529</v>
      </c>
      <c r="W3644">
        <f>Table1[[#This Row],[customer_purchase count]]+1</f>
        <v>6</v>
      </c>
      <c r="X3644">
        <f>Table1[[#This Row],[customer_purchase count]]*Rules!$B$3</f>
        <v>298.82179487179491</v>
      </c>
      <c r="Y3644" t="str">
        <f>IF(Table1[[#This Row],[customer_subscription]]=1,"Subscribed","Not Subscribed")</f>
        <v>Not Subscribed</v>
      </c>
      <c r="Z3644" t="s">
        <v>194</v>
      </c>
    </row>
    <row r="3645" spans="1:26" x14ac:dyDescent="0.25">
      <c r="A3645">
        <v>3644</v>
      </c>
      <c r="B3645">
        <v>53</v>
      </c>
      <c r="C3645" t="s">
        <v>156</v>
      </c>
      <c r="D3645">
        <v>3644</v>
      </c>
      <c r="E3645" t="s">
        <v>122</v>
      </c>
      <c r="F3645" t="s">
        <v>70</v>
      </c>
      <c r="G3645">
        <v>3644</v>
      </c>
      <c r="H3645">
        <v>4571</v>
      </c>
      <c r="I3645">
        <v>96</v>
      </c>
      <c r="J3645" t="s">
        <v>125</v>
      </c>
      <c r="K3645" t="s">
        <v>95</v>
      </c>
      <c r="L3645" t="s">
        <v>139</v>
      </c>
      <c r="M3645" t="s">
        <v>60</v>
      </c>
      <c r="N3645">
        <v>3.2</v>
      </c>
      <c r="O3645">
        <v>0</v>
      </c>
      <c r="P3645" t="s">
        <v>57</v>
      </c>
      <c r="Q3645" t="s">
        <v>155</v>
      </c>
      <c r="R3645" t="s">
        <v>155</v>
      </c>
      <c r="S3645">
        <v>47</v>
      </c>
      <c r="T3645" t="s">
        <v>89</v>
      </c>
      <c r="U3645" t="s">
        <v>52</v>
      </c>
      <c r="V3645" s="1">
        <v>45609</v>
      </c>
      <c r="W3645">
        <f>Table1[[#This Row],[customer_purchase count]]+1</f>
        <v>48</v>
      </c>
      <c r="X3645">
        <f>Table1[[#This Row],[customer_purchase count]]*Rules!$B$3</f>
        <v>2808.9248717948717</v>
      </c>
      <c r="Y3645" t="str">
        <f>IF(Table1[[#This Row],[customer_subscription]]=1,"Subscribed","Not Subscribed")</f>
        <v>Not Subscribed</v>
      </c>
    </row>
    <row r="3646" spans="1:26" x14ac:dyDescent="0.25">
      <c r="A3646">
        <v>3645</v>
      </c>
      <c r="B3646">
        <v>35</v>
      </c>
      <c r="C3646" t="s">
        <v>156</v>
      </c>
      <c r="D3646">
        <v>3645</v>
      </c>
      <c r="E3646" t="s">
        <v>23</v>
      </c>
      <c r="F3646" t="s">
        <v>24</v>
      </c>
      <c r="G3646">
        <v>3645</v>
      </c>
      <c r="H3646">
        <v>4573</v>
      </c>
      <c r="I3646">
        <v>32</v>
      </c>
      <c r="J3646" t="s">
        <v>75</v>
      </c>
      <c r="K3646" t="s">
        <v>47</v>
      </c>
      <c r="L3646" t="s">
        <v>86</v>
      </c>
      <c r="M3646" t="s">
        <v>28</v>
      </c>
      <c r="N3646">
        <v>2.6</v>
      </c>
      <c r="O3646">
        <v>0</v>
      </c>
      <c r="P3646" t="s">
        <v>48</v>
      </c>
      <c r="Q3646" t="s">
        <v>155</v>
      </c>
      <c r="R3646" t="s">
        <v>155</v>
      </c>
      <c r="S3646">
        <v>18</v>
      </c>
      <c r="T3646" t="s">
        <v>31</v>
      </c>
      <c r="U3646" t="s">
        <v>43</v>
      </c>
      <c r="V3646" s="1">
        <v>45302</v>
      </c>
      <c r="W3646">
        <f>Table1[[#This Row],[customer_purchase count]]+1</f>
        <v>19</v>
      </c>
      <c r="X3646">
        <f>Table1[[#This Row],[customer_purchase count]]*Rules!$B$3</f>
        <v>1075.7584615384617</v>
      </c>
      <c r="Y3646" t="str">
        <f>IF(Table1[[#This Row],[customer_subscription]]=1,"Subscribed","Not Subscribed")</f>
        <v>Not Subscribed</v>
      </c>
    </row>
    <row r="3647" spans="1:26" x14ac:dyDescent="0.25">
      <c r="A3647">
        <v>3646</v>
      </c>
      <c r="B3647">
        <v>38</v>
      </c>
      <c r="C3647" t="s">
        <v>156</v>
      </c>
      <c r="D3647">
        <v>3646</v>
      </c>
      <c r="E3647" t="s">
        <v>135</v>
      </c>
      <c r="F3647" t="s">
        <v>70</v>
      </c>
      <c r="G3647">
        <v>3646</v>
      </c>
      <c r="H3647">
        <v>4574</v>
      </c>
      <c r="I3647">
        <v>90</v>
      </c>
      <c r="J3647" t="s">
        <v>115</v>
      </c>
      <c r="K3647" t="s">
        <v>26</v>
      </c>
      <c r="L3647" t="s">
        <v>68</v>
      </c>
      <c r="M3647" t="s">
        <v>56</v>
      </c>
      <c r="N3647">
        <v>3.4</v>
      </c>
      <c r="O3647">
        <v>0</v>
      </c>
      <c r="P3647" t="s">
        <v>41</v>
      </c>
      <c r="Q3647" t="s">
        <v>155</v>
      </c>
      <c r="R3647" t="s">
        <v>155</v>
      </c>
      <c r="S3647">
        <v>31</v>
      </c>
      <c r="T3647" t="s">
        <v>42</v>
      </c>
      <c r="U3647" t="s">
        <v>100</v>
      </c>
      <c r="V3647" s="1">
        <v>45463</v>
      </c>
      <c r="W3647">
        <f>Table1[[#This Row],[customer_purchase count]]+1</f>
        <v>32</v>
      </c>
      <c r="X3647">
        <f>Table1[[#This Row],[customer_purchase count]]*Rules!$B$3</f>
        <v>1852.6951282051282</v>
      </c>
      <c r="Y3647" t="str">
        <f>IF(Table1[[#This Row],[customer_subscription]]=1,"Subscribed","Not Subscribed")</f>
        <v>Not Subscribed</v>
      </c>
    </row>
    <row r="3648" spans="1:26" x14ac:dyDescent="0.25">
      <c r="A3648">
        <v>3647</v>
      </c>
      <c r="B3648">
        <v>69</v>
      </c>
      <c r="C3648" t="s">
        <v>156</v>
      </c>
      <c r="D3648">
        <v>3647</v>
      </c>
      <c r="E3648" t="s">
        <v>109</v>
      </c>
      <c r="F3648" t="s">
        <v>70</v>
      </c>
      <c r="G3648">
        <v>3647</v>
      </c>
      <c r="H3648">
        <v>4575</v>
      </c>
      <c r="I3648">
        <v>68</v>
      </c>
      <c r="J3648" t="s">
        <v>110</v>
      </c>
      <c r="K3648" t="s">
        <v>47</v>
      </c>
      <c r="L3648" t="s">
        <v>35</v>
      </c>
      <c r="M3648" t="s">
        <v>40</v>
      </c>
      <c r="N3648">
        <v>5</v>
      </c>
      <c r="O3648">
        <v>0</v>
      </c>
      <c r="P3648" t="s">
        <v>73</v>
      </c>
      <c r="Q3648" t="s">
        <v>155</v>
      </c>
      <c r="R3648" t="s">
        <v>155</v>
      </c>
      <c r="S3648">
        <v>39</v>
      </c>
      <c r="T3648" t="s">
        <v>89</v>
      </c>
      <c r="U3648" t="s">
        <v>32</v>
      </c>
      <c r="V3648" s="1">
        <v>45389</v>
      </c>
      <c r="W3648">
        <f>Table1[[#This Row],[customer_purchase count]]+1</f>
        <v>40</v>
      </c>
      <c r="X3648">
        <f>Table1[[#This Row],[customer_purchase count]]*Rules!$B$3</f>
        <v>2330.81</v>
      </c>
      <c r="Y3648" t="str">
        <f>IF(Table1[[#This Row],[customer_subscription]]=1,"Subscribed","Not Subscribed")</f>
        <v>Not Subscribed</v>
      </c>
    </row>
    <row r="3649" spans="1:26" x14ac:dyDescent="0.25">
      <c r="A3649">
        <v>3648</v>
      </c>
      <c r="B3649">
        <v>47</v>
      </c>
      <c r="C3649" t="s">
        <v>156</v>
      </c>
      <c r="D3649">
        <v>3648</v>
      </c>
      <c r="E3649" t="s">
        <v>62</v>
      </c>
      <c r="F3649" t="s">
        <v>24</v>
      </c>
      <c r="G3649">
        <v>3648</v>
      </c>
      <c r="H3649">
        <v>4576</v>
      </c>
      <c r="I3649">
        <v>45</v>
      </c>
      <c r="J3649" t="s">
        <v>114</v>
      </c>
      <c r="K3649" t="s">
        <v>47</v>
      </c>
      <c r="L3649" t="s">
        <v>27</v>
      </c>
      <c r="M3649" t="s">
        <v>28</v>
      </c>
      <c r="N3649">
        <v>2.9</v>
      </c>
      <c r="O3649">
        <v>0</v>
      </c>
      <c r="P3649" t="s">
        <v>77</v>
      </c>
      <c r="Q3649" t="s">
        <v>155</v>
      </c>
      <c r="R3649" t="s">
        <v>155</v>
      </c>
      <c r="S3649">
        <v>12</v>
      </c>
      <c r="T3649" t="s">
        <v>78</v>
      </c>
      <c r="U3649" t="s">
        <v>43</v>
      </c>
      <c r="V3649" s="1">
        <v>45347</v>
      </c>
      <c r="W3649">
        <f>Table1[[#This Row],[customer_purchase count]]+1</f>
        <v>13</v>
      </c>
      <c r="X3649">
        <f>Table1[[#This Row],[customer_purchase count]]*Rules!$B$3</f>
        <v>717.17230769230775</v>
      </c>
      <c r="Y3649" t="str">
        <f>IF(Table1[[#This Row],[customer_subscription]]=1,"Subscribed","Not Subscribed")</f>
        <v>Not Subscribed</v>
      </c>
      <c r="Z3649" t="s">
        <v>194</v>
      </c>
    </row>
    <row r="3650" spans="1:26" x14ac:dyDescent="0.25">
      <c r="A3650">
        <v>3649</v>
      </c>
      <c r="B3650">
        <v>31</v>
      </c>
      <c r="C3650" t="s">
        <v>156</v>
      </c>
      <c r="D3650">
        <v>3649</v>
      </c>
      <c r="E3650" t="s">
        <v>90</v>
      </c>
      <c r="F3650" t="s">
        <v>24</v>
      </c>
      <c r="G3650">
        <v>3649</v>
      </c>
      <c r="H3650">
        <v>4577</v>
      </c>
      <c r="I3650">
        <v>67</v>
      </c>
      <c r="J3650" t="s">
        <v>87</v>
      </c>
      <c r="K3650" t="s">
        <v>47</v>
      </c>
      <c r="L3650" t="s">
        <v>55</v>
      </c>
      <c r="M3650" t="s">
        <v>28</v>
      </c>
      <c r="N3650">
        <v>5</v>
      </c>
      <c r="O3650">
        <v>0</v>
      </c>
      <c r="P3650" t="s">
        <v>41</v>
      </c>
      <c r="Q3650" t="s">
        <v>155</v>
      </c>
      <c r="R3650" t="s">
        <v>155</v>
      </c>
      <c r="S3650">
        <v>45</v>
      </c>
      <c r="T3650" t="s">
        <v>36</v>
      </c>
      <c r="U3650" t="s">
        <v>79</v>
      </c>
      <c r="V3650" s="1">
        <v>45324</v>
      </c>
      <c r="W3650">
        <f>Table1[[#This Row],[customer_purchase count]]+1</f>
        <v>46</v>
      </c>
      <c r="X3650">
        <f>Table1[[#This Row],[customer_purchase count]]*Rules!$B$3</f>
        <v>2689.396153846154</v>
      </c>
      <c r="Y3650" t="str">
        <f>IF(Table1[[#This Row],[customer_subscription]]=1,"Subscribed","Not Subscribed")</f>
        <v>Not Subscribed</v>
      </c>
    </row>
    <row r="3651" spans="1:26" x14ac:dyDescent="0.25">
      <c r="A3651">
        <v>3650</v>
      </c>
      <c r="B3651">
        <v>68</v>
      </c>
      <c r="C3651" t="s">
        <v>156</v>
      </c>
      <c r="D3651">
        <v>3650</v>
      </c>
      <c r="E3651" t="s">
        <v>90</v>
      </c>
      <c r="F3651" t="s">
        <v>24</v>
      </c>
      <c r="G3651">
        <v>3650</v>
      </c>
      <c r="H3651">
        <v>4579</v>
      </c>
      <c r="I3651">
        <v>57</v>
      </c>
      <c r="J3651" t="s">
        <v>151</v>
      </c>
      <c r="K3651" t="s">
        <v>47</v>
      </c>
      <c r="L3651" t="s">
        <v>113</v>
      </c>
      <c r="M3651" t="s">
        <v>60</v>
      </c>
      <c r="N3651">
        <v>4.4000000000000004</v>
      </c>
      <c r="O3651">
        <v>0</v>
      </c>
      <c r="P3651" t="s">
        <v>57</v>
      </c>
      <c r="Q3651" t="s">
        <v>155</v>
      </c>
      <c r="R3651" t="s">
        <v>155</v>
      </c>
      <c r="S3651">
        <v>33</v>
      </c>
      <c r="T3651" t="s">
        <v>42</v>
      </c>
      <c r="U3651" t="s">
        <v>32</v>
      </c>
      <c r="V3651" s="1">
        <v>45572</v>
      </c>
      <c r="W3651">
        <f>Table1[[#This Row],[customer_purchase count]]+1</f>
        <v>34</v>
      </c>
      <c r="X3651">
        <f>Table1[[#This Row],[customer_purchase count]]*Rules!$B$3</f>
        <v>1972.2238461538464</v>
      </c>
      <c r="Y3651" t="str">
        <f>IF(Table1[[#This Row],[customer_subscription]]=1,"Subscribed","Not Subscribed")</f>
        <v>Not Subscribed</v>
      </c>
    </row>
    <row r="3652" spans="1:26" x14ac:dyDescent="0.25">
      <c r="A3652">
        <v>3651</v>
      </c>
      <c r="B3652">
        <v>51</v>
      </c>
      <c r="C3652" t="s">
        <v>156</v>
      </c>
      <c r="D3652">
        <v>3651</v>
      </c>
      <c r="E3652" t="s">
        <v>37</v>
      </c>
      <c r="F3652" t="s">
        <v>24</v>
      </c>
      <c r="G3652">
        <v>3651</v>
      </c>
      <c r="H3652">
        <v>4580</v>
      </c>
      <c r="I3652">
        <v>60</v>
      </c>
      <c r="J3652" t="s">
        <v>126</v>
      </c>
      <c r="K3652" t="s">
        <v>47</v>
      </c>
      <c r="L3652" t="s">
        <v>68</v>
      </c>
      <c r="M3652" t="s">
        <v>56</v>
      </c>
      <c r="N3652">
        <v>3.5</v>
      </c>
      <c r="O3652">
        <v>0</v>
      </c>
      <c r="P3652" t="s">
        <v>73</v>
      </c>
      <c r="Q3652" t="s">
        <v>155</v>
      </c>
      <c r="R3652" t="s">
        <v>155</v>
      </c>
      <c r="S3652">
        <v>3</v>
      </c>
      <c r="T3652" t="s">
        <v>49</v>
      </c>
      <c r="U3652" t="s">
        <v>52</v>
      </c>
      <c r="V3652" s="1">
        <v>45490</v>
      </c>
      <c r="W3652">
        <f>Table1[[#This Row],[customer_purchase count]]+1</f>
        <v>4</v>
      </c>
      <c r="X3652">
        <f>Table1[[#This Row],[customer_purchase count]]*Rules!$B$3</f>
        <v>179.29307692307694</v>
      </c>
      <c r="Y3652" t="str">
        <f>IF(Table1[[#This Row],[customer_subscription]]=1,"Subscribed","Not Subscribed")</f>
        <v>Not Subscribed</v>
      </c>
      <c r="Z3652" t="s">
        <v>194</v>
      </c>
    </row>
    <row r="3653" spans="1:26" x14ac:dyDescent="0.25">
      <c r="A3653">
        <v>3652</v>
      </c>
      <c r="B3653">
        <v>20</v>
      </c>
      <c r="C3653" t="s">
        <v>156</v>
      </c>
      <c r="D3653">
        <v>3652</v>
      </c>
      <c r="E3653" t="s">
        <v>69</v>
      </c>
      <c r="F3653" t="s">
        <v>70</v>
      </c>
      <c r="G3653">
        <v>3652</v>
      </c>
      <c r="H3653">
        <v>4581</v>
      </c>
      <c r="I3653">
        <v>32</v>
      </c>
      <c r="J3653" t="s">
        <v>120</v>
      </c>
      <c r="K3653" t="s">
        <v>47</v>
      </c>
      <c r="L3653" t="s">
        <v>137</v>
      </c>
      <c r="M3653" t="s">
        <v>40</v>
      </c>
      <c r="N3653">
        <v>3.8</v>
      </c>
      <c r="O3653">
        <v>0</v>
      </c>
      <c r="P3653" t="s">
        <v>29</v>
      </c>
      <c r="Q3653" t="s">
        <v>155</v>
      </c>
      <c r="R3653" t="s">
        <v>155</v>
      </c>
      <c r="S3653">
        <v>5</v>
      </c>
      <c r="T3653" t="s">
        <v>31</v>
      </c>
      <c r="U3653" t="s">
        <v>100</v>
      </c>
      <c r="V3653" s="1">
        <v>45432</v>
      </c>
      <c r="W3653">
        <f>Table1[[#This Row],[customer_purchase count]]+1</f>
        <v>6</v>
      </c>
      <c r="X3653">
        <f>Table1[[#This Row],[customer_purchase count]]*Rules!$B$3</f>
        <v>298.82179487179491</v>
      </c>
      <c r="Y3653" t="str">
        <f>IF(Table1[[#This Row],[customer_subscription]]=1,"Subscribed","Not Subscribed")</f>
        <v>Not Subscribed</v>
      </c>
      <c r="Z3653" t="s">
        <v>194</v>
      </c>
    </row>
    <row r="3654" spans="1:26" x14ac:dyDescent="0.25">
      <c r="A3654">
        <v>3653</v>
      </c>
      <c r="B3654">
        <v>27</v>
      </c>
      <c r="C3654" t="s">
        <v>156</v>
      </c>
      <c r="D3654">
        <v>3653</v>
      </c>
      <c r="E3654" t="s">
        <v>69</v>
      </c>
      <c r="F3654" t="s">
        <v>70</v>
      </c>
      <c r="G3654">
        <v>3653</v>
      </c>
      <c r="H3654">
        <v>4582</v>
      </c>
      <c r="I3654">
        <v>29</v>
      </c>
      <c r="J3654" t="s">
        <v>25</v>
      </c>
      <c r="K3654" t="s">
        <v>39</v>
      </c>
      <c r="L3654" t="s">
        <v>139</v>
      </c>
      <c r="M3654" t="s">
        <v>60</v>
      </c>
      <c r="N3654">
        <v>3.8</v>
      </c>
      <c r="O3654">
        <v>0</v>
      </c>
      <c r="P3654" t="s">
        <v>77</v>
      </c>
      <c r="Q3654" t="s">
        <v>155</v>
      </c>
      <c r="R3654" t="s">
        <v>155</v>
      </c>
      <c r="S3654">
        <v>23</v>
      </c>
      <c r="T3654" t="s">
        <v>89</v>
      </c>
      <c r="U3654" t="s">
        <v>91</v>
      </c>
      <c r="V3654" s="1">
        <v>45619</v>
      </c>
      <c r="W3654">
        <f>Table1[[#This Row],[customer_purchase count]]+1</f>
        <v>24</v>
      </c>
      <c r="X3654">
        <f>Table1[[#This Row],[customer_purchase count]]*Rules!$B$3</f>
        <v>1374.5802564102564</v>
      </c>
      <c r="Y3654" t="str">
        <f>IF(Table1[[#This Row],[customer_subscription]]=1,"Subscribed","Not Subscribed")</f>
        <v>Not Subscribed</v>
      </c>
    </row>
    <row r="3655" spans="1:26" x14ac:dyDescent="0.25">
      <c r="A3655">
        <v>3654</v>
      </c>
      <c r="B3655">
        <v>67</v>
      </c>
      <c r="C3655" t="s">
        <v>156</v>
      </c>
      <c r="D3655">
        <v>3654</v>
      </c>
      <c r="E3655" t="s">
        <v>65</v>
      </c>
      <c r="F3655" t="s">
        <v>66</v>
      </c>
      <c r="G3655">
        <v>3654</v>
      </c>
      <c r="H3655">
        <v>4583</v>
      </c>
      <c r="I3655">
        <v>20</v>
      </c>
      <c r="J3655" t="s">
        <v>151</v>
      </c>
      <c r="K3655" t="s">
        <v>47</v>
      </c>
      <c r="L3655" t="s">
        <v>147</v>
      </c>
      <c r="M3655" t="s">
        <v>40</v>
      </c>
      <c r="N3655">
        <v>3.9</v>
      </c>
      <c r="O3655">
        <v>0</v>
      </c>
      <c r="P3655" t="s">
        <v>48</v>
      </c>
      <c r="Q3655" t="s">
        <v>155</v>
      </c>
      <c r="R3655" t="s">
        <v>155</v>
      </c>
      <c r="S3655">
        <v>39</v>
      </c>
      <c r="T3655" t="s">
        <v>42</v>
      </c>
      <c r="U3655" t="s">
        <v>32</v>
      </c>
      <c r="V3655" s="1">
        <v>45353</v>
      </c>
      <c r="W3655">
        <f>Table1[[#This Row],[customer_purchase count]]+1</f>
        <v>40</v>
      </c>
      <c r="X3655">
        <f>Table1[[#This Row],[customer_purchase count]]*Rules!$B$3</f>
        <v>2330.81</v>
      </c>
      <c r="Y3655" t="str">
        <f>IF(Table1[[#This Row],[customer_subscription]]=1,"Subscribed","Not Subscribed")</f>
        <v>Not Subscribed</v>
      </c>
    </row>
    <row r="3656" spans="1:26" x14ac:dyDescent="0.25">
      <c r="A3656">
        <v>3655</v>
      </c>
      <c r="B3656">
        <v>21</v>
      </c>
      <c r="C3656" t="s">
        <v>156</v>
      </c>
      <c r="D3656">
        <v>3655</v>
      </c>
      <c r="E3656" t="s">
        <v>109</v>
      </c>
      <c r="F3656" t="s">
        <v>70</v>
      </c>
      <c r="G3656">
        <v>3655</v>
      </c>
      <c r="H3656">
        <v>4585</v>
      </c>
      <c r="I3656">
        <v>98</v>
      </c>
      <c r="J3656" t="s">
        <v>75</v>
      </c>
      <c r="K3656" t="s">
        <v>47</v>
      </c>
      <c r="L3656" t="s">
        <v>99</v>
      </c>
      <c r="M3656" t="s">
        <v>28</v>
      </c>
      <c r="N3656">
        <v>3.3</v>
      </c>
      <c r="O3656">
        <v>0</v>
      </c>
      <c r="P3656" t="s">
        <v>48</v>
      </c>
      <c r="Q3656" t="s">
        <v>155</v>
      </c>
      <c r="R3656" t="s">
        <v>155</v>
      </c>
      <c r="S3656">
        <v>10</v>
      </c>
      <c r="T3656" t="s">
        <v>42</v>
      </c>
      <c r="U3656" t="s">
        <v>52</v>
      </c>
      <c r="V3656" s="1">
        <v>45326</v>
      </c>
      <c r="W3656">
        <f>Table1[[#This Row],[customer_purchase count]]+1</f>
        <v>11</v>
      </c>
      <c r="X3656">
        <f>Table1[[#This Row],[customer_purchase count]]*Rules!$B$3</f>
        <v>597.64358974358981</v>
      </c>
      <c r="Y3656" t="str">
        <f>IF(Table1[[#This Row],[customer_subscription]]=1,"Subscribed","Not Subscribed")</f>
        <v>Not Subscribed</v>
      </c>
      <c r="Z3656" t="s">
        <v>187</v>
      </c>
    </row>
    <row r="3657" spans="1:26" x14ac:dyDescent="0.25">
      <c r="A3657">
        <v>3656</v>
      </c>
      <c r="B3657">
        <v>20</v>
      </c>
      <c r="C3657" t="s">
        <v>156</v>
      </c>
      <c r="D3657">
        <v>3656</v>
      </c>
      <c r="E3657" t="s">
        <v>33</v>
      </c>
      <c r="F3657" t="s">
        <v>24</v>
      </c>
      <c r="G3657">
        <v>3656</v>
      </c>
      <c r="H3657">
        <v>4586</v>
      </c>
      <c r="I3657">
        <v>27</v>
      </c>
      <c r="J3657" t="s">
        <v>54</v>
      </c>
      <c r="K3657" t="s">
        <v>47</v>
      </c>
      <c r="L3657" t="s">
        <v>137</v>
      </c>
      <c r="M3657" t="s">
        <v>60</v>
      </c>
      <c r="N3657">
        <v>2.9</v>
      </c>
      <c r="O3657">
        <v>0</v>
      </c>
      <c r="P3657" t="s">
        <v>48</v>
      </c>
      <c r="Q3657" t="s">
        <v>155</v>
      </c>
      <c r="R3657" t="s">
        <v>155</v>
      </c>
      <c r="S3657">
        <v>4</v>
      </c>
      <c r="T3657" t="s">
        <v>42</v>
      </c>
      <c r="U3657" t="s">
        <v>79</v>
      </c>
      <c r="V3657" s="1">
        <v>45542</v>
      </c>
      <c r="W3657">
        <f>Table1[[#This Row],[customer_purchase count]]+1</f>
        <v>5</v>
      </c>
      <c r="X3657">
        <f>Table1[[#This Row],[customer_purchase count]]*Rules!$B$3</f>
        <v>239.05743589743591</v>
      </c>
      <c r="Y3657" t="str">
        <f>IF(Table1[[#This Row],[customer_subscription]]=1,"Subscribed","Not Subscribed")</f>
        <v>Not Subscribed</v>
      </c>
      <c r="Z3657" t="s">
        <v>194</v>
      </c>
    </row>
    <row r="3658" spans="1:26" x14ac:dyDescent="0.25">
      <c r="A3658">
        <v>3657</v>
      </c>
      <c r="B3658">
        <v>35</v>
      </c>
      <c r="C3658" t="s">
        <v>156</v>
      </c>
      <c r="D3658">
        <v>3657</v>
      </c>
      <c r="E3658" t="s">
        <v>105</v>
      </c>
      <c r="F3658" t="s">
        <v>66</v>
      </c>
      <c r="G3658">
        <v>3657</v>
      </c>
      <c r="H3658">
        <v>4587</v>
      </c>
      <c r="I3658">
        <v>67</v>
      </c>
      <c r="J3658" t="s">
        <v>117</v>
      </c>
      <c r="K3658" t="s">
        <v>95</v>
      </c>
      <c r="L3658" t="s">
        <v>112</v>
      </c>
      <c r="M3658" t="s">
        <v>40</v>
      </c>
      <c r="N3658">
        <v>3.7</v>
      </c>
      <c r="O3658">
        <v>0</v>
      </c>
      <c r="P3658" t="s">
        <v>73</v>
      </c>
      <c r="Q3658" t="s">
        <v>155</v>
      </c>
      <c r="R3658" t="s">
        <v>155</v>
      </c>
      <c r="S3658">
        <v>18</v>
      </c>
      <c r="T3658" t="s">
        <v>42</v>
      </c>
      <c r="U3658" t="s">
        <v>91</v>
      </c>
      <c r="V3658" s="1">
        <v>45432</v>
      </c>
      <c r="W3658">
        <f>Table1[[#This Row],[customer_purchase count]]+1</f>
        <v>19</v>
      </c>
      <c r="X3658">
        <f>Table1[[#This Row],[customer_purchase count]]*Rules!$B$3</f>
        <v>1075.7584615384617</v>
      </c>
      <c r="Y3658" t="str">
        <f>IF(Table1[[#This Row],[customer_subscription]]=1,"Subscribed","Not Subscribed")</f>
        <v>Not Subscribed</v>
      </c>
    </row>
    <row r="3659" spans="1:26" x14ac:dyDescent="0.25">
      <c r="A3659">
        <v>3658</v>
      </c>
      <c r="B3659">
        <v>58</v>
      </c>
      <c r="C3659" t="s">
        <v>156</v>
      </c>
      <c r="D3659">
        <v>3658</v>
      </c>
      <c r="E3659" t="s">
        <v>74</v>
      </c>
      <c r="F3659" t="s">
        <v>45</v>
      </c>
      <c r="G3659">
        <v>3658</v>
      </c>
      <c r="H3659">
        <v>4588</v>
      </c>
      <c r="I3659">
        <v>82</v>
      </c>
      <c r="J3659" t="s">
        <v>93</v>
      </c>
      <c r="K3659" t="s">
        <v>26</v>
      </c>
      <c r="L3659" t="s">
        <v>83</v>
      </c>
      <c r="M3659" t="s">
        <v>28</v>
      </c>
      <c r="N3659">
        <v>3.7</v>
      </c>
      <c r="O3659">
        <v>0</v>
      </c>
      <c r="P3659" t="s">
        <v>29</v>
      </c>
      <c r="Q3659" t="s">
        <v>155</v>
      </c>
      <c r="R3659" t="s">
        <v>155</v>
      </c>
      <c r="S3659">
        <v>1</v>
      </c>
      <c r="T3659" t="s">
        <v>89</v>
      </c>
      <c r="U3659" t="s">
        <v>100</v>
      </c>
      <c r="V3659" s="1">
        <v>45323</v>
      </c>
      <c r="W3659">
        <f>Table1[[#This Row],[customer_purchase count]]+1</f>
        <v>2</v>
      </c>
      <c r="X3659">
        <f>Table1[[#This Row],[customer_purchase count]]*Rules!$B$3</f>
        <v>59.764358974358977</v>
      </c>
      <c r="Y3659" t="str">
        <f>IF(Table1[[#This Row],[customer_subscription]]=1,"Subscribed","Not Subscribed")</f>
        <v>Not Subscribed</v>
      </c>
      <c r="Z3659" t="s">
        <v>194</v>
      </c>
    </row>
    <row r="3660" spans="1:26" x14ac:dyDescent="0.25">
      <c r="A3660">
        <v>3659</v>
      </c>
      <c r="B3660">
        <v>28</v>
      </c>
      <c r="C3660" t="s">
        <v>156</v>
      </c>
      <c r="D3660">
        <v>3659</v>
      </c>
      <c r="E3660" t="s">
        <v>116</v>
      </c>
      <c r="F3660" t="s">
        <v>24</v>
      </c>
      <c r="G3660">
        <v>3659</v>
      </c>
      <c r="H3660">
        <v>4589</v>
      </c>
      <c r="I3660">
        <v>72</v>
      </c>
      <c r="J3660" t="s">
        <v>94</v>
      </c>
      <c r="K3660" t="s">
        <v>47</v>
      </c>
      <c r="L3660" t="s">
        <v>139</v>
      </c>
      <c r="M3660" t="s">
        <v>60</v>
      </c>
      <c r="N3660">
        <v>4.5999999999999996</v>
      </c>
      <c r="O3660">
        <v>0</v>
      </c>
      <c r="P3660" t="s">
        <v>57</v>
      </c>
      <c r="Q3660" t="s">
        <v>155</v>
      </c>
      <c r="R3660" t="s">
        <v>155</v>
      </c>
      <c r="S3660">
        <v>18</v>
      </c>
      <c r="T3660" t="s">
        <v>49</v>
      </c>
      <c r="U3660" t="s">
        <v>32</v>
      </c>
      <c r="V3660" s="1">
        <v>45541</v>
      </c>
      <c r="W3660">
        <f>Table1[[#This Row],[customer_purchase count]]+1</f>
        <v>19</v>
      </c>
      <c r="X3660">
        <f>Table1[[#This Row],[customer_purchase count]]*Rules!$B$3</f>
        <v>1075.7584615384617</v>
      </c>
      <c r="Y3660" t="str">
        <f>IF(Table1[[#This Row],[customer_subscription]]=1,"Subscribed","Not Subscribed")</f>
        <v>Not Subscribed</v>
      </c>
    </row>
    <row r="3661" spans="1:26" x14ac:dyDescent="0.25">
      <c r="A3661">
        <v>3660</v>
      </c>
      <c r="B3661">
        <v>27</v>
      </c>
      <c r="C3661" t="s">
        <v>156</v>
      </c>
      <c r="D3661">
        <v>3660</v>
      </c>
      <c r="E3661" t="s">
        <v>44</v>
      </c>
      <c r="F3661" t="s">
        <v>45</v>
      </c>
      <c r="G3661">
        <v>3660</v>
      </c>
      <c r="H3661">
        <v>4591</v>
      </c>
      <c r="I3661">
        <v>77</v>
      </c>
      <c r="J3661" t="s">
        <v>118</v>
      </c>
      <c r="K3661" t="s">
        <v>39</v>
      </c>
      <c r="L3661" t="s">
        <v>27</v>
      </c>
      <c r="M3661" t="s">
        <v>60</v>
      </c>
      <c r="N3661">
        <v>4.9000000000000004</v>
      </c>
      <c r="O3661">
        <v>0</v>
      </c>
      <c r="P3661" t="s">
        <v>77</v>
      </c>
      <c r="Q3661" t="s">
        <v>155</v>
      </c>
      <c r="R3661" t="s">
        <v>155</v>
      </c>
      <c r="S3661">
        <v>46</v>
      </c>
      <c r="T3661" t="s">
        <v>78</v>
      </c>
      <c r="U3661" t="s">
        <v>52</v>
      </c>
      <c r="V3661" s="1">
        <v>45572</v>
      </c>
      <c r="W3661">
        <f>Table1[[#This Row],[customer_purchase count]]+1</f>
        <v>47</v>
      </c>
      <c r="X3661">
        <f>Table1[[#This Row],[customer_purchase count]]*Rules!$B$3</f>
        <v>2749.1605128205128</v>
      </c>
      <c r="Y3661" t="str">
        <f>IF(Table1[[#This Row],[customer_subscription]]=1,"Subscribed","Not Subscribed")</f>
        <v>Not Subscribed</v>
      </c>
    </row>
    <row r="3662" spans="1:26" x14ac:dyDescent="0.25">
      <c r="A3662">
        <v>3661</v>
      </c>
      <c r="B3662">
        <v>19</v>
      </c>
      <c r="C3662" t="s">
        <v>156</v>
      </c>
      <c r="D3662">
        <v>3661</v>
      </c>
      <c r="E3662" t="s">
        <v>74</v>
      </c>
      <c r="F3662" t="s">
        <v>45</v>
      </c>
      <c r="G3662">
        <v>3661</v>
      </c>
      <c r="H3662">
        <v>4592</v>
      </c>
      <c r="I3662">
        <v>74</v>
      </c>
      <c r="J3662" t="s">
        <v>75</v>
      </c>
      <c r="K3662" t="s">
        <v>26</v>
      </c>
      <c r="L3662" t="s">
        <v>129</v>
      </c>
      <c r="M3662" t="s">
        <v>28</v>
      </c>
      <c r="N3662">
        <v>3.1</v>
      </c>
      <c r="O3662">
        <v>0</v>
      </c>
      <c r="P3662" t="s">
        <v>73</v>
      </c>
      <c r="Q3662" t="s">
        <v>155</v>
      </c>
      <c r="R3662" t="s">
        <v>155</v>
      </c>
      <c r="S3662">
        <v>13</v>
      </c>
      <c r="T3662" t="s">
        <v>78</v>
      </c>
      <c r="U3662" t="s">
        <v>32</v>
      </c>
      <c r="V3662" s="1">
        <v>45652</v>
      </c>
      <c r="W3662">
        <f>Table1[[#This Row],[customer_purchase count]]+1</f>
        <v>14</v>
      </c>
      <c r="X3662">
        <f>Table1[[#This Row],[customer_purchase count]]*Rules!$B$3</f>
        <v>776.93666666666672</v>
      </c>
      <c r="Y3662" t="str">
        <f>IF(Table1[[#This Row],[customer_subscription]]=1,"Subscribed","Not Subscribed")</f>
        <v>Not Subscribed</v>
      </c>
      <c r="Z3662" t="s">
        <v>187</v>
      </c>
    </row>
    <row r="3663" spans="1:26" x14ac:dyDescent="0.25">
      <c r="A3663">
        <v>3662</v>
      </c>
      <c r="B3663">
        <v>63</v>
      </c>
      <c r="C3663" t="s">
        <v>156</v>
      </c>
      <c r="D3663">
        <v>3662</v>
      </c>
      <c r="E3663" t="s">
        <v>44</v>
      </c>
      <c r="F3663" t="s">
        <v>45</v>
      </c>
      <c r="G3663">
        <v>3662</v>
      </c>
      <c r="H3663">
        <v>4593</v>
      </c>
      <c r="I3663">
        <v>39</v>
      </c>
      <c r="J3663" t="s">
        <v>114</v>
      </c>
      <c r="K3663" t="s">
        <v>39</v>
      </c>
      <c r="L3663" t="s">
        <v>55</v>
      </c>
      <c r="M3663" t="s">
        <v>28</v>
      </c>
      <c r="N3663">
        <v>3.5</v>
      </c>
      <c r="O3663">
        <v>0</v>
      </c>
      <c r="P3663" t="s">
        <v>48</v>
      </c>
      <c r="Q3663" t="s">
        <v>155</v>
      </c>
      <c r="R3663" t="s">
        <v>155</v>
      </c>
      <c r="S3663">
        <v>5</v>
      </c>
      <c r="T3663" t="s">
        <v>42</v>
      </c>
      <c r="U3663" t="s">
        <v>32</v>
      </c>
      <c r="V3663" s="1">
        <v>45646</v>
      </c>
      <c r="W3663">
        <f>Table1[[#This Row],[customer_purchase count]]+1</f>
        <v>6</v>
      </c>
      <c r="X3663">
        <f>Table1[[#This Row],[customer_purchase count]]*Rules!$B$3</f>
        <v>298.82179487179491</v>
      </c>
      <c r="Y3663" t="str">
        <f>IF(Table1[[#This Row],[customer_subscription]]=1,"Subscribed","Not Subscribed")</f>
        <v>Not Subscribed</v>
      </c>
      <c r="Z3663" t="s">
        <v>194</v>
      </c>
    </row>
    <row r="3664" spans="1:26" x14ac:dyDescent="0.25">
      <c r="A3664">
        <v>3663</v>
      </c>
      <c r="B3664">
        <v>69</v>
      </c>
      <c r="C3664" t="s">
        <v>156</v>
      </c>
      <c r="D3664">
        <v>3663</v>
      </c>
      <c r="E3664" t="s">
        <v>62</v>
      </c>
      <c r="F3664" t="s">
        <v>24</v>
      </c>
      <c r="G3664">
        <v>3663</v>
      </c>
      <c r="H3664">
        <v>4594</v>
      </c>
      <c r="I3664">
        <v>80</v>
      </c>
      <c r="J3664" t="s">
        <v>46</v>
      </c>
      <c r="K3664" t="s">
        <v>47</v>
      </c>
      <c r="L3664" t="s">
        <v>129</v>
      </c>
      <c r="M3664" t="s">
        <v>40</v>
      </c>
      <c r="N3664">
        <v>4.9000000000000004</v>
      </c>
      <c r="O3664">
        <v>0</v>
      </c>
      <c r="P3664" t="s">
        <v>48</v>
      </c>
      <c r="Q3664" t="s">
        <v>155</v>
      </c>
      <c r="R3664" t="s">
        <v>155</v>
      </c>
      <c r="S3664">
        <v>11</v>
      </c>
      <c r="T3664" t="s">
        <v>89</v>
      </c>
      <c r="U3664" t="s">
        <v>43</v>
      </c>
      <c r="V3664" s="1">
        <v>45368</v>
      </c>
      <c r="W3664">
        <f>Table1[[#This Row],[customer_purchase count]]+1</f>
        <v>12</v>
      </c>
      <c r="X3664">
        <f>Table1[[#This Row],[customer_purchase count]]*Rules!$B$3</f>
        <v>657.40794871794878</v>
      </c>
      <c r="Y3664" t="str">
        <f>IF(Table1[[#This Row],[customer_subscription]]=1,"Subscribed","Not Subscribed")</f>
        <v>Not Subscribed</v>
      </c>
      <c r="Z3664" t="s">
        <v>194</v>
      </c>
    </row>
    <row r="3665" spans="1:26" x14ac:dyDescent="0.25">
      <c r="A3665">
        <v>3664</v>
      </c>
      <c r="B3665">
        <v>65</v>
      </c>
      <c r="C3665" t="s">
        <v>156</v>
      </c>
      <c r="D3665">
        <v>3664</v>
      </c>
      <c r="E3665" t="s">
        <v>135</v>
      </c>
      <c r="F3665" t="s">
        <v>70</v>
      </c>
      <c r="G3665">
        <v>3664</v>
      </c>
      <c r="H3665">
        <v>4595</v>
      </c>
      <c r="I3665">
        <v>59</v>
      </c>
      <c r="J3665" t="s">
        <v>106</v>
      </c>
      <c r="K3665" t="s">
        <v>47</v>
      </c>
      <c r="L3665" t="s">
        <v>99</v>
      </c>
      <c r="M3665" t="s">
        <v>56</v>
      </c>
      <c r="N3665">
        <v>4.4000000000000004</v>
      </c>
      <c r="O3665">
        <v>0</v>
      </c>
      <c r="P3665" t="s">
        <v>29</v>
      </c>
      <c r="Q3665" t="s">
        <v>155</v>
      </c>
      <c r="R3665" t="s">
        <v>155</v>
      </c>
      <c r="S3665">
        <v>49</v>
      </c>
      <c r="T3665" t="s">
        <v>42</v>
      </c>
      <c r="U3665" t="s">
        <v>43</v>
      </c>
      <c r="V3665" s="1">
        <v>45460</v>
      </c>
      <c r="W3665">
        <f>Table1[[#This Row],[customer_purchase count]]+1</f>
        <v>50</v>
      </c>
      <c r="X3665">
        <f>Table1[[#This Row],[customer_purchase count]]*Rules!$B$3</f>
        <v>2928.4535897435899</v>
      </c>
      <c r="Y3665" t="str">
        <f>IF(Table1[[#This Row],[customer_subscription]]=1,"Subscribed","Not Subscribed")</f>
        <v>Not Subscribed</v>
      </c>
    </row>
    <row r="3666" spans="1:26" x14ac:dyDescent="0.25">
      <c r="A3666">
        <v>3665</v>
      </c>
      <c r="B3666">
        <v>63</v>
      </c>
      <c r="C3666" t="s">
        <v>156</v>
      </c>
      <c r="D3666">
        <v>3665</v>
      </c>
      <c r="E3666" t="s">
        <v>105</v>
      </c>
      <c r="F3666" t="s">
        <v>66</v>
      </c>
      <c r="G3666">
        <v>3665</v>
      </c>
      <c r="H3666">
        <v>4597</v>
      </c>
      <c r="I3666">
        <v>68</v>
      </c>
      <c r="J3666" t="s">
        <v>71</v>
      </c>
      <c r="K3666" t="s">
        <v>47</v>
      </c>
      <c r="L3666" t="s">
        <v>51</v>
      </c>
      <c r="M3666" t="s">
        <v>60</v>
      </c>
      <c r="N3666">
        <v>4.4000000000000004</v>
      </c>
      <c r="O3666">
        <v>0</v>
      </c>
      <c r="P3666" t="s">
        <v>77</v>
      </c>
      <c r="Q3666" t="s">
        <v>155</v>
      </c>
      <c r="R3666" t="s">
        <v>155</v>
      </c>
      <c r="S3666">
        <v>1</v>
      </c>
      <c r="T3666" t="s">
        <v>89</v>
      </c>
      <c r="U3666" t="s">
        <v>32</v>
      </c>
      <c r="V3666" s="1">
        <v>45599</v>
      </c>
      <c r="W3666">
        <f>Table1[[#This Row],[customer_purchase count]]+1</f>
        <v>2</v>
      </c>
      <c r="X3666">
        <f>Table1[[#This Row],[customer_purchase count]]*Rules!$B$3</f>
        <v>59.764358974358977</v>
      </c>
      <c r="Y3666" t="str">
        <f>IF(Table1[[#This Row],[customer_subscription]]=1,"Subscribed","Not Subscribed")</f>
        <v>Not Subscribed</v>
      </c>
      <c r="Z3666" t="s">
        <v>194</v>
      </c>
    </row>
    <row r="3667" spans="1:26" x14ac:dyDescent="0.25">
      <c r="A3667">
        <v>3666</v>
      </c>
      <c r="B3667">
        <v>28</v>
      </c>
      <c r="C3667" t="s">
        <v>156</v>
      </c>
      <c r="D3667">
        <v>3666</v>
      </c>
      <c r="E3667" t="s">
        <v>128</v>
      </c>
      <c r="F3667" t="s">
        <v>24</v>
      </c>
      <c r="G3667">
        <v>3666</v>
      </c>
      <c r="H3667">
        <v>4598</v>
      </c>
      <c r="I3667">
        <v>77</v>
      </c>
      <c r="J3667" t="s">
        <v>101</v>
      </c>
      <c r="K3667" t="s">
        <v>47</v>
      </c>
      <c r="L3667" t="s">
        <v>103</v>
      </c>
      <c r="M3667" t="s">
        <v>60</v>
      </c>
      <c r="N3667">
        <v>3.4</v>
      </c>
      <c r="O3667">
        <v>0</v>
      </c>
      <c r="P3667" t="s">
        <v>48</v>
      </c>
      <c r="Q3667" t="s">
        <v>155</v>
      </c>
      <c r="R3667" t="s">
        <v>155</v>
      </c>
      <c r="S3667">
        <v>11</v>
      </c>
      <c r="T3667" t="s">
        <v>42</v>
      </c>
      <c r="U3667" t="s">
        <v>61</v>
      </c>
      <c r="V3667" s="1">
        <v>45609</v>
      </c>
      <c r="W3667">
        <f>Table1[[#This Row],[customer_purchase count]]+1</f>
        <v>12</v>
      </c>
      <c r="X3667">
        <f>Table1[[#This Row],[customer_purchase count]]*Rules!$B$3</f>
        <v>657.40794871794878</v>
      </c>
      <c r="Y3667" t="str">
        <f>IF(Table1[[#This Row],[customer_subscription]]=1,"Subscribed","Not Subscribed")</f>
        <v>Not Subscribed</v>
      </c>
      <c r="Z3667" t="s">
        <v>187</v>
      </c>
    </row>
    <row r="3668" spans="1:26" x14ac:dyDescent="0.25">
      <c r="A3668">
        <v>3667</v>
      </c>
      <c r="B3668">
        <v>67</v>
      </c>
      <c r="C3668" t="s">
        <v>156</v>
      </c>
      <c r="D3668">
        <v>3667</v>
      </c>
      <c r="E3668" t="s">
        <v>109</v>
      </c>
      <c r="F3668" t="s">
        <v>70</v>
      </c>
      <c r="G3668">
        <v>3667</v>
      </c>
      <c r="H3668">
        <v>4599</v>
      </c>
      <c r="I3668">
        <v>50</v>
      </c>
      <c r="J3668" t="s">
        <v>93</v>
      </c>
      <c r="K3668" t="s">
        <v>47</v>
      </c>
      <c r="L3668" t="s">
        <v>81</v>
      </c>
      <c r="M3668" t="s">
        <v>28</v>
      </c>
      <c r="N3668">
        <v>3</v>
      </c>
      <c r="O3668">
        <v>0</v>
      </c>
      <c r="P3668" t="s">
        <v>73</v>
      </c>
      <c r="Q3668" t="s">
        <v>155</v>
      </c>
      <c r="R3668" t="s">
        <v>155</v>
      </c>
      <c r="S3668">
        <v>47</v>
      </c>
      <c r="T3668" t="s">
        <v>36</v>
      </c>
      <c r="U3668" t="s">
        <v>100</v>
      </c>
      <c r="V3668" s="1">
        <v>45302</v>
      </c>
      <c r="W3668">
        <f>Table1[[#This Row],[customer_purchase count]]+1</f>
        <v>48</v>
      </c>
      <c r="X3668">
        <f>Table1[[#This Row],[customer_purchase count]]*Rules!$B$3</f>
        <v>2808.9248717948717</v>
      </c>
      <c r="Y3668" t="str">
        <f>IF(Table1[[#This Row],[customer_subscription]]=1,"Subscribed","Not Subscribed")</f>
        <v>Not Subscribed</v>
      </c>
    </row>
    <row r="3669" spans="1:26" x14ac:dyDescent="0.25">
      <c r="A3669">
        <v>3668</v>
      </c>
      <c r="B3669">
        <v>51</v>
      </c>
      <c r="C3669" t="s">
        <v>156</v>
      </c>
      <c r="D3669">
        <v>3668</v>
      </c>
      <c r="E3669" t="s">
        <v>98</v>
      </c>
      <c r="F3669" t="s">
        <v>24</v>
      </c>
      <c r="G3669">
        <v>3668</v>
      </c>
      <c r="H3669">
        <v>4600</v>
      </c>
      <c r="I3669">
        <v>45</v>
      </c>
      <c r="J3669" t="s">
        <v>152</v>
      </c>
      <c r="K3669" t="s">
        <v>26</v>
      </c>
      <c r="L3669" t="s">
        <v>112</v>
      </c>
      <c r="M3669" t="s">
        <v>60</v>
      </c>
      <c r="N3669">
        <v>2.6</v>
      </c>
      <c r="O3669">
        <v>0</v>
      </c>
      <c r="P3669" t="s">
        <v>48</v>
      </c>
      <c r="Q3669" t="s">
        <v>155</v>
      </c>
      <c r="R3669" t="s">
        <v>155</v>
      </c>
      <c r="S3669">
        <v>20</v>
      </c>
      <c r="T3669" t="s">
        <v>31</v>
      </c>
      <c r="U3669" t="s">
        <v>91</v>
      </c>
      <c r="V3669" s="1">
        <v>45574</v>
      </c>
      <c r="W3669">
        <f>Table1[[#This Row],[customer_purchase count]]+1</f>
        <v>21</v>
      </c>
      <c r="X3669">
        <f>Table1[[#This Row],[customer_purchase count]]*Rules!$B$3</f>
        <v>1195.2871794871796</v>
      </c>
      <c r="Y3669" t="str">
        <f>IF(Table1[[#This Row],[customer_subscription]]=1,"Subscribed","Not Subscribed")</f>
        <v>Not Subscribed</v>
      </c>
    </row>
    <row r="3670" spans="1:26" x14ac:dyDescent="0.25">
      <c r="A3670">
        <v>3669</v>
      </c>
      <c r="B3670">
        <v>59</v>
      </c>
      <c r="C3670" t="s">
        <v>156</v>
      </c>
      <c r="D3670">
        <v>3669</v>
      </c>
      <c r="E3670" t="s">
        <v>23</v>
      </c>
      <c r="F3670" t="s">
        <v>24</v>
      </c>
      <c r="G3670">
        <v>3669</v>
      </c>
      <c r="H3670">
        <v>4601</v>
      </c>
      <c r="I3670">
        <v>71</v>
      </c>
      <c r="J3670" t="s">
        <v>154</v>
      </c>
      <c r="K3670" t="s">
        <v>95</v>
      </c>
      <c r="L3670" t="s">
        <v>139</v>
      </c>
      <c r="M3670" t="s">
        <v>56</v>
      </c>
      <c r="N3670">
        <v>3.2</v>
      </c>
      <c r="O3670">
        <v>0</v>
      </c>
      <c r="P3670" t="s">
        <v>77</v>
      </c>
      <c r="Q3670" t="s">
        <v>155</v>
      </c>
      <c r="R3670" t="s">
        <v>155</v>
      </c>
      <c r="S3670">
        <v>18</v>
      </c>
      <c r="T3670" t="s">
        <v>31</v>
      </c>
      <c r="U3670" t="s">
        <v>52</v>
      </c>
      <c r="V3670" s="1">
        <v>45526</v>
      </c>
      <c r="W3670">
        <f>Table1[[#This Row],[customer_purchase count]]+1</f>
        <v>19</v>
      </c>
      <c r="X3670">
        <f>Table1[[#This Row],[customer_purchase count]]*Rules!$B$3</f>
        <v>1075.7584615384617</v>
      </c>
      <c r="Y3670" t="str">
        <f>IF(Table1[[#This Row],[customer_subscription]]=1,"Subscribed","Not Subscribed")</f>
        <v>Not Subscribed</v>
      </c>
    </row>
    <row r="3671" spans="1:26" x14ac:dyDescent="0.25">
      <c r="A3671">
        <v>3670</v>
      </c>
      <c r="B3671">
        <v>25</v>
      </c>
      <c r="C3671" t="s">
        <v>156</v>
      </c>
      <c r="D3671">
        <v>3670</v>
      </c>
      <c r="E3671" t="s">
        <v>128</v>
      </c>
      <c r="F3671" t="s">
        <v>24</v>
      </c>
      <c r="G3671">
        <v>3670</v>
      </c>
      <c r="H3671">
        <v>4603</v>
      </c>
      <c r="I3671">
        <v>52</v>
      </c>
      <c r="J3671" t="s">
        <v>152</v>
      </c>
      <c r="K3671" t="s">
        <v>39</v>
      </c>
      <c r="L3671" t="s">
        <v>68</v>
      </c>
      <c r="M3671" t="s">
        <v>60</v>
      </c>
      <c r="N3671">
        <v>4.5999999999999996</v>
      </c>
      <c r="O3671">
        <v>0</v>
      </c>
      <c r="P3671" t="s">
        <v>77</v>
      </c>
      <c r="Q3671" t="s">
        <v>155</v>
      </c>
      <c r="R3671" t="s">
        <v>155</v>
      </c>
      <c r="S3671">
        <v>43</v>
      </c>
      <c r="T3671" t="s">
        <v>49</v>
      </c>
      <c r="U3671" t="s">
        <v>61</v>
      </c>
      <c r="V3671" s="1">
        <v>45588</v>
      </c>
      <c r="W3671">
        <f>Table1[[#This Row],[customer_purchase count]]+1</f>
        <v>44</v>
      </c>
      <c r="X3671">
        <f>Table1[[#This Row],[customer_purchase count]]*Rules!$B$3</f>
        <v>2569.8674358974358</v>
      </c>
      <c r="Y3671" t="str">
        <f>IF(Table1[[#This Row],[customer_subscription]]=1,"Subscribed","Not Subscribed")</f>
        <v>Not Subscribed</v>
      </c>
    </row>
    <row r="3672" spans="1:26" x14ac:dyDescent="0.25">
      <c r="A3672">
        <v>3671</v>
      </c>
      <c r="B3672">
        <v>31</v>
      </c>
      <c r="C3672" t="s">
        <v>156</v>
      </c>
      <c r="D3672">
        <v>3671</v>
      </c>
      <c r="E3672" t="s">
        <v>74</v>
      </c>
      <c r="F3672" t="s">
        <v>45</v>
      </c>
      <c r="G3672">
        <v>3671</v>
      </c>
      <c r="H3672">
        <v>4604</v>
      </c>
      <c r="I3672">
        <v>50</v>
      </c>
      <c r="J3672" t="s">
        <v>132</v>
      </c>
      <c r="K3672" t="s">
        <v>39</v>
      </c>
      <c r="L3672" t="s">
        <v>55</v>
      </c>
      <c r="M3672" t="s">
        <v>28</v>
      </c>
      <c r="N3672">
        <v>3.8</v>
      </c>
      <c r="O3672">
        <v>0</v>
      </c>
      <c r="P3672" t="s">
        <v>41</v>
      </c>
      <c r="Q3672" t="s">
        <v>155</v>
      </c>
      <c r="R3672" t="s">
        <v>155</v>
      </c>
      <c r="S3672">
        <v>4</v>
      </c>
      <c r="T3672" t="s">
        <v>49</v>
      </c>
      <c r="U3672" t="s">
        <v>100</v>
      </c>
      <c r="V3672" s="1">
        <v>45311</v>
      </c>
      <c r="W3672">
        <f>Table1[[#This Row],[customer_purchase count]]+1</f>
        <v>5</v>
      </c>
      <c r="X3672">
        <f>Table1[[#This Row],[customer_purchase count]]*Rules!$B$3</f>
        <v>239.05743589743591</v>
      </c>
      <c r="Y3672" t="str">
        <f>IF(Table1[[#This Row],[customer_subscription]]=1,"Subscribed","Not Subscribed")</f>
        <v>Not Subscribed</v>
      </c>
      <c r="Z3672" t="s">
        <v>194</v>
      </c>
    </row>
    <row r="3673" spans="1:26" x14ac:dyDescent="0.25">
      <c r="A3673">
        <v>3672</v>
      </c>
      <c r="B3673">
        <v>62</v>
      </c>
      <c r="C3673" t="s">
        <v>156</v>
      </c>
      <c r="D3673">
        <v>3672</v>
      </c>
      <c r="E3673" t="s">
        <v>69</v>
      </c>
      <c r="F3673" t="s">
        <v>70</v>
      </c>
      <c r="G3673">
        <v>3672</v>
      </c>
      <c r="H3673">
        <v>4605</v>
      </c>
      <c r="I3673">
        <v>66</v>
      </c>
      <c r="J3673" t="s">
        <v>118</v>
      </c>
      <c r="K3673" t="s">
        <v>26</v>
      </c>
      <c r="L3673" t="s">
        <v>72</v>
      </c>
      <c r="M3673" t="s">
        <v>56</v>
      </c>
      <c r="N3673">
        <v>4.8</v>
      </c>
      <c r="O3673">
        <v>0</v>
      </c>
      <c r="P3673" t="s">
        <v>73</v>
      </c>
      <c r="Q3673" t="s">
        <v>155</v>
      </c>
      <c r="R3673" t="s">
        <v>155</v>
      </c>
      <c r="S3673">
        <v>20</v>
      </c>
      <c r="T3673" t="s">
        <v>31</v>
      </c>
      <c r="U3673" t="s">
        <v>61</v>
      </c>
      <c r="V3673" s="1">
        <v>45468</v>
      </c>
      <c r="W3673">
        <f>Table1[[#This Row],[customer_purchase count]]+1</f>
        <v>21</v>
      </c>
      <c r="X3673">
        <f>Table1[[#This Row],[customer_purchase count]]*Rules!$B$3</f>
        <v>1195.2871794871796</v>
      </c>
      <c r="Y3673" t="str">
        <f>IF(Table1[[#This Row],[customer_subscription]]=1,"Subscribed","Not Subscribed")</f>
        <v>Not Subscribed</v>
      </c>
    </row>
    <row r="3674" spans="1:26" x14ac:dyDescent="0.25">
      <c r="A3674">
        <v>3673</v>
      </c>
      <c r="B3674">
        <v>51</v>
      </c>
      <c r="C3674" t="s">
        <v>156</v>
      </c>
      <c r="D3674">
        <v>3673</v>
      </c>
      <c r="E3674" t="s">
        <v>44</v>
      </c>
      <c r="F3674" t="s">
        <v>45</v>
      </c>
      <c r="G3674">
        <v>3673</v>
      </c>
      <c r="H3674">
        <v>4606</v>
      </c>
      <c r="I3674">
        <v>81</v>
      </c>
      <c r="J3674" t="s">
        <v>87</v>
      </c>
      <c r="K3674" t="s">
        <v>39</v>
      </c>
      <c r="L3674" t="s">
        <v>72</v>
      </c>
      <c r="M3674" t="s">
        <v>60</v>
      </c>
      <c r="N3674">
        <v>4.5</v>
      </c>
      <c r="O3674">
        <v>0</v>
      </c>
      <c r="P3674" t="s">
        <v>41</v>
      </c>
      <c r="Q3674" t="s">
        <v>155</v>
      </c>
      <c r="R3674" t="s">
        <v>155</v>
      </c>
      <c r="S3674">
        <v>7</v>
      </c>
      <c r="T3674" t="s">
        <v>49</v>
      </c>
      <c r="U3674" t="s">
        <v>91</v>
      </c>
      <c r="V3674" s="1">
        <v>45550</v>
      </c>
      <c r="W3674">
        <f>Table1[[#This Row],[customer_purchase count]]+1</f>
        <v>8</v>
      </c>
      <c r="X3674">
        <f>Table1[[#This Row],[customer_purchase count]]*Rules!$B$3</f>
        <v>418.35051282051285</v>
      </c>
      <c r="Y3674" t="str">
        <f>IF(Table1[[#This Row],[customer_subscription]]=1,"Subscribed","Not Subscribed")</f>
        <v>Not Subscribed</v>
      </c>
      <c r="Z3674" t="s">
        <v>194</v>
      </c>
    </row>
    <row r="3675" spans="1:26" x14ac:dyDescent="0.25">
      <c r="A3675">
        <v>3674</v>
      </c>
      <c r="B3675">
        <v>32</v>
      </c>
      <c r="C3675" t="s">
        <v>156</v>
      </c>
      <c r="D3675">
        <v>3674</v>
      </c>
      <c r="E3675" t="s">
        <v>128</v>
      </c>
      <c r="F3675" t="s">
        <v>24</v>
      </c>
      <c r="G3675">
        <v>3674</v>
      </c>
      <c r="H3675">
        <v>4607</v>
      </c>
      <c r="I3675">
        <v>28</v>
      </c>
      <c r="J3675" t="s">
        <v>46</v>
      </c>
      <c r="K3675" t="s">
        <v>47</v>
      </c>
      <c r="L3675" t="s">
        <v>72</v>
      </c>
      <c r="M3675" t="s">
        <v>56</v>
      </c>
      <c r="N3675">
        <v>4.2</v>
      </c>
      <c r="O3675">
        <v>0</v>
      </c>
      <c r="P3675" t="s">
        <v>73</v>
      </c>
      <c r="Q3675" t="s">
        <v>155</v>
      </c>
      <c r="R3675" t="s">
        <v>155</v>
      </c>
      <c r="S3675">
        <v>31</v>
      </c>
      <c r="T3675" t="s">
        <v>78</v>
      </c>
      <c r="U3675" t="s">
        <v>32</v>
      </c>
      <c r="V3675" s="1">
        <v>45513</v>
      </c>
      <c r="W3675">
        <f>Table1[[#This Row],[customer_purchase count]]+1</f>
        <v>32</v>
      </c>
      <c r="X3675">
        <f>Table1[[#This Row],[customer_purchase count]]*Rules!$B$3</f>
        <v>1852.6951282051282</v>
      </c>
      <c r="Y3675" t="str">
        <f>IF(Table1[[#This Row],[customer_subscription]]=1,"Subscribed","Not Subscribed")</f>
        <v>Not Subscribed</v>
      </c>
    </row>
    <row r="3676" spans="1:26" x14ac:dyDescent="0.25">
      <c r="A3676">
        <v>3675</v>
      </c>
      <c r="B3676">
        <v>35</v>
      </c>
      <c r="C3676" t="s">
        <v>156</v>
      </c>
      <c r="D3676">
        <v>3675</v>
      </c>
      <c r="E3676" t="s">
        <v>69</v>
      </c>
      <c r="F3676" t="s">
        <v>70</v>
      </c>
      <c r="G3676">
        <v>3675</v>
      </c>
      <c r="H3676">
        <v>4609</v>
      </c>
      <c r="I3676">
        <v>65</v>
      </c>
      <c r="J3676" t="s">
        <v>152</v>
      </c>
      <c r="K3676" t="s">
        <v>47</v>
      </c>
      <c r="L3676" t="s">
        <v>147</v>
      </c>
      <c r="M3676" t="s">
        <v>28</v>
      </c>
      <c r="N3676">
        <v>2.7</v>
      </c>
      <c r="O3676">
        <v>0</v>
      </c>
      <c r="P3676" t="s">
        <v>73</v>
      </c>
      <c r="Q3676" t="s">
        <v>155</v>
      </c>
      <c r="R3676" t="s">
        <v>155</v>
      </c>
      <c r="S3676">
        <v>41</v>
      </c>
      <c r="T3676" t="s">
        <v>31</v>
      </c>
      <c r="U3676" t="s">
        <v>32</v>
      </c>
      <c r="V3676" s="1">
        <v>45334</v>
      </c>
      <c r="W3676">
        <f>Table1[[#This Row],[customer_purchase count]]+1</f>
        <v>42</v>
      </c>
      <c r="X3676">
        <f>Table1[[#This Row],[customer_purchase count]]*Rules!$B$3</f>
        <v>2450.3387179487181</v>
      </c>
      <c r="Y3676" t="str">
        <f>IF(Table1[[#This Row],[customer_subscription]]=1,"Subscribed","Not Subscribed")</f>
        <v>Not Subscribed</v>
      </c>
    </row>
    <row r="3677" spans="1:26" x14ac:dyDescent="0.25">
      <c r="A3677">
        <v>3676</v>
      </c>
      <c r="B3677">
        <v>70</v>
      </c>
      <c r="C3677" t="s">
        <v>156</v>
      </c>
      <c r="D3677">
        <v>3676</v>
      </c>
      <c r="E3677" t="s">
        <v>127</v>
      </c>
      <c r="F3677" t="s">
        <v>70</v>
      </c>
      <c r="G3677">
        <v>3676</v>
      </c>
      <c r="H3677">
        <v>4610</v>
      </c>
      <c r="I3677">
        <v>80</v>
      </c>
      <c r="J3677" t="s">
        <v>144</v>
      </c>
      <c r="K3677" t="s">
        <v>47</v>
      </c>
      <c r="L3677" t="s">
        <v>55</v>
      </c>
      <c r="M3677" t="s">
        <v>28</v>
      </c>
      <c r="N3677">
        <v>4.5</v>
      </c>
      <c r="O3677">
        <v>0</v>
      </c>
      <c r="P3677" t="s">
        <v>29</v>
      </c>
      <c r="Q3677" t="s">
        <v>155</v>
      </c>
      <c r="R3677" t="s">
        <v>155</v>
      </c>
      <c r="S3677">
        <v>3</v>
      </c>
      <c r="T3677" t="s">
        <v>78</v>
      </c>
      <c r="U3677" t="s">
        <v>91</v>
      </c>
      <c r="V3677" s="1">
        <v>45325</v>
      </c>
      <c r="W3677">
        <f>Table1[[#This Row],[customer_purchase count]]+1</f>
        <v>4</v>
      </c>
      <c r="X3677">
        <f>Table1[[#This Row],[customer_purchase count]]*Rules!$B$3</f>
        <v>179.29307692307694</v>
      </c>
      <c r="Y3677" t="str">
        <f>IF(Table1[[#This Row],[customer_subscription]]=1,"Subscribed","Not Subscribed")</f>
        <v>Not Subscribed</v>
      </c>
      <c r="Z3677" t="s">
        <v>194</v>
      </c>
    </row>
    <row r="3678" spans="1:26" x14ac:dyDescent="0.25">
      <c r="A3678">
        <v>3677</v>
      </c>
      <c r="B3678">
        <v>19</v>
      </c>
      <c r="C3678" t="s">
        <v>156</v>
      </c>
      <c r="D3678">
        <v>3677</v>
      </c>
      <c r="E3678" t="s">
        <v>109</v>
      </c>
      <c r="F3678" t="s">
        <v>70</v>
      </c>
      <c r="G3678">
        <v>3677</v>
      </c>
      <c r="H3678">
        <v>4611</v>
      </c>
      <c r="I3678">
        <v>94</v>
      </c>
      <c r="J3678" t="s">
        <v>153</v>
      </c>
      <c r="K3678" t="s">
        <v>39</v>
      </c>
      <c r="L3678" t="s">
        <v>88</v>
      </c>
      <c r="M3678" t="s">
        <v>40</v>
      </c>
      <c r="N3678">
        <v>4.9000000000000004</v>
      </c>
      <c r="O3678">
        <v>0</v>
      </c>
      <c r="P3678" t="s">
        <v>41</v>
      </c>
      <c r="Q3678" t="s">
        <v>155</v>
      </c>
      <c r="R3678" t="s">
        <v>155</v>
      </c>
      <c r="S3678">
        <v>16</v>
      </c>
      <c r="T3678" t="s">
        <v>49</v>
      </c>
      <c r="U3678" t="s">
        <v>91</v>
      </c>
      <c r="V3678" s="1">
        <v>45383</v>
      </c>
      <c r="W3678">
        <f>Table1[[#This Row],[customer_purchase count]]+1</f>
        <v>17</v>
      </c>
      <c r="X3678">
        <f>Table1[[#This Row],[customer_purchase count]]*Rules!$B$3</f>
        <v>956.22974358974363</v>
      </c>
      <c r="Y3678" t="str">
        <f>IF(Table1[[#This Row],[customer_subscription]]=1,"Subscribed","Not Subscribed")</f>
        <v>Not Subscribed</v>
      </c>
      <c r="Z3678" t="s">
        <v>187</v>
      </c>
    </row>
    <row r="3679" spans="1:26" x14ac:dyDescent="0.25">
      <c r="A3679">
        <v>3678</v>
      </c>
      <c r="B3679">
        <v>32</v>
      </c>
      <c r="C3679" t="s">
        <v>156</v>
      </c>
      <c r="D3679">
        <v>3678</v>
      </c>
      <c r="E3679" t="s">
        <v>135</v>
      </c>
      <c r="F3679" t="s">
        <v>70</v>
      </c>
      <c r="G3679">
        <v>3678</v>
      </c>
      <c r="H3679">
        <v>4612</v>
      </c>
      <c r="I3679">
        <v>30</v>
      </c>
      <c r="J3679" t="s">
        <v>154</v>
      </c>
      <c r="K3679" t="s">
        <v>47</v>
      </c>
      <c r="L3679" t="s">
        <v>27</v>
      </c>
      <c r="M3679" t="s">
        <v>60</v>
      </c>
      <c r="N3679">
        <v>2.8</v>
      </c>
      <c r="O3679">
        <v>0</v>
      </c>
      <c r="P3679" t="s">
        <v>57</v>
      </c>
      <c r="Q3679" t="s">
        <v>155</v>
      </c>
      <c r="R3679" t="s">
        <v>155</v>
      </c>
      <c r="S3679">
        <v>43</v>
      </c>
      <c r="T3679" t="s">
        <v>36</v>
      </c>
      <c r="U3679" t="s">
        <v>52</v>
      </c>
      <c r="V3679" s="1">
        <v>45586</v>
      </c>
      <c r="W3679">
        <f>Table1[[#This Row],[customer_purchase count]]+1</f>
        <v>44</v>
      </c>
      <c r="X3679">
        <f>Table1[[#This Row],[customer_purchase count]]*Rules!$B$3</f>
        <v>2569.8674358974358</v>
      </c>
      <c r="Y3679" t="str">
        <f>IF(Table1[[#This Row],[customer_subscription]]=1,"Subscribed","Not Subscribed")</f>
        <v>Not Subscribed</v>
      </c>
    </row>
    <row r="3680" spans="1:26" x14ac:dyDescent="0.25">
      <c r="A3680">
        <v>3679</v>
      </c>
      <c r="B3680">
        <v>56</v>
      </c>
      <c r="C3680" t="s">
        <v>156</v>
      </c>
      <c r="D3680">
        <v>3679</v>
      </c>
      <c r="E3680" t="s">
        <v>58</v>
      </c>
      <c r="F3680" t="s">
        <v>24</v>
      </c>
      <c r="G3680">
        <v>3679</v>
      </c>
      <c r="H3680">
        <v>4613</v>
      </c>
      <c r="I3680">
        <v>45</v>
      </c>
      <c r="J3680" t="s">
        <v>108</v>
      </c>
      <c r="K3680" t="s">
        <v>39</v>
      </c>
      <c r="L3680" t="s">
        <v>121</v>
      </c>
      <c r="M3680" t="s">
        <v>60</v>
      </c>
      <c r="N3680">
        <v>3.5</v>
      </c>
      <c r="O3680">
        <v>0</v>
      </c>
      <c r="P3680" t="s">
        <v>57</v>
      </c>
      <c r="Q3680" t="s">
        <v>155</v>
      </c>
      <c r="R3680" t="s">
        <v>155</v>
      </c>
      <c r="S3680">
        <v>29</v>
      </c>
      <c r="T3680" t="s">
        <v>78</v>
      </c>
      <c r="U3680" t="s">
        <v>32</v>
      </c>
      <c r="V3680" s="1">
        <v>45566</v>
      </c>
      <c r="W3680">
        <f>Table1[[#This Row],[customer_purchase count]]+1</f>
        <v>30</v>
      </c>
      <c r="X3680">
        <f>Table1[[#This Row],[customer_purchase count]]*Rules!$B$3</f>
        <v>1733.1664102564102</v>
      </c>
      <c r="Y3680" t="str">
        <f>IF(Table1[[#This Row],[customer_subscription]]=1,"Subscribed","Not Subscribed")</f>
        <v>Not Subscribed</v>
      </c>
    </row>
    <row r="3681" spans="1:26" x14ac:dyDescent="0.25">
      <c r="A3681">
        <v>3680</v>
      </c>
      <c r="B3681">
        <v>53</v>
      </c>
      <c r="C3681" t="s">
        <v>156</v>
      </c>
      <c r="D3681">
        <v>3680</v>
      </c>
      <c r="E3681" t="s">
        <v>65</v>
      </c>
      <c r="F3681" t="s">
        <v>66</v>
      </c>
      <c r="G3681">
        <v>3680</v>
      </c>
      <c r="H3681">
        <v>4615</v>
      </c>
      <c r="I3681">
        <v>91</v>
      </c>
      <c r="J3681" t="s">
        <v>138</v>
      </c>
      <c r="K3681" t="s">
        <v>47</v>
      </c>
      <c r="L3681" t="s">
        <v>86</v>
      </c>
      <c r="M3681" t="s">
        <v>56</v>
      </c>
      <c r="N3681">
        <v>2.5</v>
      </c>
      <c r="O3681">
        <v>0</v>
      </c>
      <c r="P3681" t="s">
        <v>77</v>
      </c>
      <c r="Q3681" t="s">
        <v>155</v>
      </c>
      <c r="R3681" t="s">
        <v>155</v>
      </c>
      <c r="S3681">
        <v>5</v>
      </c>
      <c r="T3681" t="s">
        <v>36</v>
      </c>
      <c r="U3681" t="s">
        <v>79</v>
      </c>
      <c r="V3681" s="1">
        <v>45493</v>
      </c>
      <c r="W3681">
        <f>Table1[[#This Row],[customer_purchase count]]+1</f>
        <v>6</v>
      </c>
      <c r="X3681">
        <f>Table1[[#This Row],[customer_purchase count]]*Rules!$B$3</f>
        <v>298.82179487179491</v>
      </c>
      <c r="Y3681" t="str">
        <f>IF(Table1[[#This Row],[customer_subscription]]=1,"Subscribed","Not Subscribed")</f>
        <v>Not Subscribed</v>
      </c>
      <c r="Z3681" t="s">
        <v>194</v>
      </c>
    </row>
    <row r="3682" spans="1:26" x14ac:dyDescent="0.25">
      <c r="A3682">
        <v>3681</v>
      </c>
      <c r="B3682">
        <v>22</v>
      </c>
      <c r="C3682" t="s">
        <v>156</v>
      </c>
      <c r="D3682">
        <v>3681</v>
      </c>
      <c r="E3682" t="s">
        <v>92</v>
      </c>
      <c r="F3682" t="s">
        <v>70</v>
      </c>
      <c r="G3682">
        <v>3681</v>
      </c>
      <c r="H3682">
        <v>4616</v>
      </c>
      <c r="I3682">
        <v>36</v>
      </c>
      <c r="J3682" t="s">
        <v>149</v>
      </c>
      <c r="K3682" t="s">
        <v>39</v>
      </c>
      <c r="L3682" t="s">
        <v>147</v>
      </c>
      <c r="M3682" t="s">
        <v>28</v>
      </c>
      <c r="N3682">
        <v>2.9</v>
      </c>
      <c r="O3682">
        <v>0</v>
      </c>
      <c r="P3682" t="s">
        <v>57</v>
      </c>
      <c r="Q3682" t="s">
        <v>155</v>
      </c>
      <c r="R3682" t="s">
        <v>155</v>
      </c>
      <c r="S3682">
        <v>30</v>
      </c>
      <c r="T3682" t="s">
        <v>89</v>
      </c>
      <c r="U3682" t="s">
        <v>61</v>
      </c>
      <c r="V3682" s="1">
        <v>45310</v>
      </c>
      <c r="W3682">
        <f>Table1[[#This Row],[customer_purchase count]]+1</f>
        <v>31</v>
      </c>
      <c r="X3682">
        <f>Table1[[#This Row],[customer_purchase count]]*Rules!$B$3</f>
        <v>1792.9307692307693</v>
      </c>
      <c r="Y3682" t="str">
        <f>IF(Table1[[#This Row],[customer_subscription]]=1,"Subscribed","Not Subscribed")</f>
        <v>Not Subscribed</v>
      </c>
    </row>
    <row r="3683" spans="1:26" x14ac:dyDescent="0.25">
      <c r="A3683">
        <v>3682</v>
      </c>
      <c r="B3683">
        <v>26</v>
      </c>
      <c r="C3683" t="s">
        <v>156</v>
      </c>
      <c r="D3683">
        <v>3682</v>
      </c>
      <c r="E3683" t="s">
        <v>146</v>
      </c>
      <c r="F3683" t="s">
        <v>70</v>
      </c>
      <c r="G3683">
        <v>3682</v>
      </c>
      <c r="H3683">
        <v>4617</v>
      </c>
      <c r="I3683">
        <v>73</v>
      </c>
      <c r="J3683" t="s">
        <v>142</v>
      </c>
      <c r="K3683" t="s">
        <v>95</v>
      </c>
      <c r="L3683" t="s">
        <v>139</v>
      </c>
      <c r="M3683" t="s">
        <v>60</v>
      </c>
      <c r="N3683">
        <v>4.2</v>
      </c>
      <c r="O3683">
        <v>0</v>
      </c>
      <c r="P3683" t="s">
        <v>48</v>
      </c>
      <c r="Q3683" t="s">
        <v>155</v>
      </c>
      <c r="R3683" t="s">
        <v>155</v>
      </c>
      <c r="S3683">
        <v>33</v>
      </c>
      <c r="T3683" t="s">
        <v>89</v>
      </c>
      <c r="U3683" t="s">
        <v>91</v>
      </c>
      <c r="V3683" s="1">
        <v>45574</v>
      </c>
      <c r="W3683">
        <f>Table1[[#This Row],[customer_purchase count]]+1</f>
        <v>34</v>
      </c>
      <c r="X3683">
        <f>Table1[[#This Row],[customer_purchase count]]*Rules!$B$3</f>
        <v>1972.2238461538464</v>
      </c>
      <c r="Y3683" t="str">
        <f>IF(Table1[[#This Row],[customer_subscription]]=1,"Subscribed","Not Subscribed")</f>
        <v>Not Subscribed</v>
      </c>
    </row>
    <row r="3684" spans="1:26" x14ac:dyDescent="0.25">
      <c r="A3684">
        <v>3683</v>
      </c>
      <c r="B3684">
        <v>42</v>
      </c>
      <c r="C3684" t="s">
        <v>156</v>
      </c>
      <c r="D3684">
        <v>3683</v>
      </c>
      <c r="E3684" t="s">
        <v>58</v>
      </c>
      <c r="F3684" t="s">
        <v>24</v>
      </c>
      <c r="G3684">
        <v>3683</v>
      </c>
      <c r="H3684">
        <v>4618</v>
      </c>
      <c r="I3684">
        <v>60</v>
      </c>
      <c r="J3684" t="s">
        <v>54</v>
      </c>
      <c r="K3684" t="s">
        <v>47</v>
      </c>
      <c r="L3684" t="s">
        <v>35</v>
      </c>
      <c r="M3684" t="s">
        <v>60</v>
      </c>
      <c r="N3684">
        <v>4.5999999999999996</v>
      </c>
      <c r="O3684">
        <v>0</v>
      </c>
      <c r="P3684" t="s">
        <v>77</v>
      </c>
      <c r="Q3684" t="s">
        <v>155</v>
      </c>
      <c r="R3684" t="s">
        <v>155</v>
      </c>
      <c r="S3684">
        <v>46</v>
      </c>
      <c r="T3684" t="s">
        <v>31</v>
      </c>
      <c r="U3684" t="s">
        <v>79</v>
      </c>
      <c r="V3684" s="1">
        <v>45586</v>
      </c>
      <c r="W3684">
        <f>Table1[[#This Row],[customer_purchase count]]+1</f>
        <v>47</v>
      </c>
      <c r="X3684">
        <f>Table1[[#This Row],[customer_purchase count]]*Rules!$B$3</f>
        <v>2749.1605128205128</v>
      </c>
      <c r="Y3684" t="str">
        <f>IF(Table1[[#This Row],[customer_subscription]]=1,"Subscribed","Not Subscribed")</f>
        <v>Not Subscribed</v>
      </c>
    </row>
    <row r="3685" spans="1:26" x14ac:dyDescent="0.25">
      <c r="A3685">
        <v>3684</v>
      </c>
      <c r="B3685">
        <v>30</v>
      </c>
      <c r="C3685" t="s">
        <v>156</v>
      </c>
      <c r="D3685">
        <v>3684</v>
      </c>
      <c r="E3685" t="s">
        <v>128</v>
      </c>
      <c r="F3685" t="s">
        <v>24</v>
      </c>
      <c r="G3685">
        <v>3684</v>
      </c>
      <c r="H3685">
        <v>4619</v>
      </c>
      <c r="I3685">
        <v>77</v>
      </c>
      <c r="J3685" t="s">
        <v>94</v>
      </c>
      <c r="K3685" t="s">
        <v>47</v>
      </c>
      <c r="L3685" t="s">
        <v>76</v>
      </c>
      <c r="M3685" t="s">
        <v>28</v>
      </c>
      <c r="N3685">
        <v>3</v>
      </c>
      <c r="O3685">
        <v>0</v>
      </c>
      <c r="P3685" t="s">
        <v>41</v>
      </c>
      <c r="Q3685" t="s">
        <v>155</v>
      </c>
      <c r="R3685" t="s">
        <v>155</v>
      </c>
      <c r="S3685">
        <v>17</v>
      </c>
      <c r="T3685" t="s">
        <v>31</v>
      </c>
      <c r="U3685" t="s">
        <v>32</v>
      </c>
      <c r="V3685" s="1">
        <v>45651</v>
      </c>
      <c r="W3685">
        <f>Table1[[#This Row],[customer_purchase count]]+1</f>
        <v>18</v>
      </c>
      <c r="X3685">
        <f>Table1[[#This Row],[customer_purchase count]]*Rules!$B$3</f>
        <v>1015.9941025641026</v>
      </c>
      <c r="Y3685" t="str">
        <f>IF(Table1[[#This Row],[customer_subscription]]=1,"Subscribed","Not Subscribed")</f>
        <v>Not Subscribed</v>
      </c>
      <c r="Z3685" t="s">
        <v>194</v>
      </c>
    </row>
    <row r="3686" spans="1:26" x14ac:dyDescent="0.25">
      <c r="A3686">
        <v>3685</v>
      </c>
      <c r="B3686">
        <v>29</v>
      </c>
      <c r="C3686" t="s">
        <v>156</v>
      </c>
      <c r="D3686">
        <v>3685</v>
      </c>
      <c r="E3686" t="s">
        <v>90</v>
      </c>
      <c r="F3686" t="s">
        <v>24</v>
      </c>
      <c r="G3686">
        <v>3685</v>
      </c>
      <c r="H3686">
        <v>4621</v>
      </c>
      <c r="I3686">
        <v>86</v>
      </c>
      <c r="J3686" t="s">
        <v>141</v>
      </c>
      <c r="K3686" t="s">
        <v>26</v>
      </c>
      <c r="L3686" t="s">
        <v>64</v>
      </c>
      <c r="M3686" t="s">
        <v>40</v>
      </c>
      <c r="N3686">
        <v>4.4000000000000004</v>
      </c>
      <c r="O3686">
        <v>0</v>
      </c>
      <c r="P3686" t="s">
        <v>41</v>
      </c>
      <c r="Q3686" t="s">
        <v>155</v>
      </c>
      <c r="R3686" t="s">
        <v>155</v>
      </c>
      <c r="S3686">
        <v>47</v>
      </c>
      <c r="T3686" t="s">
        <v>42</v>
      </c>
      <c r="U3686" t="s">
        <v>79</v>
      </c>
      <c r="V3686" s="1">
        <v>45367</v>
      </c>
      <c r="W3686">
        <f>Table1[[#This Row],[customer_purchase count]]+1</f>
        <v>48</v>
      </c>
      <c r="X3686">
        <f>Table1[[#This Row],[customer_purchase count]]*Rules!$B$3</f>
        <v>2808.9248717948717</v>
      </c>
      <c r="Y3686" t="str">
        <f>IF(Table1[[#This Row],[customer_subscription]]=1,"Subscribed","Not Subscribed")</f>
        <v>Not Subscribed</v>
      </c>
    </row>
    <row r="3687" spans="1:26" x14ac:dyDescent="0.25">
      <c r="A3687">
        <v>3686</v>
      </c>
      <c r="B3687">
        <v>47</v>
      </c>
      <c r="C3687" t="s">
        <v>156</v>
      </c>
      <c r="D3687">
        <v>3686</v>
      </c>
      <c r="E3687" t="s">
        <v>62</v>
      </c>
      <c r="F3687" t="s">
        <v>24</v>
      </c>
      <c r="G3687">
        <v>3686</v>
      </c>
      <c r="H3687">
        <v>4622</v>
      </c>
      <c r="I3687">
        <v>42</v>
      </c>
      <c r="J3687" t="s">
        <v>125</v>
      </c>
      <c r="K3687" t="s">
        <v>26</v>
      </c>
      <c r="L3687" t="s">
        <v>111</v>
      </c>
      <c r="M3687" t="s">
        <v>56</v>
      </c>
      <c r="N3687">
        <v>2.6</v>
      </c>
      <c r="O3687">
        <v>0</v>
      </c>
      <c r="P3687" t="s">
        <v>57</v>
      </c>
      <c r="Q3687" t="s">
        <v>155</v>
      </c>
      <c r="R3687" t="s">
        <v>155</v>
      </c>
      <c r="S3687">
        <v>17</v>
      </c>
      <c r="T3687" t="s">
        <v>36</v>
      </c>
      <c r="U3687" t="s">
        <v>79</v>
      </c>
      <c r="V3687" s="1">
        <v>45452</v>
      </c>
      <c r="W3687">
        <f>Table1[[#This Row],[customer_purchase count]]+1</f>
        <v>18</v>
      </c>
      <c r="X3687">
        <f>Table1[[#This Row],[customer_purchase count]]*Rules!$B$3</f>
        <v>1015.9941025641026</v>
      </c>
      <c r="Y3687" t="str">
        <f>IF(Table1[[#This Row],[customer_subscription]]=1,"Subscribed","Not Subscribed")</f>
        <v>Not Subscribed</v>
      </c>
      <c r="Z3687" t="s">
        <v>194</v>
      </c>
    </row>
    <row r="3688" spans="1:26" x14ac:dyDescent="0.25">
      <c r="A3688">
        <v>3687</v>
      </c>
      <c r="B3688">
        <v>59</v>
      </c>
      <c r="C3688" t="s">
        <v>156</v>
      </c>
      <c r="D3688">
        <v>3687</v>
      </c>
      <c r="E3688" t="s">
        <v>44</v>
      </c>
      <c r="F3688" t="s">
        <v>45</v>
      </c>
      <c r="G3688">
        <v>3687</v>
      </c>
      <c r="H3688">
        <v>4623</v>
      </c>
      <c r="I3688">
        <v>70</v>
      </c>
      <c r="J3688" t="s">
        <v>63</v>
      </c>
      <c r="K3688" t="s">
        <v>47</v>
      </c>
      <c r="L3688" t="s">
        <v>64</v>
      </c>
      <c r="M3688" t="s">
        <v>40</v>
      </c>
      <c r="N3688">
        <v>4.8</v>
      </c>
      <c r="O3688">
        <v>0</v>
      </c>
      <c r="P3688" t="s">
        <v>41</v>
      </c>
      <c r="Q3688" t="s">
        <v>155</v>
      </c>
      <c r="R3688" t="s">
        <v>155</v>
      </c>
      <c r="S3688">
        <v>17</v>
      </c>
      <c r="T3688" t="s">
        <v>36</v>
      </c>
      <c r="U3688" t="s">
        <v>79</v>
      </c>
      <c r="V3688" s="1">
        <v>45422</v>
      </c>
      <c r="W3688">
        <f>Table1[[#This Row],[customer_purchase count]]+1</f>
        <v>18</v>
      </c>
      <c r="X3688">
        <f>Table1[[#This Row],[customer_purchase count]]*Rules!$B$3</f>
        <v>1015.9941025641026</v>
      </c>
      <c r="Y3688" t="str">
        <f>IF(Table1[[#This Row],[customer_subscription]]=1,"Subscribed","Not Subscribed")</f>
        <v>Not Subscribed</v>
      </c>
      <c r="Z3688" t="s">
        <v>194</v>
      </c>
    </row>
    <row r="3689" spans="1:26" x14ac:dyDescent="0.25">
      <c r="A3689">
        <v>3688</v>
      </c>
      <c r="B3689">
        <v>34</v>
      </c>
      <c r="C3689" t="s">
        <v>156</v>
      </c>
      <c r="D3689">
        <v>3688</v>
      </c>
      <c r="E3689" t="s">
        <v>58</v>
      </c>
      <c r="F3689" t="s">
        <v>24</v>
      </c>
      <c r="G3689">
        <v>3688</v>
      </c>
      <c r="H3689">
        <v>4624</v>
      </c>
      <c r="I3689">
        <v>44</v>
      </c>
      <c r="J3689" t="s">
        <v>75</v>
      </c>
      <c r="K3689" t="s">
        <v>26</v>
      </c>
      <c r="L3689" t="s">
        <v>96</v>
      </c>
      <c r="M3689" t="s">
        <v>56</v>
      </c>
      <c r="N3689">
        <v>2.9</v>
      </c>
      <c r="O3689">
        <v>0</v>
      </c>
      <c r="P3689" t="s">
        <v>48</v>
      </c>
      <c r="Q3689" t="s">
        <v>155</v>
      </c>
      <c r="R3689" t="s">
        <v>155</v>
      </c>
      <c r="S3689">
        <v>28</v>
      </c>
      <c r="T3689" t="s">
        <v>78</v>
      </c>
      <c r="U3689" t="s">
        <v>100</v>
      </c>
      <c r="V3689" s="1">
        <v>45463</v>
      </c>
      <c r="W3689">
        <f>Table1[[#This Row],[customer_purchase count]]+1</f>
        <v>29</v>
      </c>
      <c r="X3689">
        <f>Table1[[#This Row],[customer_purchase count]]*Rules!$B$3</f>
        <v>1673.4020512820514</v>
      </c>
      <c r="Y3689" t="str">
        <f>IF(Table1[[#This Row],[customer_subscription]]=1,"Subscribed","Not Subscribed")</f>
        <v>Not Subscribed</v>
      </c>
    </row>
    <row r="3690" spans="1:26" x14ac:dyDescent="0.25">
      <c r="A3690">
        <v>3689</v>
      </c>
      <c r="B3690">
        <v>52</v>
      </c>
      <c r="C3690" t="s">
        <v>156</v>
      </c>
      <c r="D3690">
        <v>3689</v>
      </c>
      <c r="E3690" t="s">
        <v>92</v>
      </c>
      <c r="F3690" t="s">
        <v>70</v>
      </c>
      <c r="G3690">
        <v>3689</v>
      </c>
      <c r="H3690">
        <v>4625</v>
      </c>
      <c r="I3690">
        <v>91</v>
      </c>
      <c r="J3690" t="s">
        <v>67</v>
      </c>
      <c r="K3690" t="s">
        <v>26</v>
      </c>
      <c r="L3690" t="s">
        <v>55</v>
      </c>
      <c r="M3690" t="s">
        <v>40</v>
      </c>
      <c r="N3690">
        <v>3</v>
      </c>
      <c r="O3690">
        <v>0</v>
      </c>
      <c r="P3690" t="s">
        <v>48</v>
      </c>
      <c r="Q3690" t="s">
        <v>155</v>
      </c>
      <c r="R3690" t="s">
        <v>155</v>
      </c>
      <c r="S3690">
        <v>8</v>
      </c>
      <c r="T3690" t="s">
        <v>36</v>
      </c>
      <c r="U3690" t="s">
        <v>91</v>
      </c>
      <c r="V3690" s="1">
        <v>45431</v>
      </c>
      <c r="W3690">
        <f>Table1[[#This Row],[customer_purchase count]]+1</f>
        <v>9</v>
      </c>
      <c r="X3690">
        <f>Table1[[#This Row],[customer_purchase count]]*Rules!$B$3</f>
        <v>478.11487179487182</v>
      </c>
      <c r="Y3690" t="str">
        <f>IF(Table1[[#This Row],[customer_subscription]]=1,"Subscribed","Not Subscribed")</f>
        <v>Not Subscribed</v>
      </c>
      <c r="Z3690" t="s">
        <v>194</v>
      </c>
    </row>
    <row r="3691" spans="1:26" x14ac:dyDescent="0.25">
      <c r="A3691">
        <v>3690</v>
      </c>
      <c r="B3691">
        <v>47</v>
      </c>
      <c r="C3691" t="s">
        <v>156</v>
      </c>
      <c r="D3691">
        <v>3690</v>
      </c>
      <c r="E3691" t="s">
        <v>109</v>
      </c>
      <c r="F3691" t="s">
        <v>70</v>
      </c>
      <c r="G3691">
        <v>3690</v>
      </c>
      <c r="H3691">
        <v>4627</v>
      </c>
      <c r="I3691">
        <v>30</v>
      </c>
      <c r="J3691" t="s">
        <v>134</v>
      </c>
      <c r="K3691" t="s">
        <v>26</v>
      </c>
      <c r="L3691" t="s">
        <v>111</v>
      </c>
      <c r="M3691" t="s">
        <v>60</v>
      </c>
      <c r="N3691">
        <v>4.5</v>
      </c>
      <c r="O3691">
        <v>0</v>
      </c>
      <c r="P3691" t="s">
        <v>57</v>
      </c>
      <c r="Q3691" t="s">
        <v>155</v>
      </c>
      <c r="R3691" t="s">
        <v>155</v>
      </c>
      <c r="S3691">
        <v>8</v>
      </c>
      <c r="T3691" t="s">
        <v>78</v>
      </c>
      <c r="U3691" t="s">
        <v>61</v>
      </c>
      <c r="V3691" s="1">
        <v>45546</v>
      </c>
      <c r="W3691">
        <f>Table1[[#This Row],[customer_purchase count]]+1</f>
        <v>9</v>
      </c>
      <c r="X3691">
        <f>Table1[[#This Row],[customer_purchase count]]*Rules!$B$3</f>
        <v>478.11487179487182</v>
      </c>
      <c r="Y3691" t="str">
        <f>IF(Table1[[#This Row],[customer_subscription]]=1,"Subscribed","Not Subscribed")</f>
        <v>Not Subscribed</v>
      </c>
      <c r="Z3691" t="s">
        <v>194</v>
      </c>
    </row>
    <row r="3692" spans="1:26" x14ac:dyDescent="0.25">
      <c r="A3692">
        <v>3691</v>
      </c>
      <c r="B3692">
        <v>24</v>
      </c>
      <c r="C3692" t="s">
        <v>156</v>
      </c>
      <c r="D3692">
        <v>3691</v>
      </c>
      <c r="E3692" t="s">
        <v>23</v>
      </c>
      <c r="F3692" t="s">
        <v>24</v>
      </c>
      <c r="G3692">
        <v>3691</v>
      </c>
      <c r="H3692">
        <v>4628</v>
      </c>
      <c r="I3692">
        <v>23</v>
      </c>
      <c r="J3692" t="s">
        <v>114</v>
      </c>
      <c r="K3692" t="s">
        <v>39</v>
      </c>
      <c r="L3692" t="s">
        <v>86</v>
      </c>
      <c r="M3692" t="s">
        <v>60</v>
      </c>
      <c r="N3692">
        <v>3.7</v>
      </c>
      <c r="O3692">
        <v>0</v>
      </c>
      <c r="P3692" t="s">
        <v>77</v>
      </c>
      <c r="Q3692" t="s">
        <v>155</v>
      </c>
      <c r="R3692" t="s">
        <v>155</v>
      </c>
      <c r="S3692">
        <v>4</v>
      </c>
      <c r="T3692" t="s">
        <v>78</v>
      </c>
      <c r="U3692" t="s">
        <v>79</v>
      </c>
      <c r="V3692" s="1">
        <v>45547</v>
      </c>
      <c r="W3692">
        <f>Table1[[#This Row],[customer_purchase count]]+1</f>
        <v>5</v>
      </c>
      <c r="X3692">
        <f>Table1[[#This Row],[customer_purchase count]]*Rules!$B$3</f>
        <v>239.05743589743591</v>
      </c>
      <c r="Y3692" t="str">
        <f>IF(Table1[[#This Row],[customer_subscription]]=1,"Subscribed","Not Subscribed")</f>
        <v>Not Subscribed</v>
      </c>
      <c r="Z3692" t="s">
        <v>194</v>
      </c>
    </row>
    <row r="3693" spans="1:26" x14ac:dyDescent="0.25">
      <c r="A3693">
        <v>3692</v>
      </c>
      <c r="B3693">
        <v>63</v>
      </c>
      <c r="C3693" t="s">
        <v>156</v>
      </c>
      <c r="D3693">
        <v>3692</v>
      </c>
      <c r="E3693" t="s">
        <v>44</v>
      </c>
      <c r="F3693" t="s">
        <v>45</v>
      </c>
      <c r="G3693">
        <v>3692</v>
      </c>
      <c r="H3693">
        <v>4629</v>
      </c>
      <c r="I3693">
        <v>21</v>
      </c>
      <c r="J3693" t="s">
        <v>154</v>
      </c>
      <c r="K3693" t="s">
        <v>95</v>
      </c>
      <c r="L3693" t="s">
        <v>124</v>
      </c>
      <c r="M3693" t="s">
        <v>56</v>
      </c>
      <c r="N3693">
        <v>4.8</v>
      </c>
      <c r="O3693">
        <v>0</v>
      </c>
      <c r="P3693" t="s">
        <v>48</v>
      </c>
      <c r="Q3693" t="s">
        <v>155</v>
      </c>
      <c r="R3693" t="s">
        <v>155</v>
      </c>
      <c r="S3693">
        <v>24</v>
      </c>
      <c r="T3693" t="s">
        <v>49</v>
      </c>
      <c r="U3693" t="s">
        <v>43</v>
      </c>
      <c r="V3693" s="1">
        <v>45514</v>
      </c>
      <c r="W3693">
        <f>Table1[[#This Row],[customer_purchase count]]+1</f>
        <v>25</v>
      </c>
      <c r="X3693">
        <f>Table1[[#This Row],[customer_purchase count]]*Rules!$B$3</f>
        <v>1434.3446153846155</v>
      </c>
      <c r="Y3693" t="str">
        <f>IF(Table1[[#This Row],[customer_subscription]]=1,"Subscribed","Not Subscribed")</f>
        <v>Not Subscribed</v>
      </c>
    </row>
    <row r="3694" spans="1:26" x14ac:dyDescent="0.25">
      <c r="A3694">
        <v>3693</v>
      </c>
      <c r="B3694">
        <v>59</v>
      </c>
      <c r="C3694" t="s">
        <v>156</v>
      </c>
      <c r="D3694">
        <v>3693</v>
      </c>
      <c r="E3694" t="s">
        <v>65</v>
      </c>
      <c r="F3694" t="s">
        <v>66</v>
      </c>
      <c r="G3694">
        <v>3693</v>
      </c>
      <c r="H3694">
        <v>4630</v>
      </c>
      <c r="I3694">
        <v>34</v>
      </c>
      <c r="J3694" t="s">
        <v>93</v>
      </c>
      <c r="K3694" t="s">
        <v>26</v>
      </c>
      <c r="L3694" t="s">
        <v>51</v>
      </c>
      <c r="M3694" t="s">
        <v>40</v>
      </c>
      <c r="N3694">
        <v>4.8</v>
      </c>
      <c r="O3694">
        <v>0</v>
      </c>
      <c r="P3694" t="s">
        <v>41</v>
      </c>
      <c r="Q3694" t="s">
        <v>155</v>
      </c>
      <c r="R3694" t="s">
        <v>155</v>
      </c>
      <c r="S3694">
        <v>29</v>
      </c>
      <c r="T3694" t="s">
        <v>36</v>
      </c>
      <c r="U3694" t="s">
        <v>32</v>
      </c>
      <c r="V3694" s="1">
        <v>45413</v>
      </c>
      <c r="W3694">
        <f>Table1[[#This Row],[customer_purchase count]]+1</f>
        <v>30</v>
      </c>
      <c r="X3694">
        <f>Table1[[#This Row],[customer_purchase count]]*Rules!$B$3</f>
        <v>1733.1664102564102</v>
      </c>
      <c r="Y3694" t="str">
        <f>IF(Table1[[#This Row],[customer_subscription]]=1,"Subscribed","Not Subscribed")</f>
        <v>Not Subscribed</v>
      </c>
    </row>
    <row r="3695" spans="1:26" x14ac:dyDescent="0.25">
      <c r="A3695">
        <v>3694</v>
      </c>
      <c r="B3695">
        <v>66</v>
      </c>
      <c r="C3695" t="s">
        <v>156</v>
      </c>
      <c r="D3695">
        <v>3694</v>
      </c>
      <c r="E3695" t="s">
        <v>23</v>
      </c>
      <c r="F3695" t="s">
        <v>24</v>
      </c>
      <c r="G3695">
        <v>3694</v>
      </c>
      <c r="H3695">
        <v>4631</v>
      </c>
      <c r="I3695">
        <v>46</v>
      </c>
      <c r="J3695" t="s">
        <v>150</v>
      </c>
      <c r="K3695" t="s">
        <v>47</v>
      </c>
      <c r="L3695" t="s">
        <v>86</v>
      </c>
      <c r="M3695" t="s">
        <v>56</v>
      </c>
      <c r="N3695">
        <v>4.7</v>
      </c>
      <c r="O3695">
        <v>0</v>
      </c>
      <c r="P3695" t="s">
        <v>73</v>
      </c>
      <c r="Q3695" t="s">
        <v>155</v>
      </c>
      <c r="R3695" t="s">
        <v>155</v>
      </c>
      <c r="S3695">
        <v>10</v>
      </c>
      <c r="T3695" t="s">
        <v>31</v>
      </c>
      <c r="U3695" t="s">
        <v>43</v>
      </c>
      <c r="V3695" s="1">
        <v>45481</v>
      </c>
      <c r="W3695">
        <f>Table1[[#This Row],[customer_purchase count]]+1</f>
        <v>11</v>
      </c>
      <c r="X3695">
        <f>Table1[[#This Row],[customer_purchase count]]*Rules!$B$3</f>
        <v>597.64358974358981</v>
      </c>
      <c r="Y3695" t="str">
        <f>IF(Table1[[#This Row],[customer_subscription]]=1,"Subscribed","Not Subscribed")</f>
        <v>Not Subscribed</v>
      </c>
      <c r="Z3695" t="s">
        <v>194</v>
      </c>
    </row>
    <row r="3696" spans="1:26" x14ac:dyDescent="0.25">
      <c r="A3696">
        <v>3695</v>
      </c>
      <c r="B3696">
        <v>45</v>
      </c>
      <c r="C3696" t="s">
        <v>156</v>
      </c>
      <c r="D3696">
        <v>3695</v>
      </c>
      <c r="E3696" t="s">
        <v>33</v>
      </c>
      <c r="F3696" t="s">
        <v>24</v>
      </c>
      <c r="G3696">
        <v>3695</v>
      </c>
      <c r="H3696">
        <v>4633</v>
      </c>
      <c r="I3696">
        <v>41</v>
      </c>
      <c r="J3696" t="s">
        <v>46</v>
      </c>
      <c r="K3696" t="s">
        <v>47</v>
      </c>
      <c r="L3696" t="s">
        <v>147</v>
      </c>
      <c r="M3696" t="s">
        <v>28</v>
      </c>
      <c r="N3696">
        <v>2.6</v>
      </c>
      <c r="O3696">
        <v>0</v>
      </c>
      <c r="P3696" t="s">
        <v>29</v>
      </c>
      <c r="Q3696" t="s">
        <v>155</v>
      </c>
      <c r="R3696" t="s">
        <v>155</v>
      </c>
      <c r="S3696">
        <v>11</v>
      </c>
      <c r="T3696" t="s">
        <v>49</v>
      </c>
      <c r="U3696" t="s">
        <v>79</v>
      </c>
      <c r="V3696" s="1">
        <v>45635</v>
      </c>
      <c r="W3696">
        <f>Table1[[#This Row],[customer_purchase count]]+1</f>
        <v>12</v>
      </c>
      <c r="X3696">
        <f>Table1[[#This Row],[customer_purchase count]]*Rules!$B$3</f>
        <v>657.40794871794878</v>
      </c>
      <c r="Y3696" t="str">
        <f>IF(Table1[[#This Row],[customer_subscription]]=1,"Subscribed","Not Subscribed")</f>
        <v>Not Subscribed</v>
      </c>
      <c r="Z3696" t="s">
        <v>194</v>
      </c>
    </row>
    <row r="3697" spans="1:26" x14ac:dyDescent="0.25">
      <c r="A3697">
        <v>3696</v>
      </c>
      <c r="B3697">
        <v>38</v>
      </c>
      <c r="C3697" t="s">
        <v>156</v>
      </c>
      <c r="D3697">
        <v>3696</v>
      </c>
      <c r="E3697" t="s">
        <v>90</v>
      </c>
      <c r="F3697" t="s">
        <v>24</v>
      </c>
      <c r="G3697">
        <v>3696</v>
      </c>
      <c r="H3697">
        <v>4634</v>
      </c>
      <c r="I3697">
        <v>33</v>
      </c>
      <c r="J3697" t="s">
        <v>106</v>
      </c>
      <c r="K3697" t="s">
        <v>47</v>
      </c>
      <c r="L3697" t="s">
        <v>55</v>
      </c>
      <c r="M3697" t="s">
        <v>60</v>
      </c>
      <c r="N3697">
        <v>4.5999999999999996</v>
      </c>
      <c r="O3697">
        <v>0</v>
      </c>
      <c r="P3697" t="s">
        <v>57</v>
      </c>
      <c r="Q3697" t="s">
        <v>155</v>
      </c>
      <c r="R3697" t="s">
        <v>155</v>
      </c>
      <c r="S3697">
        <v>18</v>
      </c>
      <c r="T3697" t="s">
        <v>78</v>
      </c>
      <c r="U3697" t="s">
        <v>32</v>
      </c>
      <c r="V3697" s="1">
        <v>45569</v>
      </c>
      <c r="W3697">
        <f>Table1[[#This Row],[customer_purchase count]]+1</f>
        <v>19</v>
      </c>
      <c r="X3697">
        <f>Table1[[#This Row],[customer_purchase count]]*Rules!$B$3</f>
        <v>1075.7584615384617</v>
      </c>
      <c r="Y3697" t="str">
        <f>IF(Table1[[#This Row],[customer_subscription]]=1,"Subscribed","Not Subscribed")</f>
        <v>Not Subscribed</v>
      </c>
    </row>
    <row r="3698" spans="1:26" x14ac:dyDescent="0.25">
      <c r="A3698">
        <v>3697</v>
      </c>
      <c r="B3698">
        <v>63</v>
      </c>
      <c r="C3698" t="s">
        <v>156</v>
      </c>
      <c r="D3698">
        <v>3697</v>
      </c>
      <c r="E3698" t="s">
        <v>23</v>
      </c>
      <c r="F3698" t="s">
        <v>24</v>
      </c>
      <c r="G3698">
        <v>3697</v>
      </c>
      <c r="H3698">
        <v>4635</v>
      </c>
      <c r="I3698">
        <v>48</v>
      </c>
      <c r="J3698" t="s">
        <v>142</v>
      </c>
      <c r="K3698" t="s">
        <v>26</v>
      </c>
      <c r="L3698" t="s">
        <v>51</v>
      </c>
      <c r="M3698" t="s">
        <v>60</v>
      </c>
      <c r="N3698">
        <v>3.4</v>
      </c>
      <c r="O3698">
        <v>0</v>
      </c>
      <c r="P3698" t="s">
        <v>48</v>
      </c>
      <c r="Q3698" t="s">
        <v>155</v>
      </c>
      <c r="R3698" t="s">
        <v>155</v>
      </c>
      <c r="S3698">
        <v>26</v>
      </c>
      <c r="T3698" t="s">
        <v>78</v>
      </c>
      <c r="U3698" t="s">
        <v>52</v>
      </c>
      <c r="V3698" s="1">
        <v>45624</v>
      </c>
      <c r="W3698">
        <f>Table1[[#This Row],[customer_purchase count]]+1</f>
        <v>27</v>
      </c>
      <c r="X3698">
        <f>Table1[[#This Row],[customer_purchase count]]*Rules!$B$3</f>
        <v>1553.8733333333334</v>
      </c>
      <c r="Y3698" t="str">
        <f>IF(Table1[[#This Row],[customer_subscription]]=1,"Subscribed","Not Subscribed")</f>
        <v>Not Subscribed</v>
      </c>
    </row>
    <row r="3699" spans="1:26" x14ac:dyDescent="0.25">
      <c r="A3699">
        <v>3698</v>
      </c>
      <c r="B3699">
        <v>55</v>
      </c>
      <c r="C3699" t="s">
        <v>156</v>
      </c>
      <c r="D3699">
        <v>3698</v>
      </c>
      <c r="E3699" t="s">
        <v>107</v>
      </c>
      <c r="F3699" t="s">
        <v>24</v>
      </c>
      <c r="G3699">
        <v>3698</v>
      </c>
      <c r="H3699">
        <v>4636</v>
      </c>
      <c r="I3699">
        <v>66</v>
      </c>
      <c r="J3699" t="s">
        <v>141</v>
      </c>
      <c r="K3699" t="s">
        <v>26</v>
      </c>
      <c r="L3699" t="s">
        <v>72</v>
      </c>
      <c r="M3699" t="s">
        <v>28</v>
      </c>
      <c r="N3699">
        <v>3</v>
      </c>
      <c r="O3699">
        <v>0</v>
      </c>
      <c r="P3699" t="s">
        <v>57</v>
      </c>
      <c r="Q3699" t="s">
        <v>155</v>
      </c>
      <c r="R3699" t="s">
        <v>155</v>
      </c>
      <c r="S3699">
        <v>39</v>
      </c>
      <c r="T3699" t="s">
        <v>36</v>
      </c>
      <c r="U3699" t="s">
        <v>43</v>
      </c>
      <c r="V3699" s="1">
        <v>45297</v>
      </c>
      <c r="W3699">
        <f>Table1[[#This Row],[customer_purchase count]]+1</f>
        <v>40</v>
      </c>
      <c r="X3699">
        <f>Table1[[#This Row],[customer_purchase count]]*Rules!$B$3</f>
        <v>2330.81</v>
      </c>
      <c r="Y3699" t="str">
        <f>IF(Table1[[#This Row],[customer_subscription]]=1,"Subscribed","Not Subscribed")</f>
        <v>Not Subscribed</v>
      </c>
    </row>
    <row r="3700" spans="1:26" x14ac:dyDescent="0.25">
      <c r="A3700">
        <v>3699</v>
      </c>
      <c r="B3700">
        <v>25</v>
      </c>
      <c r="C3700" t="s">
        <v>156</v>
      </c>
      <c r="D3700">
        <v>3699</v>
      </c>
      <c r="E3700" t="s">
        <v>90</v>
      </c>
      <c r="F3700" t="s">
        <v>24</v>
      </c>
      <c r="G3700">
        <v>3699</v>
      </c>
      <c r="H3700">
        <v>4637</v>
      </c>
      <c r="I3700">
        <v>54</v>
      </c>
      <c r="J3700" t="s">
        <v>102</v>
      </c>
      <c r="K3700" t="s">
        <v>95</v>
      </c>
      <c r="L3700" t="s">
        <v>35</v>
      </c>
      <c r="M3700" t="s">
        <v>40</v>
      </c>
      <c r="N3700">
        <v>4</v>
      </c>
      <c r="O3700">
        <v>0</v>
      </c>
      <c r="P3700" t="s">
        <v>73</v>
      </c>
      <c r="Q3700" t="s">
        <v>155</v>
      </c>
      <c r="R3700" t="s">
        <v>155</v>
      </c>
      <c r="S3700">
        <v>4</v>
      </c>
      <c r="T3700" t="s">
        <v>31</v>
      </c>
      <c r="U3700" t="s">
        <v>52</v>
      </c>
      <c r="V3700" s="1">
        <v>45398</v>
      </c>
      <c r="W3700">
        <f>Table1[[#This Row],[customer_purchase count]]+1</f>
        <v>5</v>
      </c>
      <c r="X3700">
        <f>Table1[[#This Row],[customer_purchase count]]*Rules!$B$3</f>
        <v>239.05743589743591</v>
      </c>
      <c r="Y3700" t="str">
        <f>IF(Table1[[#This Row],[customer_subscription]]=1,"Subscribed","Not Subscribed")</f>
        <v>Not Subscribed</v>
      </c>
      <c r="Z3700" t="s">
        <v>194</v>
      </c>
    </row>
    <row r="3701" spans="1:26" x14ac:dyDescent="0.25">
      <c r="A3701">
        <v>3700</v>
      </c>
      <c r="B3701">
        <v>51</v>
      </c>
      <c r="C3701" t="s">
        <v>156</v>
      </c>
      <c r="D3701">
        <v>3700</v>
      </c>
      <c r="E3701" t="s">
        <v>135</v>
      </c>
      <c r="F3701" t="s">
        <v>70</v>
      </c>
      <c r="G3701">
        <v>3700</v>
      </c>
      <c r="H3701">
        <v>4639</v>
      </c>
      <c r="I3701">
        <v>55</v>
      </c>
      <c r="J3701" t="s">
        <v>104</v>
      </c>
      <c r="K3701" t="s">
        <v>47</v>
      </c>
      <c r="L3701" t="s">
        <v>81</v>
      </c>
      <c r="M3701" t="s">
        <v>60</v>
      </c>
      <c r="N3701">
        <v>2.6</v>
      </c>
      <c r="O3701">
        <v>0</v>
      </c>
      <c r="P3701" t="s">
        <v>77</v>
      </c>
      <c r="Q3701" t="s">
        <v>155</v>
      </c>
      <c r="R3701" t="s">
        <v>155</v>
      </c>
      <c r="S3701">
        <v>24</v>
      </c>
      <c r="T3701" t="s">
        <v>78</v>
      </c>
      <c r="U3701" t="s">
        <v>43</v>
      </c>
      <c r="V3701" s="1">
        <v>45616</v>
      </c>
      <c r="W3701">
        <f>Table1[[#This Row],[customer_purchase count]]+1</f>
        <v>25</v>
      </c>
      <c r="X3701">
        <f>Table1[[#This Row],[customer_purchase count]]*Rules!$B$3</f>
        <v>1434.3446153846155</v>
      </c>
      <c r="Y3701" t="str">
        <f>IF(Table1[[#This Row],[customer_subscription]]=1,"Subscribed","Not Subscribed")</f>
        <v>Not Subscribed</v>
      </c>
    </row>
    <row r="3702" spans="1:26" x14ac:dyDescent="0.25">
      <c r="A3702">
        <v>3701</v>
      </c>
      <c r="B3702">
        <v>28</v>
      </c>
      <c r="C3702" t="s">
        <v>156</v>
      </c>
      <c r="D3702">
        <v>3701</v>
      </c>
      <c r="E3702" t="s">
        <v>69</v>
      </c>
      <c r="F3702" t="s">
        <v>70</v>
      </c>
      <c r="G3702">
        <v>3701</v>
      </c>
      <c r="H3702">
        <v>4640</v>
      </c>
      <c r="I3702">
        <v>84</v>
      </c>
      <c r="J3702" t="s">
        <v>117</v>
      </c>
      <c r="K3702" t="s">
        <v>95</v>
      </c>
      <c r="L3702" t="s">
        <v>64</v>
      </c>
      <c r="M3702" t="s">
        <v>56</v>
      </c>
      <c r="N3702">
        <v>3.4</v>
      </c>
      <c r="O3702">
        <v>0</v>
      </c>
      <c r="P3702" t="s">
        <v>77</v>
      </c>
      <c r="Q3702" t="s">
        <v>155</v>
      </c>
      <c r="R3702" t="s">
        <v>155</v>
      </c>
      <c r="S3702">
        <v>2</v>
      </c>
      <c r="T3702" t="s">
        <v>78</v>
      </c>
      <c r="U3702" t="s">
        <v>100</v>
      </c>
      <c r="V3702" s="1">
        <v>45497</v>
      </c>
      <c r="W3702">
        <f>Table1[[#This Row],[customer_purchase count]]+1</f>
        <v>3</v>
      </c>
      <c r="X3702">
        <f>Table1[[#This Row],[customer_purchase count]]*Rules!$B$3</f>
        <v>119.52871794871795</v>
      </c>
      <c r="Y3702" t="str">
        <f>IF(Table1[[#This Row],[customer_subscription]]=1,"Subscribed","Not Subscribed")</f>
        <v>Not Subscribed</v>
      </c>
      <c r="Z3702" t="s">
        <v>194</v>
      </c>
    </row>
    <row r="3703" spans="1:26" x14ac:dyDescent="0.25">
      <c r="A3703">
        <v>3702</v>
      </c>
      <c r="B3703">
        <v>46</v>
      </c>
      <c r="C3703" t="s">
        <v>156</v>
      </c>
      <c r="D3703">
        <v>3702</v>
      </c>
      <c r="E3703" t="s">
        <v>44</v>
      </c>
      <c r="F3703" t="s">
        <v>45</v>
      </c>
      <c r="G3703">
        <v>3702</v>
      </c>
      <c r="H3703">
        <v>4641</v>
      </c>
      <c r="I3703">
        <v>66</v>
      </c>
      <c r="J3703" t="s">
        <v>133</v>
      </c>
      <c r="K3703" t="s">
        <v>47</v>
      </c>
      <c r="L3703" t="s">
        <v>64</v>
      </c>
      <c r="M3703" t="s">
        <v>40</v>
      </c>
      <c r="N3703">
        <v>4.5</v>
      </c>
      <c r="O3703">
        <v>0</v>
      </c>
      <c r="P3703" t="s">
        <v>77</v>
      </c>
      <c r="Q3703" t="s">
        <v>155</v>
      </c>
      <c r="R3703" t="s">
        <v>155</v>
      </c>
      <c r="S3703">
        <v>36</v>
      </c>
      <c r="T3703" t="s">
        <v>36</v>
      </c>
      <c r="U3703" t="s">
        <v>52</v>
      </c>
      <c r="V3703" s="1">
        <v>45366</v>
      </c>
      <c r="W3703">
        <f>Table1[[#This Row],[customer_purchase count]]+1</f>
        <v>37</v>
      </c>
      <c r="X3703">
        <f>Table1[[#This Row],[customer_purchase count]]*Rules!$B$3</f>
        <v>2151.5169230769234</v>
      </c>
      <c r="Y3703" t="str">
        <f>IF(Table1[[#This Row],[customer_subscription]]=1,"Subscribed","Not Subscribed")</f>
        <v>Not Subscribed</v>
      </c>
    </row>
    <row r="3704" spans="1:26" x14ac:dyDescent="0.25">
      <c r="A3704">
        <v>3703</v>
      </c>
      <c r="B3704">
        <v>58</v>
      </c>
      <c r="C3704" t="s">
        <v>156</v>
      </c>
      <c r="D3704">
        <v>3703</v>
      </c>
      <c r="E3704" t="s">
        <v>74</v>
      </c>
      <c r="F3704" t="s">
        <v>45</v>
      </c>
      <c r="G3704">
        <v>3703</v>
      </c>
      <c r="H3704">
        <v>4642</v>
      </c>
      <c r="I3704">
        <v>65</v>
      </c>
      <c r="J3704" t="s">
        <v>134</v>
      </c>
      <c r="K3704" t="s">
        <v>47</v>
      </c>
      <c r="L3704" t="s">
        <v>129</v>
      </c>
      <c r="M3704" t="s">
        <v>40</v>
      </c>
      <c r="N3704">
        <v>2.7</v>
      </c>
      <c r="O3704">
        <v>0</v>
      </c>
      <c r="P3704" t="s">
        <v>77</v>
      </c>
      <c r="Q3704" t="s">
        <v>155</v>
      </c>
      <c r="R3704" t="s">
        <v>155</v>
      </c>
      <c r="S3704">
        <v>36</v>
      </c>
      <c r="T3704" t="s">
        <v>31</v>
      </c>
      <c r="U3704" t="s">
        <v>43</v>
      </c>
      <c r="V3704" s="1">
        <v>45439</v>
      </c>
      <c r="W3704">
        <f>Table1[[#This Row],[customer_purchase count]]+1</f>
        <v>37</v>
      </c>
      <c r="X3704">
        <f>Table1[[#This Row],[customer_purchase count]]*Rules!$B$3</f>
        <v>2151.5169230769234</v>
      </c>
      <c r="Y3704" t="str">
        <f>IF(Table1[[#This Row],[customer_subscription]]=1,"Subscribed","Not Subscribed")</f>
        <v>Not Subscribed</v>
      </c>
    </row>
    <row r="3705" spans="1:26" x14ac:dyDescent="0.25">
      <c r="A3705">
        <v>3704</v>
      </c>
      <c r="B3705">
        <v>30</v>
      </c>
      <c r="C3705" t="s">
        <v>156</v>
      </c>
      <c r="D3705">
        <v>3704</v>
      </c>
      <c r="E3705" t="s">
        <v>44</v>
      </c>
      <c r="F3705" t="s">
        <v>45</v>
      </c>
      <c r="G3705">
        <v>3704</v>
      </c>
      <c r="H3705">
        <v>4643</v>
      </c>
      <c r="I3705">
        <v>83</v>
      </c>
      <c r="J3705" t="s">
        <v>154</v>
      </c>
      <c r="K3705" t="s">
        <v>39</v>
      </c>
      <c r="L3705" t="s">
        <v>88</v>
      </c>
      <c r="M3705" t="s">
        <v>60</v>
      </c>
      <c r="N3705">
        <v>2.9</v>
      </c>
      <c r="O3705">
        <v>0</v>
      </c>
      <c r="P3705" t="s">
        <v>57</v>
      </c>
      <c r="Q3705" t="s">
        <v>155</v>
      </c>
      <c r="R3705" t="s">
        <v>155</v>
      </c>
      <c r="S3705">
        <v>23</v>
      </c>
      <c r="T3705" t="s">
        <v>49</v>
      </c>
      <c r="U3705" t="s">
        <v>100</v>
      </c>
      <c r="V3705" s="1">
        <v>45620</v>
      </c>
      <c r="W3705">
        <f>Table1[[#This Row],[customer_purchase count]]+1</f>
        <v>24</v>
      </c>
      <c r="X3705">
        <f>Table1[[#This Row],[customer_purchase count]]*Rules!$B$3</f>
        <v>1374.5802564102564</v>
      </c>
      <c r="Y3705" t="str">
        <f>IF(Table1[[#This Row],[customer_subscription]]=1,"Subscribed","Not Subscribed")</f>
        <v>Not Subscribed</v>
      </c>
    </row>
    <row r="3706" spans="1:26" x14ac:dyDescent="0.25">
      <c r="A3706">
        <v>3705</v>
      </c>
      <c r="B3706">
        <v>68</v>
      </c>
      <c r="C3706" t="s">
        <v>156</v>
      </c>
      <c r="D3706">
        <v>3705</v>
      </c>
      <c r="E3706" t="s">
        <v>92</v>
      </c>
      <c r="F3706" t="s">
        <v>70</v>
      </c>
      <c r="G3706">
        <v>3705</v>
      </c>
      <c r="H3706">
        <v>4645</v>
      </c>
      <c r="I3706">
        <v>61</v>
      </c>
      <c r="J3706" t="s">
        <v>71</v>
      </c>
      <c r="K3706" t="s">
        <v>26</v>
      </c>
      <c r="L3706" t="s">
        <v>97</v>
      </c>
      <c r="M3706" t="s">
        <v>28</v>
      </c>
      <c r="N3706">
        <v>4</v>
      </c>
      <c r="O3706">
        <v>0</v>
      </c>
      <c r="P3706" t="s">
        <v>77</v>
      </c>
      <c r="Q3706" t="s">
        <v>155</v>
      </c>
      <c r="R3706" t="s">
        <v>155</v>
      </c>
      <c r="S3706">
        <v>36</v>
      </c>
      <c r="T3706" t="s">
        <v>42</v>
      </c>
      <c r="U3706" t="s">
        <v>61</v>
      </c>
      <c r="V3706" s="1">
        <v>45317</v>
      </c>
      <c r="W3706">
        <f>Table1[[#This Row],[customer_purchase count]]+1</f>
        <v>37</v>
      </c>
      <c r="X3706">
        <f>Table1[[#This Row],[customer_purchase count]]*Rules!$B$3</f>
        <v>2151.5169230769234</v>
      </c>
      <c r="Y3706" t="str">
        <f>IF(Table1[[#This Row],[customer_subscription]]=1,"Subscribed","Not Subscribed")</f>
        <v>Not Subscribed</v>
      </c>
    </row>
    <row r="3707" spans="1:26" x14ac:dyDescent="0.25">
      <c r="A3707">
        <v>3706</v>
      </c>
      <c r="B3707">
        <v>28</v>
      </c>
      <c r="C3707" t="s">
        <v>156</v>
      </c>
      <c r="D3707">
        <v>3706</v>
      </c>
      <c r="E3707" t="s">
        <v>90</v>
      </c>
      <c r="F3707" t="s">
        <v>24</v>
      </c>
      <c r="G3707">
        <v>3706</v>
      </c>
      <c r="H3707">
        <v>4646</v>
      </c>
      <c r="I3707">
        <v>65</v>
      </c>
      <c r="J3707" t="s">
        <v>115</v>
      </c>
      <c r="K3707" t="s">
        <v>26</v>
      </c>
      <c r="L3707" t="s">
        <v>88</v>
      </c>
      <c r="M3707" t="s">
        <v>56</v>
      </c>
      <c r="N3707">
        <v>3.2</v>
      </c>
      <c r="O3707">
        <v>0</v>
      </c>
      <c r="P3707" t="s">
        <v>41</v>
      </c>
      <c r="Q3707" t="s">
        <v>155</v>
      </c>
      <c r="R3707" t="s">
        <v>155</v>
      </c>
      <c r="S3707">
        <v>2</v>
      </c>
      <c r="T3707" t="s">
        <v>89</v>
      </c>
      <c r="U3707" t="s">
        <v>52</v>
      </c>
      <c r="V3707" s="1">
        <v>45478</v>
      </c>
      <c r="W3707">
        <f>Table1[[#This Row],[customer_purchase count]]+1</f>
        <v>3</v>
      </c>
      <c r="X3707">
        <f>Table1[[#This Row],[customer_purchase count]]*Rules!$B$3</f>
        <v>119.52871794871795</v>
      </c>
      <c r="Y3707" t="str">
        <f>IF(Table1[[#This Row],[customer_subscription]]=1,"Subscribed","Not Subscribed")</f>
        <v>Not Subscribed</v>
      </c>
      <c r="Z3707" t="s">
        <v>194</v>
      </c>
    </row>
    <row r="3708" spans="1:26" x14ac:dyDescent="0.25">
      <c r="A3708">
        <v>3707</v>
      </c>
      <c r="B3708">
        <v>26</v>
      </c>
      <c r="C3708" t="s">
        <v>156</v>
      </c>
      <c r="D3708">
        <v>3707</v>
      </c>
      <c r="E3708" t="s">
        <v>44</v>
      </c>
      <c r="F3708" t="s">
        <v>45</v>
      </c>
      <c r="G3708">
        <v>3707</v>
      </c>
      <c r="H3708">
        <v>4647</v>
      </c>
      <c r="I3708">
        <v>55</v>
      </c>
      <c r="J3708" t="s">
        <v>114</v>
      </c>
      <c r="K3708" t="s">
        <v>47</v>
      </c>
      <c r="L3708" t="s">
        <v>99</v>
      </c>
      <c r="M3708" t="s">
        <v>40</v>
      </c>
      <c r="N3708">
        <v>4</v>
      </c>
      <c r="O3708">
        <v>0</v>
      </c>
      <c r="P3708" t="s">
        <v>77</v>
      </c>
      <c r="Q3708" t="s">
        <v>155</v>
      </c>
      <c r="R3708" t="s">
        <v>155</v>
      </c>
      <c r="S3708">
        <v>17</v>
      </c>
      <c r="T3708" t="s">
        <v>36</v>
      </c>
      <c r="U3708" t="s">
        <v>79</v>
      </c>
      <c r="V3708" s="1">
        <v>45352</v>
      </c>
      <c r="W3708">
        <f>Table1[[#This Row],[customer_purchase count]]+1</f>
        <v>18</v>
      </c>
      <c r="X3708">
        <f>Table1[[#This Row],[customer_purchase count]]*Rules!$B$3</f>
        <v>1015.9941025641026</v>
      </c>
      <c r="Y3708" t="str">
        <f>IF(Table1[[#This Row],[customer_subscription]]=1,"Subscribed","Not Subscribed")</f>
        <v>Not Subscribed</v>
      </c>
      <c r="Z3708" t="s">
        <v>187</v>
      </c>
    </row>
    <row r="3709" spans="1:26" x14ac:dyDescent="0.25">
      <c r="A3709">
        <v>3708</v>
      </c>
      <c r="B3709">
        <v>35</v>
      </c>
      <c r="C3709" t="s">
        <v>156</v>
      </c>
      <c r="D3709">
        <v>3708</v>
      </c>
      <c r="E3709" t="s">
        <v>146</v>
      </c>
      <c r="F3709" t="s">
        <v>70</v>
      </c>
      <c r="G3709">
        <v>3708</v>
      </c>
      <c r="H3709">
        <v>4648</v>
      </c>
      <c r="I3709">
        <v>79</v>
      </c>
      <c r="J3709" t="s">
        <v>118</v>
      </c>
      <c r="K3709" t="s">
        <v>47</v>
      </c>
      <c r="L3709" t="s">
        <v>83</v>
      </c>
      <c r="M3709" t="s">
        <v>60</v>
      </c>
      <c r="N3709">
        <v>3.4</v>
      </c>
      <c r="O3709">
        <v>0</v>
      </c>
      <c r="P3709" t="s">
        <v>73</v>
      </c>
      <c r="Q3709" t="s">
        <v>155</v>
      </c>
      <c r="R3709" t="s">
        <v>155</v>
      </c>
      <c r="S3709">
        <v>19</v>
      </c>
      <c r="T3709" t="s">
        <v>31</v>
      </c>
      <c r="U3709" t="s">
        <v>43</v>
      </c>
      <c r="V3709" s="1">
        <v>45566</v>
      </c>
      <c r="W3709">
        <f>Table1[[#This Row],[customer_purchase count]]+1</f>
        <v>20</v>
      </c>
      <c r="X3709">
        <f>Table1[[#This Row],[customer_purchase count]]*Rules!$B$3</f>
        <v>1135.5228205128205</v>
      </c>
      <c r="Y3709" t="str">
        <f>IF(Table1[[#This Row],[customer_subscription]]=1,"Subscribed","Not Subscribed")</f>
        <v>Not Subscribed</v>
      </c>
    </row>
    <row r="3710" spans="1:26" x14ac:dyDescent="0.25">
      <c r="A3710">
        <v>3709</v>
      </c>
      <c r="B3710">
        <v>40</v>
      </c>
      <c r="C3710" t="s">
        <v>156</v>
      </c>
      <c r="D3710">
        <v>3709</v>
      </c>
      <c r="E3710" t="s">
        <v>107</v>
      </c>
      <c r="F3710" t="s">
        <v>24</v>
      </c>
      <c r="G3710">
        <v>3709</v>
      </c>
      <c r="H3710">
        <v>4649</v>
      </c>
      <c r="I3710">
        <v>96</v>
      </c>
      <c r="J3710" t="s">
        <v>134</v>
      </c>
      <c r="K3710" t="s">
        <v>47</v>
      </c>
      <c r="L3710" t="s">
        <v>111</v>
      </c>
      <c r="M3710" t="s">
        <v>60</v>
      </c>
      <c r="N3710">
        <v>4.9000000000000004</v>
      </c>
      <c r="O3710">
        <v>0</v>
      </c>
      <c r="P3710" t="s">
        <v>29</v>
      </c>
      <c r="Q3710" t="s">
        <v>155</v>
      </c>
      <c r="R3710" t="s">
        <v>155</v>
      </c>
      <c r="S3710">
        <v>41</v>
      </c>
      <c r="T3710" t="s">
        <v>49</v>
      </c>
      <c r="U3710" t="s">
        <v>91</v>
      </c>
      <c r="V3710" s="1">
        <v>45545</v>
      </c>
      <c r="W3710">
        <f>Table1[[#This Row],[customer_purchase count]]+1</f>
        <v>42</v>
      </c>
      <c r="X3710">
        <f>Table1[[#This Row],[customer_purchase count]]*Rules!$B$3</f>
        <v>2450.3387179487181</v>
      </c>
      <c r="Y3710" t="str">
        <f>IF(Table1[[#This Row],[customer_subscription]]=1,"Subscribed","Not Subscribed")</f>
        <v>Not Subscribed</v>
      </c>
    </row>
    <row r="3711" spans="1:26" x14ac:dyDescent="0.25">
      <c r="A3711">
        <v>3710</v>
      </c>
      <c r="B3711">
        <v>31</v>
      </c>
      <c r="C3711" t="s">
        <v>156</v>
      </c>
      <c r="D3711">
        <v>3710</v>
      </c>
      <c r="E3711" t="s">
        <v>128</v>
      </c>
      <c r="F3711" t="s">
        <v>24</v>
      </c>
      <c r="G3711">
        <v>3710</v>
      </c>
      <c r="H3711">
        <v>4651</v>
      </c>
      <c r="I3711">
        <v>43</v>
      </c>
      <c r="J3711" t="s">
        <v>143</v>
      </c>
      <c r="K3711" t="s">
        <v>47</v>
      </c>
      <c r="L3711" t="s">
        <v>68</v>
      </c>
      <c r="M3711" t="s">
        <v>60</v>
      </c>
      <c r="N3711">
        <v>3.6</v>
      </c>
      <c r="O3711">
        <v>0</v>
      </c>
      <c r="P3711" t="s">
        <v>41</v>
      </c>
      <c r="Q3711" t="s">
        <v>155</v>
      </c>
      <c r="R3711" t="s">
        <v>155</v>
      </c>
      <c r="S3711">
        <v>27</v>
      </c>
      <c r="T3711" t="s">
        <v>49</v>
      </c>
      <c r="U3711" t="s">
        <v>61</v>
      </c>
      <c r="V3711" s="1">
        <v>45554</v>
      </c>
      <c r="W3711">
        <f>Table1[[#This Row],[customer_purchase count]]+1</f>
        <v>28</v>
      </c>
      <c r="X3711">
        <f>Table1[[#This Row],[customer_purchase count]]*Rules!$B$3</f>
        <v>1613.6376923076923</v>
      </c>
      <c r="Y3711" t="str">
        <f>IF(Table1[[#This Row],[customer_subscription]]=1,"Subscribed","Not Subscribed")</f>
        <v>Not Subscribed</v>
      </c>
    </row>
    <row r="3712" spans="1:26" x14ac:dyDescent="0.25">
      <c r="A3712">
        <v>3711</v>
      </c>
      <c r="B3712">
        <v>60</v>
      </c>
      <c r="C3712" t="s">
        <v>156</v>
      </c>
      <c r="D3712">
        <v>3711</v>
      </c>
      <c r="E3712" t="s">
        <v>109</v>
      </c>
      <c r="F3712" t="s">
        <v>70</v>
      </c>
      <c r="G3712">
        <v>3711</v>
      </c>
      <c r="H3712">
        <v>4652</v>
      </c>
      <c r="I3712">
        <v>40</v>
      </c>
      <c r="J3712" t="s">
        <v>80</v>
      </c>
      <c r="K3712" t="s">
        <v>47</v>
      </c>
      <c r="L3712" t="s">
        <v>137</v>
      </c>
      <c r="M3712" t="s">
        <v>56</v>
      </c>
      <c r="N3712">
        <v>3.6</v>
      </c>
      <c r="O3712">
        <v>0</v>
      </c>
      <c r="P3712" t="s">
        <v>73</v>
      </c>
      <c r="Q3712" t="s">
        <v>155</v>
      </c>
      <c r="R3712" t="s">
        <v>155</v>
      </c>
      <c r="S3712">
        <v>32</v>
      </c>
      <c r="T3712" t="s">
        <v>78</v>
      </c>
      <c r="U3712" t="s">
        <v>32</v>
      </c>
      <c r="V3712" s="1">
        <v>45449</v>
      </c>
      <c r="W3712">
        <f>Table1[[#This Row],[customer_purchase count]]+1</f>
        <v>33</v>
      </c>
      <c r="X3712">
        <f>Table1[[#This Row],[customer_purchase count]]*Rules!$B$3</f>
        <v>1912.4594871794873</v>
      </c>
      <c r="Y3712" t="str">
        <f>IF(Table1[[#This Row],[customer_subscription]]=1,"Subscribed","Not Subscribed")</f>
        <v>Not Subscribed</v>
      </c>
    </row>
    <row r="3713" spans="1:26" x14ac:dyDescent="0.25">
      <c r="A3713">
        <v>3712</v>
      </c>
      <c r="B3713">
        <v>69</v>
      </c>
      <c r="C3713" t="s">
        <v>156</v>
      </c>
      <c r="D3713">
        <v>3712</v>
      </c>
      <c r="E3713" t="s">
        <v>127</v>
      </c>
      <c r="F3713" t="s">
        <v>70</v>
      </c>
      <c r="G3713">
        <v>3712</v>
      </c>
      <c r="H3713">
        <v>4653</v>
      </c>
      <c r="I3713">
        <v>62</v>
      </c>
      <c r="J3713" t="s">
        <v>108</v>
      </c>
      <c r="K3713" t="s">
        <v>95</v>
      </c>
      <c r="L3713" t="s">
        <v>103</v>
      </c>
      <c r="M3713" t="s">
        <v>60</v>
      </c>
      <c r="N3713">
        <v>3.2</v>
      </c>
      <c r="O3713">
        <v>0</v>
      </c>
      <c r="P3713" t="s">
        <v>41</v>
      </c>
      <c r="Q3713" t="s">
        <v>155</v>
      </c>
      <c r="R3713" t="s">
        <v>155</v>
      </c>
      <c r="S3713">
        <v>33</v>
      </c>
      <c r="T3713" t="s">
        <v>36</v>
      </c>
      <c r="U3713" t="s">
        <v>52</v>
      </c>
      <c r="V3713" s="1">
        <v>45617</v>
      </c>
      <c r="W3713">
        <f>Table1[[#This Row],[customer_purchase count]]+1</f>
        <v>34</v>
      </c>
      <c r="X3713">
        <f>Table1[[#This Row],[customer_purchase count]]*Rules!$B$3</f>
        <v>1972.2238461538464</v>
      </c>
      <c r="Y3713" t="str">
        <f>IF(Table1[[#This Row],[customer_subscription]]=1,"Subscribed","Not Subscribed")</f>
        <v>Not Subscribed</v>
      </c>
    </row>
    <row r="3714" spans="1:26" x14ac:dyDescent="0.25">
      <c r="A3714">
        <v>3713</v>
      </c>
      <c r="B3714">
        <v>51</v>
      </c>
      <c r="C3714" t="s">
        <v>156</v>
      </c>
      <c r="D3714">
        <v>3713</v>
      </c>
      <c r="E3714" t="s">
        <v>23</v>
      </c>
      <c r="F3714" t="s">
        <v>24</v>
      </c>
      <c r="G3714">
        <v>3713</v>
      </c>
      <c r="H3714">
        <v>4654</v>
      </c>
      <c r="I3714">
        <v>72</v>
      </c>
      <c r="J3714" t="s">
        <v>50</v>
      </c>
      <c r="K3714" t="s">
        <v>47</v>
      </c>
      <c r="L3714" t="s">
        <v>51</v>
      </c>
      <c r="M3714" t="s">
        <v>40</v>
      </c>
      <c r="N3714">
        <v>3.7</v>
      </c>
      <c r="O3714">
        <v>0</v>
      </c>
      <c r="P3714" t="s">
        <v>73</v>
      </c>
      <c r="Q3714" t="s">
        <v>155</v>
      </c>
      <c r="R3714" t="s">
        <v>155</v>
      </c>
      <c r="S3714">
        <v>24</v>
      </c>
      <c r="T3714" t="s">
        <v>49</v>
      </c>
      <c r="U3714" t="s">
        <v>61</v>
      </c>
      <c r="V3714" s="1">
        <v>45416</v>
      </c>
      <c r="W3714">
        <f>Table1[[#This Row],[customer_purchase count]]+1</f>
        <v>25</v>
      </c>
      <c r="X3714">
        <f>Table1[[#This Row],[customer_purchase count]]*Rules!$B$3</f>
        <v>1434.3446153846155</v>
      </c>
      <c r="Y3714" t="str">
        <f>IF(Table1[[#This Row],[customer_subscription]]=1,"Subscribed","Not Subscribed")</f>
        <v>Not Subscribed</v>
      </c>
    </row>
    <row r="3715" spans="1:26" x14ac:dyDescent="0.25">
      <c r="A3715">
        <v>3714</v>
      </c>
      <c r="B3715">
        <v>49</v>
      </c>
      <c r="C3715" t="s">
        <v>156</v>
      </c>
      <c r="D3715">
        <v>3714</v>
      </c>
      <c r="E3715" t="s">
        <v>74</v>
      </c>
      <c r="F3715" t="s">
        <v>45</v>
      </c>
      <c r="G3715">
        <v>3714</v>
      </c>
      <c r="H3715">
        <v>4655</v>
      </c>
      <c r="I3715">
        <v>87</v>
      </c>
      <c r="J3715" t="s">
        <v>120</v>
      </c>
      <c r="K3715" t="s">
        <v>47</v>
      </c>
      <c r="L3715" t="s">
        <v>103</v>
      </c>
      <c r="M3715" t="s">
        <v>40</v>
      </c>
      <c r="N3715">
        <v>2.6</v>
      </c>
      <c r="O3715">
        <v>0</v>
      </c>
      <c r="P3715" t="s">
        <v>29</v>
      </c>
      <c r="Q3715" t="s">
        <v>155</v>
      </c>
      <c r="R3715" t="s">
        <v>155</v>
      </c>
      <c r="S3715">
        <v>31</v>
      </c>
      <c r="T3715" t="s">
        <v>89</v>
      </c>
      <c r="U3715" t="s">
        <v>100</v>
      </c>
      <c r="V3715" s="1">
        <v>45352</v>
      </c>
      <c r="W3715">
        <f>Table1[[#This Row],[customer_purchase count]]+1</f>
        <v>32</v>
      </c>
      <c r="X3715">
        <f>Table1[[#This Row],[customer_purchase count]]*Rules!$B$3</f>
        <v>1852.6951282051282</v>
      </c>
      <c r="Y3715" t="str">
        <f>IF(Table1[[#This Row],[customer_subscription]]=1,"Subscribed","Not Subscribed")</f>
        <v>Not Subscribed</v>
      </c>
    </row>
    <row r="3716" spans="1:26" x14ac:dyDescent="0.25">
      <c r="A3716">
        <v>3715</v>
      </c>
      <c r="B3716">
        <v>18</v>
      </c>
      <c r="C3716" t="s">
        <v>156</v>
      </c>
      <c r="D3716">
        <v>3715</v>
      </c>
      <c r="E3716" t="s">
        <v>127</v>
      </c>
      <c r="F3716" t="s">
        <v>70</v>
      </c>
      <c r="G3716">
        <v>3715</v>
      </c>
      <c r="H3716">
        <v>4657</v>
      </c>
      <c r="I3716">
        <v>31</v>
      </c>
      <c r="J3716" t="s">
        <v>87</v>
      </c>
      <c r="K3716" t="s">
        <v>39</v>
      </c>
      <c r="L3716" t="s">
        <v>103</v>
      </c>
      <c r="M3716" t="s">
        <v>28</v>
      </c>
      <c r="N3716">
        <v>3.9</v>
      </c>
      <c r="O3716">
        <v>0</v>
      </c>
      <c r="P3716" t="s">
        <v>29</v>
      </c>
      <c r="Q3716" t="s">
        <v>155</v>
      </c>
      <c r="R3716" t="s">
        <v>155</v>
      </c>
      <c r="S3716">
        <v>35</v>
      </c>
      <c r="T3716" t="s">
        <v>42</v>
      </c>
      <c r="U3716" t="s">
        <v>43</v>
      </c>
      <c r="V3716" s="1">
        <v>45314</v>
      </c>
      <c r="W3716">
        <f>Table1[[#This Row],[customer_purchase count]]+1</f>
        <v>36</v>
      </c>
      <c r="X3716">
        <f>Table1[[#This Row],[customer_purchase count]]*Rules!$B$3</f>
        <v>2091.7525641025641</v>
      </c>
      <c r="Y3716" t="str">
        <f>IF(Table1[[#This Row],[customer_subscription]]=1,"Subscribed","Not Subscribed")</f>
        <v>Not Subscribed</v>
      </c>
    </row>
    <row r="3717" spans="1:26" x14ac:dyDescent="0.25">
      <c r="A3717">
        <v>3716</v>
      </c>
      <c r="B3717">
        <v>63</v>
      </c>
      <c r="C3717" t="s">
        <v>156</v>
      </c>
      <c r="D3717">
        <v>3716</v>
      </c>
      <c r="E3717" t="s">
        <v>92</v>
      </c>
      <c r="F3717" t="s">
        <v>70</v>
      </c>
      <c r="G3717">
        <v>3716</v>
      </c>
      <c r="H3717">
        <v>4658</v>
      </c>
      <c r="I3717">
        <v>34</v>
      </c>
      <c r="J3717" t="s">
        <v>148</v>
      </c>
      <c r="K3717" t="s">
        <v>39</v>
      </c>
      <c r="L3717" t="s">
        <v>124</v>
      </c>
      <c r="M3717" t="s">
        <v>60</v>
      </c>
      <c r="N3717">
        <v>3.4</v>
      </c>
      <c r="O3717">
        <v>0</v>
      </c>
      <c r="P3717" t="s">
        <v>41</v>
      </c>
      <c r="Q3717" t="s">
        <v>155</v>
      </c>
      <c r="R3717" t="s">
        <v>155</v>
      </c>
      <c r="S3717">
        <v>2</v>
      </c>
      <c r="T3717" t="s">
        <v>78</v>
      </c>
      <c r="U3717" t="s">
        <v>91</v>
      </c>
      <c r="V3717" s="1">
        <v>45545</v>
      </c>
      <c r="W3717">
        <f>Table1[[#This Row],[customer_purchase count]]+1</f>
        <v>3</v>
      </c>
      <c r="X3717">
        <f>Table1[[#This Row],[customer_purchase count]]*Rules!$B$3</f>
        <v>119.52871794871795</v>
      </c>
      <c r="Y3717" t="str">
        <f>IF(Table1[[#This Row],[customer_subscription]]=1,"Subscribed","Not Subscribed")</f>
        <v>Not Subscribed</v>
      </c>
      <c r="Z3717" t="s">
        <v>194</v>
      </c>
    </row>
    <row r="3718" spans="1:26" x14ac:dyDescent="0.25">
      <c r="A3718">
        <v>3717</v>
      </c>
      <c r="B3718">
        <v>57</v>
      </c>
      <c r="C3718" t="s">
        <v>156</v>
      </c>
      <c r="D3718">
        <v>3717</v>
      </c>
      <c r="E3718" t="s">
        <v>58</v>
      </c>
      <c r="F3718" t="s">
        <v>24</v>
      </c>
      <c r="G3718">
        <v>3717</v>
      </c>
      <c r="H3718">
        <v>4659</v>
      </c>
      <c r="I3718">
        <v>53</v>
      </c>
      <c r="J3718" t="s">
        <v>132</v>
      </c>
      <c r="K3718" t="s">
        <v>47</v>
      </c>
      <c r="L3718" t="s">
        <v>64</v>
      </c>
      <c r="M3718" t="s">
        <v>60</v>
      </c>
      <c r="N3718">
        <v>3.4</v>
      </c>
      <c r="O3718">
        <v>0</v>
      </c>
      <c r="P3718" t="s">
        <v>48</v>
      </c>
      <c r="Q3718" t="s">
        <v>155</v>
      </c>
      <c r="R3718" t="s">
        <v>155</v>
      </c>
      <c r="S3718">
        <v>42</v>
      </c>
      <c r="T3718" t="s">
        <v>89</v>
      </c>
      <c r="U3718" t="s">
        <v>100</v>
      </c>
      <c r="V3718" s="1">
        <v>45608</v>
      </c>
      <c r="W3718">
        <f>Table1[[#This Row],[customer_purchase count]]+1</f>
        <v>43</v>
      </c>
      <c r="X3718">
        <f>Table1[[#This Row],[customer_purchase count]]*Rules!$B$3</f>
        <v>2510.103076923077</v>
      </c>
      <c r="Y3718" t="str">
        <f>IF(Table1[[#This Row],[customer_subscription]]=1,"Subscribed","Not Subscribed")</f>
        <v>Not Subscribed</v>
      </c>
    </row>
    <row r="3719" spans="1:26" x14ac:dyDescent="0.25">
      <c r="A3719">
        <v>3718</v>
      </c>
      <c r="B3719">
        <v>45</v>
      </c>
      <c r="C3719" t="s">
        <v>156</v>
      </c>
      <c r="D3719">
        <v>3718</v>
      </c>
      <c r="E3719" t="s">
        <v>116</v>
      </c>
      <c r="F3719" t="s">
        <v>24</v>
      </c>
      <c r="G3719">
        <v>3718</v>
      </c>
      <c r="H3719">
        <v>4660</v>
      </c>
      <c r="I3719">
        <v>85</v>
      </c>
      <c r="J3719" t="s">
        <v>131</v>
      </c>
      <c r="K3719" t="s">
        <v>95</v>
      </c>
      <c r="L3719" t="s">
        <v>55</v>
      </c>
      <c r="M3719" t="s">
        <v>56</v>
      </c>
      <c r="N3719">
        <v>4.2</v>
      </c>
      <c r="O3719">
        <v>0</v>
      </c>
      <c r="P3719" t="s">
        <v>29</v>
      </c>
      <c r="Q3719" t="s">
        <v>155</v>
      </c>
      <c r="R3719" t="s">
        <v>155</v>
      </c>
      <c r="S3719">
        <v>47</v>
      </c>
      <c r="T3719" t="s">
        <v>78</v>
      </c>
      <c r="U3719" t="s">
        <v>100</v>
      </c>
      <c r="V3719" s="1">
        <v>45489</v>
      </c>
      <c r="W3719">
        <f>Table1[[#This Row],[customer_purchase count]]+1</f>
        <v>48</v>
      </c>
      <c r="X3719">
        <f>Table1[[#This Row],[customer_purchase count]]*Rules!$B$3</f>
        <v>2808.9248717948717</v>
      </c>
      <c r="Y3719" t="str">
        <f>IF(Table1[[#This Row],[customer_subscription]]=1,"Subscribed","Not Subscribed")</f>
        <v>Not Subscribed</v>
      </c>
    </row>
    <row r="3720" spans="1:26" x14ac:dyDescent="0.25">
      <c r="A3720">
        <v>3719</v>
      </c>
      <c r="B3720">
        <v>36</v>
      </c>
      <c r="C3720" t="s">
        <v>156</v>
      </c>
      <c r="D3720">
        <v>3719</v>
      </c>
      <c r="E3720" t="s">
        <v>98</v>
      </c>
      <c r="F3720" t="s">
        <v>24</v>
      </c>
      <c r="G3720">
        <v>3719</v>
      </c>
      <c r="H3720">
        <v>4661</v>
      </c>
      <c r="I3720">
        <v>50</v>
      </c>
      <c r="J3720" t="s">
        <v>125</v>
      </c>
      <c r="K3720" t="s">
        <v>26</v>
      </c>
      <c r="L3720" t="s">
        <v>51</v>
      </c>
      <c r="M3720" t="s">
        <v>60</v>
      </c>
      <c r="N3720">
        <v>2.9</v>
      </c>
      <c r="O3720">
        <v>0</v>
      </c>
      <c r="P3720" t="s">
        <v>57</v>
      </c>
      <c r="Q3720" t="s">
        <v>155</v>
      </c>
      <c r="R3720" t="s">
        <v>155</v>
      </c>
      <c r="S3720">
        <v>44</v>
      </c>
      <c r="T3720" t="s">
        <v>78</v>
      </c>
      <c r="U3720" t="s">
        <v>79</v>
      </c>
      <c r="V3720" s="1">
        <v>45604</v>
      </c>
      <c r="W3720">
        <f>Table1[[#This Row],[customer_purchase count]]+1</f>
        <v>45</v>
      </c>
      <c r="X3720">
        <f>Table1[[#This Row],[customer_purchase count]]*Rules!$B$3</f>
        <v>2629.6317948717951</v>
      </c>
      <c r="Y3720" t="str">
        <f>IF(Table1[[#This Row],[customer_subscription]]=1,"Subscribed","Not Subscribed")</f>
        <v>Not Subscribed</v>
      </c>
    </row>
    <row r="3721" spans="1:26" x14ac:dyDescent="0.25">
      <c r="A3721">
        <v>3720</v>
      </c>
      <c r="B3721">
        <v>20</v>
      </c>
      <c r="C3721" t="s">
        <v>156</v>
      </c>
      <c r="D3721">
        <v>3720</v>
      </c>
      <c r="E3721" t="s">
        <v>98</v>
      </c>
      <c r="F3721" t="s">
        <v>24</v>
      </c>
      <c r="G3721">
        <v>3720</v>
      </c>
      <c r="H3721">
        <v>4663</v>
      </c>
      <c r="I3721">
        <v>91</v>
      </c>
      <c r="J3721" t="s">
        <v>141</v>
      </c>
      <c r="K3721" t="s">
        <v>47</v>
      </c>
      <c r="L3721" t="s">
        <v>111</v>
      </c>
      <c r="M3721" t="s">
        <v>56</v>
      </c>
      <c r="N3721">
        <v>4.0999999999999996</v>
      </c>
      <c r="O3721">
        <v>0</v>
      </c>
      <c r="P3721" t="s">
        <v>41</v>
      </c>
      <c r="Q3721" t="s">
        <v>155</v>
      </c>
      <c r="R3721" t="s">
        <v>155</v>
      </c>
      <c r="S3721">
        <v>8</v>
      </c>
      <c r="T3721" t="s">
        <v>78</v>
      </c>
      <c r="U3721" t="s">
        <v>100</v>
      </c>
      <c r="V3721" s="1">
        <v>45523</v>
      </c>
      <c r="W3721">
        <f>Table1[[#This Row],[customer_purchase count]]+1</f>
        <v>9</v>
      </c>
      <c r="X3721">
        <f>Table1[[#This Row],[customer_purchase count]]*Rules!$B$3</f>
        <v>478.11487179487182</v>
      </c>
      <c r="Y3721" t="str">
        <f>IF(Table1[[#This Row],[customer_subscription]]=1,"Subscribed","Not Subscribed")</f>
        <v>Not Subscribed</v>
      </c>
      <c r="Z3721" t="s">
        <v>194</v>
      </c>
    </row>
    <row r="3722" spans="1:26" x14ac:dyDescent="0.25">
      <c r="A3722">
        <v>3721</v>
      </c>
      <c r="B3722">
        <v>21</v>
      </c>
      <c r="C3722" t="s">
        <v>156</v>
      </c>
      <c r="D3722">
        <v>3721</v>
      </c>
      <c r="E3722" t="s">
        <v>127</v>
      </c>
      <c r="F3722" t="s">
        <v>70</v>
      </c>
      <c r="G3722">
        <v>3721</v>
      </c>
      <c r="H3722">
        <v>4664</v>
      </c>
      <c r="I3722">
        <v>56</v>
      </c>
      <c r="J3722" t="s">
        <v>134</v>
      </c>
      <c r="K3722" t="s">
        <v>47</v>
      </c>
      <c r="L3722" t="s">
        <v>103</v>
      </c>
      <c r="M3722" t="s">
        <v>60</v>
      </c>
      <c r="N3722">
        <v>3.6</v>
      </c>
      <c r="O3722">
        <v>0</v>
      </c>
      <c r="P3722" t="s">
        <v>41</v>
      </c>
      <c r="Q3722" t="s">
        <v>155</v>
      </c>
      <c r="R3722" t="s">
        <v>155</v>
      </c>
      <c r="S3722">
        <v>13</v>
      </c>
      <c r="T3722" t="s">
        <v>42</v>
      </c>
      <c r="U3722" t="s">
        <v>61</v>
      </c>
      <c r="V3722" s="1">
        <v>45547</v>
      </c>
      <c r="W3722">
        <f>Table1[[#This Row],[customer_purchase count]]+1</f>
        <v>14</v>
      </c>
      <c r="X3722">
        <f>Table1[[#This Row],[customer_purchase count]]*Rules!$B$3</f>
        <v>776.93666666666672</v>
      </c>
      <c r="Y3722" t="str">
        <f>IF(Table1[[#This Row],[customer_subscription]]=1,"Subscribed","Not Subscribed")</f>
        <v>Not Subscribed</v>
      </c>
      <c r="Z3722" t="s">
        <v>187</v>
      </c>
    </row>
    <row r="3723" spans="1:26" x14ac:dyDescent="0.25">
      <c r="A3723">
        <v>3722</v>
      </c>
      <c r="B3723">
        <v>62</v>
      </c>
      <c r="C3723" t="s">
        <v>156</v>
      </c>
      <c r="D3723">
        <v>3722</v>
      </c>
      <c r="E3723" t="s">
        <v>65</v>
      </c>
      <c r="F3723" t="s">
        <v>66</v>
      </c>
      <c r="G3723">
        <v>3722</v>
      </c>
      <c r="H3723">
        <v>4665</v>
      </c>
      <c r="I3723">
        <v>60</v>
      </c>
      <c r="J3723" t="s">
        <v>142</v>
      </c>
      <c r="K3723" t="s">
        <v>26</v>
      </c>
      <c r="L3723" t="s">
        <v>72</v>
      </c>
      <c r="M3723" t="s">
        <v>60</v>
      </c>
      <c r="N3723">
        <v>4</v>
      </c>
      <c r="O3723">
        <v>0</v>
      </c>
      <c r="P3723" t="s">
        <v>48</v>
      </c>
      <c r="Q3723" t="s">
        <v>155</v>
      </c>
      <c r="R3723" t="s">
        <v>155</v>
      </c>
      <c r="S3723">
        <v>10</v>
      </c>
      <c r="T3723" t="s">
        <v>36</v>
      </c>
      <c r="U3723" t="s">
        <v>52</v>
      </c>
      <c r="V3723" s="1">
        <v>45566</v>
      </c>
      <c r="W3723">
        <f>Table1[[#This Row],[customer_purchase count]]+1</f>
        <v>11</v>
      </c>
      <c r="X3723">
        <f>Table1[[#This Row],[customer_purchase count]]*Rules!$B$3</f>
        <v>597.64358974358981</v>
      </c>
      <c r="Y3723" t="str">
        <f>IF(Table1[[#This Row],[customer_subscription]]=1,"Subscribed","Not Subscribed")</f>
        <v>Not Subscribed</v>
      </c>
      <c r="Z3723" t="s">
        <v>194</v>
      </c>
    </row>
    <row r="3724" spans="1:26" x14ac:dyDescent="0.25">
      <c r="A3724">
        <v>3723</v>
      </c>
      <c r="B3724">
        <v>23</v>
      </c>
      <c r="C3724" t="s">
        <v>156</v>
      </c>
      <c r="D3724">
        <v>3723</v>
      </c>
      <c r="E3724" t="s">
        <v>105</v>
      </c>
      <c r="F3724" t="s">
        <v>66</v>
      </c>
      <c r="G3724">
        <v>3723</v>
      </c>
      <c r="H3724">
        <v>4666</v>
      </c>
      <c r="I3724">
        <v>34</v>
      </c>
      <c r="J3724" t="s">
        <v>25</v>
      </c>
      <c r="K3724" t="s">
        <v>95</v>
      </c>
      <c r="L3724" t="s">
        <v>137</v>
      </c>
      <c r="M3724" t="s">
        <v>60</v>
      </c>
      <c r="N3724">
        <v>4</v>
      </c>
      <c r="O3724">
        <v>0</v>
      </c>
      <c r="P3724" t="s">
        <v>57</v>
      </c>
      <c r="Q3724" t="s">
        <v>155</v>
      </c>
      <c r="R3724" t="s">
        <v>155</v>
      </c>
      <c r="S3724">
        <v>1</v>
      </c>
      <c r="T3724" t="s">
        <v>42</v>
      </c>
      <c r="U3724" t="s">
        <v>32</v>
      </c>
      <c r="V3724" s="1">
        <v>45615</v>
      </c>
      <c r="W3724">
        <f>Table1[[#This Row],[customer_purchase count]]+1</f>
        <v>2</v>
      </c>
      <c r="X3724">
        <f>Table1[[#This Row],[customer_purchase count]]*Rules!$B$3</f>
        <v>59.764358974358977</v>
      </c>
      <c r="Y3724" t="str">
        <f>IF(Table1[[#This Row],[customer_subscription]]=1,"Subscribed","Not Subscribed")</f>
        <v>Not Subscribed</v>
      </c>
      <c r="Z3724" t="s">
        <v>194</v>
      </c>
    </row>
    <row r="3725" spans="1:26" x14ac:dyDescent="0.25">
      <c r="A3725">
        <v>3724</v>
      </c>
      <c r="B3725">
        <v>26</v>
      </c>
      <c r="C3725" t="s">
        <v>156</v>
      </c>
      <c r="D3725">
        <v>3724</v>
      </c>
      <c r="E3725" t="s">
        <v>44</v>
      </c>
      <c r="F3725" t="s">
        <v>45</v>
      </c>
      <c r="G3725">
        <v>3724</v>
      </c>
      <c r="H3725">
        <v>4667</v>
      </c>
      <c r="I3725">
        <v>30</v>
      </c>
      <c r="J3725" t="s">
        <v>46</v>
      </c>
      <c r="K3725" t="s">
        <v>47</v>
      </c>
      <c r="L3725" t="s">
        <v>121</v>
      </c>
      <c r="M3725" t="s">
        <v>40</v>
      </c>
      <c r="N3725">
        <v>3.6</v>
      </c>
      <c r="O3725">
        <v>0</v>
      </c>
      <c r="P3725" t="s">
        <v>41</v>
      </c>
      <c r="Q3725" t="s">
        <v>155</v>
      </c>
      <c r="R3725" t="s">
        <v>155</v>
      </c>
      <c r="S3725">
        <v>1</v>
      </c>
      <c r="T3725" t="s">
        <v>89</v>
      </c>
      <c r="U3725" t="s">
        <v>91</v>
      </c>
      <c r="V3725" s="1">
        <v>45356</v>
      </c>
      <c r="W3725">
        <f>Table1[[#This Row],[customer_purchase count]]+1</f>
        <v>2</v>
      </c>
      <c r="X3725">
        <f>Table1[[#This Row],[customer_purchase count]]*Rules!$B$3</f>
        <v>59.764358974358977</v>
      </c>
      <c r="Y3725" t="str">
        <f>IF(Table1[[#This Row],[customer_subscription]]=1,"Subscribed","Not Subscribed")</f>
        <v>Not Subscribed</v>
      </c>
      <c r="Z3725" t="s">
        <v>194</v>
      </c>
    </row>
    <row r="3726" spans="1:26" x14ac:dyDescent="0.25">
      <c r="A3726">
        <v>3725</v>
      </c>
      <c r="B3726">
        <v>30</v>
      </c>
      <c r="C3726" t="s">
        <v>156</v>
      </c>
      <c r="D3726">
        <v>3725</v>
      </c>
      <c r="E3726" t="s">
        <v>146</v>
      </c>
      <c r="F3726" t="s">
        <v>70</v>
      </c>
      <c r="G3726">
        <v>3725</v>
      </c>
      <c r="H3726">
        <v>4669</v>
      </c>
      <c r="I3726">
        <v>71</v>
      </c>
      <c r="J3726" t="s">
        <v>115</v>
      </c>
      <c r="K3726" t="s">
        <v>26</v>
      </c>
      <c r="L3726" t="s">
        <v>99</v>
      </c>
      <c r="M3726" t="s">
        <v>28</v>
      </c>
      <c r="N3726">
        <v>3.1</v>
      </c>
      <c r="O3726">
        <v>0</v>
      </c>
      <c r="P3726" t="s">
        <v>29</v>
      </c>
      <c r="Q3726" t="s">
        <v>155</v>
      </c>
      <c r="R3726" t="s">
        <v>155</v>
      </c>
      <c r="S3726">
        <v>18</v>
      </c>
      <c r="T3726" t="s">
        <v>78</v>
      </c>
      <c r="U3726" t="s">
        <v>52</v>
      </c>
      <c r="V3726" s="1">
        <v>45648</v>
      </c>
      <c r="W3726">
        <f>Table1[[#This Row],[customer_purchase count]]+1</f>
        <v>19</v>
      </c>
      <c r="X3726">
        <f>Table1[[#This Row],[customer_purchase count]]*Rules!$B$3</f>
        <v>1075.7584615384617</v>
      </c>
      <c r="Y3726" t="str">
        <f>IF(Table1[[#This Row],[customer_subscription]]=1,"Subscribed","Not Subscribed")</f>
        <v>Not Subscribed</v>
      </c>
    </row>
    <row r="3727" spans="1:26" x14ac:dyDescent="0.25">
      <c r="A3727">
        <v>3726</v>
      </c>
      <c r="B3727">
        <v>18</v>
      </c>
      <c r="C3727" t="s">
        <v>156</v>
      </c>
      <c r="D3727">
        <v>3726</v>
      </c>
      <c r="E3727" t="s">
        <v>84</v>
      </c>
      <c r="F3727" t="s">
        <v>24</v>
      </c>
      <c r="G3727">
        <v>3726</v>
      </c>
      <c r="H3727">
        <v>4670</v>
      </c>
      <c r="I3727">
        <v>100</v>
      </c>
      <c r="J3727" t="s">
        <v>104</v>
      </c>
      <c r="K3727" t="s">
        <v>39</v>
      </c>
      <c r="L3727" t="s">
        <v>51</v>
      </c>
      <c r="M3727" t="s">
        <v>28</v>
      </c>
      <c r="N3727">
        <v>4.4000000000000004</v>
      </c>
      <c r="O3727">
        <v>0</v>
      </c>
      <c r="P3727" t="s">
        <v>48</v>
      </c>
      <c r="Q3727" t="s">
        <v>155</v>
      </c>
      <c r="R3727" t="s">
        <v>155</v>
      </c>
      <c r="S3727">
        <v>2</v>
      </c>
      <c r="T3727" t="s">
        <v>49</v>
      </c>
      <c r="U3727" t="s">
        <v>52</v>
      </c>
      <c r="V3727" s="1">
        <v>45300</v>
      </c>
      <c r="W3727">
        <f>Table1[[#This Row],[customer_purchase count]]+1</f>
        <v>3</v>
      </c>
      <c r="X3727">
        <f>Table1[[#This Row],[customer_purchase count]]*Rules!$B$3</f>
        <v>119.52871794871795</v>
      </c>
      <c r="Y3727" t="str">
        <f>IF(Table1[[#This Row],[customer_subscription]]=1,"Subscribed","Not Subscribed")</f>
        <v>Not Subscribed</v>
      </c>
      <c r="Z3727" t="s">
        <v>194</v>
      </c>
    </row>
    <row r="3728" spans="1:26" x14ac:dyDescent="0.25">
      <c r="A3728">
        <v>3727</v>
      </c>
      <c r="B3728">
        <v>47</v>
      </c>
      <c r="C3728" t="s">
        <v>156</v>
      </c>
      <c r="D3728">
        <v>3727</v>
      </c>
      <c r="E3728" t="s">
        <v>136</v>
      </c>
      <c r="F3728" t="s">
        <v>70</v>
      </c>
      <c r="G3728">
        <v>3727</v>
      </c>
      <c r="H3728">
        <v>4671</v>
      </c>
      <c r="I3728">
        <v>85</v>
      </c>
      <c r="J3728" t="s">
        <v>138</v>
      </c>
      <c r="K3728" t="s">
        <v>95</v>
      </c>
      <c r="L3728" t="s">
        <v>124</v>
      </c>
      <c r="M3728" t="s">
        <v>60</v>
      </c>
      <c r="N3728">
        <v>4.3</v>
      </c>
      <c r="O3728">
        <v>0</v>
      </c>
      <c r="P3728" t="s">
        <v>48</v>
      </c>
      <c r="Q3728" t="s">
        <v>155</v>
      </c>
      <c r="R3728" t="s">
        <v>155</v>
      </c>
      <c r="S3728">
        <v>36</v>
      </c>
      <c r="T3728" t="s">
        <v>89</v>
      </c>
      <c r="U3728" t="s">
        <v>100</v>
      </c>
      <c r="V3728" s="1">
        <v>45576</v>
      </c>
      <c r="W3728">
        <f>Table1[[#This Row],[customer_purchase count]]+1</f>
        <v>37</v>
      </c>
      <c r="X3728">
        <f>Table1[[#This Row],[customer_purchase count]]*Rules!$B$3</f>
        <v>2151.5169230769234</v>
      </c>
      <c r="Y3728" t="str">
        <f>IF(Table1[[#This Row],[customer_subscription]]=1,"Subscribed","Not Subscribed")</f>
        <v>Not Subscribed</v>
      </c>
    </row>
    <row r="3729" spans="1:26" x14ac:dyDescent="0.25">
      <c r="A3729">
        <v>3728</v>
      </c>
      <c r="B3729">
        <v>41</v>
      </c>
      <c r="C3729" t="s">
        <v>156</v>
      </c>
      <c r="D3729">
        <v>3728</v>
      </c>
      <c r="E3729" t="s">
        <v>128</v>
      </c>
      <c r="F3729" t="s">
        <v>24</v>
      </c>
      <c r="G3729">
        <v>3728</v>
      </c>
      <c r="H3729">
        <v>4672</v>
      </c>
      <c r="I3729">
        <v>83</v>
      </c>
      <c r="J3729" t="s">
        <v>34</v>
      </c>
      <c r="K3729" t="s">
        <v>47</v>
      </c>
      <c r="L3729" t="s">
        <v>83</v>
      </c>
      <c r="M3729" t="s">
        <v>56</v>
      </c>
      <c r="N3729">
        <v>3.5</v>
      </c>
      <c r="O3729">
        <v>0</v>
      </c>
      <c r="P3729" t="s">
        <v>48</v>
      </c>
      <c r="Q3729" t="s">
        <v>155</v>
      </c>
      <c r="R3729" t="s">
        <v>155</v>
      </c>
      <c r="S3729">
        <v>17</v>
      </c>
      <c r="T3729" t="s">
        <v>89</v>
      </c>
      <c r="U3729" t="s">
        <v>79</v>
      </c>
      <c r="V3729" s="1">
        <v>45508</v>
      </c>
      <c r="W3729">
        <f>Table1[[#This Row],[customer_purchase count]]+1</f>
        <v>18</v>
      </c>
      <c r="X3729">
        <f>Table1[[#This Row],[customer_purchase count]]*Rules!$B$3</f>
        <v>1015.9941025641026</v>
      </c>
      <c r="Y3729" t="str">
        <f>IF(Table1[[#This Row],[customer_subscription]]=1,"Subscribed","Not Subscribed")</f>
        <v>Not Subscribed</v>
      </c>
      <c r="Z3729" t="s">
        <v>194</v>
      </c>
    </row>
    <row r="3730" spans="1:26" x14ac:dyDescent="0.25">
      <c r="A3730">
        <v>3729</v>
      </c>
      <c r="B3730">
        <v>62</v>
      </c>
      <c r="C3730" t="s">
        <v>156</v>
      </c>
      <c r="D3730">
        <v>3729</v>
      </c>
      <c r="E3730" t="s">
        <v>105</v>
      </c>
      <c r="F3730" t="s">
        <v>66</v>
      </c>
      <c r="G3730">
        <v>3729</v>
      </c>
      <c r="H3730">
        <v>4673</v>
      </c>
      <c r="I3730">
        <v>31</v>
      </c>
      <c r="J3730" t="s">
        <v>132</v>
      </c>
      <c r="K3730" t="s">
        <v>26</v>
      </c>
      <c r="L3730" t="s">
        <v>111</v>
      </c>
      <c r="M3730" t="s">
        <v>28</v>
      </c>
      <c r="N3730">
        <v>3</v>
      </c>
      <c r="O3730">
        <v>0</v>
      </c>
      <c r="P3730" t="s">
        <v>57</v>
      </c>
      <c r="Q3730" t="s">
        <v>155</v>
      </c>
      <c r="R3730" t="s">
        <v>155</v>
      </c>
      <c r="S3730">
        <v>1</v>
      </c>
      <c r="T3730" t="s">
        <v>89</v>
      </c>
      <c r="U3730" t="s">
        <v>52</v>
      </c>
      <c r="V3730" s="1">
        <v>45331</v>
      </c>
      <c r="W3730">
        <f>Table1[[#This Row],[customer_purchase count]]+1</f>
        <v>2</v>
      </c>
      <c r="X3730">
        <f>Table1[[#This Row],[customer_purchase count]]*Rules!$B$3</f>
        <v>59.764358974358977</v>
      </c>
      <c r="Y3730" t="str">
        <f>IF(Table1[[#This Row],[customer_subscription]]=1,"Subscribed","Not Subscribed")</f>
        <v>Not Subscribed</v>
      </c>
      <c r="Z3730" t="s">
        <v>194</v>
      </c>
    </row>
    <row r="3731" spans="1:26" x14ac:dyDescent="0.25">
      <c r="A3731">
        <v>3730</v>
      </c>
      <c r="B3731">
        <v>28</v>
      </c>
      <c r="C3731" t="s">
        <v>156</v>
      </c>
      <c r="D3731">
        <v>3730</v>
      </c>
      <c r="E3731" t="s">
        <v>140</v>
      </c>
      <c r="F3731" t="s">
        <v>45</v>
      </c>
      <c r="G3731">
        <v>3730</v>
      </c>
      <c r="H3731">
        <v>4675</v>
      </c>
      <c r="I3731">
        <v>82</v>
      </c>
      <c r="J3731" t="s">
        <v>46</v>
      </c>
      <c r="K3731" t="s">
        <v>47</v>
      </c>
      <c r="L3731" t="s">
        <v>88</v>
      </c>
      <c r="M3731" t="s">
        <v>40</v>
      </c>
      <c r="N3731">
        <v>4.7</v>
      </c>
      <c r="O3731">
        <v>0</v>
      </c>
      <c r="P3731" t="s">
        <v>73</v>
      </c>
      <c r="Q3731" t="s">
        <v>155</v>
      </c>
      <c r="R3731" t="s">
        <v>155</v>
      </c>
      <c r="S3731">
        <v>50</v>
      </c>
      <c r="T3731" t="s">
        <v>36</v>
      </c>
      <c r="U3731" t="s">
        <v>61</v>
      </c>
      <c r="V3731" s="1">
        <v>45437</v>
      </c>
      <c r="W3731">
        <f>Table1[[#This Row],[customer_purchase count]]+1</f>
        <v>51</v>
      </c>
      <c r="X3731">
        <f>Table1[[#This Row],[customer_purchase count]]*Rules!$B$3</f>
        <v>2988.2179487179487</v>
      </c>
      <c r="Y3731" t="str">
        <f>IF(Table1[[#This Row],[customer_subscription]]=1,"Subscribed","Not Subscribed")</f>
        <v>Not Subscribed</v>
      </c>
    </row>
    <row r="3732" spans="1:26" x14ac:dyDescent="0.25">
      <c r="A3732">
        <v>3731</v>
      </c>
      <c r="B3732">
        <v>46</v>
      </c>
      <c r="C3732" t="s">
        <v>156</v>
      </c>
      <c r="D3732">
        <v>3731</v>
      </c>
      <c r="E3732" t="s">
        <v>58</v>
      </c>
      <c r="F3732" t="s">
        <v>24</v>
      </c>
      <c r="G3732">
        <v>3731</v>
      </c>
      <c r="H3732">
        <v>4676</v>
      </c>
      <c r="I3732">
        <v>79</v>
      </c>
      <c r="J3732" t="s">
        <v>106</v>
      </c>
      <c r="K3732" t="s">
        <v>47</v>
      </c>
      <c r="L3732" t="s">
        <v>88</v>
      </c>
      <c r="M3732" t="s">
        <v>56</v>
      </c>
      <c r="N3732">
        <v>2.5</v>
      </c>
      <c r="O3732">
        <v>0</v>
      </c>
      <c r="P3732" t="s">
        <v>73</v>
      </c>
      <c r="Q3732" t="s">
        <v>155</v>
      </c>
      <c r="R3732" t="s">
        <v>155</v>
      </c>
      <c r="S3732">
        <v>3</v>
      </c>
      <c r="T3732" t="s">
        <v>42</v>
      </c>
      <c r="U3732" t="s">
        <v>79</v>
      </c>
      <c r="V3732" s="1">
        <v>45492</v>
      </c>
      <c r="W3732">
        <f>Table1[[#This Row],[customer_purchase count]]+1</f>
        <v>4</v>
      </c>
      <c r="X3732">
        <f>Table1[[#This Row],[customer_purchase count]]*Rules!$B$3</f>
        <v>179.29307692307694</v>
      </c>
      <c r="Y3732" t="str">
        <f>IF(Table1[[#This Row],[customer_subscription]]=1,"Subscribed","Not Subscribed")</f>
        <v>Not Subscribed</v>
      </c>
      <c r="Z3732" t="s">
        <v>194</v>
      </c>
    </row>
    <row r="3733" spans="1:26" x14ac:dyDescent="0.25">
      <c r="A3733">
        <v>3732</v>
      </c>
      <c r="B3733">
        <v>54</v>
      </c>
      <c r="C3733" t="s">
        <v>156</v>
      </c>
      <c r="D3733">
        <v>3732</v>
      </c>
      <c r="E3733" t="s">
        <v>127</v>
      </c>
      <c r="F3733" t="s">
        <v>70</v>
      </c>
      <c r="G3733">
        <v>3732</v>
      </c>
      <c r="H3733">
        <v>4677</v>
      </c>
      <c r="I3733">
        <v>62</v>
      </c>
      <c r="J3733" t="s">
        <v>67</v>
      </c>
      <c r="K3733" t="s">
        <v>47</v>
      </c>
      <c r="L3733" t="s">
        <v>96</v>
      </c>
      <c r="M3733" t="s">
        <v>40</v>
      </c>
      <c r="N3733">
        <v>3.1</v>
      </c>
      <c r="O3733">
        <v>0</v>
      </c>
      <c r="P3733" t="s">
        <v>73</v>
      </c>
      <c r="Q3733" t="s">
        <v>155</v>
      </c>
      <c r="R3733" t="s">
        <v>155</v>
      </c>
      <c r="S3733">
        <v>45</v>
      </c>
      <c r="T3733" t="s">
        <v>49</v>
      </c>
      <c r="U3733" t="s">
        <v>61</v>
      </c>
      <c r="V3733" s="1">
        <v>45416</v>
      </c>
      <c r="W3733">
        <f>Table1[[#This Row],[customer_purchase count]]+1</f>
        <v>46</v>
      </c>
      <c r="X3733">
        <f>Table1[[#This Row],[customer_purchase count]]*Rules!$B$3</f>
        <v>2689.396153846154</v>
      </c>
      <c r="Y3733" t="str">
        <f>IF(Table1[[#This Row],[customer_subscription]]=1,"Subscribed","Not Subscribed")</f>
        <v>Not Subscribed</v>
      </c>
    </row>
    <row r="3734" spans="1:26" x14ac:dyDescent="0.25">
      <c r="A3734">
        <v>3733</v>
      </c>
      <c r="B3734">
        <v>36</v>
      </c>
      <c r="C3734" t="s">
        <v>156</v>
      </c>
      <c r="D3734">
        <v>3733</v>
      </c>
      <c r="E3734" t="s">
        <v>74</v>
      </c>
      <c r="F3734" t="s">
        <v>45</v>
      </c>
      <c r="G3734">
        <v>3733</v>
      </c>
      <c r="H3734">
        <v>4678</v>
      </c>
      <c r="I3734">
        <v>92</v>
      </c>
      <c r="J3734" t="s">
        <v>119</v>
      </c>
      <c r="K3734" t="s">
        <v>26</v>
      </c>
      <c r="L3734" t="s">
        <v>72</v>
      </c>
      <c r="M3734" t="s">
        <v>40</v>
      </c>
      <c r="N3734">
        <v>3.3</v>
      </c>
      <c r="O3734">
        <v>0</v>
      </c>
      <c r="P3734" t="s">
        <v>41</v>
      </c>
      <c r="Q3734" t="s">
        <v>155</v>
      </c>
      <c r="R3734" t="s">
        <v>155</v>
      </c>
      <c r="S3734">
        <v>28</v>
      </c>
      <c r="T3734" t="s">
        <v>49</v>
      </c>
      <c r="U3734" t="s">
        <v>52</v>
      </c>
      <c r="V3734" s="1">
        <v>45365</v>
      </c>
      <c r="W3734">
        <f>Table1[[#This Row],[customer_purchase count]]+1</f>
        <v>29</v>
      </c>
      <c r="X3734">
        <f>Table1[[#This Row],[customer_purchase count]]*Rules!$B$3</f>
        <v>1673.4020512820514</v>
      </c>
      <c r="Y3734" t="str">
        <f>IF(Table1[[#This Row],[customer_subscription]]=1,"Subscribed","Not Subscribed")</f>
        <v>Not Subscribed</v>
      </c>
    </row>
    <row r="3735" spans="1:26" x14ac:dyDescent="0.25">
      <c r="A3735">
        <v>3734</v>
      </c>
      <c r="B3735">
        <v>25</v>
      </c>
      <c r="C3735" t="s">
        <v>156</v>
      </c>
      <c r="D3735">
        <v>3734</v>
      </c>
      <c r="E3735" t="s">
        <v>128</v>
      </c>
      <c r="F3735" t="s">
        <v>24</v>
      </c>
      <c r="G3735">
        <v>3734</v>
      </c>
      <c r="H3735">
        <v>4679</v>
      </c>
      <c r="I3735">
        <v>58</v>
      </c>
      <c r="J3735" t="s">
        <v>118</v>
      </c>
      <c r="K3735" t="s">
        <v>47</v>
      </c>
      <c r="L3735" t="s">
        <v>35</v>
      </c>
      <c r="M3735" t="s">
        <v>60</v>
      </c>
      <c r="N3735">
        <v>4.7</v>
      </c>
      <c r="O3735">
        <v>0</v>
      </c>
      <c r="P3735" t="s">
        <v>48</v>
      </c>
      <c r="Q3735" t="s">
        <v>155</v>
      </c>
      <c r="R3735" t="s">
        <v>155</v>
      </c>
      <c r="S3735">
        <v>6</v>
      </c>
      <c r="T3735" t="s">
        <v>89</v>
      </c>
      <c r="U3735" t="s">
        <v>100</v>
      </c>
      <c r="V3735" s="1">
        <v>45571</v>
      </c>
      <c r="W3735">
        <f>Table1[[#This Row],[customer_purchase count]]+1</f>
        <v>7</v>
      </c>
      <c r="X3735">
        <f>Table1[[#This Row],[customer_purchase count]]*Rules!$B$3</f>
        <v>358.58615384615388</v>
      </c>
      <c r="Y3735" t="str">
        <f>IF(Table1[[#This Row],[customer_subscription]]=1,"Subscribed","Not Subscribed")</f>
        <v>Not Subscribed</v>
      </c>
      <c r="Z3735" t="s">
        <v>194</v>
      </c>
    </row>
    <row r="3736" spans="1:26" x14ac:dyDescent="0.25">
      <c r="A3736">
        <v>3735</v>
      </c>
      <c r="B3736">
        <v>38</v>
      </c>
      <c r="C3736" t="s">
        <v>156</v>
      </c>
      <c r="D3736">
        <v>3735</v>
      </c>
      <c r="E3736" t="s">
        <v>107</v>
      </c>
      <c r="F3736" t="s">
        <v>24</v>
      </c>
      <c r="G3736">
        <v>3735</v>
      </c>
      <c r="H3736">
        <v>4681</v>
      </c>
      <c r="I3736">
        <v>88</v>
      </c>
      <c r="J3736" t="s">
        <v>102</v>
      </c>
      <c r="K3736" t="s">
        <v>47</v>
      </c>
      <c r="L3736" t="s">
        <v>121</v>
      </c>
      <c r="M3736" t="s">
        <v>40</v>
      </c>
      <c r="N3736">
        <v>3.4</v>
      </c>
      <c r="O3736">
        <v>0</v>
      </c>
      <c r="P3736" t="s">
        <v>48</v>
      </c>
      <c r="Q3736" t="s">
        <v>155</v>
      </c>
      <c r="R3736" t="s">
        <v>155</v>
      </c>
      <c r="S3736">
        <v>33</v>
      </c>
      <c r="T3736" t="s">
        <v>89</v>
      </c>
      <c r="U3736" t="s">
        <v>100</v>
      </c>
      <c r="V3736" s="1">
        <v>45391</v>
      </c>
      <c r="W3736">
        <f>Table1[[#This Row],[customer_purchase count]]+1</f>
        <v>34</v>
      </c>
      <c r="X3736">
        <f>Table1[[#This Row],[customer_purchase count]]*Rules!$B$3</f>
        <v>1972.2238461538464</v>
      </c>
      <c r="Y3736" t="str">
        <f>IF(Table1[[#This Row],[customer_subscription]]=1,"Subscribed","Not Subscribed")</f>
        <v>Not Subscribed</v>
      </c>
    </row>
    <row r="3737" spans="1:26" x14ac:dyDescent="0.25">
      <c r="A3737">
        <v>3736</v>
      </c>
      <c r="B3737">
        <v>38</v>
      </c>
      <c r="C3737" t="s">
        <v>156</v>
      </c>
      <c r="D3737">
        <v>3736</v>
      </c>
      <c r="E3737" t="s">
        <v>44</v>
      </c>
      <c r="F3737" t="s">
        <v>45</v>
      </c>
      <c r="G3737">
        <v>3736</v>
      </c>
      <c r="H3737">
        <v>4682</v>
      </c>
      <c r="I3737">
        <v>44</v>
      </c>
      <c r="J3737" t="s">
        <v>38</v>
      </c>
      <c r="K3737" t="s">
        <v>26</v>
      </c>
      <c r="L3737" t="s">
        <v>124</v>
      </c>
      <c r="M3737" t="s">
        <v>40</v>
      </c>
      <c r="N3737">
        <v>3.1</v>
      </c>
      <c r="O3737">
        <v>0</v>
      </c>
      <c r="P3737" t="s">
        <v>73</v>
      </c>
      <c r="Q3737" t="s">
        <v>155</v>
      </c>
      <c r="R3737" t="s">
        <v>155</v>
      </c>
      <c r="S3737">
        <v>29</v>
      </c>
      <c r="T3737" t="s">
        <v>49</v>
      </c>
      <c r="U3737" t="s">
        <v>52</v>
      </c>
      <c r="V3737" s="1">
        <v>45405</v>
      </c>
      <c r="W3737">
        <f>Table1[[#This Row],[customer_purchase count]]+1</f>
        <v>30</v>
      </c>
      <c r="X3737">
        <f>Table1[[#This Row],[customer_purchase count]]*Rules!$B$3</f>
        <v>1733.1664102564102</v>
      </c>
      <c r="Y3737" t="str">
        <f>IF(Table1[[#This Row],[customer_subscription]]=1,"Subscribed","Not Subscribed")</f>
        <v>Not Subscribed</v>
      </c>
    </row>
    <row r="3738" spans="1:26" x14ac:dyDescent="0.25">
      <c r="A3738">
        <v>3737</v>
      </c>
      <c r="B3738">
        <v>42</v>
      </c>
      <c r="C3738" t="s">
        <v>156</v>
      </c>
      <c r="D3738">
        <v>3737</v>
      </c>
      <c r="E3738" t="s">
        <v>37</v>
      </c>
      <c r="F3738" t="s">
        <v>24</v>
      </c>
      <c r="G3738">
        <v>3737</v>
      </c>
      <c r="H3738">
        <v>4683</v>
      </c>
      <c r="I3738">
        <v>56</v>
      </c>
      <c r="J3738" t="s">
        <v>138</v>
      </c>
      <c r="K3738" t="s">
        <v>47</v>
      </c>
      <c r="L3738" t="s">
        <v>111</v>
      </c>
      <c r="M3738" t="s">
        <v>40</v>
      </c>
      <c r="N3738">
        <v>4.5999999999999996</v>
      </c>
      <c r="O3738">
        <v>0</v>
      </c>
      <c r="P3738" t="s">
        <v>77</v>
      </c>
      <c r="Q3738" t="s">
        <v>155</v>
      </c>
      <c r="R3738" t="s">
        <v>155</v>
      </c>
      <c r="S3738">
        <v>2</v>
      </c>
      <c r="T3738" t="s">
        <v>49</v>
      </c>
      <c r="U3738" t="s">
        <v>100</v>
      </c>
      <c r="V3738" s="1">
        <v>45367</v>
      </c>
      <c r="W3738">
        <f>Table1[[#This Row],[customer_purchase count]]+1</f>
        <v>3</v>
      </c>
      <c r="X3738">
        <f>Table1[[#This Row],[customer_purchase count]]*Rules!$B$3</f>
        <v>119.52871794871795</v>
      </c>
      <c r="Y3738" t="str">
        <f>IF(Table1[[#This Row],[customer_subscription]]=1,"Subscribed","Not Subscribed")</f>
        <v>Not Subscribed</v>
      </c>
      <c r="Z3738" t="s">
        <v>194</v>
      </c>
    </row>
    <row r="3739" spans="1:26" x14ac:dyDescent="0.25">
      <c r="A3739">
        <v>3738</v>
      </c>
      <c r="B3739">
        <v>19</v>
      </c>
      <c r="C3739" t="s">
        <v>156</v>
      </c>
      <c r="D3739">
        <v>3738</v>
      </c>
      <c r="E3739" t="s">
        <v>109</v>
      </c>
      <c r="F3739" t="s">
        <v>70</v>
      </c>
      <c r="G3739">
        <v>3738</v>
      </c>
      <c r="H3739">
        <v>4684</v>
      </c>
      <c r="I3739">
        <v>23</v>
      </c>
      <c r="J3739" t="s">
        <v>25</v>
      </c>
      <c r="K3739" t="s">
        <v>39</v>
      </c>
      <c r="L3739" t="s">
        <v>35</v>
      </c>
      <c r="M3739" t="s">
        <v>28</v>
      </c>
      <c r="N3739">
        <v>4.9000000000000004</v>
      </c>
      <c r="O3739">
        <v>0</v>
      </c>
      <c r="P3739" t="s">
        <v>41</v>
      </c>
      <c r="Q3739" t="s">
        <v>155</v>
      </c>
      <c r="R3739" t="s">
        <v>155</v>
      </c>
      <c r="S3739">
        <v>43</v>
      </c>
      <c r="T3739" t="s">
        <v>49</v>
      </c>
      <c r="U3739" t="s">
        <v>79</v>
      </c>
      <c r="V3739" s="1">
        <v>45344</v>
      </c>
      <c r="W3739">
        <f>Table1[[#This Row],[customer_purchase count]]+1</f>
        <v>44</v>
      </c>
      <c r="X3739">
        <f>Table1[[#This Row],[customer_purchase count]]*Rules!$B$3</f>
        <v>2569.8674358974358</v>
      </c>
      <c r="Y3739" t="str">
        <f>IF(Table1[[#This Row],[customer_subscription]]=1,"Subscribed","Not Subscribed")</f>
        <v>Not Subscribed</v>
      </c>
    </row>
    <row r="3740" spans="1:26" x14ac:dyDescent="0.25">
      <c r="A3740">
        <v>3739</v>
      </c>
      <c r="B3740">
        <v>34</v>
      </c>
      <c r="C3740" t="s">
        <v>156</v>
      </c>
      <c r="D3740">
        <v>3739</v>
      </c>
      <c r="E3740" t="s">
        <v>62</v>
      </c>
      <c r="F3740" t="s">
        <v>24</v>
      </c>
      <c r="G3740">
        <v>3739</v>
      </c>
      <c r="H3740">
        <v>4685</v>
      </c>
      <c r="I3740">
        <v>45</v>
      </c>
      <c r="J3740" t="s">
        <v>82</v>
      </c>
      <c r="K3740" t="s">
        <v>47</v>
      </c>
      <c r="L3740" t="s">
        <v>113</v>
      </c>
      <c r="M3740" t="s">
        <v>40</v>
      </c>
      <c r="N3740">
        <v>2.7</v>
      </c>
      <c r="O3740">
        <v>0</v>
      </c>
      <c r="P3740" t="s">
        <v>41</v>
      </c>
      <c r="Q3740" t="s">
        <v>155</v>
      </c>
      <c r="R3740" t="s">
        <v>155</v>
      </c>
      <c r="S3740">
        <v>48</v>
      </c>
      <c r="T3740" t="s">
        <v>36</v>
      </c>
      <c r="U3740" t="s">
        <v>32</v>
      </c>
      <c r="V3740" s="1">
        <v>45389</v>
      </c>
      <c r="W3740">
        <f>Table1[[#This Row],[customer_purchase count]]+1</f>
        <v>49</v>
      </c>
      <c r="X3740">
        <f>Table1[[#This Row],[customer_purchase count]]*Rules!$B$3</f>
        <v>2868.689230769231</v>
      </c>
      <c r="Y3740" t="str">
        <f>IF(Table1[[#This Row],[customer_subscription]]=1,"Subscribed","Not Subscribed")</f>
        <v>Not Subscribed</v>
      </c>
    </row>
    <row r="3741" spans="1:26" x14ac:dyDescent="0.25">
      <c r="A3741">
        <v>3740</v>
      </c>
      <c r="B3741">
        <v>38</v>
      </c>
      <c r="C3741" t="s">
        <v>156</v>
      </c>
      <c r="D3741">
        <v>3740</v>
      </c>
      <c r="E3741" t="s">
        <v>92</v>
      </c>
      <c r="F3741" t="s">
        <v>70</v>
      </c>
      <c r="G3741">
        <v>3740</v>
      </c>
      <c r="H3741">
        <v>4687</v>
      </c>
      <c r="I3741">
        <v>31</v>
      </c>
      <c r="J3741" t="s">
        <v>138</v>
      </c>
      <c r="K3741" t="s">
        <v>47</v>
      </c>
      <c r="L3741" t="s">
        <v>81</v>
      </c>
      <c r="M3741" t="s">
        <v>60</v>
      </c>
      <c r="N3741">
        <v>4.2</v>
      </c>
      <c r="O3741">
        <v>0</v>
      </c>
      <c r="P3741" t="s">
        <v>41</v>
      </c>
      <c r="Q3741" t="s">
        <v>155</v>
      </c>
      <c r="R3741" t="s">
        <v>155</v>
      </c>
      <c r="S3741">
        <v>43</v>
      </c>
      <c r="T3741" t="s">
        <v>42</v>
      </c>
      <c r="U3741" t="s">
        <v>43</v>
      </c>
      <c r="V3741" s="1">
        <v>45583</v>
      </c>
      <c r="W3741">
        <f>Table1[[#This Row],[customer_purchase count]]+1</f>
        <v>44</v>
      </c>
      <c r="X3741">
        <f>Table1[[#This Row],[customer_purchase count]]*Rules!$B$3</f>
        <v>2569.8674358974358</v>
      </c>
      <c r="Y3741" t="str">
        <f>IF(Table1[[#This Row],[customer_subscription]]=1,"Subscribed","Not Subscribed")</f>
        <v>Not Subscribed</v>
      </c>
    </row>
    <row r="3742" spans="1:26" x14ac:dyDescent="0.25">
      <c r="A3742">
        <v>3741</v>
      </c>
      <c r="B3742">
        <v>42</v>
      </c>
      <c r="C3742" t="s">
        <v>156</v>
      </c>
      <c r="D3742">
        <v>3741</v>
      </c>
      <c r="E3742" t="s">
        <v>98</v>
      </c>
      <c r="F3742" t="s">
        <v>24</v>
      </c>
      <c r="G3742">
        <v>3741</v>
      </c>
      <c r="H3742">
        <v>4688</v>
      </c>
      <c r="I3742">
        <v>96</v>
      </c>
      <c r="J3742" t="s">
        <v>144</v>
      </c>
      <c r="K3742" t="s">
        <v>47</v>
      </c>
      <c r="L3742" t="s">
        <v>68</v>
      </c>
      <c r="M3742" t="s">
        <v>56</v>
      </c>
      <c r="N3742">
        <v>2.6</v>
      </c>
      <c r="O3742">
        <v>0</v>
      </c>
      <c r="P3742" t="s">
        <v>77</v>
      </c>
      <c r="Q3742" t="s">
        <v>155</v>
      </c>
      <c r="R3742" t="s">
        <v>155</v>
      </c>
      <c r="S3742">
        <v>26</v>
      </c>
      <c r="T3742" t="s">
        <v>89</v>
      </c>
      <c r="U3742" t="s">
        <v>79</v>
      </c>
      <c r="V3742" s="1">
        <v>45466</v>
      </c>
      <c r="W3742">
        <f>Table1[[#This Row],[customer_purchase count]]+1</f>
        <v>27</v>
      </c>
      <c r="X3742">
        <f>Table1[[#This Row],[customer_purchase count]]*Rules!$B$3</f>
        <v>1553.8733333333334</v>
      </c>
      <c r="Y3742" t="str">
        <f>IF(Table1[[#This Row],[customer_subscription]]=1,"Subscribed","Not Subscribed")</f>
        <v>Not Subscribed</v>
      </c>
    </row>
    <row r="3743" spans="1:26" x14ac:dyDescent="0.25">
      <c r="A3743">
        <v>3742</v>
      </c>
      <c r="B3743">
        <v>58</v>
      </c>
      <c r="C3743" t="s">
        <v>156</v>
      </c>
      <c r="D3743">
        <v>3742</v>
      </c>
      <c r="E3743" t="s">
        <v>58</v>
      </c>
      <c r="F3743" t="s">
        <v>24</v>
      </c>
      <c r="G3743">
        <v>3742</v>
      </c>
      <c r="H3743">
        <v>4689</v>
      </c>
      <c r="I3743">
        <v>96</v>
      </c>
      <c r="J3743" t="s">
        <v>120</v>
      </c>
      <c r="K3743" t="s">
        <v>47</v>
      </c>
      <c r="L3743" t="s">
        <v>76</v>
      </c>
      <c r="M3743" t="s">
        <v>40</v>
      </c>
      <c r="N3743">
        <v>3.2</v>
      </c>
      <c r="O3743">
        <v>0</v>
      </c>
      <c r="P3743" t="s">
        <v>73</v>
      </c>
      <c r="Q3743" t="s">
        <v>155</v>
      </c>
      <c r="R3743" t="s">
        <v>155</v>
      </c>
      <c r="S3743">
        <v>26</v>
      </c>
      <c r="T3743" t="s">
        <v>89</v>
      </c>
      <c r="U3743" t="s">
        <v>79</v>
      </c>
      <c r="V3743" s="1">
        <v>45368</v>
      </c>
      <c r="W3743">
        <f>Table1[[#This Row],[customer_purchase count]]+1</f>
        <v>27</v>
      </c>
      <c r="X3743">
        <f>Table1[[#This Row],[customer_purchase count]]*Rules!$B$3</f>
        <v>1553.8733333333334</v>
      </c>
      <c r="Y3743" t="str">
        <f>IF(Table1[[#This Row],[customer_subscription]]=1,"Subscribed","Not Subscribed")</f>
        <v>Not Subscribed</v>
      </c>
    </row>
    <row r="3744" spans="1:26" x14ac:dyDescent="0.25">
      <c r="A3744">
        <v>3743</v>
      </c>
      <c r="B3744">
        <v>56</v>
      </c>
      <c r="C3744" t="s">
        <v>156</v>
      </c>
      <c r="D3744">
        <v>3743</v>
      </c>
      <c r="E3744" t="s">
        <v>58</v>
      </c>
      <c r="F3744" t="s">
        <v>24</v>
      </c>
      <c r="G3744">
        <v>3743</v>
      </c>
      <c r="H3744">
        <v>4690</v>
      </c>
      <c r="I3744">
        <v>80</v>
      </c>
      <c r="J3744" t="s">
        <v>131</v>
      </c>
      <c r="K3744" t="s">
        <v>47</v>
      </c>
      <c r="L3744" t="s">
        <v>27</v>
      </c>
      <c r="M3744" t="s">
        <v>60</v>
      </c>
      <c r="N3744">
        <v>4.4000000000000004</v>
      </c>
      <c r="O3744">
        <v>0</v>
      </c>
      <c r="P3744" t="s">
        <v>57</v>
      </c>
      <c r="Q3744" t="s">
        <v>155</v>
      </c>
      <c r="R3744" t="s">
        <v>155</v>
      </c>
      <c r="S3744">
        <v>50</v>
      </c>
      <c r="T3744" t="s">
        <v>42</v>
      </c>
      <c r="U3744" t="s">
        <v>79</v>
      </c>
      <c r="V3744" s="1">
        <v>45559</v>
      </c>
      <c r="W3744">
        <f>Table1[[#This Row],[customer_purchase count]]+1</f>
        <v>51</v>
      </c>
      <c r="X3744">
        <f>Table1[[#This Row],[customer_purchase count]]*Rules!$B$3</f>
        <v>2988.2179487179487</v>
      </c>
      <c r="Y3744" t="str">
        <f>IF(Table1[[#This Row],[customer_subscription]]=1,"Subscribed","Not Subscribed")</f>
        <v>Not Subscribed</v>
      </c>
    </row>
    <row r="3745" spans="1:26" x14ac:dyDescent="0.25">
      <c r="A3745">
        <v>3744</v>
      </c>
      <c r="B3745">
        <v>62</v>
      </c>
      <c r="C3745" t="s">
        <v>156</v>
      </c>
      <c r="D3745">
        <v>3744</v>
      </c>
      <c r="E3745" t="s">
        <v>98</v>
      </c>
      <c r="F3745" t="s">
        <v>24</v>
      </c>
      <c r="G3745">
        <v>3744</v>
      </c>
      <c r="H3745">
        <v>4691</v>
      </c>
      <c r="I3745">
        <v>28</v>
      </c>
      <c r="J3745" t="s">
        <v>138</v>
      </c>
      <c r="K3745" t="s">
        <v>26</v>
      </c>
      <c r="L3745" t="s">
        <v>112</v>
      </c>
      <c r="M3745" t="s">
        <v>60</v>
      </c>
      <c r="N3745">
        <v>3.6</v>
      </c>
      <c r="O3745">
        <v>0</v>
      </c>
      <c r="P3745" t="s">
        <v>41</v>
      </c>
      <c r="Q3745" t="s">
        <v>155</v>
      </c>
      <c r="R3745" t="s">
        <v>155</v>
      </c>
      <c r="S3745">
        <v>36</v>
      </c>
      <c r="T3745" t="s">
        <v>89</v>
      </c>
      <c r="U3745" t="s">
        <v>61</v>
      </c>
      <c r="V3745" s="1">
        <v>45574</v>
      </c>
      <c r="W3745">
        <f>Table1[[#This Row],[customer_purchase count]]+1</f>
        <v>37</v>
      </c>
      <c r="X3745">
        <f>Table1[[#This Row],[customer_purchase count]]*Rules!$B$3</f>
        <v>2151.5169230769234</v>
      </c>
      <c r="Y3745" t="str">
        <f>IF(Table1[[#This Row],[customer_subscription]]=1,"Subscribed","Not Subscribed")</f>
        <v>Not Subscribed</v>
      </c>
    </row>
    <row r="3746" spans="1:26" x14ac:dyDescent="0.25">
      <c r="A3746">
        <v>3745</v>
      </c>
      <c r="B3746">
        <v>24</v>
      </c>
      <c r="C3746" t="s">
        <v>156</v>
      </c>
      <c r="D3746">
        <v>3745</v>
      </c>
      <c r="E3746" t="s">
        <v>107</v>
      </c>
      <c r="F3746" t="s">
        <v>24</v>
      </c>
      <c r="G3746">
        <v>3745</v>
      </c>
      <c r="H3746">
        <v>4693</v>
      </c>
      <c r="I3746">
        <v>51</v>
      </c>
      <c r="J3746" t="s">
        <v>130</v>
      </c>
      <c r="K3746" t="s">
        <v>47</v>
      </c>
      <c r="L3746" t="s">
        <v>27</v>
      </c>
      <c r="M3746" t="s">
        <v>56</v>
      </c>
      <c r="N3746">
        <v>2.7</v>
      </c>
      <c r="O3746">
        <v>0</v>
      </c>
      <c r="P3746" t="s">
        <v>48</v>
      </c>
      <c r="Q3746" t="s">
        <v>155</v>
      </c>
      <c r="R3746" t="s">
        <v>155</v>
      </c>
      <c r="S3746">
        <v>26</v>
      </c>
      <c r="T3746" t="s">
        <v>78</v>
      </c>
      <c r="U3746" t="s">
        <v>32</v>
      </c>
      <c r="V3746" s="1">
        <v>45513</v>
      </c>
      <c r="W3746">
        <f>Table1[[#This Row],[customer_purchase count]]+1</f>
        <v>27</v>
      </c>
      <c r="X3746">
        <f>Table1[[#This Row],[customer_purchase count]]*Rules!$B$3</f>
        <v>1553.8733333333334</v>
      </c>
      <c r="Y3746" t="str">
        <f>IF(Table1[[#This Row],[customer_subscription]]=1,"Subscribed","Not Subscribed")</f>
        <v>Not Subscribed</v>
      </c>
    </row>
    <row r="3747" spans="1:26" x14ac:dyDescent="0.25">
      <c r="A3747">
        <v>3746</v>
      </c>
      <c r="B3747">
        <v>60</v>
      </c>
      <c r="C3747" t="s">
        <v>156</v>
      </c>
      <c r="D3747">
        <v>3746</v>
      </c>
      <c r="E3747" t="s">
        <v>128</v>
      </c>
      <c r="F3747" t="s">
        <v>24</v>
      </c>
      <c r="G3747">
        <v>3746</v>
      </c>
      <c r="H3747">
        <v>4694</v>
      </c>
      <c r="I3747">
        <v>41</v>
      </c>
      <c r="J3747" t="s">
        <v>152</v>
      </c>
      <c r="K3747" t="s">
        <v>26</v>
      </c>
      <c r="L3747" t="s">
        <v>83</v>
      </c>
      <c r="M3747" t="s">
        <v>40</v>
      </c>
      <c r="N3747">
        <v>4.3</v>
      </c>
      <c r="O3747">
        <v>0</v>
      </c>
      <c r="P3747" t="s">
        <v>29</v>
      </c>
      <c r="Q3747" t="s">
        <v>155</v>
      </c>
      <c r="R3747" t="s">
        <v>155</v>
      </c>
      <c r="S3747">
        <v>2</v>
      </c>
      <c r="T3747" t="s">
        <v>89</v>
      </c>
      <c r="U3747" t="s">
        <v>91</v>
      </c>
      <c r="V3747" s="1">
        <v>45383</v>
      </c>
      <c r="W3747">
        <f>Table1[[#This Row],[customer_purchase count]]+1</f>
        <v>3</v>
      </c>
      <c r="X3747">
        <f>Table1[[#This Row],[customer_purchase count]]*Rules!$B$3</f>
        <v>119.52871794871795</v>
      </c>
      <c r="Y3747" t="str">
        <f>IF(Table1[[#This Row],[customer_subscription]]=1,"Subscribed","Not Subscribed")</f>
        <v>Not Subscribed</v>
      </c>
      <c r="Z3747" t="s">
        <v>194</v>
      </c>
    </row>
    <row r="3748" spans="1:26" x14ac:dyDescent="0.25">
      <c r="A3748">
        <v>3747</v>
      </c>
      <c r="B3748">
        <v>53</v>
      </c>
      <c r="C3748" t="s">
        <v>156</v>
      </c>
      <c r="D3748">
        <v>3747</v>
      </c>
      <c r="E3748" t="s">
        <v>65</v>
      </c>
      <c r="F3748" t="s">
        <v>66</v>
      </c>
      <c r="G3748">
        <v>3747</v>
      </c>
      <c r="H3748">
        <v>4695</v>
      </c>
      <c r="I3748">
        <v>99</v>
      </c>
      <c r="J3748" t="s">
        <v>138</v>
      </c>
      <c r="K3748" t="s">
        <v>95</v>
      </c>
      <c r="L3748" t="s">
        <v>112</v>
      </c>
      <c r="M3748" t="s">
        <v>56</v>
      </c>
      <c r="N3748">
        <v>2.6</v>
      </c>
      <c r="O3748">
        <v>0</v>
      </c>
      <c r="P3748" t="s">
        <v>48</v>
      </c>
      <c r="Q3748" t="s">
        <v>155</v>
      </c>
      <c r="R3748" t="s">
        <v>155</v>
      </c>
      <c r="S3748">
        <v>49</v>
      </c>
      <c r="T3748" t="s">
        <v>49</v>
      </c>
      <c r="U3748" t="s">
        <v>91</v>
      </c>
      <c r="V3748" s="1">
        <v>45446</v>
      </c>
      <c r="W3748">
        <f>Table1[[#This Row],[customer_purchase count]]+1</f>
        <v>50</v>
      </c>
      <c r="X3748">
        <f>Table1[[#This Row],[customer_purchase count]]*Rules!$B$3</f>
        <v>2928.4535897435899</v>
      </c>
      <c r="Y3748" t="str">
        <f>IF(Table1[[#This Row],[customer_subscription]]=1,"Subscribed","Not Subscribed")</f>
        <v>Not Subscribed</v>
      </c>
    </row>
    <row r="3749" spans="1:26" x14ac:dyDescent="0.25">
      <c r="A3749">
        <v>3748</v>
      </c>
      <c r="B3749">
        <v>26</v>
      </c>
      <c r="C3749" t="s">
        <v>156</v>
      </c>
      <c r="D3749">
        <v>3748</v>
      </c>
      <c r="E3749" t="s">
        <v>33</v>
      </c>
      <c r="F3749" t="s">
        <v>24</v>
      </c>
      <c r="G3749">
        <v>3748</v>
      </c>
      <c r="H3749">
        <v>4696</v>
      </c>
      <c r="I3749">
        <v>53</v>
      </c>
      <c r="J3749" t="s">
        <v>46</v>
      </c>
      <c r="K3749" t="s">
        <v>26</v>
      </c>
      <c r="L3749" t="s">
        <v>81</v>
      </c>
      <c r="M3749" t="s">
        <v>40</v>
      </c>
      <c r="N3749">
        <v>4.3</v>
      </c>
      <c r="O3749">
        <v>0</v>
      </c>
      <c r="P3749" t="s">
        <v>77</v>
      </c>
      <c r="Q3749" t="s">
        <v>155</v>
      </c>
      <c r="R3749" t="s">
        <v>155</v>
      </c>
      <c r="S3749">
        <v>32</v>
      </c>
      <c r="T3749" t="s">
        <v>78</v>
      </c>
      <c r="U3749" t="s">
        <v>79</v>
      </c>
      <c r="V3749" s="1">
        <v>45377</v>
      </c>
      <c r="W3749">
        <f>Table1[[#This Row],[customer_purchase count]]+1</f>
        <v>33</v>
      </c>
      <c r="X3749">
        <f>Table1[[#This Row],[customer_purchase count]]*Rules!$B$3</f>
        <v>1912.4594871794873</v>
      </c>
      <c r="Y3749" t="str">
        <f>IF(Table1[[#This Row],[customer_subscription]]=1,"Subscribed","Not Subscribed")</f>
        <v>Not Subscribed</v>
      </c>
    </row>
    <row r="3750" spans="1:26" x14ac:dyDescent="0.25">
      <c r="A3750">
        <v>3749</v>
      </c>
      <c r="B3750">
        <v>34</v>
      </c>
      <c r="C3750" t="s">
        <v>156</v>
      </c>
      <c r="D3750">
        <v>3749</v>
      </c>
      <c r="E3750" t="s">
        <v>135</v>
      </c>
      <c r="F3750" t="s">
        <v>70</v>
      </c>
      <c r="G3750">
        <v>3749</v>
      </c>
      <c r="H3750">
        <v>4697</v>
      </c>
      <c r="I3750">
        <v>25</v>
      </c>
      <c r="J3750" t="s">
        <v>82</v>
      </c>
      <c r="K3750" t="s">
        <v>47</v>
      </c>
      <c r="L3750" t="s">
        <v>86</v>
      </c>
      <c r="M3750" t="s">
        <v>60</v>
      </c>
      <c r="N3750">
        <v>3.9</v>
      </c>
      <c r="O3750">
        <v>0</v>
      </c>
      <c r="P3750" t="s">
        <v>73</v>
      </c>
      <c r="Q3750" t="s">
        <v>155</v>
      </c>
      <c r="R3750" t="s">
        <v>155</v>
      </c>
      <c r="S3750">
        <v>3</v>
      </c>
      <c r="T3750" t="s">
        <v>31</v>
      </c>
      <c r="U3750" t="s">
        <v>52</v>
      </c>
      <c r="V3750" s="1">
        <v>45624</v>
      </c>
      <c r="W3750">
        <f>Table1[[#This Row],[customer_purchase count]]+1</f>
        <v>4</v>
      </c>
      <c r="X3750">
        <f>Table1[[#This Row],[customer_purchase count]]*Rules!$B$3</f>
        <v>179.29307692307694</v>
      </c>
      <c r="Y3750" t="str">
        <f>IF(Table1[[#This Row],[customer_subscription]]=1,"Subscribed","Not Subscribed")</f>
        <v>Not Subscribed</v>
      </c>
      <c r="Z3750" t="s">
        <v>194</v>
      </c>
    </row>
    <row r="3751" spans="1:26" x14ac:dyDescent="0.25">
      <c r="A3751">
        <v>3750</v>
      </c>
      <c r="B3751">
        <v>24</v>
      </c>
      <c r="C3751" t="s">
        <v>156</v>
      </c>
      <c r="D3751">
        <v>3750</v>
      </c>
      <c r="E3751" t="s">
        <v>23</v>
      </c>
      <c r="F3751" t="s">
        <v>24</v>
      </c>
      <c r="G3751">
        <v>3750</v>
      </c>
      <c r="H3751">
        <v>4699</v>
      </c>
      <c r="I3751">
        <v>95</v>
      </c>
      <c r="J3751" t="s">
        <v>123</v>
      </c>
      <c r="K3751" t="s">
        <v>26</v>
      </c>
      <c r="L3751" t="s">
        <v>137</v>
      </c>
      <c r="M3751" t="s">
        <v>28</v>
      </c>
      <c r="N3751">
        <v>2.9</v>
      </c>
      <c r="O3751">
        <v>0</v>
      </c>
      <c r="P3751" t="s">
        <v>73</v>
      </c>
      <c r="Q3751" t="s">
        <v>155</v>
      </c>
      <c r="R3751" t="s">
        <v>155</v>
      </c>
      <c r="S3751">
        <v>38</v>
      </c>
      <c r="T3751" t="s">
        <v>31</v>
      </c>
      <c r="U3751" t="s">
        <v>100</v>
      </c>
      <c r="V3751" s="1">
        <v>45312</v>
      </c>
      <c r="W3751">
        <f>Table1[[#This Row],[customer_purchase count]]+1</f>
        <v>39</v>
      </c>
      <c r="X3751">
        <f>Table1[[#This Row],[customer_purchase count]]*Rules!$B$3</f>
        <v>2271.0456410256411</v>
      </c>
      <c r="Y3751" t="str">
        <f>IF(Table1[[#This Row],[customer_subscription]]=1,"Subscribed","Not Subscribed")</f>
        <v>Not Subscribed</v>
      </c>
    </row>
    <row r="3752" spans="1:26" x14ac:dyDescent="0.25">
      <c r="A3752">
        <v>3751</v>
      </c>
      <c r="B3752">
        <v>42</v>
      </c>
      <c r="C3752" t="s">
        <v>156</v>
      </c>
      <c r="D3752">
        <v>3751</v>
      </c>
      <c r="E3752" t="s">
        <v>107</v>
      </c>
      <c r="F3752" t="s">
        <v>24</v>
      </c>
      <c r="G3752">
        <v>3751</v>
      </c>
      <c r="H3752">
        <v>4700</v>
      </c>
      <c r="I3752">
        <v>88</v>
      </c>
      <c r="J3752" t="s">
        <v>120</v>
      </c>
      <c r="K3752" t="s">
        <v>47</v>
      </c>
      <c r="L3752" t="s">
        <v>83</v>
      </c>
      <c r="M3752" t="s">
        <v>60</v>
      </c>
      <c r="N3752">
        <v>3.1</v>
      </c>
      <c r="O3752">
        <v>0</v>
      </c>
      <c r="P3752" t="s">
        <v>41</v>
      </c>
      <c r="Q3752" t="s">
        <v>155</v>
      </c>
      <c r="R3752" t="s">
        <v>155</v>
      </c>
      <c r="S3752">
        <v>5</v>
      </c>
      <c r="T3752" t="s">
        <v>49</v>
      </c>
      <c r="U3752" t="s">
        <v>91</v>
      </c>
      <c r="V3752" s="1">
        <v>45589</v>
      </c>
      <c r="W3752">
        <f>Table1[[#This Row],[customer_purchase count]]+1</f>
        <v>6</v>
      </c>
      <c r="X3752">
        <f>Table1[[#This Row],[customer_purchase count]]*Rules!$B$3</f>
        <v>298.82179487179491</v>
      </c>
      <c r="Y3752" t="str">
        <f>IF(Table1[[#This Row],[customer_subscription]]=1,"Subscribed","Not Subscribed")</f>
        <v>Not Subscribed</v>
      </c>
      <c r="Z3752" t="s">
        <v>194</v>
      </c>
    </row>
    <row r="3753" spans="1:26" x14ac:dyDescent="0.25">
      <c r="A3753">
        <v>3752</v>
      </c>
      <c r="B3753">
        <v>36</v>
      </c>
      <c r="C3753" t="s">
        <v>156</v>
      </c>
      <c r="D3753">
        <v>3752</v>
      </c>
      <c r="E3753" t="s">
        <v>109</v>
      </c>
      <c r="F3753" t="s">
        <v>70</v>
      </c>
      <c r="G3753">
        <v>3752</v>
      </c>
      <c r="H3753">
        <v>4701</v>
      </c>
      <c r="I3753">
        <v>97</v>
      </c>
      <c r="J3753" t="s">
        <v>93</v>
      </c>
      <c r="K3753" t="s">
        <v>39</v>
      </c>
      <c r="L3753" t="s">
        <v>68</v>
      </c>
      <c r="M3753" t="s">
        <v>60</v>
      </c>
      <c r="N3753">
        <v>4.2</v>
      </c>
      <c r="O3753">
        <v>0</v>
      </c>
      <c r="P3753" t="s">
        <v>41</v>
      </c>
      <c r="Q3753" t="s">
        <v>155</v>
      </c>
      <c r="R3753" t="s">
        <v>155</v>
      </c>
      <c r="S3753">
        <v>8</v>
      </c>
      <c r="T3753" t="s">
        <v>42</v>
      </c>
      <c r="U3753" t="s">
        <v>100</v>
      </c>
      <c r="V3753" s="1">
        <v>45573</v>
      </c>
      <c r="W3753">
        <f>Table1[[#This Row],[customer_purchase count]]+1</f>
        <v>9</v>
      </c>
      <c r="X3753">
        <f>Table1[[#This Row],[customer_purchase count]]*Rules!$B$3</f>
        <v>478.11487179487182</v>
      </c>
      <c r="Y3753" t="str">
        <f>IF(Table1[[#This Row],[customer_subscription]]=1,"Subscribed","Not Subscribed")</f>
        <v>Not Subscribed</v>
      </c>
      <c r="Z3753" t="s">
        <v>194</v>
      </c>
    </row>
    <row r="3754" spans="1:26" x14ac:dyDescent="0.25">
      <c r="A3754">
        <v>3753</v>
      </c>
      <c r="B3754">
        <v>24</v>
      </c>
      <c r="C3754" t="s">
        <v>156</v>
      </c>
      <c r="D3754">
        <v>3753</v>
      </c>
      <c r="E3754" t="s">
        <v>65</v>
      </c>
      <c r="F3754" t="s">
        <v>66</v>
      </c>
      <c r="G3754">
        <v>3753</v>
      </c>
      <c r="H3754">
        <v>4702</v>
      </c>
      <c r="I3754">
        <v>81</v>
      </c>
      <c r="J3754" t="s">
        <v>152</v>
      </c>
      <c r="K3754" t="s">
        <v>26</v>
      </c>
      <c r="L3754" t="s">
        <v>72</v>
      </c>
      <c r="M3754" t="s">
        <v>28</v>
      </c>
      <c r="N3754">
        <v>4.0999999999999996</v>
      </c>
      <c r="O3754">
        <v>0</v>
      </c>
      <c r="P3754" t="s">
        <v>73</v>
      </c>
      <c r="Q3754" t="s">
        <v>155</v>
      </c>
      <c r="R3754" t="s">
        <v>155</v>
      </c>
      <c r="S3754">
        <v>43</v>
      </c>
      <c r="T3754" t="s">
        <v>31</v>
      </c>
      <c r="U3754" t="s">
        <v>43</v>
      </c>
      <c r="V3754" s="1">
        <v>45642</v>
      </c>
      <c r="W3754">
        <f>Table1[[#This Row],[customer_purchase count]]+1</f>
        <v>44</v>
      </c>
      <c r="X3754">
        <f>Table1[[#This Row],[customer_purchase count]]*Rules!$B$3</f>
        <v>2569.8674358974358</v>
      </c>
      <c r="Y3754" t="str">
        <f>IF(Table1[[#This Row],[customer_subscription]]=1,"Subscribed","Not Subscribed")</f>
        <v>Not Subscribed</v>
      </c>
    </row>
    <row r="3755" spans="1:26" x14ac:dyDescent="0.25">
      <c r="A3755">
        <v>3754</v>
      </c>
      <c r="B3755">
        <v>39</v>
      </c>
      <c r="C3755" t="s">
        <v>156</v>
      </c>
      <c r="D3755">
        <v>3754</v>
      </c>
      <c r="E3755" t="s">
        <v>92</v>
      </c>
      <c r="F3755" t="s">
        <v>70</v>
      </c>
      <c r="G3755">
        <v>3754</v>
      </c>
      <c r="H3755">
        <v>4703</v>
      </c>
      <c r="I3755">
        <v>26</v>
      </c>
      <c r="J3755" t="s">
        <v>63</v>
      </c>
      <c r="K3755" t="s">
        <v>39</v>
      </c>
      <c r="L3755" t="s">
        <v>51</v>
      </c>
      <c r="M3755" t="s">
        <v>28</v>
      </c>
      <c r="N3755">
        <v>4.2</v>
      </c>
      <c r="O3755">
        <v>0</v>
      </c>
      <c r="P3755" t="s">
        <v>48</v>
      </c>
      <c r="Q3755" t="s">
        <v>155</v>
      </c>
      <c r="R3755" t="s">
        <v>155</v>
      </c>
      <c r="S3755">
        <v>22</v>
      </c>
      <c r="T3755" t="s">
        <v>78</v>
      </c>
      <c r="U3755" t="s">
        <v>32</v>
      </c>
      <c r="V3755" s="1">
        <v>45316</v>
      </c>
      <c r="W3755">
        <f>Table1[[#This Row],[customer_purchase count]]+1</f>
        <v>23</v>
      </c>
      <c r="X3755">
        <f>Table1[[#This Row],[customer_purchase count]]*Rules!$B$3</f>
        <v>1314.8158974358976</v>
      </c>
      <c r="Y3755" t="str">
        <f>IF(Table1[[#This Row],[customer_subscription]]=1,"Subscribed","Not Subscribed")</f>
        <v>Not Subscribed</v>
      </c>
    </row>
    <row r="3756" spans="1:26" x14ac:dyDescent="0.25">
      <c r="A3756">
        <v>3755</v>
      </c>
      <c r="B3756">
        <v>46</v>
      </c>
      <c r="C3756" t="s">
        <v>156</v>
      </c>
      <c r="D3756">
        <v>3755</v>
      </c>
      <c r="E3756" t="s">
        <v>74</v>
      </c>
      <c r="F3756" t="s">
        <v>45</v>
      </c>
      <c r="G3756">
        <v>3755</v>
      </c>
      <c r="H3756">
        <v>4705</v>
      </c>
      <c r="I3756">
        <v>41</v>
      </c>
      <c r="J3756" t="s">
        <v>148</v>
      </c>
      <c r="K3756" t="s">
        <v>47</v>
      </c>
      <c r="L3756" t="s">
        <v>51</v>
      </c>
      <c r="M3756" t="s">
        <v>56</v>
      </c>
      <c r="N3756">
        <v>4.4000000000000004</v>
      </c>
      <c r="O3756">
        <v>0</v>
      </c>
      <c r="P3756" t="s">
        <v>29</v>
      </c>
      <c r="Q3756" t="s">
        <v>155</v>
      </c>
      <c r="R3756" t="s">
        <v>155</v>
      </c>
      <c r="S3756">
        <v>10</v>
      </c>
      <c r="T3756" t="s">
        <v>36</v>
      </c>
      <c r="U3756" t="s">
        <v>100</v>
      </c>
      <c r="V3756" s="1">
        <v>45487</v>
      </c>
      <c r="W3756">
        <f>Table1[[#This Row],[customer_purchase count]]+1</f>
        <v>11</v>
      </c>
      <c r="X3756">
        <f>Table1[[#This Row],[customer_purchase count]]*Rules!$B$3</f>
        <v>597.64358974358981</v>
      </c>
      <c r="Y3756" t="str">
        <f>IF(Table1[[#This Row],[customer_subscription]]=1,"Subscribed","Not Subscribed")</f>
        <v>Not Subscribed</v>
      </c>
      <c r="Z3756" t="s">
        <v>194</v>
      </c>
    </row>
    <row r="3757" spans="1:26" x14ac:dyDescent="0.25">
      <c r="A3757">
        <v>3756</v>
      </c>
      <c r="B3757">
        <v>64</v>
      </c>
      <c r="C3757" t="s">
        <v>156</v>
      </c>
      <c r="D3757">
        <v>3756</v>
      </c>
      <c r="E3757" t="s">
        <v>90</v>
      </c>
      <c r="F3757" t="s">
        <v>24</v>
      </c>
      <c r="G3757">
        <v>3756</v>
      </c>
      <c r="H3757">
        <v>4706</v>
      </c>
      <c r="I3757">
        <v>93</v>
      </c>
      <c r="J3757" t="s">
        <v>141</v>
      </c>
      <c r="K3757" t="s">
        <v>47</v>
      </c>
      <c r="L3757" t="s">
        <v>103</v>
      </c>
      <c r="M3757" t="s">
        <v>60</v>
      </c>
      <c r="N3757">
        <v>3.4</v>
      </c>
      <c r="O3757">
        <v>0</v>
      </c>
      <c r="P3757" t="s">
        <v>41</v>
      </c>
      <c r="Q3757" t="s">
        <v>155</v>
      </c>
      <c r="R3757" t="s">
        <v>155</v>
      </c>
      <c r="S3757">
        <v>26</v>
      </c>
      <c r="T3757" t="s">
        <v>42</v>
      </c>
      <c r="U3757" t="s">
        <v>91</v>
      </c>
      <c r="V3757" s="1">
        <v>45578</v>
      </c>
      <c r="W3757">
        <f>Table1[[#This Row],[customer_purchase count]]+1</f>
        <v>27</v>
      </c>
      <c r="X3757">
        <f>Table1[[#This Row],[customer_purchase count]]*Rules!$B$3</f>
        <v>1553.8733333333334</v>
      </c>
      <c r="Y3757" t="str">
        <f>IF(Table1[[#This Row],[customer_subscription]]=1,"Subscribed","Not Subscribed")</f>
        <v>Not Subscribed</v>
      </c>
    </row>
    <row r="3758" spans="1:26" x14ac:dyDescent="0.25">
      <c r="A3758">
        <v>3757</v>
      </c>
      <c r="B3758">
        <v>64</v>
      </c>
      <c r="C3758" t="s">
        <v>156</v>
      </c>
      <c r="D3758">
        <v>3757</v>
      </c>
      <c r="E3758" t="s">
        <v>90</v>
      </c>
      <c r="F3758" t="s">
        <v>24</v>
      </c>
      <c r="G3758">
        <v>3757</v>
      </c>
      <c r="H3758">
        <v>4707</v>
      </c>
      <c r="I3758">
        <v>69</v>
      </c>
      <c r="J3758" t="s">
        <v>134</v>
      </c>
      <c r="K3758" t="s">
        <v>26</v>
      </c>
      <c r="L3758" t="s">
        <v>88</v>
      </c>
      <c r="M3758" t="s">
        <v>40</v>
      </c>
      <c r="N3758">
        <v>4.8</v>
      </c>
      <c r="O3758">
        <v>0</v>
      </c>
      <c r="P3758" t="s">
        <v>29</v>
      </c>
      <c r="Q3758" t="s">
        <v>155</v>
      </c>
      <c r="R3758" t="s">
        <v>155</v>
      </c>
      <c r="S3758">
        <v>42</v>
      </c>
      <c r="T3758" t="s">
        <v>89</v>
      </c>
      <c r="U3758" t="s">
        <v>79</v>
      </c>
      <c r="V3758" s="1">
        <v>45361</v>
      </c>
      <c r="W3758">
        <f>Table1[[#This Row],[customer_purchase count]]+1</f>
        <v>43</v>
      </c>
      <c r="X3758">
        <f>Table1[[#This Row],[customer_purchase count]]*Rules!$B$3</f>
        <v>2510.103076923077</v>
      </c>
      <c r="Y3758" t="str">
        <f>IF(Table1[[#This Row],[customer_subscription]]=1,"Subscribed","Not Subscribed")</f>
        <v>Not Subscribed</v>
      </c>
    </row>
    <row r="3759" spans="1:26" x14ac:dyDescent="0.25">
      <c r="A3759">
        <v>3758</v>
      </c>
      <c r="B3759">
        <v>61</v>
      </c>
      <c r="C3759" t="s">
        <v>156</v>
      </c>
      <c r="D3759">
        <v>3758</v>
      </c>
      <c r="E3759" t="s">
        <v>90</v>
      </c>
      <c r="F3759" t="s">
        <v>24</v>
      </c>
      <c r="G3759">
        <v>3758</v>
      </c>
      <c r="H3759">
        <v>4708</v>
      </c>
      <c r="I3759">
        <v>44</v>
      </c>
      <c r="J3759" t="s">
        <v>102</v>
      </c>
      <c r="K3759" t="s">
        <v>26</v>
      </c>
      <c r="L3759" t="s">
        <v>111</v>
      </c>
      <c r="M3759" t="s">
        <v>60</v>
      </c>
      <c r="N3759">
        <v>4.5</v>
      </c>
      <c r="O3759">
        <v>0</v>
      </c>
      <c r="P3759" t="s">
        <v>73</v>
      </c>
      <c r="Q3759" t="s">
        <v>155</v>
      </c>
      <c r="R3759" t="s">
        <v>155</v>
      </c>
      <c r="S3759">
        <v>33</v>
      </c>
      <c r="T3759" t="s">
        <v>36</v>
      </c>
      <c r="U3759" t="s">
        <v>43</v>
      </c>
      <c r="V3759" s="1">
        <v>45597</v>
      </c>
      <c r="W3759">
        <f>Table1[[#This Row],[customer_purchase count]]+1</f>
        <v>34</v>
      </c>
      <c r="X3759">
        <f>Table1[[#This Row],[customer_purchase count]]*Rules!$B$3</f>
        <v>1972.2238461538464</v>
      </c>
      <c r="Y3759" t="str">
        <f>IF(Table1[[#This Row],[customer_subscription]]=1,"Subscribed","Not Subscribed")</f>
        <v>Not Subscribed</v>
      </c>
    </row>
    <row r="3760" spans="1:26" x14ac:dyDescent="0.25">
      <c r="A3760">
        <v>3759</v>
      </c>
      <c r="B3760">
        <v>61</v>
      </c>
      <c r="C3760" t="s">
        <v>156</v>
      </c>
      <c r="D3760">
        <v>3759</v>
      </c>
      <c r="E3760" t="s">
        <v>44</v>
      </c>
      <c r="F3760" t="s">
        <v>45</v>
      </c>
      <c r="G3760">
        <v>3759</v>
      </c>
      <c r="H3760">
        <v>4709</v>
      </c>
      <c r="I3760">
        <v>54</v>
      </c>
      <c r="J3760" t="s">
        <v>119</v>
      </c>
      <c r="K3760" t="s">
        <v>39</v>
      </c>
      <c r="L3760" t="s">
        <v>97</v>
      </c>
      <c r="M3760" t="s">
        <v>40</v>
      </c>
      <c r="N3760">
        <v>2.7</v>
      </c>
      <c r="O3760">
        <v>0</v>
      </c>
      <c r="P3760" t="s">
        <v>77</v>
      </c>
      <c r="Q3760" t="s">
        <v>155</v>
      </c>
      <c r="R3760" t="s">
        <v>155</v>
      </c>
      <c r="S3760">
        <v>23</v>
      </c>
      <c r="T3760" t="s">
        <v>78</v>
      </c>
      <c r="U3760" t="s">
        <v>61</v>
      </c>
      <c r="V3760" s="1">
        <v>45403</v>
      </c>
      <c r="W3760">
        <f>Table1[[#This Row],[customer_purchase count]]+1</f>
        <v>24</v>
      </c>
      <c r="X3760">
        <f>Table1[[#This Row],[customer_purchase count]]*Rules!$B$3</f>
        <v>1374.5802564102564</v>
      </c>
      <c r="Y3760" t="str">
        <f>IF(Table1[[#This Row],[customer_subscription]]=1,"Subscribed","Not Subscribed")</f>
        <v>Not Subscribed</v>
      </c>
    </row>
    <row r="3761" spans="1:26" x14ac:dyDescent="0.25">
      <c r="A3761">
        <v>3760</v>
      </c>
      <c r="B3761">
        <v>44</v>
      </c>
      <c r="C3761" t="s">
        <v>156</v>
      </c>
      <c r="D3761">
        <v>3760</v>
      </c>
      <c r="E3761" t="s">
        <v>53</v>
      </c>
      <c r="F3761" t="s">
        <v>45</v>
      </c>
      <c r="G3761">
        <v>3760</v>
      </c>
      <c r="H3761">
        <v>4711</v>
      </c>
      <c r="I3761">
        <v>61</v>
      </c>
      <c r="J3761" t="s">
        <v>71</v>
      </c>
      <c r="K3761" t="s">
        <v>47</v>
      </c>
      <c r="L3761" t="s">
        <v>72</v>
      </c>
      <c r="M3761" t="s">
        <v>40</v>
      </c>
      <c r="N3761">
        <v>3.5</v>
      </c>
      <c r="O3761">
        <v>0</v>
      </c>
      <c r="P3761" t="s">
        <v>77</v>
      </c>
      <c r="Q3761" t="s">
        <v>155</v>
      </c>
      <c r="R3761" t="s">
        <v>155</v>
      </c>
      <c r="S3761">
        <v>30</v>
      </c>
      <c r="T3761" t="s">
        <v>31</v>
      </c>
      <c r="U3761" t="s">
        <v>61</v>
      </c>
      <c r="V3761" s="1">
        <v>45406</v>
      </c>
      <c r="W3761">
        <f>Table1[[#This Row],[customer_purchase count]]+1</f>
        <v>31</v>
      </c>
      <c r="X3761">
        <f>Table1[[#This Row],[customer_purchase count]]*Rules!$B$3</f>
        <v>1792.9307692307693</v>
      </c>
      <c r="Y3761" t="str">
        <f>IF(Table1[[#This Row],[customer_subscription]]=1,"Subscribed","Not Subscribed")</f>
        <v>Not Subscribed</v>
      </c>
    </row>
    <row r="3762" spans="1:26" x14ac:dyDescent="0.25">
      <c r="A3762">
        <v>3761</v>
      </c>
      <c r="B3762">
        <v>65</v>
      </c>
      <c r="C3762" t="s">
        <v>156</v>
      </c>
      <c r="D3762">
        <v>3761</v>
      </c>
      <c r="E3762" t="s">
        <v>128</v>
      </c>
      <c r="F3762" t="s">
        <v>24</v>
      </c>
      <c r="G3762">
        <v>3761</v>
      </c>
      <c r="H3762">
        <v>4712</v>
      </c>
      <c r="I3762">
        <v>80</v>
      </c>
      <c r="J3762" t="s">
        <v>142</v>
      </c>
      <c r="K3762" t="s">
        <v>47</v>
      </c>
      <c r="L3762" t="s">
        <v>103</v>
      </c>
      <c r="M3762" t="s">
        <v>60</v>
      </c>
      <c r="N3762">
        <v>3.1</v>
      </c>
      <c r="O3762">
        <v>0</v>
      </c>
      <c r="P3762" t="s">
        <v>48</v>
      </c>
      <c r="Q3762" t="s">
        <v>155</v>
      </c>
      <c r="R3762" t="s">
        <v>155</v>
      </c>
      <c r="S3762">
        <v>36</v>
      </c>
      <c r="T3762" t="s">
        <v>49</v>
      </c>
      <c r="U3762" t="s">
        <v>43</v>
      </c>
      <c r="V3762" s="1">
        <v>45566</v>
      </c>
      <c r="W3762">
        <f>Table1[[#This Row],[customer_purchase count]]+1</f>
        <v>37</v>
      </c>
      <c r="X3762">
        <f>Table1[[#This Row],[customer_purchase count]]*Rules!$B$3</f>
        <v>2151.5169230769234</v>
      </c>
      <c r="Y3762" t="str">
        <f>IF(Table1[[#This Row],[customer_subscription]]=1,"Subscribed","Not Subscribed")</f>
        <v>Not Subscribed</v>
      </c>
    </row>
    <row r="3763" spans="1:26" x14ac:dyDescent="0.25">
      <c r="A3763">
        <v>3762</v>
      </c>
      <c r="B3763">
        <v>60</v>
      </c>
      <c r="C3763" t="s">
        <v>156</v>
      </c>
      <c r="D3763">
        <v>3762</v>
      </c>
      <c r="E3763" t="s">
        <v>135</v>
      </c>
      <c r="F3763" t="s">
        <v>70</v>
      </c>
      <c r="G3763">
        <v>3762</v>
      </c>
      <c r="H3763">
        <v>4713</v>
      </c>
      <c r="I3763">
        <v>30</v>
      </c>
      <c r="J3763" t="s">
        <v>110</v>
      </c>
      <c r="K3763" t="s">
        <v>47</v>
      </c>
      <c r="L3763" t="s">
        <v>99</v>
      </c>
      <c r="M3763" t="s">
        <v>56</v>
      </c>
      <c r="N3763">
        <v>2.8</v>
      </c>
      <c r="O3763">
        <v>0</v>
      </c>
      <c r="P3763" t="s">
        <v>48</v>
      </c>
      <c r="Q3763" t="s">
        <v>155</v>
      </c>
      <c r="R3763" t="s">
        <v>155</v>
      </c>
      <c r="S3763">
        <v>3</v>
      </c>
      <c r="T3763" t="s">
        <v>31</v>
      </c>
      <c r="U3763" t="s">
        <v>100</v>
      </c>
      <c r="V3763" s="1">
        <v>45509</v>
      </c>
      <c r="W3763">
        <f>Table1[[#This Row],[customer_purchase count]]+1</f>
        <v>4</v>
      </c>
      <c r="X3763">
        <f>Table1[[#This Row],[customer_purchase count]]*Rules!$B$3</f>
        <v>179.29307692307694</v>
      </c>
      <c r="Y3763" t="str">
        <f>IF(Table1[[#This Row],[customer_subscription]]=1,"Subscribed","Not Subscribed")</f>
        <v>Not Subscribed</v>
      </c>
      <c r="Z3763" t="s">
        <v>194</v>
      </c>
    </row>
    <row r="3764" spans="1:26" x14ac:dyDescent="0.25">
      <c r="A3764">
        <v>3763</v>
      </c>
      <c r="B3764">
        <v>65</v>
      </c>
      <c r="C3764" t="s">
        <v>156</v>
      </c>
      <c r="D3764">
        <v>3763</v>
      </c>
      <c r="E3764" t="s">
        <v>62</v>
      </c>
      <c r="F3764" t="s">
        <v>24</v>
      </c>
      <c r="G3764">
        <v>3763</v>
      </c>
      <c r="H3764">
        <v>4714</v>
      </c>
      <c r="I3764">
        <v>94</v>
      </c>
      <c r="J3764" t="s">
        <v>87</v>
      </c>
      <c r="K3764" t="s">
        <v>26</v>
      </c>
      <c r="L3764" t="s">
        <v>99</v>
      </c>
      <c r="M3764" t="s">
        <v>60</v>
      </c>
      <c r="N3764">
        <v>2.9</v>
      </c>
      <c r="O3764">
        <v>0</v>
      </c>
      <c r="P3764" t="s">
        <v>77</v>
      </c>
      <c r="Q3764" t="s">
        <v>155</v>
      </c>
      <c r="R3764" t="s">
        <v>155</v>
      </c>
      <c r="S3764">
        <v>13</v>
      </c>
      <c r="T3764" t="s">
        <v>49</v>
      </c>
      <c r="U3764" t="s">
        <v>52</v>
      </c>
      <c r="V3764" s="1">
        <v>45593</v>
      </c>
      <c r="W3764">
        <f>Table1[[#This Row],[customer_purchase count]]+1</f>
        <v>14</v>
      </c>
      <c r="X3764">
        <f>Table1[[#This Row],[customer_purchase count]]*Rules!$B$3</f>
        <v>776.93666666666672</v>
      </c>
      <c r="Y3764" t="str">
        <f>IF(Table1[[#This Row],[customer_subscription]]=1,"Subscribed","Not Subscribed")</f>
        <v>Not Subscribed</v>
      </c>
      <c r="Z3764" t="s">
        <v>194</v>
      </c>
    </row>
    <row r="3765" spans="1:26" x14ac:dyDescent="0.25">
      <c r="A3765">
        <v>3764</v>
      </c>
      <c r="B3765">
        <v>27</v>
      </c>
      <c r="C3765" t="s">
        <v>156</v>
      </c>
      <c r="D3765">
        <v>3764</v>
      </c>
      <c r="E3765" t="s">
        <v>58</v>
      </c>
      <c r="F3765" t="s">
        <v>24</v>
      </c>
      <c r="G3765">
        <v>3764</v>
      </c>
      <c r="H3765">
        <v>4715</v>
      </c>
      <c r="I3765">
        <v>24</v>
      </c>
      <c r="J3765" t="s">
        <v>104</v>
      </c>
      <c r="K3765" t="s">
        <v>95</v>
      </c>
      <c r="L3765" t="s">
        <v>111</v>
      </c>
      <c r="M3765" t="s">
        <v>28</v>
      </c>
      <c r="N3765">
        <v>4.5</v>
      </c>
      <c r="O3765">
        <v>0</v>
      </c>
      <c r="P3765" t="s">
        <v>57</v>
      </c>
      <c r="Q3765" t="s">
        <v>155</v>
      </c>
      <c r="R3765" t="s">
        <v>155</v>
      </c>
      <c r="S3765">
        <v>38</v>
      </c>
      <c r="T3765" t="s">
        <v>36</v>
      </c>
      <c r="U3765" t="s">
        <v>100</v>
      </c>
      <c r="V3765" s="1">
        <v>45338</v>
      </c>
      <c r="W3765">
        <f>Table1[[#This Row],[customer_purchase count]]+1</f>
        <v>39</v>
      </c>
      <c r="X3765">
        <f>Table1[[#This Row],[customer_purchase count]]*Rules!$B$3</f>
        <v>2271.0456410256411</v>
      </c>
      <c r="Y3765" t="str">
        <f>IF(Table1[[#This Row],[customer_subscription]]=1,"Subscribed","Not Subscribed")</f>
        <v>Not Subscribed</v>
      </c>
    </row>
    <row r="3766" spans="1:26" x14ac:dyDescent="0.25">
      <c r="A3766">
        <v>3765</v>
      </c>
      <c r="B3766">
        <v>36</v>
      </c>
      <c r="C3766" t="s">
        <v>156</v>
      </c>
      <c r="D3766">
        <v>3765</v>
      </c>
      <c r="E3766" t="s">
        <v>128</v>
      </c>
      <c r="F3766" t="s">
        <v>24</v>
      </c>
      <c r="G3766">
        <v>3765</v>
      </c>
      <c r="H3766">
        <v>4717</v>
      </c>
      <c r="I3766">
        <v>21</v>
      </c>
      <c r="J3766" t="s">
        <v>150</v>
      </c>
      <c r="K3766" t="s">
        <v>47</v>
      </c>
      <c r="L3766" t="s">
        <v>35</v>
      </c>
      <c r="M3766" t="s">
        <v>60</v>
      </c>
      <c r="N3766">
        <v>3.5</v>
      </c>
      <c r="O3766">
        <v>0</v>
      </c>
      <c r="P3766" t="s">
        <v>48</v>
      </c>
      <c r="Q3766" t="s">
        <v>155</v>
      </c>
      <c r="R3766" t="s">
        <v>155</v>
      </c>
      <c r="S3766">
        <v>19</v>
      </c>
      <c r="T3766" t="s">
        <v>31</v>
      </c>
      <c r="U3766" t="s">
        <v>91</v>
      </c>
      <c r="V3766" s="1">
        <v>45536</v>
      </c>
      <c r="W3766">
        <f>Table1[[#This Row],[customer_purchase count]]+1</f>
        <v>20</v>
      </c>
      <c r="X3766">
        <f>Table1[[#This Row],[customer_purchase count]]*Rules!$B$3</f>
        <v>1135.5228205128205</v>
      </c>
      <c r="Y3766" t="str">
        <f>IF(Table1[[#This Row],[customer_subscription]]=1,"Subscribed","Not Subscribed")</f>
        <v>Not Subscribed</v>
      </c>
    </row>
    <row r="3767" spans="1:26" x14ac:dyDescent="0.25">
      <c r="A3767">
        <v>3766</v>
      </c>
      <c r="B3767">
        <v>22</v>
      </c>
      <c r="C3767" t="s">
        <v>156</v>
      </c>
      <c r="D3767">
        <v>3766</v>
      </c>
      <c r="E3767" t="s">
        <v>109</v>
      </c>
      <c r="F3767" t="s">
        <v>70</v>
      </c>
      <c r="G3767">
        <v>3766</v>
      </c>
      <c r="H3767">
        <v>4718</v>
      </c>
      <c r="I3767">
        <v>52</v>
      </c>
      <c r="J3767" t="s">
        <v>71</v>
      </c>
      <c r="K3767" t="s">
        <v>47</v>
      </c>
      <c r="L3767" t="s">
        <v>99</v>
      </c>
      <c r="M3767" t="s">
        <v>56</v>
      </c>
      <c r="N3767">
        <v>4.3</v>
      </c>
      <c r="O3767">
        <v>0</v>
      </c>
      <c r="P3767" t="s">
        <v>57</v>
      </c>
      <c r="Q3767" t="s">
        <v>155</v>
      </c>
      <c r="R3767" t="s">
        <v>155</v>
      </c>
      <c r="S3767">
        <v>14</v>
      </c>
      <c r="T3767" t="s">
        <v>78</v>
      </c>
      <c r="U3767" t="s">
        <v>79</v>
      </c>
      <c r="V3767" s="1">
        <v>45508</v>
      </c>
      <c r="W3767">
        <f>Table1[[#This Row],[customer_purchase count]]+1</f>
        <v>15</v>
      </c>
      <c r="X3767">
        <f>Table1[[#This Row],[customer_purchase count]]*Rules!$B$3</f>
        <v>836.70102564102569</v>
      </c>
      <c r="Y3767" t="str">
        <f>IF(Table1[[#This Row],[customer_subscription]]=1,"Subscribed","Not Subscribed")</f>
        <v>Not Subscribed</v>
      </c>
      <c r="Z3767" t="s">
        <v>187</v>
      </c>
    </row>
    <row r="3768" spans="1:26" x14ac:dyDescent="0.25">
      <c r="A3768">
        <v>3767</v>
      </c>
      <c r="B3768">
        <v>62</v>
      </c>
      <c r="C3768" t="s">
        <v>156</v>
      </c>
      <c r="D3768">
        <v>3767</v>
      </c>
      <c r="E3768" t="s">
        <v>69</v>
      </c>
      <c r="F3768" t="s">
        <v>70</v>
      </c>
      <c r="G3768">
        <v>3767</v>
      </c>
      <c r="H3768">
        <v>4719</v>
      </c>
      <c r="I3768">
        <v>59</v>
      </c>
      <c r="J3768" t="s">
        <v>108</v>
      </c>
      <c r="K3768" t="s">
        <v>47</v>
      </c>
      <c r="L3768" t="s">
        <v>97</v>
      </c>
      <c r="M3768" t="s">
        <v>60</v>
      </c>
      <c r="N3768">
        <v>4.9000000000000004</v>
      </c>
      <c r="O3768">
        <v>0</v>
      </c>
      <c r="P3768" t="s">
        <v>48</v>
      </c>
      <c r="Q3768" t="s">
        <v>155</v>
      </c>
      <c r="R3768" t="s">
        <v>155</v>
      </c>
      <c r="S3768">
        <v>43</v>
      </c>
      <c r="T3768" t="s">
        <v>89</v>
      </c>
      <c r="U3768" t="s">
        <v>52</v>
      </c>
      <c r="V3768" s="1">
        <v>45556</v>
      </c>
      <c r="W3768">
        <f>Table1[[#This Row],[customer_purchase count]]+1</f>
        <v>44</v>
      </c>
      <c r="X3768">
        <f>Table1[[#This Row],[customer_purchase count]]*Rules!$B$3</f>
        <v>2569.8674358974358</v>
      </c>
      <c r="Y3768" t="str">
        <f>IF(Table1[[#This Row],[customer_subscription]]=1,"Subscribed","Not Subscribed")</f>
        <v>Not Subscribed</v>
      </c>
    </row>
    <row r="3769" spans="1:26" x14ac:dyDescent="0.25">
      <c r="A3769">
        <v>3768</v>
      </c>
      <c r="B3769">
        <v>59</v>
      </c>
      <c r="C3769" t="s">
        <v>156</v>
      </c>
      <c r="D3769">
        <v>3768</v>
      </c>
      <c r="E3769" t="s">
        <v>62</v>
      </c>
      <c r="F3769" t="s">
        <v>24</v>
      </c>
      <c r="G3769">
        <v>3768</v>
      </c>
      <c r="H3769">
        <v>4720</v>
      </c>
      <c r="I3769">
        <v>51</v>
      </c>
      <c r="J3769" t="s">
        <v>87</v>
      </c>
      <c r="K3769" t="s">
        <v>95</v>
      </c>
      <c r="L3769" t="s">
        <v>97</v>
      </c>
      <c r="M3769" t="s">
        <v>56</v>
      </c>
      <c r="N3769">
        <v>3.1</v>
      </c>
      <c r="O3769">
        <v>0</v>
      </c>
      <c r="P3769" t="s">
        <v>41</v>
      </c>
      <c r="Q3769" t="s">
        <v>155</v>
      </c>
      <c r="R3769" t="s">
        <v>155</v>
      </c>
      <c r="S3769">
        <v>10</v>
      </c>
      <c r="T3769" t="s">
        <v>78</v>
      </c>
      <c r="U3769" t="s">
        <v>32</v>
      </c>
      <c r="V3769" s="1">
        <v>45496</v>
      </c>
      <c r="W3769">
        <f>Table1[[#This Row],[customer_purchase count]]+1</f>
        <v>11</v>
      </c>
      <c r="X3769">
        <f>Table1[[#This Row],[customer_purchase count]]*Rules!$B$3</f>
        <v>597.64358974358981</v>
      </c>
      <c r="Y3769" t="str">
        <f>IF(Table1[[#This Row],[customer_subscription]]=1,"Subscribed","Not Subscribed")</f>
        <v>Not Subscribed</v>
      </c>
      <c r="Z3769" t="s">
        <v>194</v>
      </c>
    </row>
    <row r="3770" spans="1:26" x14ac:dyDescent="0.25">
      <c r="A3770">
        <v>3769</v>
      </c>
      <c r="B3770">
        <v>50</v>
      </c>
      <c r="C3770" t="s">
        <v>156</v>
      </c>
      <c r="D3770">
        <v>3769</v>
      </c>
      <c r="E3770" t="s">
        <v>33</v>
      </c>
      <c r="F3770" t="s">
        <v>24</v>
      </c>
      <c r="G3770">
        <v>3769</v>
      </c>
      <c r="H3770">
        <v>4721</v>
      </c>
      <c r="I3770">
        <v>35</v>
      </c>
      <c r="J3770" t="s">
        <v>132</v>
      </c>
      <c r="K3770" t="s">
        <v>47</v>
      </c>
      <c r="L3770" t="s">
        <v>137</v>
      </c>
      <c r="M3770" t="s">
        <v>28</v>
      </c>
      <c r="N3770">
        <v>4</v>
      </c>
      <c r="O3770">
        <v>0</v>
      </c>
      <c r="P3770" t="s">
        <v>41</v>
      </c>
      <c r="Q3770" t="s">
        <v>155</v>
      </c>
      <c r="R3770" t="s">
        <v>155</v>
      </c>
      <c r="S3770">
        <v>34</v>
      </c>
      <c r="T3770" t="s">
        <v>78</v>
      </c>
      <c r="U3770" t="s">
        <v>61</v>
      </c>
      <c r="V3770" s="1">
        <v>45630</v>
      </c>
      <c r="W3770">
        <f>Table1[[#This Row],[customer_purchase count]]+1</f>
        <v>35</v>
      </c>
      <c r="X3770">
        <f>Table1[[#This Row],[customer_purchase count]]*Rules!$B$3</f>
        <v>2031.9882051282052</v>
      </c>
      <c r="Y3770" t="str">
        <f>IF(Table1[[#This Row],[customer_subscription]]=1,"Subscribed","Not Subscribed")</f>
        <v>Not Subscribed</v>
      </c>
    </row>
    <row r="3771" spans="1:26" x14ac:dyDescent="0.25">
      <c r="A3771">
        <v>3770</v>
      </c>
      <c r="B3771">
        <v>51</v>
      </c>
      <c r="C3771" t="s">
        <v>156</v>
      </c>
      <c r="D3771">
        <v>3770</v>
      </c>
      <c r="E3771" t="s">
        <v>146</v>
      </c>
      <c r="F3771" t="s">
        <v>70</v>
      </c>
      <c r="G3771">
        <v>3770</v>
      </c>
      <c r="H3771">
        <v>4723</v>
      </c>
      <c r="I3771">
        <v>87</v>
      </c>
      <c r="J3771" t="s">
        <v>120</v>
      </c>
      <c r="K3771" t="s">
        <v>26</v>
      </c>
      <c r="L3771" t="s">
        <v>99</v>
      </c>
      <c r="M3771" t="s">
        <v>56</v>
      </c>
      <c r="N3771">
        <v>3.6</v>
      </c>
      <c r="O3771">
        <v>0</v>
      </c>
      <c r="P3771" t="s">
        <v>57</v>
      </c>
      <c r="Q3771" t="s">
        <v>155</v>
      </c>
      <c r="R3771" t="s">
        <v>155</v>
      </c>
      <c r="S3771">
        <v>31</v>
      </c>
      <c r="T3771" t="s">
        <v>31</v>
      </c>
      <c r="U3771" t="s">
        <v>52</v>
      </c>
      <c r="V3771" s="1">
        <v>45522</v>
      </c>
      <c r="W3771">
        <f>Table1[[#This Row],[customer_purchase count]]+1</f>
        <v>32</v>
      </c>
      <c r="X3771">
        <f>Table1[[#This Row],[customer_purchase count]]*Rules!$B$3</f>
        <v>1852.6951282051282</v>
      </c>
      <c r="Y3771" t="str">
        <f>IF(Table1[[#This Row],[customer_subscription]]=1,"Subscribed","Not Subscribed")</f>
        <v>Not Subscribed</v>
      </c>
    </row>
    <row r="3772" spans="1:26" x14ac:dyDescent="0.25">
      <c r="A3772">
        <v>3771</v>
      </c>
      <c r="B3772">
        <v>23</v>
      </c>
      <c r="C3772" t="s">
        <v>156</v>
      </c>
      <c r="D3772">
        <v>3771</v>
      </c>
      <c r="E3772" t="s">
        <v>98</v>
      </c>
      <c r="F3772" t="s">
        <v>24</v>
      </c>
      <c r="G3772">
        <v>3771</v>
      </c>
      <c r="H3772">
        <v>4724</v>
      </c>
      <c r="I3772">
        <v>42</v>
      </c>
      <c r="J3772" t="s">
        <v>59</v>
      </c>
      <c r="K3772" t="s">
        <v>26</v>
      </c>
      <c r="L3772" t="s">
        <v>97</v>
      </c>
      <c r="M3772" t="s">
        <v>56</v>
      </c>
      <c r="N3772">
        <v>4</v>
      </c>
      <c r="O3772">
        <v>0</v>
      </c>
      <c r="P3772" t="s">
        <v>77</v>
      </c>
      <c r="Q3772" t="s">
        <v>155</v>
      </c>
      <c r="R3772" t="s">
        <v>155</v>
      </c>
      <c r="S3772">
        <v>34</v>
      </c>
      <c r="T3772" t="s">
        <v>78</v>
      </c>
      <c r="U3772" t="s">
        <v>43</v>
      </c>
      <c r="V3772" s="1">
        <v>45524</v>
      </c>
      <c r="W3772">
        <f>Table1[[#This Row],[customer_purchase count]]+1</f>
        <v>35</v>
      </c>
      <c r="X3772">
        <f>Table1[[#This Row],[customer_purchase count]]*Rules!$B$3</f>
        <v>2031.9882051282052</v>
      </c>
      <c r="Y3772" t="str">
        <f>IF(Table1[[#This Row],[customer_subscription]]=1,"Subscribed","Not Subscribed")</f>
        <v>Not Subscribed</v>
      </c>
    </row>
    <row r="3773" spans="1:26" x14ac:dyDescent="0.25">
      <c r="A3773">
        <v>3772</v>
      </c>
      <c r="B3773">
        <v>21</v>
      </c>
      <c r="C3773" t="s">
        <v>156</v>
      </c>
      <c r="D3773">
        <v>3772</v>
      </c>
      <c r="E3773" t="s">
        <v>116</v>
      </c>
      <c r="F3773" t="s">
        <v>24</v>
      </c>
      <c r="G3773">
        <v>3772</v>
      </c>
      <c r="H3773">
        <v>4725</v>
      </c>
      <c r="I3773">
        <v>86</v>
      </c>
      <c r="J3773" t="s">
        <v>104</v>
      </c>
      <c r="K3773" t="s">
        <v>47</v>
      </c>
      <c r="L3773" t="s">
        <v>111</v>
      </c>
      <c r="M3773" t="s">
        <v>28</v>
      </c>
      <c r="N3773">
        <v>2.6</v>
      </c>
      <c r="O3773">
        <v>0</v>
      </c>
      <c r="P3773" t="s">
        <v>29</v>
      </c>
      <c r="Q3773" t="s">
        <v>155</v>
      </c>
      <c r="R3773" t="s">
        <v>155</v>
      </c>
      <c r="S3773">
        <v>28</v>
      </c>
      <c r="T3773" t="s">
        <v>31</v>
      </c>
      <c r="U3773" t="s">
        <v>79</v>
      </c>
      <c r="V3773" s="1">
        <v>45634</v>
      </c>
      <c r="W3773">
        <f>Table1[[#This Row],[customer_purchase count]]+1</f>
        <v>29</v>
      </c>
      <c r="X3773">
        <f>Table1[[#This Row],[customer_purchase count]]*Rules!$B$3</f>
        <v>1673.4020512820514</v>
      </c>
      <c r="Y3773" t="str">
        <f>IF(Table1[[#This Row],[customer_subscription]]=1,"Subscribed","Not Subscribed")</f>
        <v>Not Subscribed</v>
      </c>
    </row>
    <row r="3774" spans="1:26" x14ac:dyDescent="0.25">
      <c r="A3774">
        <v>3773</v>
      </c>
      <c r="B3774">
        <v>44</v>
      </c>
      <c r="C3774" t="s">
        <v>156</v>
      </c>
      <c r="D3774">
        <v>3773</v>
      </c>
      <c r="E3774" t="s">
        <v>98</v>
      </c>
      <c r="F3774" t="s">
        <v>24</v>
      </c>
      <c r="G3774">
        <v>3773</v>
      </c>
      <c r="H3774">
        <v>4726</v>
      </c>
      <c r="I3774">
        <v>26</v>
      </c>
      <c r="J3774" t="s">
        <v>85</v>
      </c>
      <c r="K3774" t="s">
        <v>26</v>
      </c>
      <c r="L3774" t="s">
        <v>137</v>
      </c>
      <c r="M3774" t="s">
        <v>60</v>
      </c>
      <c r="N3774">
        <v>3.1</v>
      </c>
      <c r="O3774">
        <v>0</v>
      </c>
      <c r="P3774" t="s">
        <v>48</v>
      </c>
      <c r="Q3774" t="s">
        <v>155</v>
      </c>
      <c r="R3774" t="s">
        <v>155</v>
      </c>
      <c r="S3774">
        <v>35</v>
      </c>
      <c r="T3774" t="s">
        <v>36</v>
      </c>
      <c r="U3774" t="s">
        <v>52</v>
      </c>
      <c r="V3774" s="1">
        <v>45547</v>
      </c>
      <c r="W3774">
        <f>Table1[[#This Row],[customer_purchase count]]+1</f>
        <v>36</v>
      </c>
      <c r="X3774">
        <f>Table1[[#This Row],[customer_purchase count]]*Rules!$B$3</f>
        <v>2091.7525641025641</v>
      </c>
      <c r="Y3774" t="str">
        <f>IF(Table1[[#This Row],[customer_subscription]]=1,"Subscribed","Not Subscribed")</f>
        <v>Not Subscribed</v>
      </c>
    </row>
    <row r="3775" spans="1:26" x14ac:dyDescent="0.25">
      <c r="A3775">
        <v>3774</v>
      </c>
      <c r="B3775">
        <v>25</v>
      </c>
      <c r="C3775" t="s">
        <v>156</v>
      </c>
      <c r="D3775">
        <v>3774</v>
      </c>
      <c r="E3775" t="s">
        <v>33</v>
      </c>
      <c r="F3775" t="s">
        <v>24</v>
      </c>
      <c r="G3775">
        <v>3774</v>
      </c>
      <c r="H3775">
        <v>4727</v>
      </c>
      <c r="I3775">
        <v>60</v>
      </c>
      <c r="J3775" t="s">
        <v>153</v>
      </c>
      <c r="K3775" t="s">
        <v>47</v>
      </c>
      <c r="L3775" t="s">
        <v>86</v>
      </c>
      <c r="M3775" t="s">
        <v>56</v>
      </c>
      <c r="N3775">
        <v>3.5</v>
      </c>
      <c r="O3775">
        <v>0</v>
      </c>
      <c r="P3775" t="s">
        <v>77</v>
      </c>
      <c r="Q3775" t="s">
        <v>155</v>
      </c>
      <c r="R3775" t="s">
        <v>155</v>
      </c>
      <c r="S3775">
        <v>41</v>
      </c>
      <c r="T3775" t="s">
        <v>36</v>
      </c>
      <c r="U3775" t="s">
        <v>61</v>
      </c>
      <c r="V3775" s="1">
        <v>45459</v>
      </c>
      <c r="W3775">
        <f>Table1[[#This Row],[customer_purchase count]]+1</f>
        <v>42</v>
      </c>
      <c r="X3775">
        <f>Table1[[#This Row],[customer_purchase count]]*Rules!$B$3</f>
        <v>2450.3387179487181</v>
      </c>
      <c r="Y3775" t="str">
        <f>IF(Table1[[#This Row],[customer_subscription]]=1,"Subscribed","Not Subscribed")</f>
        <v>Not Subscribed</v>
      </c>
    </row>
    <row r="3776" spans="1:26" x14ac:dyDescent="0.25">
      <c r="A3776">
        <v>3775</v>
      </c>
      <c r="B3776">
        <v>57</v>
      </c>
      <c r="C3776" t="s">
        <v>156</v>
      </c>
      <c r="D3776">
        <v>3775</v>
      </c>
      <c r="E3776" t="s">
        <v>146</v>
      </c>
      <c r="F3776" t="s">
        <v>70</v>
      </c>
      <c r="G3776">
        <v>3775</v>
      </c>
      <c r="H3776">
        <v>4729</v>
      </c>
      <c r="I3776">
        <v>83</v>
      </c>
      <c r="J3776" t="s">
        <v>123</v>
      </c>
      <c r="K3776" t="s">
        <v>39</v>
      </c>
      <c r="L3776" t="s">
        <v>112</v>
      </c>
      <c r="M3776" t="s">
        <v>28</v>
      </c>
      <c r="N3776">
        <v>3.9</v>
      </c>
      <c r="O3776">
        <v>0</v>
      </c>
      <c r="P3776" t="s">
        <v>57</v>
      </c>
      <c r="Q3776" t="s">
        <v>155</v>
      </c>
      <c r="R3776" t="s">
        <v>155</v>
      </c>
      <c r="S3776">
        <v>48</v>
      </c>
      <c r="T3776" t="s">
        <v>49</v>
      </c>
      <c r="U3776" t="s">
        <v>32</v>
      </c>
      <c r="V3776" s="1">
        <v>45643</v>
      </c>
      <c r="W3776">
        <f>Table1[[#This Row],[customer_purchase count]]+1</f>
        <v>49</v>
      </c>
      <c r="X3776">
        <f>Table1[[#This Row],[customer_purchase count]]*Rules!$B$3</f>
        <v>2868.689230769231</v>
      </c>
      <c r="Y3776" t="str">
        <f>IF(Table1[[#This Row],[customer_subscription]]=1,"Subscribed","Not Subscribed")</f>
        <v>Not Subscribed</v>
      </c>
    </row>
    <row r="3777" spans="1:26" x14ac:dyDescent="0.25">
      <c r="A3777">
        <v>3776</v>
      </c>
      <c r="B3777">
        <v>41</v>
      </c>
      <c r="C3777" t="s">
        <v>156</v>
      </c>
      <c r="D3777">
        <v>3776</v>
      </c>
      <c r="E3777" t="s">
        <v>136</v>
      </c>
      <c r="F3777" t="s">
        <v>70</v>
      </c>
      <c r="G3777">
        <v>3776</v>
      </c>
      <c r="H3777">
        <v>4730</v>
      </c>
      <c r="I3777">
        <v>63</v>
      </c>
      <c r="J3777" t="s">
        <v>150</v>
      </c>
      <c r="K3777" t="s">
        <v>39</v>
      </c>
      <c r="L3777" t="s">
        <v>72</v>
      </c>
      <c r="M3777" t="s">
        <v>40</v>
      </c>
      <c r="N3777">
        <v>2.7</v>
      </c>
      <c r="O3777">
        <v>0</v>
      </c>
      <c r="P3777" t="s">
        <v>73</v>
      </c>
      <c r="Q3777" t="s">
        <v>155</v>
      </c>
      <c r="R3777" t="s">
        <v>155</v>
      </c>
      <c r="S3777">
        <v>45</v>
      </c>
      <c r="T3777" t="s">
        <v>36</v>
      </c>
      <c r="U3777" t="s">
        <v>61</v>
      </c>
      <c r="V3777" s="1">
        <v>45393</v>
      </c>
      <c r="W3777">
        <f>Table1[[#This Row],[customer_purchase count]]+1</f>
        <v>46</v>
      </c>
      <c r="X3777">
        <f>Table1[[#This Row],[customer_purchase count]]*Rules!$B$3</f>
        <v>2689.396153846154</v>
      </c>
      <c r="Y3777" t="str">
        <f>IF(Table1[[#This Row],[customer_subscription]]=1,"Subscribed","Not Subscribed")</f>
        <v>Not Subscribed</v>
      </c>
    </row>
    <row r="3778" spans="1:26" x14ac:dyDescent="0.25">
      <c r="A3778">
        <v>3777</v>
      </c>
      <c r="B3778">
        <v>19</v>
      </c>
      <c r="C3778" t="s">
        <v>156</v>
      </c>
      <c r="D3778">
        <v>3777</v>
      </c>
      <c r="E3778" t="s">
        <v>53</v>
      </c>
      <c r="F3778" t="s">
        <v>45</v>
      </c>
      <c r="G3778">
        <v>3777</v>
      </c>
      <c r="H3778">
        <v>4731</v>
      </c>
      <c r="I3778">
        <v>25</v>
      </c>
      <c r="J3778" t="s">
        <v>123</v>
      </c>
      <c r="K3778" t="s">
        <v>26</v>
      </c>
      <c r="L3778" t="s">
        <v>81</v>
      </c>
      <c r="M3778" t="s">
        <v>40</v>
      </c>
      <c r="N3778">
        <v>4.0999999999999996</v>
      </c>
      <c r="O3778">
        <v>0</v>
      </c>
      <c r="P3778" t="s">
        <v>57</v>
      </c>
      <c r="Q3778" t="s">
        <v>155</v>
      </c>
      <c r="R3778" t="s">
        <v>155</v>
      </c>
      <c r="S3778">
        <v>10</v>
      </c>
      <c r="T3778" t="s">
        <v>42</v>
      </c>
      <c r="U3778" t="s">
        <v>32</v>
      </c>
      <c r="V3778" s="1">
        <v>45352</v>
      </c>
      <c r="W3778">
        <f>Table1[[#This Row],[customer_purchase count]]+1</f>
        <v>11</v>
      </c>
      <c r="X3778">
        <f>Table1[[#This Row],[customer_purchase count]]*Rules!$B$3</f>
        <v>597.64358974358981</v>
      </c>
      <c r="Y3778" t="str">
        <f>IF(Table1[[#This Row],[customer_subscription]]=1,"Subscribed","Not Subscribed")</f>
        <v>Not Subscribed</v>
      </c>
      <c r="Z3778" t="s">
        <v>187</v>
      </c>
    </row>
    <row r="3779" spans="1:26" x14ac:dyDescent="0.25">
      <c r="A3779">
        <v>3778</v>
      </c>
      <c r="B3779">
        <v>43</v>
      </c>
      <c r="C3779" t="s">
        <v>156</v>
      </c>
      <c r="D3779">
        <v>3778</v>
      </c>
      <c r="E3779" t="s">
        <v>62</v>
      </c>
      <c r="F3779" t="s">
        <v>24</v>
      </c>
      <c r="G3779">
        <v>3778</v>
      </c>
      <c r="H3779">
        <v>4732</v>
      </c>
      <c r="I3779">
        <v>65</v>
      </c>
      <c r="J3779" t="s">
        <v>143</v>
      </c>
      <c r="K3779" t="s">
        <v>47</v>
      </c>
      <c r="L3779" t="s">
        <v>35</v>
      </c>
      <c r="M3779" t="s">
        <v>60</v>
      </c>
      <c r="N3779">
        <v>4.3</v>
      </c>
      <c r="O3779">
        <v>0</v>
      </c>
      <c r="P3779" t="s">
        <v>29</v>
      </c>
      <c r="Q3779" t="s">
        <v>155</v>
      </c>
      <c r="R3779" t="s">
        <v>155</v>
      </c>
      <c r="S3779">
        <v>9</v>
      </c>
      <c r="T3779" t="s">
        <v>36</v>
      </c>
      <c r="U3779" t="s">
        <v>43</v>
      </c>
      <c r="V3779" s="1">
        <v>45575</v>
      </c>
      <c r="W3779">
        <f>Table1[[#This Row],[customer_purchase count]]+1</f>
        <v>10</v>
      </c>
      <c r="X3779">
        <f>Table1[[#This Row],[customer_purchase count]]*Rules!$B$3</f>
        <v>537.87923076923084</v>
      </c>
      <c r="Y3779" t="str">
        <f>IF(Table1[[#This Row],[customer_subscription]]=1,"Subscribed","Not Subscribed")</f>
        <v>Not Subscribed</v>
      </c>
      <c r="Z3779" t="s">
        <v>194</v>
      </c>
    </row>
    <row r="3780" spans="1:26" x14ac:dyDescent="0.25">
      <c r="A3780">
        <v>3779</v>
      </c>
      <c r="B3780">
        <v>25</v>
      </c>
      <c r="C3780" t="s">
        <v>156</v>
      </c>
      <c r="D3780">
        <v>3779</v>
      </c>
      <c r="E3780" t="s">
        <v>53</v>
      </c>
      <c r="F3780" t="s">
        <v>45</v>
      </c>
      <c r="G3780">
        <v>3779</v>
      </c>
      <c r="H3780">
        <v>4733</v>
      </c>
      <c r="I3780">
        <v>60</v>
      </c>
      <c r="J3780" t="s">
        <v>150</v>
      </c>
      <c r="K3780" t="s">
        <v>47</v>
      </c>
      <c r="L3780" t="s">
        <v>112</v>
      </c>
      <c r="M3780" t="s">
        <v>60</v>
      </c>
      <c r="N3780">
        <v>2.9</v>
      </c>
      <c r="O3780">
        <v>0</v>
      </c>
      <c r="P3780" t="s">
        <v>41</v>
      </c>
      <c r="Q3780" t="s">
        <v>155</v>
      </c>
      <c r="R3780" t="s">
        <v>155</v>
      </c>
      <c r="S3780">
        <v>30</v>
      </c>
      <c r="T3780" t="s">
        <v>89</v>
      </c>
      <c r="U3780" t="s">
        <v>52</v>
      </c>
      <c r="V3780" s="1">
        <v>45575</v>
      </c>
      <c r="W3780">
        <f>Table1[[#This Row],[customer_purchase count]]+1</f>
        <v>31</v>
      </c>
      <c r="X3780">
        <f>Table1[[#This Row],[customer_purchase count]]*Rules!$B$3</f>
        <v>1792.9307692307693</v>
      </c>
      <c r="Y3780" t="str">
        <f>IF(Table1[[#This Row],[customer_subscription]]=1,"Subscribed","Not Subscribed")</f>
        <v>Not Subscribed</v>
      </c>
    </row>
    <row r="3781" spans="1:26" x14ac:dyDescent="0.25">
      <c r="A3781">
        <v>3780</v>
      </c>
      <c r="B3781">
        <v>60</v>
      </c>
      <c r="C3781" t="s">
        <v>156</v>
      </c>
      <c r="D3781">
        <v>3780</v>
      </c>
      <c r="E3781" t="s">
        <v>37</v>
      </c>
      <c r="F3781" t="s">
        <v>24</v>
      </c>
      <c r="G3781">
        <v>3780</v>
      </c>
      <c r="H3781">
        <v>4735</v>
      </c>
      <c r="I3781">
        <v>75</v>
      </c>
      <c r="J3781" t="s">
        <v>102</v>
      </c>
      <c r="K3781" t="s">
        <v>95</v>
      </c>
      <c r="L3781" t="s">
        <v>96</v>
      </c>
      <c r="M3781" t="s">
        <v>40</v>
      </c>
      <c r="N3781">
        <v>4</v>
      </c>
      <c r="O3781">
        <v>0</v>
      </c>
      <c r="P3781" t="s">
        <v>29</v>
      </c>
      <c r="Q3781" t="s">
        <v>155</v>
      </c>
      <c r="R3781" t="s">
        <v>155</v>
      </c>
      <c r="S3781">
        <v>45</v>
      </c>
      <c r="T3781" t="s">
        <v>49</v>
      </c>
      <c r="U3781" t="s">
        <v>52</v>
      </c>
      <c r="V3781" s="1">
        <v>45360</v>
      </c>
      <c r="W3781">
        <f>Table1[[#This Row],[customer_purchase count]]+1</f>
        <v>46</v>
      </c>
      <c r="X3781">
        <f>Table1[[#This Row],[customer_purchase count]]*Rules!$B$3</f>
        <v>2689.396153846154</v>
      </c>
      <c r="Y3781" t="str">
        <f>IF(Table1[[#This Row],[customer_subscription]]=1,"Subscribed","Not Subscribed")</f>
        <v>Not Subscribed</v>
      </c>
    </row>
    <row r="3782" spans="1:26" x14ac:dyDescent="0.25">
      <c r="A3782">
        <v>3781</v>
      </c>
      <c r="B3782">
        <v>54</v>
      </c>
      <c r="C3782" t="s">
        <v>156</v>
      </c>
      <c r="D3782">
        <v>3781</v>
      </c>
      <c r="E3782" t="s">
        <v>53</v>
      </c>
      <c r="F3782" t="s">
        <v>45</v>
      </c>
      <c r="G3782">
        <v>3781</v>
      </c>
      <c r="H3782">
        <v>4736</v>
      </c>
      <c r="I3782">
        <v>57</v>
      </c>
      <c r="J3782" t="s">
        <v>94</v>
      </c>
      <c r="K3782" t="s">
        <v>26</v>
      </c>
      <c r="L3782" t="s">
        <v>137</v>
      </c>
      <c r="M3782" t="s">
        <v>60</v>
      </c>
      <c r="N3782">
        <v>4.0999999999999996</v>
      </c>
      <c r="O3782">
        <v>0</v>
      </c>
      <c r="P3782" t="s">
        <v>41</v>
      </c>
      <c r="Q3782" t="s">
        <v>155</v>
      </c>
      <c r="R3782" t="s">
        <v>155</v>
      </c>
      <c r="S3782">
        <v>41</v>
      </c>
      <c r="T3782" t="s">
        <v>31</v>
      </c>
      <c r="U3782" t="s">
        <v>61</v>
      </c>
      <c r="V3782" s="1">
        <v>45561</v>
      </c>
      <c r="W3782">
        <f>Table1[[#This Row],[customer_purchase count]]+1</f>
        <v>42</v>
      </c>
      <c r="X3782">
        <f>Table1[[#This Row],[customer_purchase count]]*Rules!$B$3</f>
        <v>2450.3387179487181</v>
      </c>
      <c r="Y3782" t="str">
        <f>IF(Table1[[#This Row],[customer_subscription]]=1,"Subscribed","Not Subscribed")</f>
        <v>Not Subscribed</v>
      </c>
    </row>
    <row r="3783" spans="1:26" x14ac:dyDescent="0.25">
      <c r="A3783">
        <v>3782</v>
      </c>
      <c r="B3783">
        <v>52</v>
      </c>
      <c r="C3783" t="s">
        <v>156</v>
      </c>
      <c r="D3783">
        <v>3782</v>
      </c>
      <c r="E3783" t="s">
        <v>140</v>
      </c>
      <c r="F3783" t="s">
        <v>45</v>
      </c>
      <c r="G3783">
        <v>3782</v>
      </c>
      <c r="H3783">
        <v>4737</v>
      </c>
      <c r="I3783">
        <v>99</v>
      </c>
      <c r="J3783" t="s">
        <v>125</v>
      </c>
      <c r="K3783" t="s">
        <v>47</v>
      </c>
      <c r="L3783" t="s">
        <v>72</v>
      </c>
      <c r="M3783" t="s">
        <v>28</v>
      </c>
      <c r="N3783">
        <v>3.7</v>
      </c>
      <c r="O3783">
        <v>0</v>
      </c>
      <c r="P3783" t="s">
        <v>57</v>
      </c>
      <c r="Q3783" t="s">
        <v>155</v>
      </c>
      <c r="R3783" t="s">
        <v>155</v>
      </c>
      <c r="S3783">
        <v>40</v>
      </c>
      <c r="T3783" t="s">
        <v>49</v>
      </c>
      <c r="U3783" t="s">
        <v>32</v>
      </c>
      <c r="V3783" s="1">
        <v>45630</v>
      </c>
      <c r="W3783">
        <f>Table1[[#This Row],[customer_purchase count]]+1</f>
        <v>41</v>
      </c>
      <c r="X3783">
        <f>Table1[[#This Row],[customer_purchase count]]*Rules!$B$3</f>
        <v>2390.5743589743593</v>
      </c>
      <c r="Y3783" t="str">
        <f>IF(Table1[[#This Row],[customer_subscription]]=1,"Subscribed","Not Subscribed")</f>
        <v>Not Subscribed</v>
      </c>
    </row>
    <row r="3784" spans="1:26" x14ac:dyDescent="0.25">
      <c r="A3784">
        <v>3783</v>
      </c>
      <c r="B3784">
        <v>40</v>
      </c>
      <c r="C3784" t="s">
        <v>156</v>
      </c>
      <c r="D3784">
        <v>3783</v>
      </c>
      <c r="E3784" t="s">
        <v>105</v>
      </c>
      <c r="F3784" t="s">
        <v>66</v>
      </c>
      <c r="G3784">
        <v>3783</v>
      </c>
      <c r="H3784">
        <v>4738</v>
      </c>
      <c r="I3784">
        <v>45</v>
      </c>
      <c r="J3784" t="s">
        <v>93</v>
      </c>
      <c r="K3784" t="s">
        <v>26</v>
      </c>
      <c r="L3784" t="s">
        <v>124</v>
      </c>
      <c r="M3784" t="s">
        <v>40</v>
      </c>
      <c r="N3784">
        <v>2.8</v>
      </c>
      <c r="O3784">
        <v>0</v>
      </c>
      <c r="P3784" t="s">
        <v>41</v>
      </c>
      <c r="Q3784" t="s">
        <v>155</v>
      </c>
      <c r="R3784" t="s">
        <v>155</v>
      </c>
      <c r="S3784">
        <v>42</v>
      </c>
      <c r="T3784" t="s">
        <v>49</v>
      </c>
      <c r="U3784" t="s">
        <v>32</v>
      </c>
      <c r="V3784" s="1">
        <v>45391</v>
      </c>
      <c r="W3784">
        <f>Table1[[#This Row],[customer_purchase count]]+1</f>
        <v>43</v>
      </c>
      <c r="X3784">
        <f>Table1[[#This Row],[customer_purchase count]]*Rules!$B$3</f>
        <v>2510.103076923077</v>
      </c>
      <c r="Y3784" t="str">
        <f>IF(Table1[[#This Row],[customer_subscription]]=1,"Subscribed","Not Subscribed")</f>
        <v>Not Subscribed</v>
      </c>
    </row>
    <row r="3785" spans="1:26" x14ac:dyDescent="0.25">
      <c r="A3785">
        <v>3784</v>
      </c>
      <c r="B3785">
        <v>39</v>
      </c>
      <c r="C3785" t="s">
        <v>156</v>
      </c>
      <c r="D3785">
        <v>3784</v>
      </c>
      <c r="E3785" t="s">
        <v>146</v>
      </c>
      <c r="F3785" t="s">
        <v>70</v>
      </c>
      <c r="G3785">
        <v>3784</v>
      </c>
      <c r="H3785">
        <v>4739</v>
      </c>
      <c r="I3785">
        <v>66</v>
      </c>
      <c r="J3785" t="s">
        <v>34</v>
      </c>
      <c r="K3785" t="s">
        <v>95</v>
      </c>
      <c r="L3785" t="s">
        <v>124</v>
      </c>
      <c r="M3785" t="s">
        <v>56</v>
      </c>
      <c r="N3785">
        <v>3.2</v>
      </c>
      <c r="O3785">
        <v>0</v>
      </c>
      <c r="P3785" t="s">
        <v>41</v>
      </c>
      <c r="Q3785" t="s">
        <v>155</v>
      </c>
      <c r="R3785" t="s">
        <v>155</v>
      </c>
      <c r="S3785">
        <v>17</v>
      </c>
      <c r="T3785" t="s">
        <v>89</v>
      </c>
      <c r="U3785" t="s">
        <v>32</v>
      </c>
      <c r="V3785" s="1">
        <v>45449</v>
      </c>
      <c r="W3785">
        <f>Table1[[#This Row],[customer_purchase count]]+1</f>
        <v>18</v>
      </c>
      <c r="X3785">
        <f>Table1[[#This Row],[customer_purchase count]]*Rules!$B$3</f>
        <v>1015.9941025641026</v>
      </c>
      <c r="Y3785" t="str">
        <f>IF(Table1[[#This Row],[customer_subscription]]=1,"Subscribed","Not Subscribed")</f>
        <v>Not Subscribed</v>
      </c>
      <c r="Z3785" t="s">
        <v>194</v>
      </c>
    </row>
    <row r="3786" spans="1:26" x14ac:dyDescent="0.25">
      <c r="A3786">
        <v>3785</v>
      </c>
      <c r="B3786">
        <v>54</v>
      </c>
      <c r="C3786" t="s">
        <v>156</v>
      </c>
      <c r="D3786">
        <v>3785</v>
      </c>
      <c r="E3786" t="s">
        <v>128</v>
      </c>
      <c r="F3786" t="s">
        <v>24</v>
      </c>
      <c r="G3786">
        <v>3785</v>
      </c>
      <c r="H3786">
        <v>4741</v>
      </c>
      <c r="I3786">
        <v>53</v>
      </c>
      <c r="J3786" t="s">
        <v>144</v>
      </c>
      <c r="K3786" t="s">
        <v>47</v>
      </c>
      <c r="L3786" t="s">
        <v>86</v>
      </c>
      <c r="M3786" t="s">
        <v>28</v>
      </c>
      <c r="N3786">
        <v>4.5</v>
      </c>
      <c r="O3786">
        <v>0</v>
      </c>
      <c r="P3786" t="s">
        <v>48</v>
      </c>
      <c r="Q3786" t="s">
        <v>155</v>
      </c>
      <c r="R3786" t="s">
        <v>155</v>
      </c>
      <c r="S3786">
        <v>4</v>
      </c>
      <c r="T3786" t="s">
        <v>31</v>
      </c>
      <c r="U3786" t="s">
        <v>52</v>
      </c>
      <c r="V3786" s="1">
        <v>45316</v>
      </c>
      <c r="W3786">
        <f>Table1[[#This Row],[customer_purchase count]]+1</f>
        <v>5</v>
      </c>
      <c r="X3786">
        <f>Table1[[#This Row],[customer_purchase count]]*Rules!$B$3</f>
        <v>239.05743589743591</v>
      </c>
      <c r="Y3786" t="str">
        <f>IF(Table1[[#This Row],[customer_subscription]]=1,"Subscribed","Not Subscribed")</f>
        <v>Not Subscribed</v>
      </c>
      <c r="Z3786" t="s">
        <v>194</v>
      </c>
    </row>
    <row r="3787" spans="1:26" x14ac:dyDescent="0.25">
      <c r="A3787">
        <v>3786</v>
      </c>
      <c r="B3787">
        <v>64</v>
      </c>
      <c r="C3787" t="s">
        <v>156</v>
      </c>
      <c r="D3787">
        <v>3786</v>
      </c>
      <c r="E3787" t="s">
        <v>37</v>
      </c>
      <c r="F3787" t="s">
        <v>24</v>
      </c>
      <c r="G3787">
        <v>3786</v>
      </c>
      <c r="H3787">
        <v>4742</v>
      </c>
      <c r="I3787">
        <v>94</v>
      </c>
      <c r="J3787" t="s">
        <v>85</v>
      </c>
      <c r="K3787" t="s">
        <v>26</v>
      </c>
      <c r="L3787" t="s">
        <v>96</v>
      </c>
      <c r="M3787" t="s">
        <v>28</v>
      </c>
      <c r="N3787">
        <v>3.8</v>
      </c>
      <c r="O3787">
        <v>0</v>
      </c>
      <c r="P3787" t="s">
        <v>57</v>
      </c>
      <c r="Q3787" t="s">
        <v>155</v>
      </c>
      <c r="R3787" t="s">
        <v>155</v>
      </c>
      <c r="S3787">
        <v>6</v>
      </c>
      <c r="T3787" t="s">
        <v>36</v>
      </c>
      <c r="U3787" t="s">
        <v>91</v>
      </c>
      <c r="V3787" s="1">
        <v>45313</v>
      </c>
      <c r="W3787">
        <f>Table1[[#This Row],[customer_purchase count]]+1</f>
        <v>7</v>
      </c>
      <c r="X3787">
        <f>Table1[[#This Row],[customer_purchase count]]*Rules!$B$3</f>
        <v>358.58615384615388</v>
      </c>
      <c r="Y3787" t="str">
        <f>IF(Table1[[#This Row],[customer_subscription]]=1,"Subscribed","Not Subscribed")</f>
        <v>Not Subscribed</v>
      </c>
      <c r="Z3787" t="s">
        <v>194</v>
      </c>
    </row>
    <row r="3788" spans="1:26" x14ac:dyDescent="0.25">
      <c r="A3788">
        <v>3787</v>
      </c>
      <c r="B3788">
        <v>31</v>
      </c>
      <c r="C3788" t="s">
        <v>156</v>
      </c>
      <c r="D3788">
        <v>3787</v>
      </c>
      <c r="E3788" t="s">
        <v>140</v>
      </c>
      <c r="F3788" t="s">
        <v>45</v>
      </c>
      <c r="G3788">
        <v>3787</v>
      </c>
      <c r="H3788">
        <v>4743</v>
      </c>
      <c r="I3788">
        <v>47</v>
      </c>
      <c r="J3788" t="s">
        <v>125</v>
      </c>
      <c r="K3788" t="s">
        <v>26</v>
      </c>
      <c r="L3788" t="s">
        <v>137</v>
      </c>
      <c r="M3788" t="s">
        <v>60</v>
      </c>
      <c r="N3788">
        <v>3.6</v>
      </c>
      <c r="O3788">
        <v>0</v>
      </c>
      <c r="P3788" t="s">
        <v>73</v>
      </c>
      <c r="Q3788" t="s">
        <v>155</v>
      </c>
      <c r="R3788" t="s">
        <v>155</v>
      </c>
      <c r="S3788">
        <v>22</v>
      </c>
      <c r="T3788" t="s">
        <v>31</v>
      </c>
      <c r="U3788" t="s">
        <v>43</v>
      </c>
      <c r="V3788" s="1">
        <v>45593</v>
      </c>
      <c r="W3788">
        <f>Table1[[#This Row],[customer_purchase count]]+1</f>
        <v>23</v>
      </c>
      <c r="X3788">
        <f>Table1[[#This Row],[customer_purchase count]]*Rules!$B$3</f>
        <v>1314.8158974358976</v>
      </c>
      <c r="Y3788" t="str">
        <f>IF(Table1[[#This Row],[customer_subscription]]=1,"Subscribed","Not Subscribed")</f>
        <v>Not Subscribed</v>
      </c>
    </row>
    <row r="3789" spans="1:26" x14ac:dyDescent="0.25">
      <c r="A3789">
        <v>3788</v>
      </c>
      <c r="B3789">
        <v>37</v>
      </c>
      <c r="C3789" t="s">
        <v>156</v>
      </c>
      <c r="D3789">
        <v>3788</v>
      </c>
      <c r="E3789" t="s">
        <v>23</v>
      </c>
      <c r="F3789" t="s">
        <v>24</v>
      </c>
      <c r="G3789">
        <v>3788</v>
      </c>
      <c r="H3789">
        <v>4744</v>
      </c>
      <c r="I3789">
        <v>80</v>
      </c>
      <c r="J3789" t="s">
        <v>87</v>
      </c>
      <c r="K3789" t="s">
        <v>47</v>
      </c>
      <c r="L3789" t="s">
        <v>72</v>
      </c>
      <c r="M3789" t="s">
        <v>60</v>
      </c>
      <c r="N3789">
        <v>3.6</v>
      </c>
      <c r="O3789">
        <v>0</v>
      </c>
      <c r="P3789" t="s">
        <v>73</v>
      </c>
      <c r="Q3789" t="s">
        <v>155</v>
      </c>
      <c r="R3789" t="s">
        <v>155</v>
      </c>
      <c r="S3789">
        <v>46</v>
      </c>
      <c r="T3789" t="s">
        <v>49</v>
      </c>
      <c r="U3789" t="s">
        <v>100</v>
      </c>
      <c r="V3789" s="1">
        <v>45573</v>
      </c>
      <c r="W3789">
        <f>Table1[[#This Row],[customer_purchase count]]+1</f>
        <v>47</v>
      </c>
      <c r="X3789">
        <f>Table1[[#This Row],[customer_purchase count]]*Rules!$B$3</f>
        <v>2749.1605128205128</v>
      </c>
      <c r="Y3789" t="str">
        <f>IF(Table1[[#This Row],[customer_subscription]]=1,"Subscribed","Not Subscribed")</f>
        <v>Not Subscribed</v>
      </c>
    </row>
    <row r="3790" spans="1:26" x14ac:dyDescent="0.25">
      <c r="A3790">
        <v>3789</v>
      </c>
      <c r="B3790">
        <v>43</v>
      </c>
      <c r="C3790" t="s">
        <v>156</v>
      </c>
      <c r="D3790">
        <v>3789</v>
      </c>
      <c r="E3790" t="s">
        <v>127</v>
      </c>
      <c r="F3790" t="s">
        <v>70</v>
      </c>
      <c r="G3790">
        <v>3789</v>
      </c>
      <c r="H3790">
        <v>4745</v>
      </c>
      <c r="I3790">
        <v>65</v>
      </c>
      <c r="J3790" t="s">
        <v>114</v>
      </c>
      <c r="K3790" t="s">
        <v>95</v>
      </c>
      <c r="L3790" t="s">
        <v>88</v>
      </c>
      <c r="M3790" t="s">
        <v>40</v>
      </c>
      <c r="N3790">
        <v>3.2</v>
      </c>
      <c r="O3790">
        <v>0</v>
      </c>
      <c r="P3790" t="s">
        <v>48</v>
      </c>
      <c r="Q3790" t="s">
        <v>155</v>
      </c>
      <c r="R3790" t="s">
        <v>155</v>
      </c>
      <c r="S3790">
        <v>27</v>
      </c>
      <c r="T3790" t="s">
        <v>89</v>
      </c>
      <c r="U3790" t="s">
        <v>91</v>
      </c>
      <c r="V3790" s="1">
        <v>45435</v>
      </c>
      <c r="W3790">
        <f>Table1[[#This Row],[customer_purchase count]]+1</f>
        <v>28</v>
      </c>
      <c r="X3790">
        <f>Table1[[#This Row],[customer_purchase count]]*Rules!$B$3</f>
        <v>1613.6376923076923</v>
      </c>
      <c r="Y3790" t="str">
        <f>IF(Table1[[#This Row],[customer_subscription]]=1,"Subscribed","Not Subscribed")</f>
        <v>Not Subscribed</v>
      </c>
    </row>
    <row r="3791" spans="1:26" x14ac:dyDescent="0.25">
      <c r="A3791">
        <v>3790</v>
      </c>
      <c r="B3791">
        <v>56</v>
      </c>
      <c r="C3791" t="s">
        <v>156</v>
      </c>
      <c r="D3791">
        <v>3790</v>
      </c>
      <c r="E3791" t="s">
        <v>58</v>
      </c>
      <c r="F3791" t="s">
        <v>24</v>
      </c>
      <c r="G3791">
        <v>3790</v>
      </c>
      <c r="H3791">
        <v>4747</v>
      </c>
      <c r="I3791">
        <v>75</v>
      </c>
      <c r="J3791" t="s">
        <v>117</v>
      </c>
      <c r="K3791" t="s">
        <v>47</v>
      </c>
      <c r="L3791" t="s">
        <v>139</v>
      </c>
      <c r="M3791" t="s">
        <v>56</v>
      </c>
      <c r="N3791">
        <v>3.8</v>
      </c>
      <c r="O3791">
        <v>0</v>
      </c>
      <c r="P3791" t="s">
        <v>29</v>
      </c>
      <c r="Q3791" t="s">
        <v>155</v>
      </c>
      <c r="R3791" t="s">
        <v>155</v>
      </c>
      <c r="S3791">
        <v>18</v>
      </c>
      <c r="T3791" t="s">
        <v>78</v>
      </c>
      <c r="U3791" t="s">
        <v>100</v>
      </c>
      <c r="V3791" s="1">
        <v>45481</v>
      </c>
      <c r="W3791">
        <f>Table1[[#This Row],[customer_purchase count]]+1</f>
        <v>19</v>
      </c>
      <c r="X3791">
        <f>Table1[[#This Row],[customer_purchase count]]*Rules!$B$3</f>
        <v>1075.7584615384617</v>
      </c>
      <c r="Y3791" t="str">
        <f>IF(Table1[[#This Row],[customer_subscription]]=1,"Subscribed","Not Subscribed")</f>
        <v>Not Subscribed</v>
      </c>
    </row>
    <row r="3792" spans="1:26" x14ac:dyDescent="0.25">
      <c r="A3792">
        <v>3791</v>
      </c>
      <c r="B3792">
        <v>27</v>
      </c>
      <c r="C3792" t="s">
        <v>156</v>
      </c>
      <c r="D3792">
        <v>3791</v>
      </c>
      <c r="E3792" t="s">
        <v>69</v>
      </c>
      <c r="F3792" t="s">
        <v>70</v>
      </c>
      <c r="G3792">
        <v>3791</v>
      </c>
      <c r="H3792">
        <v>4748</v>
      </c>
      <c r="I3792">
        <v>45</v>
      </c>
      <c r="J3792" t="s">
        <v>123</v>
      </c>
      <c r="K3792" t="s">
        <v>95</v>
      </c>
      <c r="L3792" t="s">
        <v>121</v>
      </c>
      <c r="M3792" t="s">
        <v>56</v>
      </c>
      <c r="N3792">
        <v>4.4000000000000004</v>
      </c>
      <c r="O3792">
        <v>0</v>
      </c>
      <c r="P3792" t="s">
        <v>57</v>
      </c>
      <c r="Q3792" t="s">
        <v>155</v>
      </c>
      <c r="R3792" t="s">
        <v>155</v>
      </c>
      <c r="S3792">
        <v>31</v>
      </c>
      <c r="T3792" t="s">
        <v>42</v>
      </c>
      <c r="U3792" t="s">
        <v>43</v>
      </c>
      <c r="V3792" s="1">
        <v>45446</v>
      </c>
      <c r="W3792">
        <f>Table1[[#This Row],[customer_purchase count]]+1</f>
        <v>32</v>
      </c>
      <c r="X3792">
        <f>Table1[[#This Row],[customer_purchase count]]*Rules!$B$3</f>
        <v>1852.6951282051282</v>
      </c>
      <c r="Y3792" t="str">
        <f>IF(Table1[[#This Row],[customer_subscription]]=1,"Subscribed","Not Subscribed")</f>
        <v>Not Subscribed</v>
      </c>
    </row>
    <row r="3793" spans="1:26" x14ac:dyDescent="0.25">
      <c r="A3793">
        <v>3792</v>
      </c>
      <c r="B3793">
        <v>40</v>
      </c>
      <c r="C3793" t="s">
        <v>156</v>
      </c>
      <c r="D3793">
        <v>3792</v>
      </c>
      <c r="E3793" t="s">
        <v>92</v>
      </c>
      <c r="F3793" t="s">
        <v>70</v>
      </c>
      <c r="G3793">
        <v>3792</v>
      </c>
      <c r="H3793">
        <v>4749</v>
      </c>
      <c r="I3793">
        <v>51</v>
      </c>
      <c r="J3793" t="s">
        <v>108</v>
      </c>
      <c r="K3793" t="s">
        <v>47</v>
      </c>
      <c r="L3793" t="s">
        <v>27</v>
      </c>
      <c r="M3793" t="s">
        <v>40</v>
      </c>
      <c r="N3793">
        <v>3.7</v>
      </c>
      <c r="O3793">
        <v>0</v>
      </c>
      <c r="P3793" t="s">
        <v>77</v>
      </c>
      <c r="Q3793" t="s">
        <v>155</v>
      </c>
      <c r="R3793" t="s">
        <v>155</v>
      </c>
      <c r="S3793">
        <v>1</v>
      </c>
      <c r="T3793" t="s">
        <v>31</v>
      </c>
      <c r="U3793" t="s">
        <v>43</v>
      </c>
      <c r="V3793" s="1">
        <v>45404</v>
      </c>
      <c r="W3793">
        <f>Table1[[#This Row],[customer_purchase count]]+1</f>
        <v>2</v>
      </c>
      <c r="X3793">
        <f>Table1[[#This Row],[customer_purchase count]]*Rules!$B$3</f>
        <v>59.764358974358977</v>
      </c>
      <c r="Y3793" t="str">
        <f>IF(Table1[[#This Row],[customer_subscription]]=1,"Subscribed","Not Subscribed")</f>
        <v>Not Subscribed</v>
      </c>
      <c r="Z3793" t="s">
        <v>194</v>
      </c>
    </row>
    <row r="3794" spans="1:26" x14ac:dyDescent="0.25">
      <c r="A3794">
        <v>3793</v>
      </c>
      <c r="B3794">
        <v>43</v>
      </c>
      <c r="C3794" t="s">
        <v>156</v>
      </c>
      <c r="D3794">
        <v>3793</v>
      </c>
      <c r="E3794" t="s">
        <v>122</v>
      </c>
      <c r="F3794" t="s">
        <v>70</v>
      </c>
      <c r="G3794">
        <v>3793</v>
      </c>
      <c r="H3794">
        <v>4750</v>
      </c>
      <c r="I3794">
        <v>58</v>
      </c>
      <c r="J3794" t="s">
        <v>38</v>
      </c>
      <c r="K3794" t="s">
        <v>39</v>
      </c>
      <c r="L3794" t="s">
        <v>51</v>
      </c>
      <c r="M3794" t="s">
        <v>56</v>
      </c>
      <c r="N3794">
        <v>2.6</v>
      </c>
      <c r="O3794">
        <v>0</v>
      </c>
      <c r="P3794" t="s">
        <v>29</v>
      </c>
      <c r="Q3794" t="s">
        <v>155</v>
      </c>
      <c r="R3794" t="s">
        <v>155</v>
      </c>
      <c r="S3794">
        <v>2</v>
      </c>
      <c r="T3794" t="s">
        <v>49</v>
      </c>
      <c r="U3794" t="s">
        <v>32</v>
      </c>
      <c r="V3794" s="1">
        <v>45501</v>
      </c>
      <c r="W3794">
        <f>Table1[[#This Row],[customer_purchase count]]+1</f>
        <v>3</v>
      </c>
      <c r="X3794">
        <f>Table1[[#This Row],[customer_purchase count]]*Rules!$B$3</f>
        <v>119.52871794871795</v>
      </c>
      <c r="Y3794" t="str">
        <f>IF(Table1[[#This Row],[customer_subscription]]=1,"Subscribed","Not Subscribed")</f>
        <v>Not Subscribed</v>
      </c>
      <c r="Z3794" t="s">
        <v>194</v>
      </c>
    </row>
    <row r="3795" spans="1:26" x14ac:dyDescent="0.25">
      <c r="A3795">
        <v>3794</v>
      </c>
      <c r="B3795">
        <v>62</v>
      </c>
      <c r="C3795" t="s">
        <v>156</v>
      </c>
      <c r="D3795">
        <v>3794</v>
      </c>
      <c r="E3795" t="s">
        <v>92</v>
      </c>
      <c r="F3795" t="s">
        <v>70</v>
      </c>
      <c r="G3795">
        <v>3794</v>
      </c>
      <c r="H3795">
        <v>4751</v>
      </c>
      <c r="I3795">
        <v>20</v>
      </c>
      <c r="J3795" t="s">
        <v>82</v>
      </c>
      <c r="K3795" t="s">
        <v>47</v>
      </c>
      <c r="L3795" t="s">
        <v>72</v>
      </c>
      <c r="M3795" t="s">
        <v>60</v>
      </c>
      <c r="N3795">
        <v>4</v>
      </c>
      <c r="O3795">
        <v>0</v>
      </c>
      <c r="P3795" t="s">
        <v>57</v>
      </c>
      <c r="Q3795" t="s">
        <v>155</v>
      </c>
      <c r="R3795" t="s">
        <v>155</v>
      </c>
      <c r="S3795">
        <v>46</v>
      </c>
      <c r="T3795" t="s">
        <v>78</v>
      </c>
      <c r="U3795" t="s">
        <v>52</v>
      </c>
      <c r="V3795" s="1">
        <v>45606</v>
      </c>
      <c r="W3795">
        <f>Table1[[#This Row],[customer_purchase count]]+1</f>
        <v>47</v>
      </c>
      <c r="X3795">
        <f>Table1[[#This Row],[customer_purchase count]]*Rules!$B$3</f>
        <v>2749.1605128205128</v>
      </c>
      <c r="Y3795" t="str">
        <f>IF(Table1[[#This Row],[customer_subscription]]=1,"Subscribed","Not Subscribed")</f>
        <v>Not Subscribed</v>
      </c>
    </row>
    <row r="3796" spans="1:26" x14ac:dyDescent="0.25">
      <c r="A3796">
        <v>3795</v>
      </c>
      <c r="B3796">
        <v>44</v>
      </c>
      <c r="C3796" t="s">
        <v>156</v>
      </c>
      <c r="D3796">
        <v>3795</v>
      </c>
      <c r="E3796" t="s">
        <v>122</v>
      </c>
      <c r="F3796" t="s">
        <v>70</v>
      </c>
      <c r="G3796">
        <v>3795</v>
      </c>
      <c r="H3796">
        <v>4753</v>
      </c>
      <c r="I3796">
        <v>82</v>
      </c>
      <c r="J3796" t="s">
        <v>150</v>
      </c>
      <c r="K3796" t="s">
        <v>47</v>
      </c>
      <c r="L3796" t="s">
        <v>86</v>
      </c>
      <c r="M3796" t="s">
        <v>56</v>
      </c>
      <c r="N3796">
        <v>3.6</v>
      </c>
      <c r="O3796">
        <v>0</v>
      </c>
      <c r="P3796" t="s">
        <v>73</v>
      </c>
      <c r="Q3796" t="s">
        <v>155</v>
      </c>
      <c r="R3796" t="s">
        <v>155</v>
      </c>
      <c r="S3796">
        <v>27</v>
      </c>
      <c r="T3796" t="s">
        <v>31</v>
      </c>
      <c r="U3796" t="s">
        <v>43</v>
      </c>
      <c r="V3796" s="1">
        <v>45509</v>
      </c>
      <c r="W3796">
        <f>Table1[[#This Row],[customer_purchase count]]+1</f>
        <v>28</v>
      </c>
      <c r="X3796">
        <f>Table1[[#This Row],[customer_purchase count]]*Rules!$B$3</f>
        <v>1613.6376923076923</v>
      </c>
      <c r="Y3796" t="str">
        <f>IF(Table1[[#This Row],[customer_subscription]]=1,"Subscribed","Not Subscribed")</f>
        <v>Not Subscribed</v>
      </c>
    </row>
    <row r="3797" spans="1:26" x14ac:dyDescent="0.25">
      <c r="A3797">
        <v>3796</v>
      </c>
      <c r="B3797">
        <v>45</v>
      </c>
      <c r="C3797" t="s">
        <v>156</v>
      </c>
      <c r="D3797">
        <v>3796</v>
      </c>
      <c r="E3797" t="s">
        <v>146</v>
      </c>
      <c r="F3797" t="s">
        <v>70</v>
      </c>
      <c r="G3797">
        <v>3796</v>
      </c>
      <c r="H3797">
        <v>4754</v>
      </c>
      <c r="I3797">
        <v>92</v>
      </c>
      <c r="J3797" t="s">
        <v>75</v>
      </c>
      <c r="K3797" t="s">
        <v>47</v>
      </c>
      <c r="L3797" t="s">
        <v>64</v>
      </c>
      <c r="M3797" t="s">
        <v>40</v>
      </c>
      <c r="N3797">
        <v>2.5</v>
      </c>
      <c r="O3797">
        <v>0</v>
      </c>
      <c r="P3797" t="s">
        <v>29</v>
      </c>
      <c r="Q3797" t="s">
        <v>155</v>
      </c>
      <c r="R3797" t="s">
        <v>155</v>
      </c>
      <c r="S3797">
        <v>3</v>
      </c>
      <c r="T3797" t="s">
        <v>36</v>
      </c>
      <c r="U3797" t="s">
        <v>43</v>
      </c>
      <c r="V3797" s="1">
        <v>45366</v>
      </c>
      <c r="W3797">
        <f>Table1[[#This Row],[customer_purchase count]]+1</f>
        <v>4</v>
      </c>
      <c r="X3797">
        <f>Table1[[#This Row],[customer_purchase count]]*Rules!$B$3</f>
        <v>179.29307692307694</v>
      </c>
      <c r="Y3797" t="str">
        <f>IF(Table1[[#This Row],[customer_subscription]]=1,"Subscribed","Not Subscribed")</f>
        <v>Not Subscribed</v>
      </c>
      <c r="Z3797" t="s">
        <v>194</v>
      </c>
    </row>
    <row r="3798" spans="1:26" x14ac:dyDescent="0.25">
      <c r="A3798">
        <v>3797</v>
      </c>
      <c r="B3798">
        <v>40</v>
      </c>
      <c r="C3798" t="s">
        <v>156</v>
      </c>
      <c r="D3798">
        <v>3797</v>
      </c>
      <c r="E3798" t="s">
        <v>62</v>
      </c>
      <c r="F3798" t="s">
        <v>24</v>
      </c>
      <c r="G3798">
        <v>3797</v>
      </c>
      <c r="H3798">
        <v>4755</v>
      </c>
      <c r="I3798">
        <v>81</v>
      </c>
      <c r="J3798" t="s">
        <v>143</v>
      </c>
      <c r="K3798" t="s">
        <v>47</v>
      </c>
      <c r="L3798" t="s">
        <v>96</v>
      </c>
      <c r="M3798" t="s">
        <v>60</v>
      </c>
      <c r="N3798">
        <v>3.2</v>
      </c>
      <c r="O3798">
        <v>0</v>
      </c>
      <c r="P3798" t="s">
        <v>41</v>
      </c>
      <c r="Q3798" t="s">
        <v>155</v>
      </c>
      <c r="R3798" t="s">
        <v>155</v>
      </c>
      <c r="S3798">
        <v>47</v>
      </c>
      <c r="T3798" t="s">
        <v>78</v>
      </c>
      <c r="U3798" t="s">
        <v>61</v>
      </c>
      <c r="V3798" s="1">
        <v>45624</v>
      </c>
      <c r="W3798">
        <f>Table1[[#This Row],[customer_purchase count]]+1</f>
        <v>48</v>
      </c>
      <c r="X3798">
        <f>Table1[[#This Row],[customer_purchase count]]*Rules!$B$3</f>
        <v>2808.9248717948717</v>
      </c>
      <c r="Y3798" t="str">
        <f>IF(Table1[[#This Row],[customer_subscription]]=1,"Subscribed","Not Subscribed")</f>
        <v>Not Subscribed</v>
      </c>
    </row>
    <row r="3799" spans="1:26" x14ac:dyDescent="0.25">
      <c r="A3799">
        <v>3798</v>
      </c>
      <c r="B3799">
        <v>68</v>
      </c>
      <c r="C3799" t="s">
        <v>156</v>
      </c>
      <c r="D3799">
        <v>3798</v>
      </c>
      <c r="E3799" t="s">
        <v>92</v>
      </c>
      <c r="F3799" t="s">
        <v>70</v>
      </c>
      <c r="G3799">
        <v>3798</v>
      </c>
      <c r="H3799">
        <v>4756</v>
      </c>
      <c r="I3799">
        <v>44</v>
      </c>
      <c r="J3799" t="s">
        <v>102</v>
      </c>
      <c r="K3799" t="s">
        <v>47</v>
      </c>
      <c r="L3799" t="s">
        <v>27</v>
      </c>
      <c r="M3799" t="s">
        <v>56</v>
      </c>
      <c r="N3799">
        <v>2.5</v>
      </c>
      <c r="O3799">
        <v>0</v>
      </c>
      <c r="P3799" t="s">
        <v>48</v>
      </c>
      <c r="Q3799" t="s">
        <v>155</v>
      </c>
      <c r="R3799" t="s">
        <v>155</v>
      </c>
      <c r="S3799">
        <v>20</v>
      </c>
      <c r="T3799" t="s">
        <v>36</v>
      </c>
      <c r="U3799" t="s">
        <v>61</v>
      </c>
      <c r="V3799" s="1">
        <v>45493</v>
      </c>
      <c r="W3799">
        <f>Table1[[#This Row],[customer_purchase count]]+1</f>
        <v>21</v>
      </c>
      <c r="X3799">
        <f>Table1[[#This Row],[customer_purchase count]]*Rules!$B$3</f>
        <v>1195.2871794871796</v>
      </c>
      <c r="Y3799" t="str">
        <f>IF(Table1[[#This Row],[customer_subscription]]=1,"Subscribed","Not Subscribed")</f>
        <v>Not Subscribed</v>
      </c>
    </row>
    <row r="3800" spans="1:26" x14ac:dyDescent="0.25">
      <c r="A3800">
        <v>3799</v>
      </c>
      <c r="B3800">
        <v>63</v>
      </c>
      <c r="C3800" t="s">
        <v>156</v>
      </c>
      <c r="D3800">
        <v>3799</v>
      </c>
      <c r="E3800" t="s">
        <v>109</v>
      </c>
      <c r="F3800" t="s">
        <v>70</v>
      </c>
      <c r="G3800">
        <v>3799</v>
      </c>
      <c r="H3800">
        <v>4757</v>
      </c>
      <c r="I3800">
        <v>72</v>
      </c>
      <c r="J3800" t="s">
        <v>46</v>
      </c>
      <c r="K3800" t="s">
        <v>39</v>
      </c>
      <c r="L3800" t="s">
        <v>113</v>
      </c>
      <c r="M3800" t="s">
        <v>28</v>
      </c>
      <c r="N3800">
        <v>3.2</v>
      </c>
      <c r="O3800">
        <v>0</v>
      </c>
      <c r="P3800" t="s">
        <v>48</v>
      </c>
      <c r="Q3800" t="s">
        <v>155</v>
      </c>
      <c r="R3800" t="s">
        <v>155</v>
      </c>
      <c r="S3800">
        <v>23</v>
      </c>
      <c r="T3800" t="s">
        <v>42</v>
      </c>
      <c r="U3800" t="s">
        <v>52</v>
      </c>
      <c r="V3800" s="1">
        <v>45635</v>
      </c>
      <c r="W3800">
        <f>Table1[[#This Row],[customer_purchase count]]+1</f>
        <v>24</v>
      </c>
      <c r="X3800">
        <f>Table1[[#This Row],[customer_purchase count]]*Rules!$B$3</f>
        <v>1374.5802564102564</v>
      </c>
      <c r="Y3800" t="str">
        <f>IF(Table1[[#This Row],[customer_subscription]]=1,"Subscribed","Not Subscribed")</f>
        <v>Not Subscribed</v>
      </c>
    </row>
    <row r="3801" spans="1:26" x14ac:dyDescent="0.25">
      <c r="A3801">
        <v>3800</v>
      </c>
      <c r="B3801">
        <v>60</v>
      </c>
      <c r="C3801" t="s">
        <v>156</v>
      </c>
      <c r="D3801">
        <v>3800</v>
      </c>
      <c r="E3801" t="s">
        <v>105</v>
      </c>
      <c r="F3801" t="s">
        <v>66</v>
      </c>
      <c r="G3801">
        <v>3800</v>
      </c>
      <c r="H3801">
        <v>4759</v>
      </c>
      <c r="I3801">
        <v>26</v>
      </c>
      <c r="J3801" t="s">
        <v>104</v>
      </c>
      <c r="K3801" t="s">
        <v>26</v>
      </c>
      <c r="L3801" t="s">
        <v>86</v>
      </c>
      <c r="M3801" t="s">
        <v>28</v>
      </c>
      <c r="N3801">
        <v>2.6</v>
      </c>
      <c r="O3801">
        <v>0</v>
      </c>
      <c r="P3801" t="s">
        <v>77</v>
      </c>
      <c r="Q3801" t="s">
        <v>155</v>
      </c>
      <c r="R3801" t="s">
        <v>155</v>
      </c>
      <c r="S3801">
        <v>13</v>
      </c>
      <c r="T3801" t="s">
        <v>42</v>
      </c>
      <c r="U3801" t="s">
        <v>91</v>
      </c>
      <c r="V3801" s="1">
        <v>45308</v>
      </c>
      <c r="W3801">
        <f>Table1[[#This Row],[customer_purchase count]]+1</f>
        <v>14</v>
      </c>
      <c r="X3801">
        <f>Table1[[#This Row],[customer_purchase count]]*Rules!$B$3</f>
        <v>776.93666666666672</v>
      </c>
      <c r="Y3801" t="str">
        <f>IF(Table1[[#This Row],[customer_subscription]]=1,"Subscribed","Not Subscribed")</f>
        <v>Not Subscribed</v>
      </c>
      <c r="Z3801" t="s">
        <v>194</v>
      </c>
    </row>
    <row r="3802" spans="1:26" x14ac:dyDescent="0.25">
      <c r="A3802">
        <v>3801</v>
      </c>
      <c r="B3802">
        <v>19</v>
      </c>
      <c r="C3802" t="s">
        <v>156</v>
      </c>
      <c r="D3802">
        <v>3801</v>
      </c>
      <c r="E3802" t="s">
        <v>33</v>
      </c>
      <c r="F3802" t="s">
        <v>24</v>
      </c>
      <c r="G3802">
        <v>3801</v>
      </c>
      <c r="H3802">
        <v>4760</v>
      </c>
      <c r="I3802">
        <v>26</v>
      </c>
      <c r="J3802" t="s">
        <v>132</v>
      </c>
      <c r="K3802" t="s">
        <v>47</v>
      </c>
      <c r="L3802" t="s">
        <v>51</v>
      </c>
      <c r="M3802" t="s">
        <v>60</v>
      </c>
      <c r="N3802">
        <v>4.8</v>
      </c>
      <c r="O3802">
        <v>0</v>
      </c>
      <c r="P3802" t="s">
        <v>48</v>
      </c>
      <c r="Q3802" t="s">
        <v>155</v>
      </c>
      <c r="R3802" t="s">
        <v>155</v>
      </c>
      <c r="S3802">
        <v>12</v>
      </c>
      <c r="T3802" t="s">
        <v>31</v>
      </c>
      <c r="U3802" t="s">
        <v>79</v>
      </c>
      <c r="V3802" s="1">
        <v>45553</v>
      </c>
      <c r="W3802">
        <f>Table1[[#This Row],[customer_purchase count]]+1</f>
        <v>13</v>
      </c>
      <c r="X3802">
        <f>Table1[[#This Row],[customer_purchase count]]*Rules!$B$3</f>
        <v>717.17230769230775</v>
      </c>
      <c r="Y3802" t="str">
        <f>IF(Table1[[#This Row],[customer_subscription]]=1,"Subscribed","Not Subscribed")</f>
        <v>Not Subscribed</v>
      </c>
      <c r="Z3802" t="s">
        <v>187</v>
      </c>
    </row>
    <row r="3803" spans="1:26" x14ac:dyDescent="0.25">
      <c r="A3803">
        <v>3802</v>
      </c>
      <c r="B3803">
        <v>26</v>
      </c>
      <c r="C3803" t="s">
        <v>156</v>
      </c>
      <c r="D3803">
        <v>3802</v>
      </c>
      <c r="E3803" t="s">
        <v>23</v>
      </c>
      <c r="F3803" t="s">
        <v>24</v>
      </c>
      <c r="G3803">
        <v>3802</v>
      </c>
      <c r="H3803">
        <v>4761</v>
      </c>
      <c r="I3803">
        <v>84</v>
      </c>
      <c r="J3803" t="s">
        <v>25</v>
      </c>
      <c r="K3803" t="s">
        <v>47</v>
      </c>
      <c r="L3803" t="s">
        <v>103</v>
      </c>
      <c r="M3803" t="s">
        <v>40</v>
      </c>
      <c r="N3803">
        <v>5</v>
      </c>
      <c r="O3803">
        <v>0</v>
      </c>
      <c r="P3803" t="s">
        <v>77</v>
      </c>
      <c r="Q3803" t="s">
        <v>155</v>
      </c>
      <c r="R3803" t="s">
        <v>155</v>
      </c>
      <c r="S3803">
        <v>36</v>
      </c>
      <c r="T3803" t="s">
        <v>49</v>
      </c>
      <c r="U3803" t="s">
        <v>32</v>
      </c>
      <c r="V3803" s="1">
        <v>45429</v>
      </c>
      <c r="W3803">
        <f>Table1[[#This Row],[customer_purchase count]]+1</f>
        <v>37</v>
      </c>
      <c r="X3803">
        <f>Table1[[#This Row],[customer_purchase count]]*Rules!$B$3</f>
        <v>2151.5169230769234</v>
      </c>
      <c r="Y3803" t="str">
        <f>IF(Table1[[#This Row],[customer_subscription]]=1,"Subscribed","Not Subscribed")</f>
        <v>Not Subscribed</v>
      </c>
    </row>
    <row r="3804" spans="1:26" x14ac:dyDescent="0.25">
      <c r="A3804">
        <v>3803</v>
      </c>
      <c r="B3804">
        <v>70</v>
      </c>
      <c r="C3804" t="s">
        <v>156</v>
      </c>
      <c r="D3804">
        <v>3803</v>
      </c>
      <c r="E3804" t="s">
        <v>122</v>
      </c>
      <c r="F3804" t="s">
        <v>70</v>
      </c>
      <c r="G3804">
        <v>3803</v>
      </c>
      <c r="H3804">
        <v>4762</v>
      </c>
      <c r="I3804">
        <v>72</v>
      </c>
      <c r="J3804" t="s">
        <v>118</v>
      </c>
      <c r="K3804" t="s">
        <v>39</v>
      </c>
      <c r="L3804" t="s">
        <v>51</v>
      </c>
      <c r="M3804" t="s">
        <v>40</v>
      </c>
      <c r="N3804">
        <v>3.2</v>
      </c>
      <c r="O3804">
        <v>0</v>
      </c>
      <c r="P3804" t="s">
        <v>73</v>
      </c>
      <c r="Q3804" t="s">
        <v>155</v>
      </c>
      <c r="R3804" t="s">
        <v>155</v>
      </c>
      <c r="S3804">
        <v>1</v>
      </c>
      <c r="T3804" t="s">
        <v>78</v>
      </c>
      <c r="U3804" t="s">
        <v>91</v>
      </c>
      <c r="V3804" s="1">
        <v>45428</v>
      </c>
      <c r="W3804">
        <f>Table1[[#This Row],[customer_purchase count]]+1</f>
        <v>2</v>
      </c>
      <c r="X3804">
        <f>Table1[[#This Row],[customer_purchase count]]*Rules!$B$3</f>
        <v>59.764358974358977</v>
      </c>
      <c r="Y3804" t="str">
        <f>IF(Table1[[#This Row],[customer_subscription]]=1,"Subscribed","Not Subscribed")</f>
        <v>Not Subscribed</v>
      </c>
      <c r="Z3804" t="s">
        <v>194</v>
      </c>
    </row>
    <row r="3805" spans="1:26" x14ac:dyDescent="0.25">
      <c r="A3805">
        <v>3804</v>
      </c>
      <c r="B3805">
        <v>48</v>
      </c>
      <c r="C3805" t="s">
        <v>156</v>
      </c>
      <c r="D3805">
        <v>3804</v>
      </c>
      <c r="E3805" t="s">
        <v>69</v>
      </c>
      <c r="F3805" t="s">
        <v>70</v>
      </c>
      <c r="G3805">
        <v>3804</v>
      </c>
      <c r="H3805">
        <v>4763</v>
      </c>
      <c r="I3805">
        <v>55</v>
      </c>
      <c r="J3805" t="s">
        <v>142</v>
      </c>
      <c r="K3805" t="s">
        <v>47</v>
      </c>
      <c r="L3805" t="s">
        <v>86</v>
      </c>
      <c r="M3805" t="s">
        <v>40</v>
      </c>
      <c r="N3805">
        <v>3.6</v>
      </c>
      <c r="O3805">
        <v>0</v>
      </c>
      <c r="P3805" t="s">
        <v>57</v>
      </c>
      <c r="Q3805" t="s">
        <v>155</v>
      </c>
      <c r="R3805" t="s">
        <v>155</v>
      </c>
      <c r="S3805">
        <v>14</v>
      </c>
      <c r="T3805" t="s">
        <v>89</v>
      </c>
      <c r="U3805" t="s">
        <v>43</v>
      </c>
      <c r="V3805" s="1">
        <v>45375</v>
      </c>
      <c r="W3805">
        <f>Table1[[#This Row],[customer_purchase count]]+1</f>
        <v>15</v>
      </c>
      <c r="X3805">
        <f>Table1[[#This Row],[customer_purchase count]]*Rules!$B$3</f>
        <v>836.70102564102569</v>
      </c>
      <c r="Y3805" t="str">
        <f>IF(Table1[[#This Row],[customer_subscription]]=1,"Subscribed","Not Subscribed")</f>
        <v>Not Subscribed</v>
      </c>
      <c r="Z3805" t="s">
        <v>194</v>
      </c>
    </row>
    <row r="3806" spans="1:26" x14ac:dyDescent="0.25">
      <c r="A3806">
        <v>3805</v>
      </c>
      <c r="B3806">
        <v>37</v>
      </c>
      <c r="C3806" t="s">
        <v>156</v>
      </c>
      <c r="D3806">
        <v>3805</v>
      </c>
      <c r="E3806" t="s">
        <v>127</v>
      </c>
      <c r="F3806" t="s">
        <v>70</v>
      </c>
      <c r="G3806">
        <v>3805</v>
      </c>
      <c r="H3806">
        <v>4765</v>
      </c>
      <c r="I3806">
        <v>77</v>
      </c>
      <c r="J3806" t="s">
        <v>106</v>
      </c>
      <c r="K3806" t="s">
        <v>47</v>
      </c>
      <c r="L3806" t="s">
        <v>81</v>
      </c>
      <c r="M3806" t="s">
        <v>60</v>
      </c>
      <c r="N3806">
        <v>2.7</v>
      </c>
      <c r="O3806">
        <v>0</v>
      </c>
      <c r="P3806" t="s">
        <v>73</v>
      </c>
      <c r="Q3806" t="s">
        <v>155</v>
      </c>
      <c r="R3806" t="s">
        <v>155</v>
      </c>
      <c r="S3806">
        <v>45</v>
      </c>
      <c r="T3806" t="s">
        <v>36</v>
      </c>
      <c r="U3806" t="s">
        <v>52</v>
      </c>
      <c r="V3806" s="1">
        <v>45582</v>
      </c>
      <c r="W3806">
        <f>Table1[[#This Row],[customer_purchase count]]+1</f>
        <v>46</v>
      </c>
      <c r="X3806">
        <f>Table1[[#This Row],[customer_purchase count]]*Rules!$B$3</f>
        <v>2689.396153846154</v>
      </c>
      <c r="Y3806" t="str">
        <f>IF(Table1[[#This Row],[customer_subscription]]=1,"Subscribed","Not Subscribed")</f>
        <v>Not Subscribed</v>
      </c>
    </row>
    <row r="3807" spans="1:26" x14ac:dyDescent="0.25">
      <c r="A3807">
        <v>3806</v>
      </c>
      <c r="B3807">
        <v>48</v>
      </c>
      <c r="C3807" t="s">
        <v>156</v>
      </c>
      <c r="D3807">
        <v>3806</v>
      </c>
      <c r="E3807" t="s">
        <v>122</v>
      </c>
      <c r="F3807" t="s">
        <v>70</v>
      </c>
      <c r="G3807">
        <v>3806</v>
      </c>
      <c r="H3807">
        <v>4766</v>
      </c>
      <c r="I3807">
        <v>57</v>
      </c>
      <c r="J3807" t="s">
        <v>130</v>
      </c>
      <c r="K3807" t="s">
        <v>47</v>
      </c>
      <c r="L3807" t="s">
        <v>99</v>
      </c>
      <c r="M3807" t="s">
        <v>60</v>
      </c>
      <c r="N3807">
        <v>3.1</v>
      </c>
      <c r="O3807">
        <v>0</v>
      </c>
      <c r="P3807" t="s">
        <v>57</v>
      </c>
      <c r="Q3807" t="s">
        <v>155</v>
      </c>
      <c r="R3807" t="s">
        <v>155</v>
      </c>
      <c r="S3807">
        <v>31</v>
      </c>
      <c r="T3807" t="s">
        <v>42</v>
      </c>
      <c r="U3807" t="s">
        <v>61</v>
      </c>
      <c r="V3807" s="1">
        <v>45561</v>
      </c>
      <c r="W3807">
        <f>Table1[[#This Row],[customer_purchase count]]+1</f>
        <v>32</v>
      </c>
      <c r="X3807">
        <f>Table1[[#This Row],[customer_purchase count]]*Rules!$B$3</f>
        <v>1852.6951282051282</v>
      </c>
      <c r="Y3807" t="str">
        <f>IF(Table1[[#This Row],[customer_subscription]]=1,"Subscribed","Not Subscribed")</f>
        <v>Not Subscribed</v>
      </c>
    </row>
    <row r="3808" spans="1:26" x14ac:dyDescent="0.25">
      <c r="A3808">
        <v>3807</v>
      </c>
      <c r="B3808">
        <v>18</v>
      </c>
      <c r="C3808" t="s">
        <v>156</v>
      </c>
      <c r="D3808">
        <v>3807</v>
      </c>
      <c r="E3808" t="s">
        <v>140</v>
      </c>
      <c r="F3808" t="s">
        <v>45</v>
      </c>
      <c r="G3808">
        <v>3807</v>
      </c>
      <c r="H3808">
        <v>4767</v>
      </c>
      <c r="I3808">
        <v>71</v>
      </c>
      <c r="J3808" t="s">
        <v>71</v>
      </c>
      <c r="K3808" t="s">
        <v>47</v>
      </c>
      <c r="L3808" t="s">
        <v>88</v>
      </c>
      <c r="M3808" t="s">
        <v>40</v>
      </c>
      <c r="N3808">
        <v>3</v>
      </c>
      <c r="O3808">
        <v>0</v>
      </c>
      <c r="P3808" t="s">
        <v>57</v>
      </c>
      <c r="Q3808" t="s">
        <v>155</v>
      </c>
      <c r="R3808" t="s">
        <v>155</v>
      </c>
      <c r="S3808">
        <v>41</v>
      </c>
      <c r="T3808" t="s">
        <v>49</v>
      </c>
      <c r="U3808" t="s">
        <v>43</v>
      </c>
      <c r="V3808" s="1">
        <v>45354</v>
      </c>
      <c r="W3808">
        <f>Table1[[#This Row],[customer_purchase count]]+1</f>
        <v>42</v>
      </c>
      <c r="X3808">
        <f>Table1[[#This Row],[customer_purchase count]]*Rules!$B$3</f>
        <v>2450.3387179487181</v>
      </c>
      <c r="Y3808" t="str">
        <f>IF(Table1[[#This Row],[customer_subscription]]=1,"Subscribed","Not Subscribed")</f>
        <v>Not Subscribed</v>
      </c>
    </row>
    <row r="3809" spans="1:26" x14ac:dyDescent="0.25">
      <c r="A3809">
        <v>3808</v>
      </c>
      <c r="B3809">
        <v>38</v>
      </c>
      <c r="C3809" t="s">
        <v>156</v>
      </c>
      <c r="D3809">
        <v>3808</v>
      </c>
      <c r="E3809" t="s">
        <v>23</v>
      </c>
      <c r="F3809" t="s">
        <v>24</v>
      </c>
      <c r="G3809">
        <v>3808</v>
      </c>
      <c r="H3809">
        <v>4768</v>
      </c>
      <c r="I3809">
        <v>39</v>
      </c>
      <c r="J3809" t="s">
        <v>154</v>
      </c>
      <c r="K3809" t="s">
        <v>26</v>
      </c>
      <c r="L3809" t="s">
        <v>103</v>
      </c>
      <c r="M3809" t="s">
        <v>40</v>
      </c>
      <c r="N3809">
        <v>2.9</v>
      </c>
      <c r="O3809">
        <v>0</v>
      </c>
      <c r="P3809" t="s">
        <v>48</v>
      </c>
      <c r="Q3809" t="s">
        <v>155</v>
      </c>
      <c r="R3809" t="s">
        <v>155</v>
      </c>
      <c r="S3809">
        <v>36</v>
      </c>
      <c r="T3809" t="s">
        <v>49</v>
      </c>
      <c r="U3809" t="s">
        <v>52</v>
      </c>
      <c r="V3809" s="1">
        <v>45431</v>
      </c>
      <c r="W3809">
        <f>Table1[[#This Row],[customer_purchase count]]+1</f>
        <v>37</v>
      </c>
      <c r="X3809">
        <f>Table1[[#This Row],[customer_purchase count]]*Rules!$B$3</f>
        <v>2151.5169230769234</v>
      </c>
      <c r="Y3809" t="str">
        <f>IF(Table1[[#This Row],[customer_subscription]]=1,"Subscribed","Not Subscribed")</f>
        <v>Not Subscribed</v>
      </c>
    </row>
    <row r="3810" spans="1:26" x14ac:dyDescent="0.25">
      <c r="A3810">
        <v>3809</v>
      </c>
      <c r="B3810">
        <v>33</v>
      </c>
      <c r="C3810" t="s">
        <v>156</v>
      </c>
      <c r="D3810">
        <v>3809</v>
      </c>
      <c r="E3810" t="s">
        <v>128</v>
      </c>
      <c r="F3810" t="s">
        <v>24</v>
      </c>
      <c r="G3810">
        <v>3809</v>
      </c>
      <c r="H3810">
        <v>4769</v>
      </c>
      <c r="I3810">
        <v>28</v>
      </c>
      <c r="J3810" t="s">
        <v>152</v>
      </c>
      <c r="K3810" t="s">
        <v>47</v>
      </c>
      <c r="L3810" t="s">
        <v>72</v>
      </c>
      <c r="M3810" t="s">
        <v>28</v>
      </c>
      <c r="N3810">
        <v>4.7</v>
      </c>
      <c r="O3810">
        <v>0</v>
      </c>
      <c r="P3810" t="s">
        <v>29</v>
      </c>
      <c r="Q3810" t="s">
        <v>155</v>
      </c>
      <c r="R3810" t="s">
        <v>155</v>
      </c>
      <c r="S3810">
        <v>6</v>
      </c>
      <c r="T3810" t="s">
        <v>89</v>
      </c>
      <c r="U3810" t="s">
        <v>79</v>
      </c>
      <c r="V3810" s="1">
        <v>45338</v>
      </c>
      <c r="W3810">
        <f>Table1[[#This Row],[customer_purchase count]]+1</f>
        <v>7</v>
      </c>
      <c r="X3810">
        <f>Table1[[#This Row],[customer_purchase count]]*Rules!$B$3</f>
        <v>358.58615384615388</v>
      </c>
      <c r="Y3810" t="str">
        <f>IF(Table1[[#This Row],[customer_subscription]]=1,"Subscribed","Not Subscribed")</f>
        <v>Not Subscribed</v>
      </c>
      <c r="Z3810" t="s">
        <v>194</v>
      </c>
    </row>
    <row r="3811" spans="1:26" x14ac:dyDescent="0.25">
      <c r="A3811">
        <v>3810</v>
      </c>
      <c r="B3811">
        <v>57</v>
      </c>
      <c r="C3811" t="s">
        <v>156</v>
      </c>
      <c r="D3811">
        <v>3810</v>
      </c>
      <c r="E3811" t="s">
        <v>74</v>
      </c>
      <c r="F3811" t="s">
        <v>45</v>
      </c>
      <c r="G3811">
        <v>3810</v>
      </c>
      <c r="H3811">
        <v>4771</v>
      </c>
      <c r="I3811">
        <v>33</v>
      </c>
      <c r="J3811" t="s">
        <v>87</v>
      </c>
      <c r="K3811" t="s">
        <v>39</v>
      </c>
      <c r="L3811" t="s">
        <v>35</v>
      </c>
      <c r="M3811" t="s">
        <v>28</v>
      </c>
      <c r="N3811">
        <v>3.7</v>
      </c>
      <c r="O3811">
        <v>0</v>
      </c>
      <c r="P3811" t="s">
        <v>57</v>
      </c>
      <c r="Q3811" t="s">
        <v>155</v>
      </c>
      <c r="R3811" t="s">
        <v>155</v>
      </c>
      <c r="S3811">
        <v>28</v>
      </c>
      <c r="T3811" t="s">
        <v>42</v>
      </c>
      <c r="U3811" t="s">
        <v>52</v>
      </c>
      <c r="V3811" s="1">
        <v>45310</v>
      </c>
      <c r="W3811">
        <f>Table1[[#This Row],[customer_purchase count]]+1</f>
        <v>29</v>
      </c>
      <c r="X3811">
        <f>Table1[[#This Row],[customer_purchase count]]*Rules!$B$3</f>
        <v>1673.4020512820514</v>
      </c>
      <c r="Y3811" t="str">
        <f>IF(Table1[[#This Row],[customer_subscription]]=1,"Subscribed","Not Subscribed")</f>
        <v>Not Subscribed</v>
      </c>
    </row>
    <row r="3812" spans="1:26" x14ac:dyDescent="0.25">
      <c r="A3812">
        <v>3811</v>
      </c>
      <c r="B3812">
        <v>46</v>
      </c>
      <c r="C3812" t="s">
        <v>156</v>
      </c>
      <c r="D3812">
        <v>3811</v>
      </c>
      <c r="E3812" t="s">
        <v>90</v>
      </c>
      <c r="F3812" t="s">
        <v>24</v>
      </c>
      <c r="G3812">
        <v>3811</v>
      </c>
      <c r="H3812">
        <v>4772</v>
      </c>
      <c r="I3812">
        <v>79</v>
      </c>
      <c r="J3812" t="s">
        <v>153</v>
      </c>
      <c r="K3812" t="s">
        <v>26</v>
      </c>
      <c r="L3812" t="s">
        <v>103</v>
      </c>
      <c r="M3812" t="s">
        <v>60</v>
      </c>
      <c r="N3812">
        <v>3.9</v>
      </c>
      <c r="O3812">
        <v>0</v>
      </c>
      <c r="P3812" t="s">
        <v>41</v>
      </c>
      <c r="Q3812" t="s">
        <v>155</v>
      </c>
      <c r="R3812" t="s">
        <v>155</v>
      </c>
      <c r="S3812">
        <v>29</v>
      </c>
      <c r="T3812" t="s">
        <v>31</v>
      </c>
      <c r="U3812" t="s">
        <v>91</v>
      </c>
      <c r="V3812" s="1">
        <v>45619</v>
      </c>
      <c r="W3812">
        <f>Table1[[#This Row],[customer_purchase count]]+1</f>
        <v>30</v>
      </c>
      <c r="X3812">
        <f>Table1[[#This Row],[customer_purchase count]]*Rules!$B$3</f>
        <v>1733.1664102564102</v>
      </c>
      <c r="Y3812" t="str">
        <f>IF(Table1[[#This Row],[customer_subscription]]=1,"Subscribed","Not Subscribed")</f>
        <v>Not Subscribed</v>
      </c>
    </row>
    <row r="3813" spans="1:26" x14ac:dyDescent="0.25">
      <c r="A3813">
        <v>3812</v>
      </c>
      <c r="B3813">
        <v>46</v>
      </c>
      <c r="C3813" t="s">
        <v>156</v>
      </c>
      <c r="D3813">
        <v>3812</v>
      </c>
      <c r="E3813" t="s">
        <v>136</v>
      </c>
      <c r="F3813" t="s">
        <v>70</v>
      </c>
      <c r="G3813">
        <v>3812</v>
      </c>
      <c r="H3813">
        <v>4773</v>
      </c>
      <c r="I3813">
        <v>30</v>
      </c>
      <c r="J3813" t="s">
        <v>138</v>
      </c>
      <c r="K3813" t="s">
        <v>47</v>
      </c>
      <c r="L3813" t="s">
        <v>35</v>
      </c>
      <c r="M3813" t="s">
        <v>28</v>
      </c>
      <c r="N3813">
        <v>4</v>
      </c>
      <c r="O3813">
        <v>0</v>
      </c>
      <c r="P3813" t="s">
        <v>57</v>
      </c>
      <c r="Q3813" t="s">
        <v>155</v>
      </c>
      <c r="R3813" t="s">
        <v>155</v>
      </c>
      <c r="S3813">
        <v>14</v>
      </c>
      <c r="T3813" t="s">
        <v>36</v>
      </c>
      <c r="U3813" t="s">
        <v>91</v>
      </c>
      <c r="V3813" s="1">
        <v>45627</v>
      </c>
      <c r="W3813">
        <f>Table1[[#This Row],[customer_purchase count]]+1</f>
        <v>15</v>
      </c>
      <c r="X3813">
        <f>Table1[[#This Row],[customer_purchase count]]*Rules!$B$3</f>
        <v>836.70102564102569</v>
      </c>
      <c r="Y3813" t="str">
        <f>IF(Table1[[#This Row],[customer_subscription]]=1,"Subscribed","Not Subscribed")</f>
        <v>Not Subscribed</v>
      </c>
      <c r="Z3813" t="s">
        <v>194</v>
      </c>
    </row>
    <row r="3814" spans="1:26" x14ac:dyDescent="0.25">
      <c r="A3814">
        <v>3813</v>
      </c>
      <c r="B3814">
        <v>50</v>
      </c>
      <c r="C3814" t="s">
        <v>156</v>
      </c>
      <c r="D3814">
        <v>3813</v>
      </c>
      <c r="E3814" t="s">
        <v>90</v>
      </c>
      <c r="F3814" t="s">
        <v>24</v>
      </c>
      <c r="G3814">
        <v>3813</v>
      </c>
      <c r="H3814">
        <v>4774</v>
      </c>
      <c r="I3814">
        <v>75</v>
      </c>
      <c r="J3814" t="s">
        <v>154</v>
      </c>
      <c r="K3814" t="s">
        <v>47</v>
      </c>
      <c r="L3814" t="s">
        <v>72</v>
      </c>
      <c r="M3814" t="s">
        <v>40</v>
      </c>
      <c r="N3814">
        <v>2.8</v>
      </c>
      <c r="O3814">
        <v>0</v>
      </c>
      <c r="P3814" t="s">
        <v>48</v>
      </c>
      <c r="Q3814" t="s">
        <v>155</v>
      </c>
      <c r="R3814" t="s">
        <v>155</v>
      </c>
      <c r="S3814">
        <v>7</v>
      </c>
      <c r="T3814" t="s">
        <v>78</v>
      </c>
      <c r="U3814" t="s">
        <v>100</v>
      </c>
      <c r="V3814" s="1">
        <v>45423</v>
      </c>
      <c r="W3814">
        <f>Table1[[#This Row],[customer_purchase count]]+1</f>
        <v>8</v>
      </c>
      <c r="X3814">
        <f>Table1[[#This Row],[customer_purchase count]]*Rules!$B$3</f>
        <v>418.35051282051285</v>
      </c>
      <c r="Y3814" t="str">
        <f>IF(Table1[[#This Row],[customer_subscription]]=1,"Subscribed","Not Subscribed")</f>
        <v>Not Subscribed</v>
      </c>
      <c r="Z3814" t="s">
        <v>194</v>
      </c>
    </row>
    <row r="3815" spans="1:26" x14ac:dyDescent="0.25">
      <c r="A3815">
        <v>3814</v>
      </c>
      <c r="B3815">
        <v>61</v>
      </c>
      <c r="C3815" t="s">
        <v>156</v>
      </c>
      <c r="D3815">
        <v>3814</v>
      </c>
      <c r="E3815" t="s">
        <v>98</v>
      </c>
      <c r="F3815" t="s">
        <v>24</v>
      </c>
      <c r="G3815">
        <v>3814</v>
      </c>
      <c r="H3815">
        <v>4775</v>
      </c>
      <c r="I3815">
        <v>89</v>
      </c>
      <c r="J3815" t="s">
        <v>145</v>
      </c>
      <c r="K3815" t="s">
        <v>47</v>
      </c>
      <c r="L3815" t="s">
        <v>124</v>
      </c>
      <c r="M3815" t="s">
        <v>56</v>
      </c>
      <c r="N3815">
        <v>4.0999999999999996</v>
      </c>
      <c r="O3815">
        <v>0</v>
      </c>
      <c r="P3815" t="s">
        <v>29</v>
      </c>
      <c r="Q3815" t="s">
        <v>155</v>
      </c>
      <c r="R3815" t="s">
        <v>155</v>
      </c>
      <c r="S3815">
        <v>31</v>
      </c>
      <c r="T3815" t="s">
        <v>31</v>
      </c>
      <c r="U3815" t="s">
        <v>79</v>
      </c>
      <c r="V3815" s="1">
        <v>45478</v>
      </c>
      <c r="W3815">
        <f>Table1[[#This Row],[customer_purchase count]]+1</f>
        <v>32</v>
      </c>
      <c r="X3815">
        <f>Table1[[#This Row],[customer_purchase count]]*Rules!$B$3</f>
        <v>1852.6951282051282</v>
      </c>
      <c r="Y3815" t="str">
        <f>IF(Table1[[#This Row],[customer_subscription]]=1,"Subscribed","Not Subscribed")</f>
        <v>Not Subscribed</v>
      </c>
    </row>
    <row r="3816" spans="1:26" x14ac:dyDescent="0.25">
      <c r="A3816">
        <v>3815</v>
      </c>
      <c r="B3816">
        <v>45</v>
      </c>
      <c r="C3816" t="s">
        <v>156</v>
      </c>
      <c r="D3816">
        <v>3815</v>
      </c>
      <c r="E3816" t="s">
        <v>84</v>
      </c>
      <c r="F3816" t="s">
        <v>24</v>
      </c>
      <c r="G3816">
        <v>3815</v>
      </c>
      <c r="H3816">
        <v>4777</v>
      </c>
      <c r="I3816">
        <v>95</v>
      </c>
      <c r="J3816" t="s">
        <v>154</v>
      </c>
      <c r="K3816" t="s">
        <v>47</v>
      </c>
      <c r="L3816" t="s">
        <v>124</v>
      </c>
      <c r="M3816" t="s">
        <v>28</v>
      </c>
      <c r="N3816">
        <v>4.2</v>
      </c>
      <c r="O3816">
        <v>0</v>
      </c>
      <c r="P3816" t="s">
        <v>41</v>
      </c>
      <c r="Q3816" t="s">
        <v>155</v>
      </c>
      <c r="R3816" t="s">
        <v>155</v>
      </c>
      <c r="S3816">
        <v>26</v>
      </c>
      <c r="T3816" t="s">
        <v>78</v>
      </c>
      <c r="U3816" t="s">
        <v>100</v>
      </c>
      <c r="V3816" s="1">
        <v>45633</v>
      </c>
      <c r="W3816">
        <f>Table1[[#This Row],[customer_purchase count]]+1</f>
        <v>27</v>
      </c>
      <c r="X3816">
        <f>Table1[[#This Row],[customer_purchase count]]*Rules!$B$3</f>
        <v>1553.8733333333334</v>
      </c>
      <c r="Y3816" t="str">
        <f>IF(Table1[[#This Row],[customer_subscription]]=1,"Subscribed","Not Subscribed")</f>
        <v>Not Subscribed</v>
      </c>
    </row>
    <row r="3817" spans="1:26" x14ac:dyDescent="0.25">
      <c r="A3817">
        <v>3816</v>
      </c>
      <c r="B3817">
        <v>32</v>
      </c>
      <c r="C3817" t="s">
        <v>156</v>
      </c>
      <c r="D3817">
        <v>3816</v>
      </c>
      <c r="E3817" t="s">
        <v>127</v>
      </c>
      <c r="F3817" t="s">
        <v>70</v>
      </c>
      <c r="G3817">
        <v>3816</v>
      </c>
      <c r="H3817">
        <v>4778</v>
      </c>
      <c r="I3817">
        <v>44</v>
      </c>
      <c r="J3817" t="s">
        <v>34</v>
      </c>
      <c r="K3817" t="s">
        <v>47</v>
      </c>
      <c r="L3817" t="s">
        <v>113</v>
      </c>
      <c r="M3817" t="s">
        <v>60</v>
      </c>
      <c r="N3817">
        <v>4.3</v>
      </c>
      <c r="O3817">
        <v>0</v>
      </c>
      <c r="P3817" t="s">
        <v>29</v>
      </c>
      <c r="Q3817" t="s">
        <v>155</v>
      </c>
      <c r="R3817" t="s">
        <v>155</v>
      </c>
      <c r="S3817">
        <v>12</v>
      </c>
      <c r="T3817" t="s">
        <v>31</v>
      </c>
      <c r="U3817" t="s">
        <v>32</v>
      </c>
      <c r="V3817" s="1">
        <v>45579</v>
      </c>
      <c r="W3817">
        <f>Table1[[#This Row],[customer_purchase count]]+1</f>
        <v>13</v>
      </c>
      <c r="X3817">
        <f>Table1[[#This Row],[customer_purchase count]]*Rules!$B$3</f>
        <v>717.17230769230775</v>
      </c>
      <c r="Y3817" t="str">
        <f>IF(Table1[[#This Row],[customer_subscription]]=1,"Subscribed","Not Subscribed")</f>
        <v>Not Subscribed</v>
      </c>
      <c r="Z3817" t="s">
        <v>194</v>
      </c>
    </row>
    <row r="3818" spans="1:26" x14ac:dyDescent="0.25">
      <c r="A3818">
        <v>3817</v>
      </c>
      <c r="B3818">
        <v>29</v>
      </c>
      <c r="C3818" t="s">
        <v>156</v>
      </c>
      <c r="D3818">
        <v>3817</v>
      </c>
      <c r="E3818" t="s">
        <v>65</v>
      </c>
      <c r="F3818" t="s">
        <v>66</v>
      </c>
      <c r="G3818">
        <v>3817</v>
      </c>
      <c r="H3818">
        <v>4779</v>
      </c>
      <c r="I3818">
        <v>86</v>
      </c>
      <c r="J3818" t="s">
        <v>131</v>
      </c>
      <c r="K3818" t="s">
        <v>39</v>
      </c>
      <c r="L3818" t="s">
        <v>68</v>
      </c>
      <c r="M3818" t="s">
        <v>56</v>
      </c>
      <c r="N3818">
        <v>4.3</v>
      </c>
      <c r="O3818">
        <v>0</v>
      </c>
      <c r="P3818" t="s">
        <v>77</v>
      </c>
      <c r="Q3818" t="s">
        <v>155</v>
      </c>
      <c r="R3818" t="s">
        <v>155</v>
      </c>
      <c r="S3818">
        <v>45</v>
      </c>
      <c r="T3818" t="s">
        <v>42</v>
      </c>
      <c r="U3818" t="s">
        <v>32</v>
      </c>
      <c r="V3818" s="1">
        <v>45524</v>
      </c>
      <c r="W3818">
        <f>Table1[[#This Row],[customer_purchase count]]+1</f>
        <v>46</v>
      </c>
      <c r="X3818">
        <f>Table1[[#This Row],[customer_purchase count]]*Rules!$B$3</f>
        <v>2689.396153846154</v>
      </c>
      <c r="Y3818" t="str">
        <f>IF(Table1[[#This Row],[customer_subscription]]=1,"Subscribed","Not Subscribed")</f>
        <v>Not Subscribed</v>
      </c>
    </row>
    <row r="3819" spans="1:26" x14ac:dyDescent="0.25">
      <c r="A3819">
        <v>3818</v>
      </c>
      <c r="B3819">
        <v>66</v>
      </c>
      <c r="C3819" t="s">
        <v>156</v>
      </c>
      <c r="D3819">
        <v>3818</v>
      </c>
      <c r="E3819" t="s">
        <v>122</v>
      </c>
      <c r="F3819" t="s">
        <v>70</v>
      </c>
      <c r="G3819">
        <v>3818</v>
      </c>
      <c r="H3819">
        <v>4780</v>
      </c>
      <c r="I3819">
        <v>91</v>
      </c>
      <c r="J3819" t="s">
        <v>71</v>
      </c>
      <c r="K3819" t="s">
        <v>47</v>
      </c>
      <c r="L3819" t="s">
        <v>139</v>
      </c>
      <c r="M3819" t="s">
        <v>60</v>
      </c>
      <c r="N3819">
        <v>2.6</v>
      </c>
      <c r="O3819">
        <v>0</v>
      </c>
      <c r="P3819" t="s">
        <v>29</v>
      </c>
      <c r="Q3819" t="s">
        <v>155</v>
      </c>
      <c r="R3819" t="s">
        <v>155</v>
      </c>
      <c r="S3819">
        <v>40</v>
      </c>
      <c r="T3819" t="s">
        <v>49</v>
      </c>
      <c r="U3819" t="s">
        <v>52</v>
      </c>
      <c r="V3819" s="1">
        <v>45610</v>
      </c>
      <c r="W3819">
        <f>Table1[[#This Row],[customer_purchase count]]+1</f>
        <v>41</v>
      </c>
      <c r="X3819">
        <f>Table1[[#This Row],[customer_purchase count]]*Rules!$B$3</f>
        <v>2390.5743589743593</v>
      </c>
      <c r="Y3819" t="str">
        <f>IF(Table1[[#This Row],[customer_subscription]]=1,"Subscribed","Not Subscribed")</f>
        <v>Not Subscribed</v>
      </c>
    </row>
    <row r="3820" spans="1:26" x14ac:dyDescent="0.25">
      <c r="A3820">
        <v>3819</v>
      </c>
      <c r="B3820">
        <v>70</v>
      </c>
      <c r="C3820" t="s">
        <v>156</v>
      </c>
      <c r="D3820">
        <v>3819</v>
      </c>
      <c r="E3820" t="s">
        <v>53</v>
      </c>
      <c r="F3820" t="s">
        <v>45</v>
      </c>
      <c r="G3820">
        <v>3819</v>
      </c>
      <c r="H3820">
        <v>4781</v>
      </c>
      <c r="I3820">
        <v>41</v>
      </c>
      <c r="J3820" t="s">
        <v>50</v>
      </c>
      <c r="K3820" t="s">
        <v>95</v>
      </c>
      <c r="L3820" t="s">
        <v>129</v>
      </c>
      <c r="M3820" t="s">
        <v>28</v>
      </c>
      <c r="N3820">
        <v>3.8</v>
      </c>
      <c r="O3820">
        <v>0</v>
      </c>
      <c r="P3820" t="s">
        <v>41</v>
      </c>
      <c r="Q3820" t="s">
        <v>155</v>
      </c>
      <c r="R3820" t="s">
        <v>155</v>
      </c>
      <c r="S3820">
        <v>42</v>
      </c>
      <c r="T3820" t="s">
        <v>36</v>
      </c>
      <c r="U3820" t="s">
        <v>91</v>
      </c>
      <c r="V3820" s="1">
        <v>45646</v>
      </c>
      <c r="W3820">
        <f>Table1[[#This Row],[customer_purchase count]]+1</f>
        <v>43</v>
      </c>
      <c r="X3820">
        <f>Table1[[#This Row],[customer_purchase count]]*Rules!$B$3</f>
        <v>2510.103076923077</v>
      </c>
      <c r="Y3820" t="str">
        <f>IF(Table1[[#This Row],[customer_subscription]]=1,"Subscribed","Not Subscribed")</f>
        <v>Not Subscribed</v>
      </c>
    </row>
    <row r="3821" spans="1:26" x14ac:dyDescent="0.25">
      <c r="A3821">
        <v>3820</v>
      </c>
      <c r="B3821">
        <v>36</v>
      </c>
      <c r="C3821" t="s">
        <v>156</v>
      </c>
      <c r="D3821">
        <v>3820</v>
      </c>
      <c r="E3821" t="s">
        <v>98</v>
      </c>
      <c r="F3821" t="s">
        <v>24</v>
      </c>
      <c r="G3821">
        <v>3820</v>
      </c>
      <c r="H3821">
        <v>4783</v>
      </c>
      <c r="I3821">
        <v>99</v>
      </c>
      <c r="J3821" t="s">
        <v>75</v>
      </c>
      <c r="K3821" t="s">
        <v>39</v>
      </c>
      <c r="L3821" t="s">
        <v>83</v>
      </c>
      <c r="M3821" t="s">
        <v>40</v>
      </c>
      <c r="N3821">
        <v>2.9</v>
      </c>
      <c r="O3821">
        <v>0</v>
      </c>
      <c r="P3821" t="s">
        <v>29</v>
      </c>
      <c r="Q3821" t="s">
        <v>155</v>
      </c>
      <c r="R3821" t="s">
        <v>155</v>
      </c>
      <c r="S3821">
        <v>45</v>
      </c>
      <c r="T3821" t="s">
        <v>36</v>
      </c>
      <c r="U3821" t="s">
        <v>61</v>
      </c>
      <c r="V3821" s="1">
        <v>45356</v>
      </c>
      <c r="W3821">
        <f>Table1[[#This Row],[customer_purchase count]]+1</f>
        <v>46</v>
      </c>
      <c r="X3821">
        <f>Table1[[#This Row],[customer_purchase count]]*Rules!$B$3</f>
        <v>2689.396153846154</v>
      </c>
      <c r="Y3821" t="str">
        <f>IF(Table1[[#This Row],[customer_subscription]]=1,"Subscribed","Not Subscribed")</f>
        <v>Not Subscribed</v>
      </c>
    </row>
    <row r="3822" spans="1:26" x14ac:dyDescent="0.25">
      <c r="A3822">
        <v>3821</v>
      </c>
      <c r="B3822">
        <v>34</v>
      </c>
      <c r="C3822" t="s">
        <v>156</v>
      </c>
      <c r="D3822">
        <v>3821</v>
      </c>
      <c r="E3822" t="s">
        <v>136</v>
      </c>
      <c r="F3822" t="s">
        <v>70</v>
      </c>
      <c r="G3822">
        <v>3821</v>
      </c>
      <c r="H3822">
        <v>4784</v>
      </c>
      <c r="I3822">
        <v>65</v>
      </c>
      <c r="J3822" t="s">
        <v>85</v>
      </c>
      <c r="K3822" t="s">
        <v>47</v>
      </c>
      <c r="L3822" t="s">
        <v>76</v>
      </c>
      <c r="M3822" t="s">
        <v>28</v>
      </c>
      <c r="N3822">
        <v>5</v>
      </c>
      <c r="O3822">
        <v>0</v>
      </c>
      <c r="P3822" t="s">
        <v>57</v>
      </c>
      <c r="Q3822" t="s">
        <v>155</v>
      </c>
      <c r="R3822" t="s">
        <v>155</v>
      </c>
      <c r="S3822">
        <v>34</v>
      </c>
      <c r="T3822" t="s">
        <v>89</v>
      </c>
      <c r="U3822" t="s">
        <v>61</v>
      </c>
      <c r="V3822" s="1">
        <v>45333</v>
      </c>
      <c r="W3822">
        <f>Table1[[#This Row],[customer_purchase count]]+1</f>
        <v>35</v>
      </c>
      <c r="X3822">
        <f>Table1[[#This Row],[customer_purchase count]]*Rules!$B$3</f>
        <v>2031.9882051282052</v>
      </c>
      <c r="Y3822" t="str">
        <f>IF(Table1[[#This Row],[customer_subscription]]=1,"Subscribed","Not Subscribed")</f>
        <v>Not Subscribed</v>
      </c>
    </row>
    <row r="3823" spans="1:26" x14ac:dyDescent="0.25">
      <c r="A3823">
        <v>3822</v>
      </c>
      <c r="B3823">
        <v>20</v>
      </c>
      <c r="C3823" t="s">
        <v>156</v>
      </c>
      <c r="D3823">
        <v>3822</v>
      </c>
      <c r="E3823" t="s">
        <v>53</v>
      </c>
      <c r="F3823" t="s">
        <v>45</v>
      </c>
      <c r="G3823">
        <v>3822</v>
      </c>
      <c r="H3823">
        <v>4785</v>
      </c>
      <c r="I3823">
        <v>48</v>
      </c>
      <c r="J3823" t="s">
        <v>50</v>
      </c>
      <c r="K3823" t="s">
        <v>47</v>
      </c>
      <c r="L3823" t="s">
        <v>83</v>
      </c>
      <c r="M3823" t="s">
        <v>56</v>
      </c>
      <c r="N3823">
        <v>4.5999999999999996</v>
      </c>
      <c r="O3823">
        <v>0</v>
      </c>
      <c r="P3823" t="s">
        <v>41</v>
      </c>
      <c r="Q3823" t="s">
        <v>155</v>
      </c>
      <c r="R3823" t="s">
        <v>155</v>
      </c>
      <c r="S3823">
        <v>34</v>
      </c>
      <c r="T3823" t="s">
        <v>42</v>
      </c>
      <c r="U3823" t="s">
        <v>100</v>
      </c>
      <c r="V3823" s="1">
        <v>45447</v>
      </c>
      <c r="W3823">
        <f>Table1[[#This Row],[customer_purchase count]]+1</f>
        <v>35</v>
      </c>
      <c r="X3823">
        <f>Table1[[#This Row],[customer_purchase count]]*Rules!$B$3</f>
        <v>2031.9882051282052</v>
      </c>
      <c r="Y3823" t="str">
        <f>IF(Table1[[#This Row],[customer_subscription]]=1,"Subscribed","Not Subscribed")</f>
        <v>Not Subscribed</v>
      </c>
    </row>
    <row r="3824" spans="1:26" x14ac:dyDescent="0.25">
      <c r="A3824">
        <v>3823</v>
      </c>
      <c r="B3824">
        <v>70</v>
      </c>
      <c r="C3824" t="s">
        <v>156</v>
      </c>
      <c r="D3824">
        <v>3823</v>
      </c>
      <c r="E3824" t="s">
        <v>127</v>
      </c>
      <c r="F3824" t="s">
        <v>70</v>
      </c>
      <c r="G3824">
        <v>3823</v>
      </c>
      <c r="H3824">
        <v>4786</v>
      </c>
      <c r="I3824">
        <v>41</v>
      </c>
      <c r="J3824" t="s">
        <v>114</v>
      </c>
      <c r="K3824" t="s">
        <v>39</v>
      </c>
      <c r="L3824" t="s">
        <v>83</v>
      </c>
      <c r="M3824" t="s">
        <v>40</v>
      </c>
      <c r="N3824">
        <v>3.2</v>
      </c>
      <c r="O3824">
        <v>0</v>
      </c>
      <c r="P3824" t="s">
        <v>41</v>
      </c>
      <c r="Q3824" t="s">
        <v>155</v>
      </c>
      <c r="R3824" t="s">
        <v>155</v>
      </c>
      <c r="S3824">
        <v>17</v>
      </c>
      <c r="T3824" t="s">
        <v>49</v>
      </c>
      <c r="U3824" t="s">
        <v>100</v>
      </c>
      <c r="V3824" s="1">
        <v>45377</v>
      </c>
      <c r="W3824">
        <f>Table1[[#This Row],[customer_purchase count]]+1</f>
        <v>18</v>
      </c>
      <c r="X3824">
        <f>Table1[[#This Row],[customer_purchase count]]*Rules!$B$3</f>
        <v>1015.9941025641026</v>
      </c>
      <c r="Y3824" t="str">
        <f>IF(Table1[[#This Row],[customer_subscription]]=1,"Subscribed","Not Subscribed")</f>
        <v>Not Subscribed</v>
      </c>
      <c r="Z3824" t="s">
        <v>194</v>
      </c>
    </row>
    <row r="3825" spans="1:26" x14ac:dyDescent="0.25">
      <c r="A3825">
        <v>3824</v>
      </c>
      <c r="B3825">
        <v>50</v>
      </c>
      <c r="C3825" t="s">
        <v>156</v>
      </c>
      <c r="D3825">
        <v>3824</v>
      </c>
      <c r="E3825" t="s">
        <v>58</v>
      </c>
      <c r="F3825" t="s">
        <v>24</v>
      </c>
      <c r="G3825">
        <v>3824</v>
      </c>
      <c r="H3825">
        <v>4787</v>
      </c>
      <c r="I3825">
        <v>42</v>
      </c>
      <c r="J3825" t="s">
        <v>102</v>
      </c>
      <c r="K3825" t="s">
        <v>47</v>
      </c>
      <c r="L3825" t="s">
        <v>83</v>
      </c>
      <c r="M3825" t="s">
        <v>56</v>
      </c>
      <c r="N3825">
        <v>3</v>
      </c>
      <c r="O3825">
        <v>0</v>
      </c>
      <c r="P3825" t="s">
        <v>57</v>
      </c>
      <c r="Q3825" t="s">
        <v>155</v>
      </c>
      <c r="R3825" t="s">
        <v>155</v>
      </c>
      <c r="S3825">
        <v>27</v>
      </c>
      <c r="T3825" t="s">
        <v>78</v>
      </c>
      <c r="U3825" t="s">
        <v>43</v>
      </c>
      <c r="V3825" s="1">
        <v>45479</v>
      </c>
      <c r="W3825">
        <f>Table1[[#This Row],[customer_purchase count]]+1</f>
        <v>28</v>
      </c>
      <c r="X3825">
        <f>Table1[[#This Row],[customer_purchase count]]*Rules!$B$3</f>
        <v>1613.6376923076923</v>
      </c>
      <c r="Y3825" t="str">
        <f>IF(Table1[[#This Row],[customer_subscription]]=1,"Subscribed","Not Subscribed")</f>
        <v>Not Subscribed</v>
      </c>
    </row>
    <row r="3826" spans="1:26" x14ac:dyDescent="0.25">
      <c r="A3826">
        <v>3825</v>
      </c>
      <c r="B3826">
        <v>54</v>
      </c>
      <c r="C3826" t="s">
        <v>156</v>
      </c>
      <c r="D3826">
        <v>3825</v>
      </c>
      <c r="E3826" t="s">
        <v>62</v>
      </c>
      <c r="F3826" t="s">
        <v>24</v>
      </c>
      <c r="G3826">
        <v>3825</v>
      </c>
      <c r="H3826">
        <v>4789</v>
      </c>
      <c r="I3826">
        <v>26</v>
      </c>
      <c r="J3826" t="s">
        <v>145</v>
      </c>
      <c r="K3826" t="s">
        <v>47</v>
      </c>
      <c r="L3826" t="s">
        <v>81</v>
      </c>
      <c r="M3826" t="s">
        <v>56</v>
      </c>
      <c r="N3826">
        <v>4</v>
      </c>
      <c r="O3826">
        <v>0</v>
      </c>
      <c r="P3826" t="s">
        <v>41</v>
      </c>
      <c r="Q3826" t="s">
        <v>155</v>
      </c>
      <c r="R3826" t="s">
        <v>155</v>
      </c>
      <c r="S3826">
        <v>31</v>
      </c>
      <c r="T3826" t="s">
        <v>42</v>
      </c>
      <c r="U3826" t="s">
        <v>61</v>
      </c>
      <c r="V3826" s="1">
        <v>45480</v>
      </c>
      <c r="W3826">
        <f>Table1[[#This Row],[customer_purchase count]]+1</f>
        <v>32</v>
      </c>
      <c r="X3826">
        <f>Table1[[#This Row],[customer_purchase count]]*Rules!$B$3</f>
        <v>1852.6951282051282</v>
      </c>
      <c r="Y3826" t="str">
        <f>IF(Table1[[#This Row],[customer_subscription]]=1,"Subscribed","Not Subscribed")</f>
        <v>Not Subscribed</v>
      </c>
    </row>
    <row r="3827" spans="1:26" x14ac:dyDescent="0.25">
      <c r="A3827">
        <v>3826</v>
      </c>
      <c r="B3827">
        <v>49</v>
      </c>
      <c r="C3827" t="s">
        <v>156</v>
      </c>
      <c r="D3827">
        <v>3826</v>
      </c>
      <c r="E3827" t="s">
        <v>62</v>
      </c>
      <c r="F3827" t="s">
        <v>24</v>
      </c>
      <c r="G3827">
        <v>3826</v>
      </c>
      <c r="H3827">
        <v>4790</v>
      </c>
      <c r="I3827">
        <v>35</v>
      </c>
      <c r="J3827" t="s">
        <v>80</v>
      </c>
      <c r="K3827" t="s">
        <v>26</v>
      </c>
      <c r="L3827" t="s">
        <v>99</v>
      </c>
      <c r="M3827" t="s">
        <v>60</v>
      </c>
      <c r="N3827">
        <v>4.0999999999999996</v>
      </c>
      <c r="O3827">
        <v>0</v>
      </c>
      <c r="P3827" t="s">
        <v>29</v>
      </c>
      <c r="Q3827" t="s">
        <v>155</v>
      </c>
      <c r="R3827" t="s">
        <v>155</v>
      </c>
      <c r="S3827">
        <v>47</v>
      </c>
      <c r="T3827" t="s">
        <v>89</v>
      </c>
      <c r="U3827" t="s">
        <v>32</v>
      </c>
      <c r="V3827" s="1">
        <v>45607</v>
      </c>
      <c r="W3827">
        <f>Table1[[#This Row],[customer_purchase count]]+1</f>
        <v>48</v>
      </c>
      <c r="X3827">
        <f>Table1[[#This Row],[customer_purchase count]]*Rules!$B$3</f>
        <v>2808.9248717948717</v>
      </c>
      <c r="Y3827" t="str">
        <f>IF(Table1[[#This Row],[customer_subscription]]=1,"Subscribed","Not Subscribed")</f>
        <v>Not Subscribed</v>
      </c>
    </row>
    <row r="3828" spans="1:26" x14ac:dyDescent="0.25">
      <c r="A3828">
        <v>3827</v>
      </c>
      <c r="B3828">
        <v>50</v>
      </c>
      <c r="C3828" t="s">
        <v>156</v>
      </c>
      <c r="D3828">
        <v>3827</v>
      </c>
      <c r="E3828" t="s">
        <v>105</v>
      </c>
      <c r="F3828" t="s">
        <v>66</v>
      </c>
      <c r="G3828">
        <v>3827</v>
      </c>
      <c r="H3828">
        <v>4791</v>
      </c>
      <c r="I3828">
        <v>31</v>
      </c>
      <c r="J3828" t="s">
        <v>59</v>
      </c>
      <c r="K3828" t="s">
        <v>47</v>
      </c>
      <c r="L3828" t="s">
        <v>27</v>
      </c>
      <c r="M3828" t="s">
        <v>56</v>
      </c>
      <c r="N3828">
        <v>4</v>
      </c>
      <c r="O3828">
        <v>0</v>
      </c>
      <c r="P3828" t="s">
        <v>29</v>
      </c>
      <c r="Q3828" t="s">
        <v>155</v>
      </c>
      <c r="R3828" t="s">
        <v>155</v>
      </c>
      <c r="S3828">
        <v>25</v>
      </c>
      <c r="T3828" t="s">
        <v>78</v>
      </c>
      <c r="U3828" t="s">
        <v>52</v>
      </c>
      <c r="V3828" s="1">
        <v>45490</v>
      </c>
      <c r="W3828">
        <f>Table1[[#This Row],[customer_purchase count]]+1</f>
        <v>26</v>
      </c>
      <c r="X3828">
        <f>Table1[[#This Row],[customer_purchase count]]*Rules!$B$3</f>
        <v>1494.1089743589744</v>
      </c>
      <c r="Y3828" t="str">
        <f>IF(Table1[[#This Row],[customer_subscription]]=1,"Subscribed","Not Subscribed")</f>
        <v>Not Subscribed</v>
      </c>
    </row>
    <row r="3829" spans="1:26" x14ac:dyDescent="0.25">
      <c r="A3829">
        <v>3828</v>
      </c>
      <c r="B3829">
        <v>62</v>
      </c>
      <c r="C3829" t="s">
        <v>156</v>
      </c>
      <c r="D3829">
        <v>3828</v>
      </c>
      <c r="E3829" t="s">
        <v>109</v>
      </c>
      <c r="F3829" t="s">
        <v>70</v>
      </c>
      <c r="G3829">
        <v>3828</v>
      </c>
      <c r="H3829">
        <v>4792</v>
      </c>
      <c r="I3829">
        <v>73</v>
      </c>
      <c r="J3829" t="s">
        <v>59</v>
      </c>
      <c r="K3829" t="s">
        <v>47</v>
      </c>
      <c r="L3829" t="s">
        <v>111</v>
      </c>
      <c r="M3829" t="s">
        <v>56</v>
      </c>
      <c r="N3829">
        <v>4.0999999999999996</v>
      </c>
      <c r="O3829">
        <v>0</v>
      </c>
      <c r="P3829" t="s">
        <v>57</v>
      </c>
      <c r="Q3829" t="s">
        <v>155</v>
      </c>
      <c r="R3829" t="s">
        <v>155</v>
      </c>
      <c r="S3829">
        <v>47</v>
      </c>
      <c r="T3829" t="s">
        <v>36</v>
      </c>
      <c r="U3829" t="s">
        <v>32</v>
      </c>
      <c r="V3829" s="1">
        <v>45529</v>
      </c>
      <c r="W3829">
        <f>Table1[[#This Row],[customer_purchase count]]+1</f>
        <v>48</v>
      </c>
      <c r="X3829">
        <f>Table1[[#This Row],[customer_purchase count]]*Rules!$B$3</f>
        <v>2808.9248717948717</v>
      </c>
      <c r="Y3829" t="str">
        <f>IF(Table1[[#This Row],[customer_subscription]]=1,"Subscribed","Not Subscribed")</f>
        <v>Not Subscribed</v>
      </c>
    </row>
    <row r="3830" spans="1:26" x14ac:dyDescent="0.25">
      <c r="A3830">
        <v>3829</v>
      </c>
      <c r="B3830">
        <v>42</v>
      </c>
      <c r="C3830" t="s">
        <v>156</v>
      </c>
      <c r="D3830">
        <v>3829</v>
      </c>
      <c r="E3830" t="s">
        <v>23</v>
      </c>
      <c r="F3830" t="s">
        <v>24</v>
      </c>
      <c r="G3830">
        <v>3829</v>
      </c>
      <c r="H3830">
        <v>4793</v>
      </c>
      <c r="I3830">
        <v>82</v>
      </c>
      <c r="J3830" t="s">
        <v>94</v>
      </c>
      <c r="K3830" t="s">
        <v>47</v>
      </c>
      <c r="L3830" t="s">
        <v>64</v>
      </c>
      <c r="M3830" t="s">
        <v>40</v>
      </c>
      <c r="N3830">
        <v>3.4</v>
      </c>
      <c r="O3830">
        <v>0</v>
      </c>
      <c r="P3830" t="s">
        <v>41</v>
      </c>
      <c r="Q3830" t="s">
        <v>155</v>
      </c>
      <c r="R3830" t="s">
        <v>155</v>
      </c>
      <c r="S3830">
        <v>8</v>
      </c>
      <c r="T3830" t="s">
        <v>36</v>
      </c>
      <c r="U3830" t="s">
        <v>43</v>
      </c>
      <c r="V3830" s="1">
        <v>45434</v>
      </c>
      <c r="W3830">
        <f>Table1[[#This Row],[customer_purchase count]]+1</f>
        <v>9</v>
      </c>
      <c r="X3830">
        <f>Table1[[#This Row],[customer_purchase count]]*Rules!$B$3</f>
        <v>478.11487179487182</v>
      </c>
      <c r="Y3830" t="str">
        <f>IF(Table1[[#This Row],[customer_subscription]]=1,"Subscribed","Not Subscribed")</f>
        <v>Not Subscribed</v>
      </c>
      <c r="Z3830" t="s">
        <v>194</v>
      </c>
    </row>
    <row r="3831" spans="1:26" x14ac:dyDescent="0.25">
      <c r="A3831">
        <v>3830</v>
      </c>
      <c r="B3831">
        <v>69</v>
      </c>
      <c r="C3831" t="s">
        <v>156</v>
      </c>
      <c r="D3831">
        <v>3830</v>
      </c>
      <c r="E3831" t="s">
        <v>98</v>
      </c>
      <c r="F3831" t="s">
        <v>24</v>
      </c>
      <c r="G3831">
        <v>3830</v>
      </c>
      <c r="H3831">
        <v>4795</v>
      </c>
      <c r="I3831">
        <v>32</v>
      </c>
      <c r="J3831" t="s">
        <v>152</v>
      </c>
      <c r="K3831" t="s">
        <v>47</v>
      </c>
      <c r="L3831" t="s">
        <v>129</v>
      </c>
      <c r="M3831" t="s">
        <v>40</v>
      </c>
      <c r="N3831">
        <v>2.9</v>
      </c>
      <c r="O3831">
        <v>0</v>
      </c>
      <c r="P3831" t="s">
        <v>41</v>
      </c>
      <c r="Q3831" t="s">
        <v>155</v>
      </c>
      <c r="R3831" t="s">
        <v>155</v>
      </c>
      <c r="S3831">
        <v>32</v>
      </c>
      <c r="T3831" t="s">
        <v>89</v>
      </c>
      <c r="U3831" t="s">
        <v>32</v>
      </c>
      <c r="V3831" s="1">
        <v>45389</v>
      </c>
      <c r="W3831">
        <f>Table1[[#This Row],[customer_purchase count]]+1</f>
        <v>33</v>
      </c>
      <c r="X3831">
        <f>Table1[[#This Row],[customer_purchase count]]*Rules!$B$3</f>
        <v>1912.4594871794873</v>
      </c>
      <c r="Y3831" t="str">
        <f>IF(Table1[[#This Row],[customer_subscription]]=1,"Subscribed","Not Subscribed")</f>
        <v>Not Subscribed</v>
      </c>
    </row>
    <row r="3832" spans="1:26" x14ac:dyDescent="0.25">
      <c r="A3832">
        <v>3831</v>
      </c>
      <c r="B3832">
        <v>22</v>
      </c>
      <c r="C3832" t="s">
        <v>156</v>
      </c>
      <c r="D3832">
        <v>3831</v>
      </c>
      <c r="E3832" t="s">
        <v>127</v>
      </c>
      <c r="F3832" t="s">
        <v>70</v>
      </c>
      <c r="G3832">
        <v>3831</v>
      </c>
      <c r="H3832">
        <v>4796</v>
      </c>
      <c r="I3832">
        <v>27</v>
      </c>
      <c r="J3832" t="s">
        <v>141</v>
      </c>
      <c r="K3832" t="s">
        <v>47</v>
      </c>
      <c r="L3832" t="s">
        <v>129</v>
      </c>
      <c r="M3832" t="s">
        <v>56</v>
      </c>
      <c r="N3832">
        <v>3</v>
      </c>
      <c r="O3832">
        <v>0</v>
      </c>
      <c r="P3832" t="s">
        <v>73</v>
      </c>
      <c r="Q3832" t="s">
        <v>155</v>
      </c>
      <c r="R3832" t="s">
        <v>155</v>
      </c>
      <c r="S3832">
        <v>33</v>
      </c>
      <c r="T3832" t="s">
        <v>78</v>
      </c>
      <c r="U3832" t="s">
        <v>100</v>
      </c>
      <c r="V3832" s="1">
        <v>45493</v>
      </c>
      <c r="W3832">
        <f>Table1[[#This Row],[customer_purchase count]]+1</f>
        <v>34</v>
      </c>
      <c r="X3832">
        <f>Table1[[#This Row],[customer_purchase count]]*Rules!$B$3</f>
        <v>1972.2238461538464</v>
      </c>
      <c r="Y3832" t="str">
        <f>IF(Table1[[#This Row],[customer_subscription]]=1,"Subscribed","Not Subscribed")</f>
        <v>Not Subscribed</v>
      </c>
    </row>
    <row r="3833" spans="1:26" x14ac:dyDescent="0.25">
      <c r="A3833">
        <v>3832</v>
      </c>
      <c r="B3833">
        <v>36</v>
      </c>
      <c r="C3833" t="s">
        <v>156</v>
      </c>
      <c r="D3833">
        <v>3832</v>
      </c>
      <c r="E3833" t="s">
        <v>135</v>
      </c>
      <c r="F3833" t="s">
        <v>70</v>
      </c>
      <c r="G3833">
        <v>3832</v>
      </c>
      <c r="H3833">
        <v>4797</v>
      </c>
      <c r="I3833">
        <v>86</v>
      </c>
      <c r="J3833" t="s">
        <v>110</v>
      </c>
      <c r="K3833" t="s">
        <v>26</v>
      </c>
      <c r="L3833" t="s">
        <v>68</v>
      </c>
      <c r="M3833" t="s">
        <v>40</v>
      </c>
      <c r="N3833">
        <v>4</v>
      </c>
      <c r="O3833">
        <v>0</v>
      </c>
      <c r="P3833" t="s">
        <v>48</v>
      </c>
      <c r="Q3833" t="s">
        <v>155</v>
      </c>
      <c r="R3833" t="s">
        <v>155</v>
      </c>
      <c r="S3833">
        <v>16</v>
      </c>
      <c r="T3833" t="s">
        <v>89</v>
      </c>
      <c r="U3833" t="s">
        <v>100</v>
      </c>
      <c r="V3833" s="1">
        <v>45363</v>
      </c>
      <c r="W3833">
        <f>Table1[[#This Row],[customer_purchase count]]+1</f>
        <v>17</v>
      </c>
      <c r="X3833">
        <f>Table1[[#This Row],[customer_purchase count]]*Rules!$B$3</f>
        <v>956.22974358974363</v>
      </c>
      <c r="Y3833" t="str">
        <f>IF(Table1[[#This Row],[customer_subscription]]=1,"Subscribed","Not Subscribed")</f>
        <v>Not Subscribed</v>
      </c>
      <c r="Z3833" t="s">
        <v>194</v>
      </c>
    </row>
    <row r="3834" spans="1:26" x14ac:dyDescent="0.25">
      <c r="A3834">
        <v>3833</v>
      </c>
      <c r="B3834">
        <v>64</v>
      </c>
      <c r="C3834" t="s">
        <v>156</v>
      </c>
      <c r="D3834">
        <v>3833</v>
      </c>
      <c r="E3834" t="s">
        <v>140</v>
      </c>
      <c r="F3834" t="s">
        <v>45</v>
      </c>
      <c r="G3834">
        <v>3833</v>
      </c>
      <c r="H3834">
        <v>4798</v>
      </c>
      <c r="I3834">
        <v>38</v>
      </c>
      <c r="J3834" t="s">
        <v>114</v>
      </c>
      <c r="K3834" t="s">
        <v>95</v>
      </c>
      <c r="L3834" t="s">
        <v>76</v>
      </c>
      <c r="M3834" t="s">
        <v>28</v>
      </c>
      <c r="N3834">
        <v>4.8</v>
      </c>
      <c r="O3834">
        <v>0</v>
      </c>
      <c r="P3834" t="s">
        <v>73</v>
      </c>
      <c r="Q3834" t="s">
        <v>155</v>
      </c>
      <c r="R3834" t="s">
        <v>155</v>
      </c>
      <c r="S3834">
        <v>27</v>
      </c>
      <c r="T3834" t="s">
        <v>36</v>
      </c>
      <c r="U3834" t="s">
        <v>43</v>
      </c>
      <c r="V3834" s="1">
        <v>45309</v>
      </c>
      <c r="W3834">
        <f>Table1[[#This Row],[customer_purchase count]]+1</f>
        <v>28</v>
      </c>
      <c r="X3834">
        <f>Table1[[#This Row],[customer_purchase count]]*Rules!$B$3</f>
        <v>1613.6376923076923</v>
      </c>
      <c r="Y3834" t="str">
        <f>IF(Table1[[#This Row],[customer_subscription]]=1,"Subscribed","Not Subscribed")</f>
        <v>Not Subscribed</v>
      </c>
    </row>
    <row r="3835" spans="1:26" x14ac:dyDescent="0.25">
      <c r="A3835">
        <v>3834</v>
      </c>
      <c r="B3835">
        <v>44</v>
      </c>
      <c r="C3835" t="s">
        <v>156</v>
      </c>
      <c r="D3835">
        <v>3834</v>
      </c>
      <c r="E3835" t="s">
        <v>105</v>
      </c>
      <c r="F3835" t="s">
        <v>66</v>
      </c>
      <c r="G3835">
        <v>3834</v>
      </c>
      <c r="H3835">
        <v>4799</v>
      </c>
      <c r="I3835">
        <v>93</v>
      </c>
      <c r="J3835" t="s">
        <v>120</v>
      </c>
      <c r="K3835" t="s">
        <v>26</v>
      </c>
      <c r="L3835" t="s">
        <v>27</v>
      </c>
      <c r="M3835" t="s">
        <v>56</v>
      </c>
      <c r="N3835">
        <v>4.5999999999999996</v>
      </c>
      <c r="O3835">
        <v>0</v>
      </c>
      <c r="P3835" t="s">
        <v>41</v>
      </c>
      <c r="Q3835" t="s">
        <v>155</v>
      </c>
      <c r="R3835" t="s">
        <v>155</v>
      </c>
      <c r="S3835">
        <v>17</v>
      </c>
      <c r="T3835" t="s">
        <v>49</v>
      </c>
      <c r="U3835" t="s">
        <v>100</v>
      </c>
      <c r="V3835" s="1">
        <v>45449</v>
      </c>
      <c r="W3835">
        <f>Table1[[#This Row],[customer_purchase count]]+1</f>
        <v>18</v>
      </c>
      <c r="X3835">
        <f>Table1[[#This Row],[customer_purchase count]]*Rules!$B$3</f>
        <v>1015.9941025641026</v>
      </c>
      <c r="Y3835" t="str">
        <f>IF(Table1[[#This Row],[customer_subscription]]=1,"Subscribed","Not Subscribed")</f>
        <v>Not Subscribed</v>
      </c>
      <c r="Z3835" t="s">
        <v>194</v>
      </c>
    </row>
    <row r="3836" spans="1:26" x14ac:dyDescent="0.25">
      <c r="A3836">
        <v>3835</v>
      </c>
      <c r="B3836">
        <v>43</v>
      </c>
      <c r="C3836" t="s">
        <v>156</v>
      </c>
      <c r="D3836">
        <v>3835</v>
      </c>
      <c r="E3836" t="s">
        <v>107</v>
      </c>
      <c r="F3836" t="s">
        <v>24</v>
      </c>
      <c r="G3836">
        <v>3835</v>
      </c>
      <c r="H3836">
        <v>4801</v>
      </c>
      <c r="I3836">
        <v>59</v>
      </c>
      <c r="J3836" t="s">
        <v>125</v>
      </c>
      <c r="K3836" t="s">
        <v>47</v>
      </c>
      <c r="L3836" t="s">
        <v>139</v>
      </c>
      <c r="M3836" t="s">
        <v>28</v>
      </c>
      <c r="N3836">
        <v>4.0999999999999996</v>
      </c>
      <c r="O3836">
        <v>0</v>
      </c>
      <c r="P3836" t="s">
        <v>73</v>
      </c>
      <c r="Q3836" t="s">
        <v>155</v>
      </c>
      <c r="R3836" t="s">
        <v>155</v>
      </c>
      <c r="S3836">
        <v>17</v>
      </c>
      <c r="T3836" t="s">
        <v>36</v>
      </c>
      <c r="U3836" t="s">
        <v>61</v>
      </c>
      <c r="V3836" s="1">
        <v>45345</v>
      </c>
      <c r="W3836">
        <f>Table1[[#This Row],[customer_purchase count]]+1</f>
        <v>18</v>
      </c>
      <c r="X3836">
        <f>Table1[[#This Row],[customer_purchase count]]*Rules!$B$3</f>
        <v>1015.9941025641026</v>
      </c>
      <c r="Y3836" t="str">
        <f>IF(Table1[[#This Row],[customer_subscription]]=1,"Subscribed","Not Subscribed")</f>
        <v>Not Subscribed</v>
      </c>
      <c r="Z3836" t="s">
        <v>194</v>
      </c>
    </row>
    <row r="3837" spans="1:26" x14ac:dyDescent="0.25">
      <c r="A3837">
        <v>3836</v>
      </c>
      <c r="B3837">
        <v>58</v>
      </c>
      <c r="C3837" t="s">
        <v>156</v>
      </c>
      <c r="D3837">
        <v>3836</v>
      </c>
      <c r="E3837" t="s">
        <v>44</v>
      </c>
      <c r="F3837" t="s">
        <v>45</v>
      </c>
      <c r="G3837">
        <v>3836</v>
      </c>
      <c r="H3837">
        <v>4802</v>
      </c>
      <c r="I3837">
        <v>58</v>
      </c>
      <c r="J3837" t="s">
        <v>141</v>
      </c>
      <c r="K3837" t="s">
        <v>26</v>
      </c>
      <c r="L3837" t="s">
        <v>68</v>
      </c>
      <c r="M3837" t="s">
        <v>28</v>
      </c>
      <c r="N3837">
        <v>2.6</v>
      </c>
      <c r="O3837">
        <v>0</v>
      </c>
      <c r="P3837" t="s">
        <v>29</v>
      </c>
      <c r="Q3837" t="s">
        <v>155</v>
      </c>
      <c r="R3837" t="s">
        <v>155</v>
      </c>
      <c r="S3837">
        <v>28</v>
      </c>
      <c r="T3837" t="s">
        <v>49</v>
      </c>
      <c r="U3837" t="s">
        <v>79</v>
      </c>
      <c r="V3837" s="1">
        <v>45632</v>
      </c>
      <c r="W3837">
        <f>Table1[[#This Row],[customer_purchase count]]+1</f>
        <v>29</v>
      </c>
      <c r="X3837">
        <f>Table1[[#This Row],[customer_purchase count]]*Rules!$B$3</f>
        <v>1673.4020512820514</v>
      </c>
      <c r="Y3837" t="str">
        <f>IF(Table1[[#This Row],[customer_subscription]]=1,"Subscribed","Not Subscribed")</f>
        <v>Not Subscribed</v>
      </c>
    </row>
    <row r="3838" spans="1:26" x14ac:dyDescent="0.25">
      <c r="A3838">
        <v>3837</v>
      </c>
      <c r="B3838">
        <v>62</v>
      </c>
      <c r="C3838" t="s">
        <v>156</v>
      </c>
      <c r="D3838">
        <v>3837</v>
      </c>
      <c r="E3838" t="s">
        <v>90</v>
      </c>
      <c r="F3838" t="s">
        <v>24</v>
      </c>
      <c r="G3838">
        <v>3837</v>
      </c>
      <c r="H3838">
        <v>4803</v>
      </c>
      <c r="I3838">
        <v>84</v>
      </c>
      <c r="J3838" t="s">
        <v>123</v>
      </c>
      <c r="K3838" t="s">
        <v>47</v>
      </c>
      <c r="L3838" t="s">
        <v>86</v>
      </c>
      <c r="M3838" t="s">
        <v>40</v>
      </c>
      <c r="N3838">
        <v>2.5</v>
      </c>
      <c r="O3838">
        <v>0</v>
      </c>
      <c r="P3838" t="s">
        <v>41</v>
      </c>
      <c r="Q3838" t="s">
        <v>155</v>
      </c>
      <c r="R3838" t="s">
        <v>155</v>
      </c>
      <c r="S3838">
        <v>38</v>
      </c>
      <c r="T3838" t="s">
        <v>49</v>
      </c>
      <c r="U3838" t="s">
        <v>32</v>
      </c>
      <c r="V3838" s="1">
        <v>45359</v>
      </c>
      <c r="W3838">
        <f>Table1[[#This Row],[customer_purchase count]]+1</f>
        <v>39</v>
      </c>
      <c r="X3838">
        <f>Table1[[#This Row],[customer_purchase count]]*Rules!$B$3</f>
        <v>2271.0456410256411</v>
      </c>
      <c r="Y3838" t="str">
        <f>IF(Table1[[#This Row],[customer_subscription]]=1,"Subscribed","Not Subscribed")</f>
        <v>Not Subscribed</v>
      </c>
    </row>
    <row r="3839" spans="1:26" x14ac:dyDescent="0.25">
      <c r="A3839">
        <v>3838</v>
      </c>
      <c r="B3839">
        <v>45</v>
      </c>
      <c r="C3839" t="s">
        <v>156</v>
      </c>
      <c r="D3839">
        <v>3838</v>
      </c>
      <c r="E3839" t="s">
        <v>107</v>
      </c>
      <c r="F3839" t="s">
        <v>24</v>
      </c>
      <c r="G3839">
        <v>3838</v>
      </c>
      <c r="H3839">
        <v>4804</v>
      </c>
      <c r="I3839">
        <v>100</v>
      </c>
      <c r="J3839" t="s">
        <v>133</v>
      </c>
      <c r="K3839" t="s">
        <v>47</v>
      </c>
      <c r="L3839" t="s">
        <v>99</v>
      </c>
      <c r="M3839" t="s">
        <v>40</v>
      </c>
      <c r="N3839">
        <v>4.8</v>
      </c>
      <c r="O3839">
        <v>0</v>
      </c>
      <c r="P3839" t="s">
        <v>41</v>
      </c>
      <c r="Q3839" t="s">
        <v>155</v>
      </c>
      <c r="R3839" t="s">
        <v>155</v>
      </c>
      <c r="S3839">
        <v>33</v>
      </c>
      <c r="T3839" t="s">
        <v>78</v>
      </c>
      <c r="U3839" t="s">
        <v>32</v>
      </c>
      <c r="V3839" s="1">
        <v>45402</v>
      </c>
      <c r="W3839">
        <f>Table1[[#This Row],[customer_purchase count]]+1</f>
        <v>34</v>
      </c>
      <c r="X3839">
        <f>Table1[[#This Row],[customer_purchase count]]*Rules!$B$3</f>
        <v>1972.2238461538464</v>
      </c>
      <c r="Y3839" t="str">
        <f>IF(Table1[[#This Row],[customer_subscription]]=1,"Subscribed","Not Subscribed")</f>
        <v>Not Subscribed</v>
      </c>
    </row>
    <row r="3840" spans="1:26" x14ac:dyDescent="0.25">
      <c r="A3840">
        <v>3839</v>
      </c>
      <c r="B3840">
        <v>47</v>
      </c>
      <c r="C3840" t="s">
        <v>156</v>
      </c>
      <c r="D3840">
        <v>3839</v>
      </c>
      <c r="E3840" t="s">
        <v>84</v>
      </c>
      <c r="F3840" t="s">
        <v>24</v>
      </c>
      <c r="G3840">
        <v>3839</v>
      </c>
      <c r="H3840">
        <v>4805</v>
      </c>
      <c r="I3840">
        <v>25</v>
      </c>
      <c r="J3840" t="s">
        <v>46</v>
      </c>
      <c r="K3840" t="s">
        <v>26</v>
      </c>
      <c r="L3840" t="s">
        <v>99</v>
      </c>
      <c r="M3840" t="s">
        <v>56</v>
      </c>
      <c r="N3840">
        <v>4.2</v>
      </c>
      <c r="O3840">
        <v>0</v>
      </c>
      <c r="P3840" t="s">
        <v>29</v>
      </c>
      <c r="Q3840" t="s">
        <v>155</v>
      </c>
      <c r="R3840" t="s">
        <v>155</v>
      </c>
      <c r="S3840">
        <v>24</v>
      </c>
      <c r="T3840" t="s">
        <v>31</v>
      </c>
      <c r="U3840" t="s">
        <v>100</v>
      </c>
      <c r="V3840" s="1">
        <v>45520</v>
      </c>
      <c r="W3840">
        <f>Table1[[#This Row],[customer_purchase count]]+1</f>
        <v>25</v>
      </c>
      <c r="X3840">
        <f>Table1[[#This Row],[customer_purchase count]]*Rules!$B$3</f>
        <v>1434.3446153846155</v>
      </c>
      <c r="Y3840" t="str">
        <f>IF(Table1[[#This Row],[customer_subscription]]=1,"Subscribed","Not Subscribed")</f>
        <v>Not Subscribed</v>
      </c>
    </row>
    <row r="3841" spans="1:26" x14ac:dyDescent="0.25">
      <c r="A3841">
        <v>3840</v>
      </c>
      <c r="B3841">
        <v>66</v>
      </c>
      <c r="C3841" t="s">
        <v>156</v>
      </c>
      <c r="D3841">
        <v>3840</v>
      </c>
      <c r="E3841" t="s">
        <v>44</v>
      </c>
      <c r="F3841" t="s">
        <v>45</v>
      </c>
      <c r="G3841">
        <v>3840</v>
      </c>
      <c r="H3841">
        <v>4807</v>
      </c>
      <c r="I3841">
        <v>29</v>
      </c>
      <c r="J3841" t="s">
        <v>142</v>
      </c>
      <c r="K3841" t="s">
        <v>47</v>
      </c>
      <c r="L3841" t="s">
        <v>103</v>
      </c>
      <c r="M3841" t="s">
        <v>40</v>
      </c>
      <c r="N3841">
        <v>3.9</v>
      </c>
      <c r="O3841">
        <v>0</v>
      </c>
      <c r="P3841" t="s">
        <v>41</v>
      </c>
      <c r="Q3841" t="s">
        <v>155</v>
      </c>
      <c r="R3841" t="s">
        <v>155</v>
      </c>
      <c r="S3841">
        <v>14</v>
      </c>
      <c r="T3841" t="s">
        <v>31</v>
      </c>
      <c r="U3841" t="s">
        <v>61</v>
      </c>
      <c r="V3841" s="1">
        <v>45366</v>
      </c>
      <c r="W3841">
        <f>Table1[[#This Row],[customer_purchase count]]+1</f>
        <v>15</v>
      </c>
      <c r="X3841">
        <f>Table1[[#This Row],[customer_purchase count]]*Rules!$B$3</f>
        <v>836.70102564102569</v>
      </c>
      <c r="Y3841" t="str">
        <f>IF(Table1[[#This Row],[customer_subscription]]=1,"Subscribed","Not Subscribed")</f>
        <v>Not Subscribed</v>
      </c>
      <c r="Z3841" t="s">
        <v>194</v>
      </c>
    </row>
    <row r="3842" spans="1:26" x14ac:dyDescent="0.25">
      <c r="A3842">
        <v>3841</v>
      </c>
      <c r="B3842">
        <v>30</v>
      </c>
      <c r="C3842" t="s">
        <v>156</v>
      </c>
      <c r="D3842">
        <v>3841</v>
      </c>
      <c r="E3842" t="s">
        <v>37</v>
      </c>
      <c r="F3842" t="s">
        <v>24</v>
      </c>
      <c r="G3842">
        <v>3841</v>
      </c>
      <c r="H3842">
        <v>4808</v>
      </c>
      <c r="I3842">
        <v>42</v>
      </c>
      <c r="J3842" t="s">
        <v>138</v>
      </c>
      <c r="K3842" t="s">
        <v>47</v>
      </c>
      <c r="L3842" t="s">
        <v>51</v>
      </c>
      <c r="M3842" t="s">
        <v>40</v>
      </c>
      <c r="N3842">
        <v>3.7</v>
      </c>
      <c r="O3842">
        <v>0</v>
      </c>
      <c r="P3842" t="s">
        <v>29</v>
      </c>
      <c r="Q3842" t="s">
        <v>155</v>
      </c>
      <c r="R3842" t="s">
        <v>155</v>
      </c>
      <c r="S3842">
        <v>5</v>
      </c>
      <c r="T3842" t="s">
        <v>31</v>
      </c>
      <c r="U3842" t="s">
        <v>32</v>
      </c>
      <c r="V3842" s="1">
        <v>45367</v>
      </c>
      <c r="W3842">
        <f>Table1[[#This Row],[customer_purchase count]]+1</f>
        <v>6</v>
      </c>
      <c r="X3842">
        <f>Table1[[#This Row],[customer_purchase count]]*Rules!$B$3</f>
        <v>298.82179487179491</v>
      </c>
      <c r="Y3842" t="str">
        <f>IF(Table1[[#This Row],[customer_subscription]]=1,"Subscribed","Not Subscribed")</f>
        <v>Not Subscribed</v>
      </c>
      <c r="Z3842" t="s">
        <v>194</v>
      </c>
    </row>
    <row r="3843" spans="1:26" x14ac:dyDescent="0.25">
      <c r="A3843">
        <v>3842</v>
      </c>
      <c r="B3843">
        <v>68</v>
      </c>
      <c r="C3843" t="s">
        <v>156</v>
      </c>
      <c r="D3843">
        <v>3842</v>
      </c>
      <c r="E3843" t="s">
        <v>37</v>
      </c>
      <c r="F3843" t="s">
        <v>24</v>
      </c>
      <c r="G3843">
        <v>3842</v>
      </c>
      <c r="H3843">
        <v>4809</v>
      </c>
      <c r="I3843">
        <v>57</v>
      </c>
      <c r="J3843" t="s">
        <v>94</v>
      </c>
      <c r="K3843" t="s">
        <v>26</v>
      </c>
      <c r="L3843" t="s">
        <v>72</v>
      </c>
      <c r="M3843" t="s">
        <v>60</v>
      </c>
      <c r="N3843">
        <v>4.2</v>
      </c>
      <c r="O3843">
        <v>0</v>
      </c>
      <c r="P3843" t="s">
        <v>73</v>
      </c>
      <c r="Q3843" t="s">
        <v>155</v>
      </c>
      <c r="R3843" t="s">
        <v>155</v>
      </c>
      <c r="S3843">
        <v>8</v>
      </c>
      <c r="T3843" t="s">
        <v>78</v>
      </c>
      <c r="U3843" t="s">
        <v>91</v>
      </c>
      <c r="V3843" s="1">
        <v>45590</v>
      </c>
      <c r="W3843">
        <f>Table1[[#This Row],[customer_purchase count]]+1</f>
        <v>9</v>
      </c>
      <c r="X3843">
        <f>Table1[[#This Row],[customer_purchase count]]*Rules!$B$3</f>
        <v>478.11487179487182</v>
      </c>
      <c r="Y3843" t="str">
        <f>IF(Table1[[#This Row],[customer_subscription]]=1,"Subscribed","Not Subscribed")</f>
        <v>Not Subscribed</v>
      </c>
      <c r="Z3843" t="s">
        <v>194</v>
      </c>
    </row>
    <row r="3844" spans="1:26" x14ac:dyDescent="0.25">
      <c r="A3844">
        <v>3843</v>
      </c>
      <c r="B3844">
        <v>35</v>
      </c>
      <c r="C3844" t="s">
        <v>156</v>
      </c>
      <c r="D3844">
        <v>3843</v>
      </c>
      <c r="E3844" t="s">
        <v>105</v>
      </c>
      <c r="F3844" t="s">
        <v>66</v>
      </c>
      <c r="G3844">
        <v>3843</v>
      </c>
      <c r="H3844">
        <v>4810</v>
      </c>
      <c r="I3844">
        <v>84</v>
      </c>
      <c r="J3844" t="s">
        <v>115</v>
      </c>
      <c r="K3844" t="s">
        <v>26</v>
      </c>
      <c r="L3844" t="s">
        <v>96</v>
      </c>
      <c r="M3844" t="s">
        <v>28</v>
      </c>
      <c r="N3844">
        <v>4.2</v>
      </c>
      <c r="O3844">
        <v>0</v>
      </c>
      <c r="P3844" t="s">
        <v>48</v>
      </c>
      <c r="Q3844" t="s">
        <v>155</v>
      </c>
      <c r="R3844" t="s">
        <v>155</v>
      </c>
      <c r="S3844">
        <v>42</v>
      </c>
      <c r="T3844" t="s">
        <v>89</v>
      </c>
      <c r="U3844" t="s">
        <v>91</v>
      </c>
      <c r="V3844" s="1">
        <v>45303</v>
      </c>
      <c r="W3844">
        <f>Table1[[#This Row],[customer_purchase count]]+1</f>
        <v>43</v>
      </c>
      <c r="X3844">
        <f>Table1[[#This Row],[customer_purchase count]]*Rules!$B$3</f>
        <v>2510.103076923077</v>
      </c>
      <c r="Y3844" t="str">
        <f>IF(Table1[[#This Row],[customer_subscription]]=1,"Subscribed","Not Subscribed")</f>
        <v>Not Subscribed</v>
      </c>
    </row>
    <row r="3845" spans="1:26" x14ac:dyDescent="0.25">
      <c r="A3845">
        <v>3844</v>
      </c>
      <c r="B3845">
        <v>64</v>
      </c>
      <c r="C3845" t="s">
        <v>156</v>
      </c>
      <c r="D3845">
        <v>3844</v>
      </c>
      <c r="E3845" t="s">
        <v>127</v>
      </c>
      <c r="F3845" t="s">
        <v>70</v>
      </c>
      <c r="G3845">
        <v>3844</v>
      </c>
      <c r="H3845">
        <v>4811</v>
      </c>
      <c r="I3845">
        <v>71</v>
      </c>
      <c r="J3845" t="s">
        <v>145</v>
      </c>
      <c r="K3845" t="s">
        <v>26</v>
      </c>
      <c r="L3845" t="s">
        <v>68</v>
      </c>
      <c r="M3845" t="s">
        <v>28</v>
      </c>
      <c r="N3845">
        <v>4</v>
      </c>
      <c r="O3845">
        <v>0</v>
      </c>
      <c r="P3845" t="s">
        <v>41</v>
      </c>
      <c r="Q3845" t="s">
        <v>155</v>
      </c>
      <c r="R3845" t="s">
        <v>155</v>
      </c>
      <c r="S3845">
        <v>48</v>
      </c>
      <c r="T3845" t="s">
        <v>31</v>
      </c>
      <c r="U3845" t="s">
        <v>100</v>
      </c>
      <c r="V3845" s="1">
        <v>45637</v>
      </c>
      <c r="W3845">
        <f>Table1[[#This Row],[customer_purchase count]]+1</f>
        <v>49</v>
      </c>
      <c r="X3845">
        <f>Table1[[#This Row],[customer_purchase count]]*Rules!$B$3</f>
        <v>2868.689230769231</v>
      </c>
      <c r="Y3845" t="str">
        <f>IF(Table1[[#This Row],[customer_subscription]]=1,"Subscribed","Not Subscribed")</f>
        <v>Not Subscribed</v>
      </c>
    </row>
    <row r="3846" spans="1:26" x14ac:dyDescent="0.25">
      <c r="A3846">
        <v>3845</v>
      </c>
      <c r="B3846">
        <v>30</v>
      </c>
      <c r="C3846" t="s">
        <v>156</v>
      </c>
      <c r="D3846">
        <v>3845</v>
      </c>
      <c r="E3846" t="s">
        <v>62</v>
      </c>
      <c r="F3846" t="s">
        <v>24</v>
      </c>
      <c r="G3846">
        <v>3845</v>
      </c>
      <c r="H3846">
        <v>4813</v>
      </c>
      <c r="I3846">
        <v>87</v>
      </c>
      <c r="J3846" t="s">
        <v>59</v>
      </c>
      <c r="K3846" t="s">
        <v>39</v>
      </c>
      <c r="L3846" t="s">
        <v>112</v>
      </c>
      <c r="M3846" t="s">
        <v>60</v>
      </c>
      <c r="N3846">
        <v>5</v>
      </c>
      <c r="O3846">
        <v>0</v>
      </c>
      <c r="P3846" t="s">
        <v>48</v>
      </c>
      <c r="Q3846" t="s">
        <v>155</v>
      </c>
      <c r="R3846" t="s">
        <v>155</v>
      </c>
      <c r="S3846">
        <v>40</v>
      </c>
      <c r="T3846" t="s">
        <v>31</v>
      </c>
      <c r="U3846" t="s">
        <v>61</v>
      </c>
      <c r="V3846" s="1">
        <v>45541</v>
      </c>
      <c r="W3846">
        <f>Table1[[#This Row],[customer_purchase count]]+1</f>
        <v>41</v>
      </c>
      <c r="X3846">
        <f>Table1[[#This Row],[customer_purchase count]]*Rules!$B$3</f>
        <v>2390.5743589743593</v>
      </c>
      <c r="Y3846" t="str">
        <f>IF(Table1[[#This Row],[customer_subscription]]=1,"Subscribed","Not Subscribed")</f>
        <v>Not Subscribed</v>
      </c>
    </row>
    <row r="3847" spans="1:26" x14ac:dyDescent="0.25">
      <c r="A3847">
        <v>3846</v>
      </c>
      <c r="B3847">
        <v>58</v>
      </c>
      <c r="C3847" t="s">
        <v>156</v>
      </c>
      <c r="D3847">
        <v>3846</v>
      </c>
      <c r="E3847" t="s">
        <v>33</v>
      </c>
      <c r="F3847" t="s">
        <v>24</v>
      </c>
      <c r="G3847">
        <v>3846</v>
      </c>
      <c r="H3847">
        <v>4814</v>
      </c>
      <c r="I3847">
        <v>52</v>
      </c>
      <c r="J3847" t="s">
        <v>102</v>
      </c>
      <c r="K3847" t="s">
        <v>47</v>
      </c>
      <c r="L3847" t="s">
        <v>99</v>
      </c>
      <c r="M3847" t="s">
        <v>28</v>
      </c>
      <c r="N3847">
        <v>4.9000000000000004</v>
      </c>
      <c r="O3847">
        <v>0</v>
      </c>
      <c r="P3847" t="s">
        <v>57</v>
      </c>
      <c r="Q3847" t="s">
        <v>155</v>
      </c>
      <c r="R3847" t="s">
        <v>155</v>
      </c>
      <c r="S3847">
        <v>46</v>
      </c>
      <c r="T3847" t="s">
        <v>31</v>
      </c>
      <c r="U3847" t="s">
        <v>52</v>
      </c>
      <c r="V3847" s="1">
        <v>45639</v>
      </c>
      <c r="W3847">
        <f>Table1[[#This Row],[customer_purchase count]]+1</f>
        <v>47</v>
      </c>
      <c r="X3847">
        <f>Table1[[#This Row],[customer_purchase count]]*Rules!$B$3</f>
        <v>2749.1605128205128</v>
      </c>
      <c r="Y3847" t="str">
        <f>IF(Table1[[#This Row],[customer_subscription]]=1,"Subscribed","Not Subscribed")</f>
        <v>Not Subscribed</v>
      </c>
    </row>
    <row r="3848" spans="1:26" x14ac:dyDescent="0.25">
      <c r="A3848">
        <v>3847</v>
      </c>
      <c r="B3848">
        <v>57</v>
      </c>
      <c r="C3848" t="s">
        <v>156</v>
      </c>
      <c r="D3848">
        <v>3847</v>
      </c>
      <c r="E3848" t="s">
        <v>23</v>
      </c>
      <c r="F3848" t="s">
        <v>24</v>
      </c>
      <c r="G3848">
        <v>3847</v>
      </c>
      <c r="H3848">
        <v>4815</v>
      </c>
      <c r="I3848">
        <v>58</v>
      </c>
      <c r="J3848" t="s">
        <v>141</v>
      </c>
      <c r="K3848" t="s">
        <v>26</v>
      </c>
      <c r="L3848" t="s">
        <v>124</v>
      </c>
      <c r="M3848" t="s">
        <v>56</v>
      </c>
      <c r="N3848">
        <v>4</v>
      </c>
      <c r="O3848">
        <v>0</v>
      </c>
      <c r="P3848" t="s">
        <v>29</v>
      </c>
      <c r="Q3848" t="s">
        <v>155</v>
      </c>
      <c r="R3848" t="s">
        <v>155</v>
      </c>
      <c r="S3848">
        <v>40</v>
      </c>
      <c r="T3848" t="s">
        <v>49</v>
      </c>
      <c r="U3848" t="s">
        <v>100</v>
      </c>
      <c r="V3848" s="1">
        <v>45479</v>
      </c>
      <c r="W3848">
        <f>Table1[[#This Row],[customer_purchase count]]+1</f>
        <v>41</v>
      </c>
      <c r="X3848">
        <f>Table1[[#This Row],[customer_purchase count]]*Rules!$B$3</f>
        <v>2390.5743589743593</v>
      </c>
      <c r="Y3848" t="str">
        <f>IF(Table1[[#This Row],[customer_subscription]]=1,"Subscribed","Not Subscribed")</f>
        <v>Not Subscribed</v>
      </c>
    </row>
    <row r="3849" spans="1:26" x14ac:dyDescent="0.25">
      <c r="A3849">
        <v>3848</v>
      </c>
      <c r="B3849">
        <v>60</v>
      </c>
      <c r="C3849" t="s">
        <v>156</v>
      </c>
      <c r="D3849">
        <v>3848</v>
      </c>
      <c r="E3849" t="s">
        <v>33</v>
      </c>
      <c r="F3849" t="s">
        <v>24</v>
      </c>
      <c r="G3849">
        <v>3848</v>
      </c>
      <c r="H3849">
        <v>4816</v>
      </c>
      <c r="I3849">
        <v>34</v>
      </c>
      <c r="J3849" t="s">
        <v>82</v>
      </c>
      <c r="K3849" t="s">
        <v>39</v>
      </c>
      <c r="L3849" t="s">
        <v>147</v>
      </c>
      <c r="M3849" t="s">
        <v>60</v>
      </c>
      <c r="N3849">
        <v>3.2</v>
      </c>
      <c r="O3849">
        <v>0</v>
      </c>
      <c r="P3849" t="s">
        <v>73</v>
      </c>
      <c r="Q3849" t="s">
        <v>155</v>
      </c>
      <c r="R3849" t="s">
        <v>155</v>
      </c>
      <c r="S3849">
        <v>31</v>
      </c>
      <c r="T3849" t="s">
        <v>49</v>
      </c>
      <c r="U3849" t="s">
        <v>32</v>
      </c>
      <c r="V3849" s="1">
        <v>45614</v>
      </c>
      <c r="W3849">
        <f>Table1[[#This Row],[customer_purchase count]]+1</f>
        <v>32</v>
      </c>
      <c r="X3849">
        <f>Table1[[#This Row],[customer_purchase count]]*Rules!$B$3</f>
        <v>1852.6951282051282</v>
      </c>
      <c r="Y3849" t="str">
        <f>IF(Table1[[#This Row],[customer_subscription]]=1,"Subscribed","Not Subscribed")</f>
        <v>Not Subscribed</v>
      </c>
    </row>
    <row r="3850" spans="1:26" x14ac:dyDescent="0.25">
      <c r="A3850">
        <v>3849</v>
      </c>
      <c r="B3850">
        <v>22</v>
      </c>
      <c r="C3850" t="s">
        <v>156</v>
      </c>
      <c r="D3850">
        <v>3849</v>
      </c>
      <c r="E3850" t="s">
        <v>109</v>
      </c>
      <c r="F3850" t="s">
        <v>70</v>
      </c>
      <c r="G3850">
        <v>3849</v>
      </c>
      <c r="H3850">
        <v>4817</v>
      </c>
      <c r="I3850">
        <v>60</v>
      </c>
      <c r="J3850" t="s">
        <v>85</v>
      </c>
      <c r="K3850" t="s">
        <v>47</v>
      </c>
      <c r="L3850" t="s">
        <v>139</v>
      </c>
      <c r="M3850" t="s">
        <v>28</v>
      </c>
      <c r="N3850">
        <v>3</v>
      </c>
      <c r="O3850">
        <v>0</v>
      </c>
      <c r="P3850" t="s">
        <v>48</v>
      </c>
      <c r="Q3850" t="s">
        <v>155</v>
      </c>
      <c r="R3850" t="s">
        <v>155</v>
      </c>
      <c r="S3850">
        <v>39</v>
      </c>
      <c r="T3850" t="s">
        <v>36</v>
      </c>
      <c r="U3850" t="s">
        <v>100</v>
      </c>
      <c r="V3850" s="1">
        <v>45305</v>
      </c>
      <c r="W3850">
        <f>Table1[[#This Row],[customer_purchase count]]+1</f>
        <v>40</v>
      </c>
      <c r="X3850">
        <f>Table1[[#This Row],[customer_purchase count]]*Rules!$B$3</f>
        <v>2330.81</v>
      </c>
      <c r="Y3850" t="str">
        <f>IF(Table1[[#This Row],[customer_subscription]]=1,"Subscribed","Not Subscribed")</f>
        <v>Not Subscribed</v>
      </c>
    </row>
    <row r="3851" spans="1:26" x14ac:dyDescent="0.25">
      <c r="A3851">
        <v>3850</v>
      </c>
      <c r="B3851">
        <v>46</v>
      </c>
      <c r="C3851" t="s">
        <v>156</v>
      </c>
      <c r="D3851">
        <v>3850</v>
      </c>
      <c r="E3851" t="s">
        <v>107</v>
      </c>
      <c r="F3851" t="s">
        <v>24</v>
      </c>
      <c r="G3851">
        <v>3850</v>
      </c>
      <c r="H3851">
        <v>4819</v>
      </c>
      <c r="I3851">
        <v>68</v>
      </c>
      <c r="J3851" t="s">
        <v>106</v>
      </c>
      <c r="K3851" t="s">
        <v>39</v>
      </c>
      <c r="L3851" t="s">
        <v>112</v>
      </c>
      <c r="M3851" t="s">
        <v>28</v>
      </c>
      <c r="N3851">
        <v>2.6</v>
      </c>
      <c r="O3851">
        <v>0</v>
      </c>
      <c r="P3851" t="s">
        <v>29</v>
      </c>
      <c r="Q3851" t="s">
        <v>155</v>
      </c>
      <c r="R3851" t="s">
        <v>155</v>
      </c>
      <c r="S3851">
        <v>36</v>
      </c>
      <c r="T3851" t="s">
        <v>49</v>
      </c>
      <c r="U3851" t="s">
        <v>32</v>
      </c>
      <c r="V3851" s="1">
        <v>45643</v>
      </c>
      <c r="W3851">
        <f>Table1[[#This Row],[customer_purchase count]]+1</f>
        <v>37</v>
      </c>
      <c r="X3851">
        <f>Table1[[#This Row],[customer_purchase count]]*Rules!$B$3</f>
        <v>2151.5169230769234</v>
      </c>
      <c r="Y3851" t="str">
        <f>IF(Table1[[#This Row],[customer_subscription]]=1,"Subscribed","Not Subscribed")</f>
        <v>Not Subscribed</v>
      </c>
    </row>
    <row r="3852" spans="1:26" x14ac:dyDescent="0.25">
      <c r="A3852">
        <v>3851</v>
      </c>
      <c r="B3852">
        <v>27</v>
      </c>
      <c r="C3852" t="s">
        <v>156</v>
      </c>
      <c r="D3852">
        <v>3851</v>
      </c>
      <c r="E3852" t="s">
        <v>109</v>
      </c>
      <c r="F3852" t="s">
        <v>70</v>
      </c>
      <c r="G3852">
        <v>3851</v>
      </c>
      <c r="H3852">
        <v>4820</v>
      </c>
      <c r="I3852">
        <v>74</v>
      </c>
      <c r="J3852" t="s">
        <v>94</v>
      </c>
      <c r="K3852" t="s">
        <v>26</v>
      </c>
      <c r="L3852" t="s">
        <v>129</v>
      </c>
      <c r="M3852" t="s">
        <v>56</v>
      </c>
      <c r="N3852">
        <v>4.4000000000000004</v>
      </c>
      <c r="O3852">
        <v>0</v>
      </c>
      <c r="P3852" t="s">
        <v>73</v>
      </c>
      <c r="Q3852" t="s">
        <v>155</v>
      </c>
      <c r="R3852" t="s">
        <v>155</v>
      </c>
      <c r="S3852">
        <v>25</v>
      </c>
      <c r="T3852" t="s">
        <v>89</v>
      </c>
      <c r="U3852" t="s">
        <v>100</v>
      </c>
      <c r="V3852" s="1">
        <v>45522</v>
      </c>
      <c r="W3852">
        <f>Table1[[#This Row],[customer_purchase count]]+1</f>
        <v>26</v>
      </c>
      <c r="X3852">
        <f>Table1[[#This Row],[customer_purchase count]]*Rules!$B$3</f>
        <v>1494.1089743589744</v>
      </c>
      <c r="Y3852" t="str">
        <f>IF(Table1[[#This Row],[customer_subscription]]=1,"Subscribed","Not Subscribed")</f>
        <v>Not Subscribed</v>
      </c>
    </row>
    <row r="3853" spans="1:26" x14ac:dyDescent="0.25">
      <c r="A3853">
        <v>3852</v>
      </c>
      <c r="B3853">
        <v>50</v>
      </c>
      <c r="C3853" t="s">
        <v>156</v>
      </c>
      <c r="D3853">
        <v>3852</v>
      </c>
      <c r="E3853" t="s">
        <v>122</v>
      </c>
      <c r="F3853" t="s">
        <v>70</v>
      </c>
      <c r="G3853">
        <v>3852</v>
      </c>
      <c r="H3853">
        <v>4821</v>
      </c>
      <c r="I3853">
        <v>83</v>
      </c>
      <c r="J3853" t="s">
        <v>59</v>
      </c>
      <c r="K3853" t="s">
        <v>47</v>
      </c>
      <c r="L3853" t="s">
        <v>72</v>
      </c>
      <c r="M3853" t="s">
        <v>56</v>
      </c>
      <c r="N3853">
        <v>3.9</v>
      </c>
      <c r="O3853">
        <v>0</v>
      </c>
      <c r="P3853" t="s">
        <v>41</v>
      </c>
      <c r="Q3853" t="s">
        <v>155</v>
      </c>
      <c r="R3853" t="s">
        <v>155</v>
      </c>
      <c r="S3853">
        <v>24</v>
      </c>
      <c r="T3853" t="s">
        <v>89</v>
      </c>
      <c r="U3853" t="s">
        <v>52</v>
      </c>
      <c r="V3853" s="1">
        <v>45492</v>
      </c>
      <c r="W3853">
        <f>Table1[[#This Row],[customer_purchase count]]+1</f>
        <v>25</v>
      </c>
      <c r="X3853">
        <f>Table1[[#This Row],[customer_purchase count]]*Rules!$B$3</f>
        <v>1434.3446153846155</v>
      </c>
      <c r="Y3853" t="str">
        <f>IF(Table1[[#This Row],[customer_subscription]]=1,"Subscribed","Not Subscribed")</f>
        <v>Not Subscribed</v>
      </c>
    </row>
    <row r="3854" spans="1:26" x14ac:dyDescent="0.25">
      <c r="A3854">
        <v>3853</v>
      </c>
      <c r="B3854">
        <v>65</v>
      </c>
      <c r="C3854" t="s">
        <v>156</v>
      </c>
      <c r="D3854">
        <v>3853</v>
      </c>
      <c r="E3854" t="s">
        <v>127</v>
      </c>
      <c r="F3854" t="s">
        <v>70</v>
      </c>
      <c r="G3854">
        <v>3853</v>
      </c>
      <c r="H3854">
        <v>4822</v>
      </c>
      <c r="I3854">
        <v>79</v>
      </c>
      <c r="J3854" t="s">
        <v>94</v>
      </c>
      <c r="K3854" t="s">
        <v>47</v>
      </c>
      <c r="L3854" t="s">
        <v>103</v>
      </c>
      <c r="M3854" t="s">
        <v>60</v>
      </c>
      <c r="N3854">
        <v>4</v>
      </c>
      <c r="O3854">
        <v>0</v>
      </c>
      <c r="P3854" t="s">
        <v>73</v>
      </c>
      <c r="Q3854" t="s">
        <v>155</v>
      </c>
      <c r="R3854" t="s">
        <v>155</v>
      </c>
      <c r="S3854">
        <v>19</v>
      </c>
      <c r="T3854" t="s">
        <v>49</v>
      </c>
      <c r="U3854" t="s">
        <v>43</v>
      </c>
      <c r="V3854" s="1">
        <v>45611</v>
      </c>
      <c r="W3854">
        <f>Table1[[#This Row],[customer_purchase count]]+1</f>
        <v>20</v>
      </c>
      <c r="X3854">
        <f>Table1[[#This Row],[customer_purchase count]]*Rules!$B$3</f>
        <v>1135.5228205128205</v>
      </c>
      <c r="Y3854" t="str">
        <f>IF(Table1[[#This Row],[customer_subscription]]=1,"Subscribed","Not Subscribed")</f>
        <v>Not Subscribed</v>
      </c>
    </row>
    <row r="3855" spans="1:26" x14ac:dyDescent="0.25">
      <c r="A3855">
        <v>3854</v>
      </c>
      <c r="B3855">
        <v>61</v>
      </c>
      <c r="C3855" t="s">
        <v>156</v>
      </c>
      <c r="D3855">
        <v>3854</v>
      </c>
      <c r="E3855" t="s">
        <v>92</v>
      </c>
      <c r="F3855" t="s">
        <v>70</v>
      </c>
      <c r="G3855">
        <v>3854</v>
      </c>
      <c r="H3855">
        <v>4823</v>
      </c>
      <c r="I3855">
        <v>76</v>
      </c>
      <c r="J3855" t="s">
        <v>125</v>
      </c>
      <c r="K3855" t="s">
        <v>47</v>
      </c>
      <c r="L3855" t="s">
        <v>96</v>
      </c>
      <c r="M3855" t="s">
        <v>60</v>
      </c>
      <c r="N3855">
        <v>4</v>
      </c>
      <c r="O3855">
        <v>0</v>
      </c>
      <c r="P3855" t="s">
        <v>77</v>
      </c>
      <c r="Q3855" t="s">
        <v>155</v>
      </c>
      <c r="R3855" t="s">
        <v>155</v>
      </c>
      <c r="S3855">
        <v>49</v>
      </c>
      <c r="T3855" t="s">
        <v>89</v>
      </c>
      <c r="U3855" t="s">
        <v>79</v>
      </c>
      <c r="V3855" s="1">
        <v>45593</v>
      </c>
      <c r="W3855">
        <f>Table1[[#This Row],[customer_purchase count]]+1</f>
        <v>50</v>
      </c>
      <c r="X3855">
        <f>Table1[[#This Row],[customer_purchase count]]*Rules!$B$3</f>
        <v>2928.4535897435899</v>
      </c>
      <c r="Y3855" t="str">
        <f>IF(Table1[[#This Row],[customer_subscription]]=1,"Subscribed","Not Subscribed")</f>
        <v>Not Subscribed</v>
      </c>
    </row>
    <row r="3856" spans="1:26" x14ac:dyDescent="0.25">
      <c r="A3856">
        <v>3855</v>
      </c>
      <c r="B3856">
        <v>57</v>
      </c>
      <c r="C3856" t="s">
        <v>156</v>
      </c>
      <c r="D3856">
        <v>3855</v>
      </c>
      <c r="E3856" t="s">
        <v>116</v>
      </c>
      <c r="F3856" t="s">
        <v>24</v>
      </c>
      <c r="G3856">
        <v>3855</v>
      </c>
      <c r="H3856">
        <v>4825</v>
      </c>
      <c r="I3856">
        <v>20</v>
      </c>
      <c r="J3856" t="s">
        <v>106</v>
      </c>
      <c r="K3856" t="s">
        <v>47</v>
      </c>
      <c r="L3856" t="s">
        <v>97</v>
      </c>
      <c r="M3856" t="s">
        <v>40</v>
      </c>
      <c r="N3856">
        <v>4.2</v>
      </c>
      <c r="O3856">
        <v>0</v>
      </c>
      <c r="P3856" t="s">
        <v>41</v>
      </c>
      <c r="Q3856" t="s">
        <v>155</v>
      </c>
      <c r="R3856" t="s">
        <v>155</v>
      </c>
      <c r="S3856">
        <v>4</v>
      </c>
      <c r="T3856" t="s">
        <v>31</v>
      </c>
      <c r="U3856" t="s">
        <v>52</v>
      </c>
      <c r="V3856" s="1">
        <v>45367</v>
      </c>
      <c r="W3856">
        <f>Table1[[#This Row],[customer_purchase count]]+1</f>
        <v>5</v>
      </c>
      <c r="X3856">
        <f>Table1[[#This Row],[customer_purchase count]]*Rules!$B$3</f>
        <v>239.05743589743591</v>
      </c>
      <c r="Y3856" t="str">
        <f>IF(Table1[[#This Row],[customer_subscription]]=1,"Subscribed","Not Subscribed")</f>
        <v>Not Subscribed</v>
      </c>
      <c r="Z3856" t="s">
        <v>194</v>
      </c>
    </row>
    <row r="3857" spans="1:26" x14ac:dyDescent="0.25">
      <c r="A3857">
        <v>3856</v>
      </c>
      <c r="B3857">
        <v>40</v>
      </c>
      <c r="C3857" t="s">
        <v>156</v>
      </c>
      <c r="D3857">
        <v>3856</v>
      </c>
      <c r="E3857" t="s">
        <v>58</v>
      </c>
      <c r="F3857" t="s">
        <v>24</v>
      </c>
      <c r="G3857">
        <v>3856</v>
      </c>
      <c r="H3857">
        <v>4826</v>
      </c>
      <c r="I3857">
        <v>61</v>
      </c>
      <c r="J3857" t="s">
        <v>118</v>
      </c>
      <c r="K3857" t="s">
        <v>95</v>
      </c>
      <c r="L3857" t="s">
        <v>96</v>
      </c>
      <c r="M3857" t="s">
        <v>56</v>
      </c>
      <c r="N3857">
        <v>4.4000000000000004</v>
      </c>
      <c r="O3857">
        <v>0</v>
      </c>
      <c r="P3857" t="s">
        <v>48</v>
      </c>
      <c r="Q3857" t="s">
        <v>155</v>
      </c>
      <c r="R3857" t="s">
        <v>155</v>
      </c>
      <c r="S3857">
        <v>36</v>
      </c>
      <c r="T3857" t="s">
        <v>36</v>
      </c>
      <c r="U3857" t="s">
        <v>61</v>
      </c>
      <c r="V3857" s="1">
        <v>45509</v>
      </c>
      <c r="W3857">
        <f>Table1[[#This Row],[customer_purchase count]]+1</f>
        <v>37</v>
      </c>
      <c r="X3857">
        <f>Table1[[#This Row],[customer_purchase count]]*Rules!$B$3</f>
        <v>2151.5169230769234</v>
      </c>
      <c r="Y3857" t="str">
        <f>IF(Table1[[#This Row],[customer_subscription]]=1,"Subscribed","Not Subscribed")</f>
        <v>Not Subscribed</v>
      </c>
    </row>
    <row r="3858" spans="1:26" x14ac:dyDescent="0.25">
      <c r="A3858">
        <v>3857</v>
      </c>
      <c r="B3858">
        <v>39</v>
      </c>
      <c r="C3858" t="s">
        <v>156</v>
      </c>
      <c r="D3858">
        <v>3857</v>
      </c>
      <c r="E3858" t="s">
        <v>44</v>
      </c>
      <c r="F3858" t="s">
        <v>45</v>
      </c>
      <c r="G3858">
        <v>3857</v>
      </c>
      <c r="H3858">
        <v>4827</v>
      </c>
      <c r="I3858">
        <v>78</v>
      </c>
      <c r="J3858" t="s">
        <v>144</v>
      </c>
      <c r="K3858" t="s">
        <v>39</v>
      </c>
      <c r="L3858" t="s">
        <v>113</v>
      </c>
      <c r="M3858" t="s">
        <v>56</v>
      </c>
      <c r="N3858">
        <v>2.5</v>
      </c>
      <c r="O3858">
        <v>0</v>
      </c>
      <c r="P3858" t="s">
        <v>41</v>
      </c>
      <c r="Q3858" t="s">
        <v>155</v>
      </c>
      <c r="R3858" t="s">
        <v>155</v>
      </c>
      <c r="S3858">
        <v>8</v>
      </c>
      <c r="T3858" t="s">
        <v>89</v>
      </c>
      <c r="U3858" t="s">
        <v>61</v>
      </c>
      <c r="V3858" s="1">
        <v>45482</v>
      </c>
      <c r="W3858">
        <f>Table1[[#This Row],[customer_purchase count]]+1</f>
        <v>9</v>
      </c>
      <c r="X3858">
        <f>Table1[[#This Row],[customer_purchase count]]*Rules!$B$3</f>
        <v>478.11487179487182</v>
      </c>
      <c r="Y3858" t="str">
        <f>IF(Table1[[#This Row],[customer_subscription]]=1,"Subscribed","Not Subscribed")</f>
        <v>Not Subscribed</v>
      </c>
      <c r="Z3858" t="s">
        <v>194</v>
      </c>
    </row>
    <row r="3859" spans="1:26" x14ac:dyDescent="0.25">
      <c r="A3859">
        <v>3858</v>
      </c>
      <c r="B3859">
        <v>42</v>
      </c>
      <c r="C3859" t="s">
        <v>156</v>
      </c>
      <c r="D3859">
        <v>3858</v>
      </c>
      <c r="E3859" t="s">
        <v>127</v>
      </c>
      <c r="F3859" t="s">
        <v>70</v>
      </c>
      <c r="G3859">
        <v>3858</v>
      </c>
      <c r="H3859">
        <v>4828</v>
      </c>
      <c r="I3859">
        <v>21</v>
      </c>
      <c r="J3859" t="s">
        <v>108</v>
      </c>
      <c r="K3859" t="s">
        <v>39</v>
      </c>
      <c r="L3859" t="s">
        <v>137</v>
      </c>
      <c r="M3859" t="s">
        <v>56</v>
      </c>
      <c r="N3859">
        <v>3.1</v>
      </c>
      <c r="O3859">
        <v>0</v>
      </c>
      <c r="P3859" t="s">
        <v>77</v>
      </c>
      <c r="Q3859" t="s">
        <v>155</v>
      </c>
      <c r="R3859" t="s">
        <v>155</v>
      </c>
      <c r="S3859">
        <v>29</v>
      </c>
      <c r="T3859" t="s">
        <v>42</v>
      </c>
      <c r="U3859" t="s">
        <v>100</v>
      </c>
      <c r="V3859" s="1">
        <v>45515</v>
      </c>
      <c r="W3859">
        <f>Table1[[#This Row],[customer_purchase count]]+1</f>
        <v>30</v>
      </c>
      <c r="X3859">
        <f>Table1[[#This Row],[customer_purchase count]]*Rules!$B$3</f>
        <v>1733.1664102564102</v>
      </c>
      <c r="Y3859" t="str">
        <f>IF(Table1[[#This Row],[customer_subscription]]=1,"Subscribed","Not Subscribed")</f>
        <v>Not Subscribed</v>
      </c>
    </row>
    <row r="3860" spans="1:26" x14ac:dyDescent="0.25">
      <c r="A3860">
        <v>3859</v>
      </c>
      <c r="B3860">
        <v>30</v>
      </c>
      <c r="C3860" t="s">
        <v>156</v>
      </c>
      <c r="D3860">
        <v>3859</v>
      </c>
      <c r="E3860" t="s">
        <v>116</v>
      </c>
      <c r="F3860" t="s">
        <v>24</v>
      </c>
      <c r="G3860">
        <v>3859</v>
      </c>
      <c r="H3860">
        <v>4829</v>
      </c>
      <c r="I3860">
        <v>77</v>
      </c>
      <c r="J3860" t="s">
        <v>71</v>
      </c>
      <c r="K3860" t="s">
        <v>47</v>
      </c>
      <c r="L3860" t="s">
        <v>81</v>
      </c>
      <c r="M3860" t="s">
        <v>28</v>
      </c>
      <c r="N3860">
        <v>3.5</v>
      </c>
      <c r="O3860">
        <v>0</v>
      </c>
      <c r="P3860" t="s">
        <v>77</v>
      </c>
      <c r="Q3860" t="s">
        <v>155</v>
      </c>
      <c r="R3860" t="s">
        <v>155</v>
      </c>
      <c r="S3860">
        <v>26</v>
      </c>
      <c r="T3860" t="s">
        <v>42</v>
      </c>
      <c r="U3860" t="s">
        <v>61</v>
      </c>
      <c r="V3860" s="1">
        <v>45308</v>
      </c>
      <c r="W3860">
        <f>Table1[[#This Row],[customer_purchase count]]+1</f>
        <v>27</v>
      </c>
      <c r="X3860">
        <f>Table1[[#This Row],[customer_purchase count]]*Rules!$B$3</f>
        <v>1553.8733333333334</v>
      </c>
      <c r="Y3860" t="str">
        <f>IF(Table1[[#This Row],[customer_subscription]]=1,"Subscribed","Not Subscribed")</f>
        <v>Not Subscribed</v>
      </c>
    </row>
    <row r="3861" spans="1:26" x14ac:dyDescent="0.25">
      <c r="A3861">
        <v>3860</v>
      </c>
      <c r="B3861">
        <v>65</v>
      </c>
      <c r="C3861" t="s">
        <v>156</v>
      </c>
      <c r="D3861">
        <v>3860</v>
      </c>
      <c r="E3861" t="s">
        <v>62</v>
      </c>
      <c r="F3861" t="s">
        <v>24</v>
      </c>
      <c r="G3861">
        <v>3860</v>
      </c>
      <c r="H3861">
        <v>4831</v>
      </c>
      <c r="I3861">
        <v>88</v>
      </c>
      <c r="J3861" t="s">
        <v>94</v>
      </c>
      <c r="K3861" t="s">
        <v>39</v>
      </c>
      <c r="L3861" t="s">
        <v>147</v>
      </c>
      <c r="M3861" t="s">
        <v>60</v>
      </c>
      <c r="N3861">
        <v>3</v>
      </c>
      <c r="O3861">
        <v>0</v>
      </c>
      <c r="P3861" t="s">
        <v>73</v>
      </c>
      <c r="Q3861" t="s">
        <v>155</v>
      </c>
      <c r="R3861" t="s">
        <v>155</v>
      </c>
      <c r="S3861">
        <v>47</v>
      </c>
      <c r="T3861" t="s">
        <v>78</v>
      </c>
      <c r="U3861" t="s">
        <v>79</v>
      </c>
      <c r="V3861" s="1">
        <v>45584</v>
      </c>
      <c r="W3861">
        <f>Table1[[#This Row],[customer_purchase count]]+1</f>
        <v>48</v>
      </c>
      <c r="X3861">
        <f>Table1[[#This Row],[customer_purchase count]]*Rules!$B$3</f>
        <v>2808.9248717948717</v>
      </c>
      <c r="Y3861" t="str">
        <f>IF(Table1[[#This Row],[customer_subscription]]=1,"Subscribed","Not Subscribed")</f>
        <v>Not Subscribed</v>
      </c>
    </row>
    <row r="3862" spans="1:26" x14ac:dyDescent="0.25">
      <c r="A3862">
        <v>3861</v>
      </c>
      <c r="B3862">
        <v>57</v>
      </c>
      <c r="C3862" t="s">
        <v>156</v>
      </c>
      <c r="D3862">
        <v>3861</v>
      </c>
      <c r="E3862" t="s">
        <v>92</v>
      </c>
      <c r="F3862" t="s">
        <v>70</v>
      </c>
      <c r="G3862">
        <v>3861</v>
      </c>
      <c r="H3862">
        <v>4832</v>
      </c>
      <c r="I3862">
        <v>64</v>
      </c>
      <c r="J3862" t="s">
        <v>141</v>
      </c>
      <c r="K3862" t="s">
        <v>47</v>
      </c>
      <c r="L3862" t="s">
        <v>51</v>
      </c>
      <c r="M3862" t="s">
        <v>56</v>
      </c>
      <c r="N3862">
        <v>4.4000000000000004</v>
      </c>
      <c r="O3862">
        <v>0</v>
      </c>
      <c r="P3862" t="s">
        <v>48</v>
      </c>
      <c r="Q3862" t="s">
        <v>155</v>
      </c>
      <c r="R3862" t="s">
        <v>155</v>
      </c>
      <c r="S3862">
        <v>44</v>
      </c>
      <c r="T3862" t="s">
        <v>36</v>
      </c>
      <c r="U3862" t="s">
        <v>52</v>
      </c>
      <c r="V3862" s="1">
        <v>45519</v>
      </c>
      <c r="W3862">
        <f>Table1[[#This Row],[customer_purchase count]]+1</f>
        <v>45</v>
      </c>
      <c r="X3862">
        <f>Table1[[#This Row],[customer_purchase count]]*Rules!$B$3</f>
        <v>2629.6317948717951</v>
      </c>
      <c r="Y3862" t="str">
        <f>IF(Table1[[#This Row],[customer_subscription]]=1,"Subscribed","Not Subscribed")</f>
        <v>Not Subscribed</v>
      </c>
    </row>
    <row r="3863" spans="1:26" x14ac:dyDescent="0.25">
      <c r="A3863">
        <v>3862</v>
      </c>
      <c r="B3863">
        <v>64</v>
      </c>
      <c r="C3863" t="s">
        <v>156</v>
      </c>
      <c r="D3863">
        <v>3862</v>
      </c>
      <c r="E3863" t="s">
        <v>105</v>
      </c>
      <c r="F3863" t="s">
        <v>66</v>
      </c>
      <c r="G3863">
        <v>3862</v>
      </c>
      <c r="H3863">
        <v>4833</v>
      </c>
      <c r="I3863">
        <v>57</v>
      </c>
      <c r="J3863" t="s">
        <v>54</v>
      </c>
      <c r="K3863" t="s">
        <v>47</v>
      </c>
      <c r="L3863" t="s">
        <v>137</v>
      </c>
      <c r="M3863" t="s">
        <v>40</v>
      </c>
      <c r="N3863">
        <v>4.9000000000000004</v>
      </c>
      <c r="O3863">
        <v>0</v>
      </c>
      <c r="P3863" t="s">
        <v>57</v>
      </c>
      <c r="Q3863" t="s">
        <v>155</v>
      </c>
      <c r="R3863" t="s">
        <v>155</v>
      </c>
      <c r="S3863">
        <v>49</v>
      </c>
      <c r="T3863" t="s">
        <v>42</v>
      </c>
      <c r="U3863" t="s">
        <v>91</v>
      </c>
      <c r="V3863" s="1">
        <v>45390</v>
      </c>
      <c r="W3863">
        <f>Table1[[#This Row],[customer_purchase count]]+1</f>
        <v>50</v>
      </c>
      <c r="X3863">
        <f>Table1[[#This Row],[customer_purchase count]]*Rules!$B$3</f>
        <v>2928.4535897435899</v>
      </c>
      <c r="Y3863" t="str">
        <f>IF(Table1[[#This Row],[customer_subscription]]=1,"Subscribed","Not Subscribed")</f>
        <v>Not Subscribed</v>
      </c>
    </row>
    <row r="3864" spans="1:26" x14ac:dyDescent="0.25">
      <c r="A3864">
        <v>3863</v>
      </c>
      <c r="B3864">
        <v>56</v>
      </c>
      <c r="C3864" t="s">
        <v>156</v>
      </c>
      <c r="D3864">
        <v>3863</v>
      </c>
      <c r="E3864" t="s">
        <v>58</v>
      </c>
      <c r="F3864" t="s">
        <v>24</v>
      </c>
      <c r="G3864">
        <v>3863</v>
      </c>
      <c r="H3864">
        <v>4834</v>
      </c>
      <c r="I3864">
        <v>49</v>
      </c>
      <c r="J3864" t="s">
        <v>138</v>
      </c>
      <c r="K3864" t="s">
        <v>26</v>
      </c>
      <c r="L3864" t="s">
        <v>51</v>
      </c>
      <c r="M3864" t="s">
        <v>28</v>
      </c>
      <c r="N3864">
        <v>2.8</v>
      </c>
      <c r="O3864">
        <v>0</v>
      </c>
      <c r="P3864" t="s">
        <v>48</v>
      </c>
      <c r="Q3864" t="s">
        <v>155</v>
      </c>
      <c r="R3864" t="s">
        <v>155</v>
      </c>
      <c r="S3864">
        <v>9</v>
      </c>
      <c r="T3864" t="s">
        <v>31</v>
      </c>
      <c r="U3864" t="s">
        <v>91</v>
      </c>
      <c r="V3864" s="1">
        <v>45307</v>
      </c>
      <c r="W3864">
        <f>Table1[[#This Row],[customer_purchase count]]+1</f>
        <v>10</v>
      </c>
      <c r="X3864">
        <f>Table1[[#This Row],[customer_purchase count]]*Rules!$B$3</f>
        <v>537.87923076923084</v>
      </c>
      <c r="Y3864" t="str">
        <f>IF(Table1[[#This Row],[customer_subscription]]=1,"Subscribed","Not Subscribed")</f>
        <v>Not Subscribed</v>
      </c>
      <c r="Z3864" t="s">
        <v>194</v>
      </c>
    </row>
    <row r="3865" spans="1:26" x14ac:dyDescent="0.25">
      <c r="A3865">
        <v>3864</v>
      </c>
      <c r="B3865">
        <v>40</v>
      </c>
      <c r="C3865" t="s">
        <v>156</v>
      </c>
      <c r="D3865">
        <v>3864</v>
      </c>
      <c r="E3865" t="s">
        <v>122</v>
      </c>
      <c r="F3865" t="s">
        <v>70</v>
      </c>
      <c r="G3865">
        <v>3864</v>
      </c>
      <c r="H3865">
        <v>4835</v>
      </c>
      <c r="I3865">
        <v>35</v>
      </c>
      <c r="J3865" t="s">
        <v>85</v>
      </c>
      <c r="K3865" t="s">
        <v>47</v>
      </c>
      <c r="L3865" t="s">
        <v>124</v>
      </c>
      <c r="M3865" t="s">
        <v>56</v>
      </c>
      <c r="N3865">
        <v>3.3</v>
      </c>
      <c r="O3865">
        <v>0</v>
      </c>
      <c r="P3865" t="s">
        <v>41</v>
      </c>
      <c r="Q3865" t="s">
        <v>155</v>
      </c>
      <c r="R3865" t="s">
        <v>155</v>
      </c>
      <c r="S3865">
        <v>28</v>
      </c>
      <c r="T3865" t="s">
        <v>36</v>
      </c>
      <c r="U3865" t="s">
        <v>32</v>
      </c>
      <c r="V3865" s="1">
        <v>45506</v>
      </c>
      <c r="W3865">
        <f>Table1[[#This Row],[customer_purchase count]]+1</f>
        <v>29</v>
      </c>
      <c r="X3865">
        <f>Table1[[#This Row],[customer_purchase count]]*Rules!$B$3</f>
        <v>1673.4020512820514</v>
      </c>
      <c r="Y3865" t="str">
        <f>IF(Table1[[#This Row],[customer_subscription]]=1,"Subscribed","Not Subscribed")</f>
        <v>Not Subscribed</v>
      </c>
    </row>
    <row r="3866" spans="1:26" x14ac:dyDescent="0.25">
      <c r="A3866">
        <v>3865</v>
      </c>
      <c r="B3866">
        <v>55</v>
      </c>
      <c r="C3866" t="s">
        <v>156</v>
      </c>
      <c r="D3866">
        <v>3865</v>
      </c>
      <c r="E3866" t="s">
        <v>116</v>
      </c>
      <c r="F3866" t="s">
        <v>24</v>
      </c>
      <c r="G3866">
        <v>3865</v>
      </c>
      <c r="H3866">
        <v>4837</v>
      </c>
      <c r="I3866">
        <v>99</v>
      </c>
      <c r="J3866" t="s">
        <v>54</v>
      </c>
      <c r="K3866" t="s">
        <v>39</v>
      </c>
      <c r="L3866" t="s">
        <v>147</v>
      </c>
      <c r="M3866" t="s">
        <v>28</v>
      </c>
      <c r="N3866">
        <v>4.9000000000000004</v>
      </c>
      <c r="O3866">
        <v>0</v>
      </c>
      <c r="P3866" t="s">
        <v>29</v>
      </c>
      <c r="Q3866" t="s">
        <v>155</v>
      </c>
      <c r="R3866" t="s">
        <v>155</v>
      </c>
      <c r="S3866">
        <v>1</v>
      </c>
      <c r="T3866" t="s">
        <v>89</v>
      </c>
      <c r="U3866" t="s">
        <v>32</v>
      </c>
      <c r="V3866" s="1">
        <v>45654</v>
      </c>
      <c r="W3866">
        <f>Table1[[#This Row],[customer_purchase count]]+1</f>
        <v>2</v>
      </c>
      <c r="X3866">
        <f>Table1[[#This Row],[customer_purchase count]]*Rules!$B$3</f>
        <v>59.764358974358977</v>
      </c>
      <c r="Y3866" t="str">
        <f>IF(Table1[[#This Row],[customer_subscription]]=1,"Subscribed","Not Subscribed")</f>
        <v>Not Subscribed</v>
      </c>
      <c r="Z3866" t="s">
        <v>194</v>
      </c>
    </row>
    <row r="3867" spans="1:26" x14ac:dyDescent="0.25">
      <c r="A3867">
        <v>3866</v>
      </c>
      <c r="B3867">
        <v>25</v>
      </c>
      <c r="C3867" t="s">
        <v>156</v>
      </c>
      <c r="D3867">
        <v>3866</v>
      </c>
      <c r="E3867" t="s">
        <v>62</v>
      </c>
      <c r="F3867" t="s">
        <v>24</v>
      </c>
      <c r="G3867">
        <v>3866</v>
      </c>
      <c r="H3867">
        <v>4838</v>
      </c>
      <c r="I3867">
        <v>42</v>
      </c>
      <c r="J3867" t="s">
        <v>148</v>
      </c>
      <c r="K3867" t="s">
        <v>47</v>
      </c>
      <c r="L3867" t="s">
        <v>81</v>
      </c>
      <c r="M3867" t="s">
        <v>40</v>
      </c>
      <c r="N3867">
        <v>4.2</v>
      </c>
      <c r="O3867">
        <v>0</v>
      </c>
      <c r="P3867" t="s">
        <v>77</v>
      </c>
      <c r="Q3867" t="s">
        <v>155</v>
      </c>
      <c r="R3867" t="s">
        <v>155</v>
      </c>
      <c r="S3867">
        <v>28</v>
      </c>
      <c r="T3867" t="s">
        <v>36</v>
      </c>
      <c r="U3867" t="s">
        <v>100</v>
      </c>
      <c r="V3867" s="1">
        <v>45439</v>
      </c>
      <c r="W3867">
        <f>Table1[[#This Row],[customer_purchase count]]+1</f>
        <v>29</v>
      </c>
      <c r="X3867">
        <f>Table1[[#This Row],[customer_purchase count]]*Rules!$B$3</f>
        <v>1673.4020512820514</v>
      </c>
      <c r="Y3867" t="str">
        <f>IF(Table1[[#This Row],[customer_subscription]]=1,"Subscribed","Not Subscribed")</f>
        <v>Not Subscribed</v>
      </c>
    </row>
    <row r="3868" spans="1:26" x14ac:dyDescent="0.25">
      <c r="A3868">
        <v>3867</v>
      </c>
      <c r="B3868">
        <v>58</v>
      </c>
      <c r="C3868" t="s">
        <v>156</v>
      </c>
      <c r="D3868">
        <v>3867</v>
      </c>
      <c r="E3868" t="s">
        <v>127</v>
      </c>
      <c r="F3868" t="s">
        <v>70</v>
      </c>
      <c r="G3868">
        <v>3867</v>
      </c>
      <c r="H3868">
        <v>4839</v>
      </c>
      <c r="I3868">
        <v>32</v>
      </c>
      <c r="J3868" t="s">
        <v>123</v>
      </c>
      <c r="K3868" t="s">
        <v>47</v>
      </c>
      <c r="L3868" t="s">
        <v>121</v>
      </c>
      <c r="M3868" t="s">
        <v>28</v>
      </c>
      <c r="N3868">
        <v>3.3</v>
      </c>
      <c r="O3868">
        <v>0</v>
      </c>
      <c r="P3868" t="s">
        <v>73</v>
      </c>
      <c r="Q3868" t="s">
        <v>155</v>
      </c>
      <c r="R3868" t="s">
        <v>155</v>
      </c>
      <c r="S3868">
        <v>33</v>
      </c>
      <c r="T3868" t="s">
        <v>42</v>
      </c>
      <c r="U3868" t="s">
        <v>32</v>
      </c>
      <c r="V3868" s="1">
        <v>45309</v>
      </c>
      <c r="W3868">
        <f>Table1[[#This Row],[customer_purchase count]]+1</f>
        <v>34</v>
      </c>
      <c r="X3868">
        <f>Table1[[#This Row],[customer_purchase count]]*Rules!$B$3</f>
        <v>1972.2238461538464</v>
      </c>
      <c r="Y3868" t="str">
        <f>IF(Table1[[#This Row],[customer_subscription]]=1,"Subscribed","Not Subscribed")</f>
        <v>Not Subscribed</v>
      </c>
    </row>
    <row r="3869" spans="1:26" x14ac:dyDescent="0.25">
      <c r="A3869">
        <v>3868</v>
      </c>
      <c r="B3869">
        <v>46</v>
      </c>
      <c r="C3869" t="s">
        <v>156</v>
      </c>
      <c r="D3869">
        <v>3868</v>
      </c>
      <c r="E3869" t="s">
        <v>105</v>
      </c>
      <c r="F3869" t="s">
        <v>66</v>
      </c>
      <c r="G3869">
        <v>3868</v>
      </c>
      <c r="H3869">
        <v>4840</v>
      </c>
      <c r="I3869">
        <v>21</v>
      </c>
      <c r="J3869" t="s">
        <v>131</v>
      </c>
      <c r="K3869" t="s">
        <v>26</v>
      </c>
      <c r="L3869" t="s">
        <v>96</v>
      </c>
      <c r="M3869" t="s">
        <v>56</v>
      </c>
      <c r="N3869">
        <v>2.7</v>
      </c>
      <c r="O3869">
        <v>0</v>
      </c>
      <c r="P3869" t="s">
        <v>57</v>
      </c>
      <c r="Q3869" t="s">
        <v>155</v>
      </c>
      <c r="R3869" t="s">
        <v>155</v>
      </c>
      <c r="S3869">
        <v>28</v>
      </c>
      <c r="T3869" t="s">
        <v>42</v>
      </c>
      <c r="U3869" t="s">
        <v>91</v>
      </c>
      <c r="V3869" s="1">
        <v>45513</v>
      </c>
      <c r="W3869">
        <f>Table1[[#This Row],[customer_purchase count]]+1</f>
        <v>29</v>
      </c>
      <c r="X3869">
        <f>Table1[[#This Row],[customer_purchase count]]*Rules!$B$3</f>
        <v>1673.4020512820514</v>
      </c>
      <c r="Y3869" t="str">
        <f>IF(Table1[[#This Row],[customer_subscription]]=1,"Subscribed","Not Subscribed")</f>
        <v>Not Subscribed</v>
      </c>
    </row>
    <row r="3870" spans="1:26" x14ac:dyDescent="0.25">
      <c r="A3870">
        <v>3869</v>
      </c>
      <c r="B3870">
        <v>18</v>
      </c>
      <c r="C3870" t="s">
        <v>156</v>
      </c>
      <c r="D3870">
        <v>3869</v>
      </c>
      <c r="E3870" t="s">
        <v>84</v>
      </c>
      <c r="F3870" t="s">
        <v>24</v>
      </c>
      <c r="G3870">
        <v>3869</v>
      </c>
      <c r="H3870">
        <v>4841</v>
      </c>
      <c r="I3870">
        <v>29</v>
      </c>
      <c r="J3870" t="s">
        <v>131</v>
      </c>
      <c r="K3870" t="s">
        <v>95</v>
      </c>
      <c r="L3870" t="s">
        <v>139</v>
      </c>
      <c r="M3870" t="s">
        <v>28</v>
      </c>
      <c r="N3870">
        <v>3.3</v>
      </c>
      <c r="O3870">
        <v>0</v>
      </c>
      <c r="P3870" t="s">
        <v>73</v>
      </c>
      <c r="Q3870" t="s">
        <v>155</v>
      </c>
      <c r="R3870" t="s">
        <v>155</v>
      </c>
      <c r="S3870">
        <v>9</v>
      </c>
      <c r="T3870" t="s">
        <v>36</v>
      </c>
      <c r="U3870" t="s">
        <v>52</v>
      </c>
      <c r="V3870" s="1">
        <v>45313</v>
      </c>
      <c r="W3870">
        <f>Table1[[#This Row],[customer_purchase count]]+1</f>
        <v>10</v>
      </c>
      <c r="X3870">
        <f>Table1[[#This Row],[customer_purchase count]]*Rules!$B$3</f>
        <v>537.87923076923084</v>
      </c>
      <c r="Y3870" t="str">
        <f>IF(Table1[[#This Row],[customer_subscription]]=1,"Subscribed","Not Subscribed")</f>
        <v>Not Subscribed</v>
      </c>
      <c r="Z3870" t="s">
        <v>187</v>
      </c>
    </row>
    <row r="3871" spans="1:26" x14ac:dyDescent="0.25">
      <c r="A3871">
        <v>3870</v>
      </c>
      <c r="B3871">
        <v>26</v>
      </c>
      <c r="C3871" t="s">
        <v>156</v>
      </c>
      <c r="D3871">
        <v>3870</v>
      </c>
      <c r="E3871" t="s">
        <v>65</v>
      </c>
      <c r="F3871" t="s">
        <v>66</v>
      </c>
      <c r="G3871">
        <v>3870</v>
      </c>
      <c r="H3871">
        <v>4843</v>
      </c>
      <c r="I3871">
        <v>64</v>
      </c>
      <c r="J3871" t="s">
        <v>120</v>
      </c>
      <c r="K3871" t="s">
        <v>26</v>
      </c>
      <c r="L3871" t="s">
        <v>112</v>
      </c>
      <c r="M3871" t="s">
        <v>40</v>
      </c>
      <c r="N3871">
        <v>3.8</v>
      </c>
      <c r="O3871">
        <v>0</v>
      </c>
      <c r="P3871" t="s">
        <v>41</v>
      </c>
      <c r="Q3871" t="s">
        <v>155</v>
      </c>
      <c r="R3871" t="s">
        <v>155</v>
      </c>
      <c r="S3871">
        <v>28</v>
      </c>
      <c r="T3871" t="s">
        <v>78</v>
      </c>
      <c r="U3871" t="s">
        <v>52</v>
      </c>
      <c r="V3871" s="1">
        <v>45426</v>
      </c>
      <c r="W3871">
        <f>Table1[[#This Row],[customer_purchase count]]+1</f>
        <v>29</v>
      </c>
      <c r="X3871">
        <f>Table1[[#This Row],[customer_purchase count]]*Rules!$B$3</f>
        <v>1673.4020512820514</v>
      </c>
      <c r="Y3871" t="str">
        <f>IF(Table1[[#This Row],[customer_subscription]]=1,"Subscribed","Not Subscribed")</f>
        <v>Not Subscribed</v>
      </c>
    </row>
    <row r="3872" spans="1:26" x14ac:dyDescent="0.25">
      <c r="A3872">
        <v>3871</v>
      </c>
      <c r="B3872">
        <v>61</v>
      </c>
      <c r="C3872" t="s">
        <v>156</v>
      </c>
      <c r="D3872">
        <v>3871</v>
      </c>
      <c r="E3872" t="s">
        <v>44</v>
      </c>
      <c r="F3872" t="s">
        <v>45</v>
      </c>
      <c r="G3872">
        <v>3871</v>
      </c>
      <c r="H3872">
        <v>4844</v>
      </c>
      <c r="I3872">
        <v>46</v>
      </c>
      <c r="J3872" t="s">
        <v>126</v>
      </c>
      <c r="K3872" t="s">
        <v>26</v>
      </c>
      <c r="L3872" t="s">
        <v>96</v>
      </c>
      <c r="M3872" t="s">
        <v>60</v>
      </c>
      <c r="N3872">
        <v>3.2</v>
      </c>
      <c r="O3872">
        <v>0</v>
      </c>
      <c r="P3872" t="s">
        <v>48</v>
      </c>
      <c r="Q3872" t="s">
        <v>155</v>
      </c>
      <c r="R3872" t="s">
        <v>155</v>
      </c>
      <c r="S3872">
        <v>19</v>
      </c>
      <c r="T3872" t="s">
        <v>36</v>
      </c>
      <c r="U3872" t="s">
        <v>100</v>
      </c>
      <c r="V3872" s="1">
        <v>45593</v>
      </c>
      <c r="W3872">
        <f>Table1[[#This Row],[customer_purchase count]]+1</f>
        <v>20</v>
      </c>
      <c r="X3872">
        <f>Table1[[#This Row],[customer_purchase count]]*Rules!$B$3</f>
        <v>1135.5228205128205</v>
      </c>
      <c r="Y3872" t="str">
        <f>IF(Table1[[#This Row],[customer_subscription]]=1,"Subscribed","Not Subscribed")</f>
        <v>Not Subscribed</v>
      </c>
    </row>
    <row r="3873" spans="1:26" x14ac:dyDescent="0.25">
      <c r="A3873">
        <v>3872</v>
      </c>
      <c r="B3873">
        <v>55</v>
      </c>
      <c r="C3873" t="s">
        <v>156</v>
      </c>
      <c r="D3873">
        <v>3872</v>
      </c>
      <c r="E3873" t="s">
        <v>116</v>
      </c>
      <c r="F3873" t="s">
        <v>24</v>
      </c>
      <c r="G3873">
        <v>3872</v>
      </c>
      <c r="H3873">
        <v>4845</v>
      </c>
      <c r="I3873">
        <v>97</v>
      </c>
      <c r="J3873" t="s">
        <v>151</v>
      </c>
      <c r="K3873" t="s">
        <v>47</v>
      </c>
      <c r="L3873" t="s">
        <v>97</v>
      </c>
      <c r="M3873" t="s">
        <v>60</v>
      </c>
      <c r="N3873">
        <v>4.0999999999999996</v>
      </c>
      <c r="O3873">
        <v>0</v>
      </c>
      <c r="P3873" t="s">
        <v>73</v>
      </c>
      <c r="Q3873" t="s">
        <v>155</v>
      </c>
      <c r="R3873" t="s">
        <v>155</v>
      </c>
      <c r="S3873">
        <v>20</v>
      </c>
      <c r="T3873" t="s">
        <v>78</v>
      </c>
      <c r="U3873" t="s">
        <v>100</v>
      </c>
      <c r="V3873" s="1">
        <v>45561</v>
      </c>
      <c r="W3873">
        <f>Table1[[#This Row],[customer_purchase count]]+1</f>
        <v>21</v>
      </c>
      <c r="X3873">
        <f>Table1[[#This Row],[customer_purchase count]]*Rules!$B$3</f>
        <v>1195.2871794871796</v>
      </c>
      <c r="Y3873" t="str">
        <f>IF(Table1[[#This Row],[customer_subscription]]=1,"Subscribed","Not Subscribed")</f>
        <v>Not Subscribed</v>
      </c>
    </row>
    <row r="3874" spans="1:26" x14ac:dyDescent="0.25">
      <c r="A3874">
        <v>3873</v>
      </c>
      <c r="B3874">
        <v>41</v>
      </c>
      <c r="C3874" t="s">
        <v>156</v>
      </c>
      <c r="D3874">
        <v>3873</v>
      </c>
      <c r="E3874" t="s">
        <v>105</v>
      </c>
      <c r="F3874" t="s">
        <v>66</v>
      </c>
      <c r="G3874">
        <v>3873</v>
      </c>
      <c r="H3874">
        <v>4846</v>
      </c>
      <c r="I3874">
        <v>94</v>
      </c>
      <c r="J3874" t="s">
        <v>85</v>
      </c>
      <c r="K3874" t="s">
        <v>47</v>
      </c>
      <c r="L3874" t="s">
        <v>99</v>
      </c>
      <c r="M3874" t="s">
        <v>40</v>
      </c>
      <c r="N3874">
        <v>4.3</v>
      </c>
      <c r="O3874">
        <v>0</v>
      </c>
      <c r="P3874" t="s">
        <v>57</v>
      </c>
      <c r="Q3874" t="s">
        <v>155</v>
      </c>
      <c r="R3874" t="s">
        <v>155</v>
      </c>
      <c r="S3874">
        <v>3</v>
      </c>
      <c r="T3874" t="s">
        <v>36</v>
      </c>
      <c r="U3874" t="s">
        <v>91</v>
      </c>
      <c r="V3874" s="1">
        <v>45410</v>
      </c>
      <c r="W3874">
        <f>Table1[[#This Row],[customer_purchase count]]+1</f>
        <v>4</v>
      </c>
      <c r="X3874">
        <f>Table1[[#This Row],[customer_purchase count]]*Rules!$B$3</f>
        <v>179.29307692307694</v>
      </c>
      <c r="Y3874" t="str">
        <f>IF(Table1[[#This Row],[customer_subscription]]=1,"Subscribed","Not Subscribed")</f>
        <v>Not Subscribed</v>
      </c>
      <c r="Z3874" t="s">
        <v>194</v>
      </c>
    </row>
    <row r="3875" spans="1:26" x14ac:dyDescent="0.25">
      <c r="A3875">
        <v>3874</v>
      </c>
      <c r="B3875">
        <v>42</v>
      </c>
      <c r="C3875" t="s">
        <v>156</v>
      </c>
      <c r="D3875">
        <v>3874</v>
      </c>
      <c r="E3875" t="s">
        <v>44</v>
      </c>
      <c r="F3875" t="s">
        <v>45</v>
      </c>
      <c r="G3875">
        <v>3874</v>
      </c>
      <c r="H3875">
        <v>4847</v>
      </c>
      <c r="I3875">
        <v>43</v>
      </c>
      <c r="J3875" t="s">
        <v>63</v>
      </c>
      <c r="K3875" t="s">
        <v>26</v>
      </c>
      <c r="L3875" t="s">
        <v>68</v>
      </c>
      <c r="M3875" t="s">
        <v>56</v>
      </c>
      <c r="N3875">
        <v>4</v>
      </c>
      <c r="O3875">
        <v>0</v>
      </c>
      <c r="P3875" t="s">
        <v>57</v>
      </c>
      <c r="Q3875" t="s">
        <v>155</v>
      </c>
      <c r="R3875" t="s">
        <v>155</v>
      </c>
      <c r="S3875">
        <v>22</v>
      </c>
      <c r="T3875" t="s">
        <v>42</v>
      </c>
      <c r="U3875" t="s">
        <v>43</v>
      </c>
      <c r="V3875" s="1">
        <v>45446</v>
      </c>
      <c r="W3875">
        <f>Table1[[#This Row],[customer_purchase count]]+1</f>
        <v>23</v>
      </c>
      <c r="X3875">
        <f>Table1[[#This Row],[customer_purchase count]]*Rules!$B$3</f>
        <v>1314.8158974358976</v>
      </c>
      <c r="Y3875" t="str">
        <f>IF(Table1[[#This Row],[customer_subscription]]=1,"Subscribed","Not Subscribed")</f>
        <v>Not Subscribed</v>
      </c>
    </row>
    <row r="3876" spans="1:26" x14ac:dyDescent="0.25">
      <c r="A3876">
        <v>3875</v>
      </c>
      <c r="B3876">
        <v>70</v>
      </c>
      <c r="C3876" t="s">
        <v>156</v>
      </c>
      <c r="D3876">
        <v>3875</v>
      </c>
      <c r="E3876" t="s">
        <v>33</v>
      </c>
      <c r="F3876" t="s">
        <v>24</v>
      </c>
      <c r="G3876">
        <v>3875</v>
      </c>
      <c r="H3876">
        <v>4849</v>
      </c>
      <c r="I3876">
        <v>54</v>
      </c>
      <c r="J3876" t="s">
        <v>110</v>
      </c>
      <c r="K3876" t="s">
        <v>95</v>
      </c>
      <c r="L3876" t="s">
        <v>121</v>
      </c>
      <c r="M3876" t="s">
        <v>56</v>
      </c>
      <c r="N3876">
        <v>3.9</v>
      </c>
      <c r="O3876">
        <v>0</v>
      </c>
      <c r="P3876" t="s">
        <v>73</v>
      </c>
      <c r="Q3876" t="s">
        <v>155</v>
      </c>
      <c r="R3876" t="s">
        <v>155</v>
      </c>
      <c r="S3876">
        <v>33</v>
      </c>
      <c r="T3876" t="s">
        <v>42</v>
      </c>
      <c r="U3876" t="s">
        <v>79</v>
      </c>
      <c r="V3876" s="1">
        <v>45514</v>
      </c>
      <c r="W3876">
        <f>Table1[[#This Row],[customer_purchase count]]+1</f>
        <v>34</v>
      </c>
      <c r="X3876">
        <f>Table1[[#This Row],[customer_purchase count]]*Rules!$B$3</f>
        <v>1972.2238461538464</v>
      </c>
      <c r="Y3876" t="str">
        <f>IF(Table1[[#This Row],[customer_subscription]]=1,"Subscribed","Not Subscribed")</f>
        <v>Not Subscribed</v>
      </c>
    </row>
    <row r="3877" spans="1:26" x14ac:dyDescent="0.25">
      <c r="A3877">
        <v>3876</v>
      </c>
      <c r="B3877">
        <v>63</v>
      </c>
      <c r="C3877" t="s">
        <v>156</v>
      </c>
      <c r="D3877">
        <v>3876</v>
      </c>
      <c r="E3877" t="s">
        <v>127</v>
      </c>
      <c r="F3877" t="s">
        <v>70</v>
      </c>
      <c r="G3877">
        <v>3876</v>
      </c>
      <c r="H3877">
        <v>4850</v>
      </c>
      <c r="I3877">
        <v>51</v>
      </c>
      <c r="J3877" t="s">
        <v>85</v>
      </c>
      <c r="K3877" t="s">
        <v>47</v>
      </c>
      <c r="L3877" t="s">
        <v>72</v>
      </c>
      <c r="M3877" t="s">
        <v>28</v>
      </c>
      <c r="N3877">
        <v>3.3</v>
      </c>
      <c r="O3877">
        <v>0</v>
      </c>
      <c r="P3877" t="s">
        <v>73</v>
      </c>
      <c r="Q3877" t="s">
        <v>155</v>
      </c>
      <c r="R3877" t="s">
        <v>155</v>
      </c>
      <c r="S3877">
        <v>21</v>
      </c>
      <c r="T3877" t="s">
        <v>42</v>
      </c>
      <c r="U3877" t="s">
        <v>52</v>
      </c>
      <c r="V3877" s="1">
        <v>45310</v>
      </c>
      <c r="W3877">
        <f>Table1[[#This Row],[customer_purchase count]]+1</f>
        <v>22</v>
      </c>
      <c r="X3877">
        <f>Table1[[#This Row],[customer_purchase count]]*Rules!$B$3</f>
        <v>1255.0515384615385</v>
      </c>
      <c r="Y3877" t="str">
        <f>IF(Table1[[#This Row],[customer_subscription]]=1,"Subscribed","Not Subscribed")</f>
        <v>Not Subscribed</v>
      </c>
    </row>
    <row r="3878" spans="1:26" x14ac:dyDescent="0.25">
      <c r="A3878">
        <v>3877</v>
      </c>
      <c r="B3878">
        <v>60</v>
      </c>
      <c r="C3878" t="s">
        <v>156</v>
      </c>
      <c r="D3878">
        <v>3877</v>
      </c>
      <c r="E3878" t="s">
        <v>74</v>
      </c>
      <c r="F3878" t="s">
        <v>45</v>
      </c>
      <c r="G3878">
        <v>3877</v>
      </c>
      <c r="H3878">
        <v>4851</v>
      </c>
      <c r="I3878">
        <v>85</v>
      </c>
      <c r="J3878" t="s">
        <v>153</v>
      </c>
      <c r="K3878" t="s">
        <v>39</v>
      </c>
      <c r="L3878" t="s">
        <v>112</v>
      </c>
      <c r="M3878" t="s">
        <v>60</v>
      </c>
      <c r="N3878">
        <v>2.6</v>
      </c>
      <c r="O3878">
        <v>0</v>
      </c>
      <c r="P3878" t="s">
        <v>73</v>
      </c>
      <c r="Q3878" t="s">
        <v>155</v>
      </c>
      <c r="R3878" t="s">
        <v>155</v>
      </c>
      <c r="S3878">
        <v>7</v>
      </c>
      <c r="T3878" t="s">
        <v>36</v>
      </c>
      <c r="U3878" t="s">
        <v>52</v>
      </c>
      <c r="V3878" s="1">
        <v>45621</v>
      </c>
      <c r="W3878">
        <f>Table1[[#This Row],[customer_purchase count]]+1</f>
        <v>8</v>
      </c>
      <c r="X3878">
        <f>Table1[[#This Row],[customer_purchase count]]*Rules!$B$3</f>
        <v>418.35051282051285</v>
      </c>
      <c r="Y3878" t="str">
        <f>IF(Table1[[#This Row],[customer_subscription]]=1,"Subscribed","Not Subscribed")</f>
        <v>Not Subscribed</v>
      </c>
      <c r="Z3878" t="s">
        <v>194</v>
      </c>
    </row>
    <row r="3879" spans="1:26" x14ac:dyDescent="0.25">
      <c r="A3879">
        <v>3878</v>
      </c>
      <c r="B3879">
        <v>28</v>
      </c>
      <c r="C3879" t="s">
        <v>156</v>
      </c>
      <c r="D3879">
        <v>3878</v>
      </c>
      <c r="E3879" t="s">
        <v>107</v>
      </c>
      <c r="F3879" t="s">
        <v>24</v>
      </c>
      <c r="G3879">
        <v>3878</v>
      </c>
      <c r="H3879">
        <v>4852</v>
      </c>
      <c r="I3879">
        <v>96</v>
      </c>
      <c r="J3879" t="s">
        <v>110</v>
      </c>
      <c r="K3879" t="s">
        <v>47</v>
      </c>
      <c r="L3879" t="s">
        <v>81</v>
      </c>
      <c r="M3879" t="s">
        <v>40</v>
      </c>
      <c r="N3879">
        <v>4.2</v>
      </c>
      <c r="O3879">
        <v>0</v>
      </c>
      <c r="P3879" t="s">
        <v>48</v>
      </c>
      <c r="Q3879" t="s">
        <v>155</v>
      </c>
      <c r="R3879" t="s">
        <v>155</v>
      </c>
      <c r="S3879">
        <v>46</v>
      </c>
      <c r="T3879" t="s">
        <v>89</v>
      </c>
      <c r="U3879" t="s">
        <v>91</v>
      </c>
      <c r="V3879" s="1">
        <v>45404</v>
      </c>
      <c r="W3879">
        <f>Table1[[#This Row],[customer_purchase count]]+1</f>
        <v>47</v>
      </c>
      <c r="X3879">
        <f>Table1[[#This Row],[customer_purchase count]]*Rules!$B$3</f>
        <v>2749.1605128205128</v>
      </c>
      <c r="Y3879" t="str">
        <f>IF(Table1[[#This Row],[customer_subscription]]=1,"Subscribed","Not Subscribed")</f>
        <v>Not Subscribed</v>
      </c>
    </row>
    <row r="3880" spans="1:26" x14ac:dyDescent="0.25">
      <c r="A3880">
        <v>3879</v>
      </c>
      <c r="B3880">
        <v>60</v>
      </c>
      <c r="C3880" t="s">
        <v>156</v>
      </c>
      <c r="D3880">
        <v>3879</v>
      </c>
      <c r="E3880" t="s">
        <v>127</v>
      </c>
      <c r="F3880" t="s">
        <v>70</v>
      </c>
      <c r="G3880">
        <v>3879</v>
      </c>
      <c r="H3880">
        <v>4853</v>
      </c>
      <c r="I3880">
        <v>42</v>
      </c>
      <c r="J3880" t="s">
        <v>134</v>
      </c>
      <c r="K3880" t="s">
        <v>47</v>
      </c>
      <c r="L3880" t="s">
        <v>72</v>
      </c>
      <c r="M3880" t="s">
        <v>56</v>
      </c>
      <c r="N3880">
        <v>3.4</v>
      </c>
      <c r="O3880">
        <v>0</v>
      </c>
      <c r="P3880" t="s">
        <v>73</v>
      </c>
      <c r="Q3880" t="s">
        <v>155</v>
      </c>
      <c r="R3880" t="s">
        <v>155</v>
      </c>
      <c r="S3880">
        <v>24</v>
      </c>
      <c r="T3880" t="s">
        <v>42</v>
      </c>
      <c r="U3880" t="s">
        <v>52</v>
      </c>
      <c r="V3880" s="1">
        <v>45475</v>
      </c>
      <c r="W3880">
        <f>Table1[[#This Row],[customer_purchase count]]+1</f>
        <v>25</v>
      </c>
      <c r="X3880">
        <f>Table1[[#This Row],[customer_purchase count]]*Rules!$B$3</f>
        <v>1434.3446153846155</v>
      </c>
      <c r="Y3880" t="str">
        <f>IF(Table1[[#This Row],[customer_subscription]]=1,"Subscribed","Not Subscribed")</f>
        <v>Not Subscribed</v>
      </c>
    </row>
    <row r="3881" spans="1:26" x14ac:dyDescent="0.25">
      <c r="A3881">
        <v>3880</v>
      </c>
      <c r="B3881">
        <v>26</v>
      </c>
      <c r="C3881" t="s">
        <v>156</v>
      </c>
      <c r="D3881">
        <v>3880</v>
      </c>
      <c r="E3881" t="s">
        <v>90</v>
      </c>
      <c r="F3881" t="s">
        <v>24</v>
      </c>
      <c r="G3881">
        <v>3880</v>
      </c>
      <c r="H3881">
        <v>4855</v>
      </c>
      <c r="I3881">
        <v>63</v>
      </c>
      <c r="J3881" t="s">
        <v>106</v>
      </c>
      <c r="K3881" t="s">
        <v>26</v>
      </c>
      <c r="L3881" t="s">
        <v>35</v>
      </c>
      <c r="M3881" t="s">
        <v>28</v>
      </c>
      <c r="N3881">
        <v>4.0999999999999996</v>
      </c>
      <c r="O3881">
        <v>0</v>
      </c>
      <c r="P3881" t="s">
        <v>41</v>
      </c>
      <c r="Q3881" t="s">
        <v>155</v>
      </c>
      <c r="R3881" t="s">
        <v>155</v>
      </c>
      <c r="S3881">
        <v>6</v>
      </c>
      <c r="T3881" t="s">
        <v>89</v>
      </c>
      <c r="U3881" t="s">
        <v>61</v>
      </c>
      <c r="V3881" s="1">
        <v>45299</v>
      </c>
      <c r="W3881">
        <f>Table1[[#This Row],[customer_purchase count]]+1</f>
        <v>7</v>
      </c>
      <c r="X3881">
        <f>Table1[[#This Row],[customer_purchase count]]*Rules!$B$3</f>
        <v>358.58615384615388</v>
      </c>
      <c r="Y3881" t="str">
        <f>IF(Table1[[#This Row],[customer_subscription]]=1,"Subscribed","Not Subscribed")</f>
        <v>Not Subscribed</v>
      </c>
      <c r="Z3881" t="s">
        <v>194</v>
      </c>
    </row>
    <row r="3882" spans="1:26" x14ac:dyDescent="0.25">
      <c r="A3882">
        <v>3881</v>
      </c>
      <c r="B3882">
        <v>42</v>
      </c>
      <c r="C3882" t="s">
        <v>156</v>
      </c>
      <c r="D3882">
        <v>3881</v>
      </c>
      <c r="E3882" t="s">
        <v>58</v>
      </c>
      <c r="F3882" t="s">
        <v>24</v>
      </c>
      <c r="G3882">
        <v>3881</v>
      </c>
      <c r="H3882">
        <v>4856</v>
      </c>
      <c r="I3882">
        <v>20</v>
      </c>
      <c r="J3882" t="s">
        <v>38</v>
      </c>
      <c r="K3882" t="s">
        <v>47</v>
      </c>
      <c r="L3882" t="s">
        <v>111</v>
      </c>
      <c r="M3882" t="s">
        <v>28</v>
      </c>
      <c r="N3882">
        <v>3.9</v>
      </c>
      <c r="O3882">
        <v>0</v>
      </c>
      <c r="P3882" t="s">
        <v>41</v>
      </c>
      <c r="Q3882" t="s">
        <v>155</v>
      </c>
      <c r="R3882" t="s">
        <v>155</v>
      </c>
      <c r="S3882">
        <v>40</v>
      </c>
      <c r="T3882" t="s">
        <v>49</v>
      </c>
      <c r="U3882" t="s">
        <v>91</v>
      </c>
      <c r="V3882" s="1">
        <v>45343</v>
      </c>
      <c r="W3882">
        <f>Table1[[#This Row],[customer_purchase count]]+1</f>
        <v>41</v>
      </c>
      <c r="X3882">
        <f>Table1[[#This Row],[customer_purchase count]]*Rules!$B$3</f>
        <v>2390.5743589743593</v>
      </c>
      <c r="Y3882" t="str">
        <f>IF(Table1[[#This Row],[customer_subscription]]=1,"Subscribed","Not Subscribed")</f>
        <v>Not Subscribed</v>
      </c>
    </row>
    <row r="3883" spans="1:26" x14ac:dyDescent="0.25">
      <c r="A3883">
        <v>3882</v>
      </c>
      <c r="B3883">
        <v>56</v>
      </c>
      <c r="C3883" t="s">
        <v>156</v>
      </c>
      <c r="D3883">
        <v>3882</v>
      </c>
      <c r="E3883" t="s">
        <v>122</v>
      </c>
      <c r="F3883" t="s">
        <v>70</v>
      </c>
      <c r="G3883">
        <v>3882</v>
      </c>
      <c r="H3883">
        <v>4857</v>
      </c>
      <c r="I3883">
        <v>25</v>
      </c>
      <c r="J3883" t="s">
        <v>145</v>
      </c>
      <c r="K3883" t="s">
        <v>26</v>
      </c>
      <c r="L3883" t="s">
        <v>68</v>
      </c>
      <c r="M3883" t="s">
        <v>40</v>
      </c>
      <c r="N3883">
        <v>2.8</v>
      </c>
      <c r="O3883">
        <v>0</v>
      </c>
      <c r="P3883" t="s">
        <v>73</v>
      </c>
      <c r="Q3883" t="s">
        <v>155</v>
      </c>
      <c r="R3883" t="s">
        <v>155</v>
      </c>
      <c r="S3883">
        <v>17</v>
      </c>
      <c r="T3883" t="s">
        <v>89</v>
      </c>
      <c r="U3883" t="s">
        <v>43</v>
      </c>
      <c r="V3883" s="1">
        <v>45357</v>
      </c>
      <c r="W3883">
        <f>Table1[[#This Row],[customer_purchase count]]+1</f>
        <v>18</v>
      </c>
      <c r="X3883">
        <f>Table1[[#This Row],[customer_purchase count]]*Rules!$B$3</f>
        <v>1015.9941025641026</v>
      </c>
      <c r="Y3883" t="str">
        <f>IF(Table1[[#This Row],[customer_subscription]]=1,"Subscribed","Not Subscribed")</f>
        <v>Not Subscribed</v>
      </c>
      <c r="Z3883" t="s">
        <v>194</v>
      </c>
    </row>
    <row r="3884" spans="1:26" x14ac:dyDescent="0.25">
      <c r="A3884">
        <v>3883</v>
      </c>
      <c r="B3884">
        <v>35</v>
      </c>
      <c r="C3884" t="s">
        <v>156</v>
      </c>
      <c r="D3884">
        <v>3883</v>
      </c>
      <c r="E3884" t="s">
        <v>98</v>
      </c>
      <c r="F3884" t="s">
        <v>24</v>
      </c>
      <c r="G3884">
        <v>3883</v>
      </c>
      <c r="H3884">
        <v>4858</v>
      </c>
      <c r="I3884">
        <v>95</v>
      </c>
      <c r="J3884" t="s">
        <v>117</v>
      </c>
      <c r="K3884" t="s">
        <v>26</v>
      </c>
      <c r="L3884" t="s">
        <v>147</v>
      </c>
      <c r="M3884" t="s">
        <v>60</v>
      </c>
      <c r="N3884">
        <v>2.6</v>
      </c>
      <c r="O3884">
        <v>0</v>
      </c>
      <c r="P3884" t="s">
        <v>41</v>
      </c>
      <c r="Q3884" t="s">
        <v>155</v>
      </c>
      <c r="R3884" t="s">
        <v>155</v>
      </c>
      <c r="S3884">
        <v>24</v>
      </c>
      <c r="T3884" t="s">
        <v>36</v>
      </c>
      <c r="U3884" t="s">
        <v>32</v>
      </c>
      <c r="V3884" s="1">
        <v>45557</v>
      </c>
      <c r="W3884">
        <f>Table1[[#This Row],[customer_purchase count]]+1</f>
        <v>25</v>
      </c>
      <c r="X3884">
        <f>Table1[[#This Row],[customer_purchase count]]*Rules!$B$3</f>
        <v>1434.3446153846155</v>
      </c>
      <c r="Y3884" t="str">
        <f>IF(Table1[[#This Row],[customer_subscription]]=1,"Subscribed","Not Subscribed")</f>
        <v>Not Subscribed</v>
      </c>
    </row>
    <row r="3885" spans="1:26" x14ac:dyDescent="0.25">
      <c r="A3885">
        <v>3884</v>
      </c>
      <c r="B3885">
        <v>34</v>
      </c>
      <c r="C3885" t="s">
        <v>156</v>
      </c>
      <c r="D3885">
        <v>3884</v>
      </c>
      <c r="E3885" t="s">
        <v>127</v>
      </c>
      <c r="F3885" t="s">
        <v>70</v>
      </c>
      <c r="G3885">
        <v>3884</v>
      </c>
      <c r="H3885">
        <v>4859</v>
      </c>
      <c r="I3885">
        <v>38</v>
      </c>
      <c r="J3885" t="s">
        <v>117</v>
      </c>
      <c r="K3885" t="s">
        <v>95</v>
      </c>
      <c r="L3885" t="s">
        <v>76</v>
      </c>
      <c r="M3885" t="s">
        <v>60</v>
      </c>
      <c r="N3885">
        <v>4</v>
      </c>
      <c r="O3885">
        <v>0</v>
      </c>
      <c r="P3885" t="s">
        <v>48</v>
      </c>
      <c r="Q3885" t="s">
        <v>155</v>
      </c>
      <c r="R3885" t="s">
        <v>155</v>
      </c>
      <c r="S3885">
        <v>22</v>
      </c>
      <c r="T3885" t="s">
        <v>36</v>
      </c>
      <c r="U3885" t="s">
        <v>32</v>
      </c>
      <c r="V3885" s="1">
        <v>45537</v>
      </c>
      <c r="W3885">
        <f>Table1[[#This Row],[customer_purchase count]]+1</f>
        <v>23</v>
      </c>
      <c r="X3885">
        <f>Table1[[#This Row],[customer_purchase count]]*Rules!$B$3</f>
        <v>1314.8158974358976</v>
      </c>
      <c r="Y3885" t="str">
        <f>IF(Table1[[#This Row],[customer_subscription]]=1,"Subscribed","Not Subscribed")</f>
        <v>Not Subscribed</v>
      </c>
    </row>
    <row r="3886" spans="1:26" x14ac:dyDescent="0.25">
      <c r="A3886">
        <v>3885</v>
      </c>
      <c r="B3886">
        <v>47</v>
      </c>
      <c r="C3886" t="s">
        <v>156</v>
      </c>
      <c r="D3886">
        <v>3885</v>
      </c>
      <c r="E3886" t="s">
        <v>44</v>
      </c>
      <c r="F3886" t="s">
        <v>45</v>
      </c>
      <c r="G3886">
        <v>3885</v>
      </c>
      <c r="H3886">
        <v>4861</v>
      </c>
      <c r="I3886">
        <v>29</v>
      </c>
      <c r="J3886" t="s">
        <v>131</v>
      </c>
      <c r="K3886" t="s">
        <v>47</v>
      </c>
      <c r="L3886" t="s">
        <v>113</v>
      </c>
      <c r="M3886" t="s">
        <v>60</v>
      </c>
      <c r="N3886">
        <v>4.9000000000000004</v>
      </c>
      <c r="O3886">
        <v>0</v>
      </c>
      <c r="P3886" t="s">
        <v>29</v>
      </c>
      <c r="Q3886" t="s">
        <v>155</v>
      </c>
      <c r="R3886" t="s">
        <v>155</v>
      </c>
      <c r="S3886">
        <v>3</v>
      </c>
      <c r="T3886" t="s">
        <v>49</v>
      </c>
      <c r="U3886" t="s">
        <v>43</v>
      </c>
      <c r="V3886" s="1">
        <v>45548</v>
      </c>
      <c r="W3886">
        <f>Table1[[#This Row],[customer_purchase count]]+1</f>
        <v>4</v>
      </c>
      <c r="X3886">
        <f>Table1[[#This Row],[customer_purchase count]]*Rules!$B$3</f>
        <v>179.29307692307694</v>
      </c>
      <c r="Y3886" t="str">
        <f>IF(Table1[[#This Row],[customer_subscription]]=1,"Subscribed","Not Subscribed")</f>
        <v>Not Subscribed</v>
      </c>
      <c r="Z3886" t="s">
        <v>194</v>
      </c>
    </row>
    <row r="3887" spans="1:26" x14ac:dyDescent="0.25">
      <c r="A3887">
        <v>3886</v>
      </c>
      <c r="B3887">
        <v>49</v>
      </c>
      <c r="C3887" t="s">
        <v>156</v>
      </c>
      <c r="D3887">
        <v>3886</v>
      </c>
      <c r="E3887" t="s">
        <v>128</v>
      </c>
      <c r="F3887" t="s">
        <v>24</v>
      </c>
      <c r="G3887">
        <v>3886</v>
      </c>
      <c r="H3887">
        <v>4862</v>
      </c>
      <c r="I3887">
        <v>64</v>
      </c>
      <c r="J3887" t="s">
        <v>133</v>
      </c>
      <c r="K3887" t="s">
        <v>26</v>
      </c>
      <c r="L3887" t="s">
        <v>76</v>
      </c>
      <c r="M3887" t="s">
        <v>28</v>
      </c>
      <c r="N3887">
        <v>3.2</v>
      </c>
      <c r="O3887">
        <v>0</v>
      </c>
      <c r="P3887" t="s">
        <v>41</v>
      </c>
      <c r="Q3887" t="s">
        <v>155</v>
      </c>
      <c r="R3887" t="s">
        <v>155</v>
      </c>
      <c r="S3887">
        <v>39</v>
      </c>
      <c r="T3887" t="s">
        <v>36</v>
      </c>
      <c r="U3887" t="s">
        <v>61</v>
      </c>
      <c r="V3887" s="1">
        <v>45349</v>
      </c>
      <c r="W3887">
        <f>Table1[[#This Row],[customer_purchase count]]+1</f>
        <v>40</v>
      </c>
      <c r="X3887">
        <f>Table1[[#This Row],[customer_purchase count]]*Rules!$B$3</f>
        <v>2330.81</v>
      </c>
      <c r="Y3887" t="str">
        <f>IF(Table1[[#This Row],[customer_subscription]]=1,"Subscribed","Not Subscribed")</f>
        <v>Not Subscribed</v>
      </c>
    </row>
    <row r="3888" spans="1:26" x14ac:dyDescent="0.25">
      <c r="A3888">
        <v>3887</v>
      </c>
      <c r="B3888">
        <v>37</v>
      </c>
      <c r="C3888" t="s">
        <v>156</v>
      </c>
      <c r="D3888">
        <v>3887</v>
      </c>
      <c r="E3888" t="s">
        <v>109</v>
      </c>
      <c r="F3888" t="s">
        <v>70</v>
      </c>
      <c r="G3888">
        <v>3887</v>
      </c>
      <c r="H3888">
        <v>4863</v>
      </c>
      <c r="I3888">
        <v>92</v>
      </c>
      <c r="J3888" t="s">
        <v>149</v>
      </c>
      <c r="K3888" t="s">
        <v>39</v>
      </c>
      <c r="L3888" t="s">
        <v>113</v>
      </c>
      <c r="M3888" t="s">
        <v>56</v>
      </c>
      <c r="N3888">
        <v>3.9</v>
      </c>
      <c r="O3888">
        <v>0</v>
      </c>
      <c r="P3888" t="s">
        <v>29</v>
      </c>
      <c r="Q3888" t="s">
        <v>155</v>
      </c>
      <c r="R3888" t="s">
        <v>155</v>
      </c>
      <c r="S3888">
        <v>40</v>
      </c>
      <c r="T3888" t="s">
        <v>89</v>
      </c>
      <c r="U3888" t="s">
        <v>61</v>
      </c>
      <c r="V3888" s="1">
        <v>45468</v>
      </c>
      <c r="W3888">
        <f>Table1[[#This Row],[customer_purchase count]]+1</f>
        <v>41</v>
      </c>
      <c r="X3888">
        <f>Table1[[#This Row],[customer_purchase count]]*Rules!$B$3</f>
        <v>2390.5743589743593</v>
      </c>
      <c r="Y3888" t="str">
        <f>IF(Table1[[#This Row],[customer_subscription]]=1,"Subscribed","Not Subscribed")</f>
        <v>Not Subscribed</v>
      </c>
    </row>
    <row r="3889" spans="1:26" x14ac:dyDescent="0.25">
      <c r="A3889">
        <v>3888</v>
      </c>
      <c r="B3889">
        <v>40</v>
      </c>
      <c r="C3889" t="s">
        <v>156</v>
      </c>
      <c r="D3889">
        <v>3888</v>
      </c>
      <c r="E3889" t="s">
        <v>58</v>
      </c>
      <c r="F3889" t="s">
        <v>24</v>
      </c>
      <c r="G3889">
        <v>3888</v>
      </c>
      <c r="H3889">
        <v>4864</v>
      </c>
      <c r="I3889">
        <v>34</v>
      </c>
      <c r="J3889" t="s">
        <v>114</v>
      </c>
      <c r="K3889" t="s">
        <v>47</v>
      </c>
      <c r="L3889" t="s">
        <v>64</v>
      </c>
      <c r="M3889" t="s">
        <v>40</v>
      </c>
      <c r="N3889">
        <v>2.7</v>
      </c>
      <c r="O3889">
        <v>0</v>
      </c>
      <c r="P3889" t="s">
        <v>29</v>
      </c>
      <c r="Q3889" t="s">
        <v>155</v>
      </c>
      <c r="R3889" t="s">
        <v>155</v>
      </c>
      <c r="S3889">
        <v>1</v>
      </c>
      <c r="T3889" t="s">
        <v>42</v>
      </c>
      <c r="U3889" t="s">
        <v>61</v>
      </c>
      <c r="V3889" s="1">
        <v>45379</v>
      </c>
      <c r="W3889">
        <f>Table1[[#This Row],[customer_purchase count]]+1</f>
        <v>2</v>
      </c>
      <c r="X3889">
        <f>Table1[[#This Row],[customer_purchase count]]*Rules!$B$3</f>
        <v>59.764358974358977</v>
      </c>
      <c r="Y3889" t="str">
        <f>IF(Table1[[#This Row],[customer_subscription]]=1,"Subscribed","Not Subscribed")</f>
        <v>Not Subscribed</v>
      </c>
      <c r="Z3889" t="s">
        <v>194</v>
      </c>
    </row>
    <row r="3890" spans="1:26" x14ac:dyDescent="0.25">
      <c r="A3890">
        <v>3889</v>
      </c>
      <c r="B3890">
        <v>45</v>
      </c>
      <c r="C3890" t="s">
        <v>156</v>
      </c>
      <c r="D3890">
        <v>3889</v>
      </c>
      <c r="E3890" t="s">
        <v>53</v>
      </c>
      <c r="F3890" t="s">
        <v>45</v>
      </c>
      <c r="G3890">
        <v>3889</v>
      </c>
      <c r="H3890">
        <v>4865</v>
      </c>
      <c r="I3890">
        <v>69</v>
      </c>
      <c r="J3890" t="s">
        <v>144</v>
      </c>
      <c r="K3890" t="s">
        <v>47</v>
      </c>
      <c r="L3890" t="s">
        <v>86</v>
      </c>
      <c r="M3890" t="s">
        <v>40</v>
      </c>
      <c r="N3890">
        <v>3.4</v>
      </c>
      <c r="O3890">
        <v>0</v>
      </c>
      <c r="P3890" t="s">
        <v>57</v>
      </c>
      <c r="Q3890" t="s">
        <v>155</v>
      </c>
      <c r="R3890" t="s">
        <v>155</v>
      </c>
      <c r="S3890">
        <v>14</v>
      </c>
      <c r="T3890" t="s">
        <v>31</v>
      </c>
      <c r="U3890" t="s">
        <v>79</v>
      </c>
      <c r="V3890" s="1">
        <v>45357</v>
      </c>
      <c r="W3890">
        <f>Table1[[#This Row],[customer_purchase count]]+1</f>
        <v>15</v>
      </c>
      <c r="X3890">
        <f>Table1[[#This Row],[customer_purchase count]]*Rules!$B$3</f>
        <v>836.70102564102569</v>
      </c>
      <c r="Y3890" t="str">
        <f>IF(Table1[[#This Row],[customer_subscription]]=1,"Subscribed","Not Subscribed")</f>
        <v>Not Subscribed</v>
      </c>
      <c r="Z3890" t="s">
        <v>194</v>
      </c>
    </row>
    <row r="3891" spans="1:26" x14ac:dyDescent="0.25">
      <c r="A3891">
        <v>3890</v>
      </c>
      <c r="B3891">
        <v>57</v>
      </c>
      <c r="C3891" t="s">
        <v>156</v>
      </c>
      <c r="D3891">
        <v>3890</v>
      </c>
      <c r="E3891" t="s">
        <v>84</v>
      </c>
      <c r="F3891" t="s">
        <v>24</v>
      </c>
      <c r="G3891">
        <v>3890</v>
      </c>
      <c r="H3891">
        <v>4867</v>
      </c>
      <c r="I3891">
        <v>65</v>
      </c>
      <c r="J3891" t="s">
        <v>123</v>
      </c>
      <c r="K3891" t="s">
        <v>39</v>
      </c>
      <c r="L3891" t="s">
        <v>137</v>
      </c>
      <c r="M3891" t="s">
        <v>40</v>
      </c>
      <c r="N3891">
        <v>3.5</v>
      </c>
      <c r="O3891">
        <v>0</v>
      </c>
      <c r="P3891" t="s">
        <v>29</v>
      </c>
      <c r="Q3891" t="s">
        <v>155</v>
      </c>
      <c r="R3891" t="s">
        <v>155</v>
      </c>
      <c r="S3891">
        <v>49</v>
      </c>
      <c r="T3891" t="s">
        <v>78</v>
      </c>
      <c r="U3891" t="s">
        <v>52</v>
      </c>
      <c r="V3891" s="1">
        <v>45396</v>
      </c>
      <c r="W3891">
        <f>Table1[[#This Row],[customer_purchase count]]+1</f>
        <v>50</v>
      </c>
      <c r="X3891">
        <f>Table1[[#This Row],[customer_purchase count]]*Rules!$B$3</f>
        <v>2928.4535897435899</v>
      </c>
      <c r="Y3891" t="str">
        <f>IF(Table1[[#This Row],[customer_subscription]]=1,"Subscribed","Not Subscribed")</f>
        <v>Not Subscribed</v>
      </c>
    </row>
    <row r="3892" spans="1:26" x14ac:dyDescent="0.25">
      <c r="A3892">
        <v>3891</v>
      </c>
      <c r="B3892">
        <v>35</v>
      </c>
      <c r="C3892" t="s">
        <v>156</v>
      </c>
      <c r="D3892">
        <v>3891</v>
      </c>
      <c r="E3892" t="s">
        <v>58</v>
      </c>
      <c r="F3892" t="s">
        <v>24</v>
      </c>
      <c r="G3892">
        <v>3891</v>
      </c>
      <c r="H3892">
        <v>4868</v>
      </c>
      <c r="I3892">
        <v>81</v>
      </c>
      <c r="J3892" t="s">
        <v>148</v>
      </c>
      <c r="K3892" t="s">
        <v>95</v>
      </c>
      <c r="L3892" t="s">
        <v>99</v>
      </c>
      <c r="M3892" t="s">
        <v>28</v>
      </c>
      <c r="N3892">
        <v>2.6</v>
      </c>
      <c r="O3892">
        <v>0</v>
      </c>
      <c r="P3892" t="s">
        <v>57</v>
      </c>
      <c r="Q3892" t="s">
        <v>155</v>
      </c>
      <c r="R3892" t="s">
        <v>155</v>
      </c>
      <c r="S3892">
        <v>33</v>
      </c>
      <c r="T3892" t="s">
        <v>89</v>
      </c>
      <c r="U3892" t="s">
        <v>52</v>
      </c>
      <c r="V3892" s="1">
        <v>45302</v>
      </c>
      <c r="W3892">
        <f>Table1[[#This Row],[customer_purchase count]]+1</f>
        <v>34</v>
      </c>
      <c r="X3892">
        <f>Table1[[#This Row],[customer_purchase count]]*Rules!$B$3</f>
        <v>1972.2238461538464</v>
      </c>
      <c r="Y3892" t="str">
        <f>IF(Table1[[#This Row],[customer_subscription]]=1,"Subscribed","Not Subscribed")</f>
        <v>Not Subscribed</v>
      </c>
    </row>
    <row r="3893" spans="1:26" x14ac:dyDescent="0.25">
      <c r="A3893">
        <v>3892</v>
      </c>
      <c r="B3893">
        <v>36</v>
      </c>
      <c r="C3893" t="s">
        <v>156</v>
      </c>
      <c r="D3893">
        <v>3892</v>
      </c>
      <c r="E3893" t="s">
        <v>84</v>
      </c>
      <c r="F3893" t="s">
        <v>24</v>
      </c>
      <c r="G3893">
        <v>3892</v>
      </c>
      <c r="H3893">
        <v>4869</v>
      </c>
      <c r="I3893">
        <v>30</v>
      </c>
      <c r="J3893" t="s">
        <v>115</v>
      </c>
      <c r="K3893" t="s">
        <v>26</v>
      </c>
      <c r="L3893" t="s">
        <v>103</v>
      </c>
      <c r="M3893" t="s">
        <v>28</v>
      </c>
      <c r="N3893">
        <v>4.7</v>
      </c>
      <c r="O3893">
        <v>0</v>
      </c>
      <c r="P3893" t="s">
        <v>41</v>
      </c>
      <c r="Q3893" t="s">
        <v>155</v>
      </c>
      <c r="R3893" t="s">
        <v>155</v>
      </c>
      <c r="S3893">
        <v>6</v>
      </c>
      <c r="T3893" t="s">
        <v>78</v>
      </c>
      <c r="U3893" t="s">
        <v>61</v>
      </c>
      <c r="V3893" s="1">
        <v>45647</v>
      </c>
      <c r="W3893">
        <f>Table1[[#This Row],[customer_purchase count]]+1</f>
        <v>7</v>
      </c>
      <c r="X3893">
        <f>Table1[[#This Row],[customer_purchase count]]*Rules!$B$3</f>
        <v>358.58615384615388</v>
      </c>
      <c r="Y3893" t="str">
        <f>IF(Table1[[#This Row],[customer_subscription]]=1,"Subscribed","Not Subscribed")</f>
        <v>Not Subscribed</v>
      </c>
      <c r="Z3893" t="s">
        <v>194</v>
      </c>
    </row>
    <row r="3894" spans="1:26" x14ac:dyDescent="0.25">
      <c r="A3894">
        <v>3893</v>
      </c>
      <c r="B3894">
        <v>35</v>
      </c>
      <c r="C3894" t="s">
        <v>156</v>
      </c>
      <c r="D3894">
        <v>3893</v>
      </c>
      <c r="E3894" t="s">
        <v>109</v>
      </c>
      <c r="F3894" t="s">
        <v>70</v>
      </c>
      <c r="G3894">
        <v>3893</v>
      </c>
      <c r="H3894">
        <v>4870</v>
      </c>
      <c r="I3894">
        <v>86</v>
      </c>
      <c r="J3894" t="s">
        <v>154</v>
      </c>
      <c r="K3894" t="s">
        <v>26</v>
      </c>
      <c r="L3894" t="s">
        <v>129</v>
      </c>
      <c r="M3894" t="s">
        <v>56</v>
      </c>
      <c r="N3894">
        <v>3.5</v>
      </c>
      <c r="O3894">
        <v>0</v>
      </c>
      <c r="P3894" t="s">
        <v>57</v>
      </c>
      <c r="Q3894" t="s">
        <v>155</v>
      </c>
      <c r="R3894" t="s">
        <v>155</v>
      </c>
      <c r="S3894">
        <v>5</v>
      </c>
      <c r="T3894" t="s">
        <v>49</v>
      </c>
      <c r="U3894" t="s">
        <v>32</v>
      </c>
      <c r="V3894" s="1">
        <v>45486</v>
      </c>
      <c r="W3894">
        <f>Table1[[#This Row],[customer_purchase count]]+1</f>
        <v>6</v>
      </c>
      <c r="X3894">
        <f>Table1[[#This Row],[customer_purchase count]]*Rules!$B$3</f>
        <v>298.82179487179491</v>
      </c>
      <c r="Y3894" t="str">
        <f>IF(Table1[[#This Row],[customer_subscription]]=1,"Subscribed","Not Subscribed")</f>
        <v>Not Subscribed</v>
      </c>
      <c r="Z3894" t="s">
        <v>194</v>
      </c>
    </row>
    <row r="3895" spans="1:26" x14ac:dyDescent="0.25">
      <c r="A3895">
        <v>3894</v>
      </c>
      <c r="B3895">
        <v>21</v>
      </c>
      <c r="C3895" t="s">
        <v>156</v>
      </c>
      <c r="D3895">
        <v>3894</v>
      </c>
      <c r="E3895" t="s">
        <v>127</v>
      </c>
      <c r="F3895" t="s">
        <v>70</v>
      </c>
      <c r="G3895">
        <v>3894</v>
      </c>
      <c r="H3895">
        <v>4871</v>
      </c>
      <c r="I3895">
        <v>64</v>
      </c>
      <c r="J3895" t="s">
        <v>38</v>
      </c>
      <c r="K3895" t="s">
        <v>26</v>
      </c>
      <c r="L3895" t="s">
        <v>55</v>
      </c>
      <c r="M3895" t="s">
        <v>60</v>
      </c>
      <c r="N3895">
        <v>3.3</v>
      </c>
      <c r="O3895">
        <v>0</v>
      </c>
      <c r="P3895" t="s">
        <v>77</v>
      </c>
      <c r="Q3895" t="s">
        <v>155</v>
      </c>
      <c r="R3895" t="s">
        <v>155</v>
      </c>
      <c r="S3895">
        <v>29</v>
      </c>
      <c r="T3895" t="s">
        <v>78</v>
      </c>
      <c r="U3895" t="s">
        <v>79</v>
      </c>
      <c r="V3895" s="1">
        <v>45591</v>
      </c>
      <c r="W3895">
        <f>Table1[[#This Row],[customer_purchase count]]+1</f>
        <v>30</v>
      </c>
      <c r="X3895">
        <f>Table1[[#This Row],[customer_purchase count]]*Rules!$B$3</f>
        <v>1733.1664102564102</v>
      </c>
      <c r="Y3895" t="str">
        <f>IF(Table1[[#This Row],[customer_subscription]]=1,"Subscribed","Not Subscribed")</f>
        <v>Not Subscribed</v>
      </c>
    </row>
    <row r="3896" spans="1:26" x14ac:dyDescent="0.25">
      <c r="A3896">
        <v>3895</v>
      </c>
      <c r="B3896">
        <v>66</v>
      </c>
      <c r="C3896" t="s">
        <v>156</v>
      </c>
      <c r="D3896">
        <v>3895</v>
      </c>
      <c r="E3896" t="s">
        <v>90</v>
      </c>
      <c r="F3896" t="s">
        <v>24</v>
      </c>
      <c r="G3896">
        <v>3895</v>
      </c>
      <c r="H3896">
        <v>4873</v>
      </c>
      <c r="I3896">
        <v>78</v>
      </c>
      <c r="J3896" t="s">
        <v>142</v>
      </c>
      <c r="K3896" t="s">
        <v>26</v>
      </c>
      <c r="L3896" t="s">
        <v>55</v>
      </c>
      <c r="M3896" t="s">
        <v>40</v>
      </c>
      <c r="N3896">
        <v>3.9</v>
      </c>
      <c r="O3896">
        <v>0</v>
      </c>
      <c r="P3896" t="s">
        <v>73</v>
      </c>
      <c r="Q3896" t="s">
        <v>155</v>
      </c>
      <c r="R3896" t="s">
        <v>155</v>
      </c>
      <c r="S3896">
        <v>44</v>
      </c>
      <c r="T3896" t="s">
        <v>42</v>
      </c>
      <c r="U3896" t="s">
        <v>100</v>
      </c>
      <c r="V3896" s="1">
        <v>45367</v>
      </c>
      <c r="W3896">
        <f>Table1[[#This Row],[customer_purchase count]]+1</f>
        <v>45</v>
      </c>
      <c r="X3896">
        <f>Table1[[#This Row],[customer_purchase count]]*Rules!$B$3</f>
        <v>2629.6317948717951</v>
      </c>
      <c r="Y3896" t="str">
        <f>IF(Table1[[#This Row],[customer_subscription]]=1,"Subscribed","Not Subscribed")</f>
        <v>Not Subscribed</v>
      </c>
    </row>
    <row r="3897" spans="1:26" x14ac:dyDescent="0.25">
      <c r="A3897">
        <v>3896</v>
      </c>
      <c r="B3897">
        <v>40</v>
      </c>
      <c r="C3897" t="s">
        <v>156</v>
      </c>
      <c r="D3897">
        <v>3896</v>
      </c>
      <c r="E3897" t="s">
        <v>107</v>
      </c>
      <c r="F3897" t="s">
        <v>24</v>
      </c>
      <c r="G3897">
        <v>3896</v>
      </c>
      <c r="H3897">
        <v>4874</v>
      </c>
      <c r="I3897">
        <v>28</v>
      </c>
      <c r="J3897" t="s">
        <v>144</v>
      </c>
      <c r="K3897" t="s">
        <v>26</v>
      </c>
      <c r="L3897" t="s">
        <v>51</v>
      </c>
      <c r="M3897" t="s">
        <v>56</v>
      </c>
      <c r="N3897">
        <v>4.2</v>
      </c>
      <c r="O3897">
        <v>0</v>
      </c>
      <c r="P3897" t="s">
        <v>73</v>
      </c>
      <c r="Q3897" t="s">
        <v>155</v>
      </c>
      <c r="R3897" t="s">
        <v>155</v>
      </c>
      <c r="S3897">
        <v>32</v>
      </c>
      <c r="T3897" t="s">
        <v>31</v>
      </c>
      <c r="U3897" t="s">
        <v>43</v>
      </c>
      <c r="V3897" s="1">
        <v>45491</v>
      </c>
      <c r="W3897">
        <f>Table1[[#This Row],[customer_purchase count]]+1</f>
        <v>33</v>
      </c>
      <c r="X3897">
        <f>Table1[[#This Row],[customer_purchase count]]*Rules!$B$3</f>
        <v>1912.4594871794873</v>
      </c>
      <c r="Y3897" t="str">
        <f>IF(Table1[[#This Row],[customer_subscription]]=1,"Subscribed","Not Subscribed")</f>
        <v>Not Subscribed</v>
      </c>
    </row>
    <row r="3898" spans="1:26" x14ac:dyDescent="0.25">
      <c r="A3898">
        <v>3897</v>
      </c>
      <c r="B3898">
        <v>52</v>
      </c>
      <c r="C3898" t="s">
        <v>156</v>
      </c>
      <c r="D3898">
        <v>3897</v>
      </c>
      <c r="E3898" t="s">
        <v>135</v>
      </c>
      <c r="F3898" t="s">
        <v>70</v>
      </c>
      <c r="G3898">
        <v>3897</v>
      </c>
      <c r="H3898">
        <v>4875</v>
      </c>
      <c r="I3898">
        <v>49</v>
      </c>
      <c r="J3898" t="s">
        <v>149</v>
      </c>
      <c r="K3898" t="s">
        <v>26</v>
      </c>
      <c r="L3898" t="s">
        <v>55</v>
      </c>
      <c r="M3898" t="s">
        <v>40</v>
      </c>
      <c r="N3898">
        <v>4.5</v>
      </c>
      <c r="O3898">
        <v>0</v>
      </c>
      <c r="P3898" t="s">
        <v>77</v>
      </c>
      <c r="Q3898" t="s">
        <v>155</v>
      </c>
      <c r="R3898" t="s">
        <v>155</v>
      </c>
      <c r="S3898">
        <v>41</v>
      </c>
      <c r="T3898" t="s">
        <v>78</v>
      </c>
      <c r="U3898" t="s">
        <v>79</v>
      </c>
      <c r="V3898" s="1">
        <v>45377</v>
      </c>
      <c r="W3898">
        <f>Table1[[#This Row],[customer_purchase count]]+1</f>
        <v>42</v>
      </c>
      <c r="X3898">
        <f>Table1[[#This Row],[customer_purchase count]]*Rules!$B$3</f>
        <v>2450.3387179487181</v>
      </c>
      <c r="Y3898" t="str">
        <f>IF(Table1[[#This Row],[customer_subscription]]=1,"Subscribed","Not Subscribed")</f>
        <v>Not Subscribed</v>
      </c>
    </row>
    <row r="3899" spans="1:26" x14ac:dyDescent="0.25">
      <c r="A3899">
        <v>3898</v>
      </c>
      <c r="B3899">
        <v>46</v>
      </c>
      <c r="C3899" t="s">
        <v>156</v>
      </c>
      <c r="D3899">
        <v>3898</v>
      </c>
      <c r="E3899" t="s">
        <v>136</v>
      </c>
      <c r="F3899" t="s">
        <v>70</v>
      </c>
      <c r="G3899">
        <v>3898</v>
      </c>
      <c r="H3899">
        <v>4876</v>
      </c>
      <c r="I3899">
        <v>33</v>
      </c>
      <c r="J3899" t="s">
        <v>130</v>
      </c>
      <c r="K3899" t="s">
        <v>26</v>
      </c>
      <c r="L3899" t="s">
        <v>99</v>
      </c>
      <c r="M3899" t="s">
        <v>40</v>
      </c>
      <c r="N3899">
        <v>2.9</v>
      </c>
      <c r="O3899">
        <v>0</v>
      </c>
      <c r="P3899" t="s">
        <v>57</v>
      </c>
      <c r="Q3899" t="s">
        <v>155</v>
      </c>
      <c r="R3899" t="s">
        <v>155</v>
      </c>
      <c r="S3899">
        <v>24</v>
      </c>
      <c r="T3899" t="s">
        <v>31</v>
      </c>
      <c r="U3899" t="s">
        <v>61</v>
      </c>
      <c r="V3899" s="1">
        <v>45390</v>
      </c>
      <c r="W3899">
        <f>Table1[[#This Row],[customer_purchase count]]+1</f>
        <v>25</v>
      </c>
      <c r="X3899">
        <f>Table1[[#This Row],[customer_purchase count]]*Rules!$B$3</f>
        <v>1434.3446153846155</v>
      </c>
      <c r="Y3899" t="str">
        <f>IF(Table1[[#This Row],[customer_subscription]]=1,"Subscribed","Not Subscribed")</f>
        <v>Not Subscribed</v>
      </c>
    </row>
    <row r="3900" spans="1:26" x14ac:dyDescent="0.25">
      <c r="A3900">
        <v>3899</v>
      </c>
      <c r="B3900">
        <v>44</v>
      </c>
      <c r="C3900" t="s">
        <v>156</v>
      </c>
      <c r="D3900">
        <v>3899</v>
      </c>
      <c r="E3900" t="s">
        <v>74</v>
      </c>
      <c r="F3900" t="s">
        <v>45</v>
      </c>
      <c r="G3900">
        <v>3899</v>
      </c>
      <c r="H3900">
        <v>4877</v>
      </c>
      <c r="I3900">
        <v>77</v>
      </c>
      <c r="J3900" t="s">
        <v>151</v>
      </c>
      <c r="K3900" t="s">
        <v>39</v>
      </c>
      <c r="L3900" t="s">
        <v>113</v>
      </c>
      <c r="M3900" t="s">
        <v>56</v>
      </c>
      <c r="N3900">
        <v>3.8</v>
      </c>
      <c r="O3900">
        <v>0</v>
      </c>
      <c r="P3900" t="s">
        <v>29</v>
      </c>
      <c r="Q3900" t="s">
        <v>155</v>
      </c>
      <c r="R3900" t="s">
        <v>155</v>
      </c>
      <c r="S3900">
        <v>24</v>
      </c>
      <c r="T3900" t="s">
        <v>31</v>
      </c>
      <c r="U3900" t="s">
        <v>43</v>
      </c>
      <c r="V3900" s="1">
        <v>45469</v>
      </c>
      <c r="W3900">
        <f>Table1[[#This Row],[customer_purchase count]]+1</f>
        <v>25</v>
      </c>
      <c r="X3900">
        <f>Table1[[#This Row],[customer_purchase count]]*Rules!$B$3</f>
        <v>1434.3446153846155</v>
      </c>
      <c r="Y3900" t="str">
        <f>IF(Table1[[#This Row],[customer_subscription]]=1,"Subscribed","Not Subscribed")</f>
        <v>Not Subscribed</v>
      </c>
    </row>
    <row r="3901" spans="1:26" x14ac:dyDescent="0.25">
      <c r="A3901">
        <v>3900</v>
      </c>
      <c r="B3901">
        <v>52</v>
      </c>
      <c r="C3901" t="s">
        <v>156</v>
      </c>
      <c r="D3901">
        <v>3900</v>
      </c>
      <c r="E3901" t="s">
        <v>69</v>
      </c>
      <c r="F3901" t="s">
        <v>70</v>
      </c>
      <c r="G3901">
        <v>3900</v>
      </c>
      <c r="H3901">
        <v>4879</v>
      </c>
      <c r="I3901">
        <v>81</v>
      </c>
      <c r="J3901" t="s">
        <v>102</v>
      </c>
      <c r="K3901" t="s">
        <v>47</v>
      </c>
      <c r="L3901" t="s">
        <v>121</v>
      </c>
      <c r="M3901" t="s">
        <v>40</v>
      </c>
      <c r="N3901">
        <v>3.1</v>
      </c>
      <c r="O3901">
        <v>0</v>
      </c>
      <c r="P3901" t="s">
        <v>77</v>
      </c>
      <c r="Q3901" t="s">
        <v>155</v>
      </c>
      <c r="R3901" t="s">
        <v>155</v>
      </c>
      <c r="S3901">
        <v>33</v>
      </c>
      <c r="T3901" t="s">
        <v>31</v>
      </c>
      <c r="U3901" t="s">
        <v>61</v>
      </c>
      <c r="V3901" s="1">
        <v>45436</v>
      </c>
      <c r="W3901">
        <f>Table1[[#This Row],[customer_purchase count]]+1</f>
        <v>34</v>
      </c>
      <c r="X3901">
        <f>Table1[[#This Row],[customer_purchase count]]*Rules!$B$3</f>
        <v>1972.2238461538464</v>
      </c>
      <c r="Y3901" t="str">
        <f>IF(Table1[[#This Row],[customer_subscription]]=1,"Subscribed","Not Subscribed")</f>
        <v>Not Subscribed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8F81-26F7-4DC4-BF37-E713E1ED8601}">
  <dimension ref="A1:P16"/>
  <sheetViews>
    <sheetView tabSelected="1" workbookViewId="0">
      <selection activeCell="H8" sqref="H8"/>
    </sheetView>
  </sheetViews>
  <sheetFormatPr defaultRowHeight="15" x14ac:dyDescent="0.25"/>
  <cols>
    <col min="1" max="1" width="31.5703125" bestFit="1" customWidth="1"/>
    <col min="7" max="7" width="22" bestFit="1" customWidth="1"/>
    <col min="8" max="8" width="57.28515625" bestFit="1" customWidth="1"/>
    <col min="13" max="13" width="23.140625" bestFit="1" customWidth="1"/>
    <col min="14" max="14" width="13.28515625" bestFit="1" customWidth="1"/>
    <col min="15" max="15" width="12.5703125" bestFit="1" customWidth="1"/>
    <col min="16" max="16" width="12" bestFit="1" customWidth="1"/>
  </cols>
  <sheetData>
    <row r="1" spans="1:16" x14ac:dyDescent="0.25">
      <c r="A1" t="s">
        <v>182</v>
      </c>
      <c r="B1" t="s">
        <v>183</v>
      </c>
      <c r="C1" t="s">
        <v>184</v>
      </c>
    </row>
    <row r="2" spans="1:16" x14ac:dyDescent="0.25">
      <c r="A2" t="s">
        <v>161</v>
      </c>
      <c r="B2" t="s">
        <v>181</v>
      </c>
      <c r="C2" t="s">
        <v>180</v>
      </c>
      <c r="G2" t="s">
        <v>186</v>
      </c>
      <c r="H2" t="s">
        <v>188</v>
      </c>
      <c r="I2" t="s">
        <v>191</v>
      </c>
      <c r="J2" t="s">
        <v>196</v>
      </c>
      <c r="M2" t="s">
        <v>186</v>
      </c>
      <c r="N2" t="s">
        <v>203</v>
      </c>
      <c r="O2" t="s">
        <v>202</v>
      </c>
      <c r="P2" t="s">
        <v>201</v>
      </c>
    </row>
    <row r="3" spans="1:16" x14ac:dyDescent="0.25">
      <c r="A3" t="s">
        <v>159</v>
      </c>
      <c r="B3">
        <f>AVERAGE(Table1[purchase_amount])</f>
        <v>59.764358974358977</v>
      </c>
      <c r="C3" t="s">
        <v>172</v>
      </c>
      <c r="G3" t="s">
        <v>187</v>
      </c>
      <c r="H3" t="s">
        <v>189</v>
      </c>
      <c r="I3" t="s">
        <v>192</v>
      </c>
      <c r="J3">
        <v>168</v>
      </c>
      <c r="M3" t="s">
        <v>187</v>
      </c>
      <c r="N3">
        <v>168</v>
      </c>
      <c r="O3" s="2">
        <v>128493</v>
      </c>
      <c r="P3" s="2">
        <f>O3/N3</f>
        <v>764.83928571428567</v>
      </c>
    </row>
    <row r="4" spans="1:16" x14ac:dyDescent="0.25">
      <c r="A4" t="s">
        <v>162</v>
      </c>
      <c r="B4">
        <f>MEDIAN(Table1[Total_Spend])</f>
        <v>1494.1089743589744</v>
      </c>
      <c r="C4" t="s">
        <v>173</v>
      </c>
      <c r="G4" t="s">
        <v>193</v>
      </c>
      <c r="H4" t="s">
        <v>204</v>
      </c>
      <c r="J4">
        <v>158</v>
      </c>
      <c r="M4" t="s">
        <v>193</v>
      </c>
      <c r="N4">
        <v>230</v>
      </c>
      <c r="O4" s="2">
        <v>569076</v>
      </c>
      <c r="P4" s="2">
        <f>O4/N4</f>
        <v>2474.2434782608698</v>
      </c>
    </row>
    <row r="5" spans="1:16" x14ac:dyDescent="0.25">
      <c r="A5" t="s">
        <v>163</v>
      </c>
      <c r="B5">
        <f>STDEV(Table1[Total_Spend])</f>
        <v>863.42317483499539</v>
      </c>
      <c r="C5" t="s">
        <v>174</v>
      </c>
      <c r="G5" t="s">
        <v>194</v>
      </c>
      <c r="H5" t="s">
        <v>195</v>
      </c>
      <c r="J5">
        <v>858</v>
      </c>
      <c r="M5" t="s">
        <v>194</v>
      </c>
      <c r="N5">
        <v>858</v>
      </c>
      <c r="O5" s="2">
        <v>413151</v>
      </c>
      <c r="P5" s="2">
        <f>O5/N5</f>
        <v>481.52797202797206</v>
      </c>
    </row>
    <row r="6" spans="1:16" x14ac:dyDescent="0.25">
      <c r="A6" t="s">
        <v>164</v>
      </c>
      <c r="B6">
        <f>MEDIAN(Table1[Total_Purchase_Count])</f>
        <v>26</v>
      </c>
      <c r="C6" t="s">
        <v>175</v>
      </c>
    </row>
    <row r="7" spans="1:16" x14ac:dyDescent="0.25">
      <c r="A7" t="s">
        <v>165</v>
      </c>
      <c r="B7">
        <f>STDEV(Table1[Total_Purchase_Count])</f>
        <v>14.447125170462307</v>
      </c>
      <c r="C7" t="s">
        <v>176</v>
      </c>
    </row>
    <row r="9" spans="1:16" x14ac:dyDescent="0.25">
      <c r="A9" t="s">
        <v>166</v>
      </c>
      <c r="B9">
        <f>B4- 0.5*B5</f>
        <v>1062.3973869414767</v>
      </c>
      <c r="C9" t="s">
        <v>177</v>
      </c>
    </row>
    <row r="10" spans="1:16" x14ac:dyDescent="0.25">
      <c r="A10" t="s">
        <v>167</v>
      </c>
      <c r="B10">
        <f>B4+0.5*B5</f>
        <v>1925.820561776472</v>
      </c>
      <c r="C10" t="s">
        <v>178</v>
      </c>
    </row>
    <row r="11" spans="1:16" x14ac:dyDescent="0.25">
      <c r="A11" t="s">
        <v>168</v>
      </c>
      <c r="B11" t="s">
        <v>169</v>
      </c>
    </row>
    <row r="12" spans="1:16" x14ac:dyDescent="0.25">
      <c r="A12" t="s">
        <v>170</v>
      </c>
      <c r="B12">
        <f>B6-0.5*B7</f>
        <v>18.776437414768846</v>
      </c>
      <c r="C12" t="s">
        <v>179</v>
      </c>
    </row>
    <row r="13" spans="1:16" x14ac:dyDescent="0.25">
      <c r="A13" t="s">
        <v>171</v>
      </c>
      <c r="B13">
        <f>B6+0.5*B7</f>
        <v>33.22356258523115</v>
      </c>
      <c r="C13" t="s">
        <v>185</v>
      </c>
    </row>
    <row r="15" spans="1:16" x14ac:dyDescent="0.25">
      <c r="A15" t="s">
        <v>199</v>
      </c>
      <c r="B15" t="s">
        <v>197</v>
      </c>
    </row>
    <row r="16" spans="1:16" x14ac:dyDescent="0.25">
      <c r="A16" t="s">
        <v>200</v>
      </c>
      <c r="B16" t="s">
        <v>198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shopping_behavior_updated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Aleem Shaikh</cp:lastModifiedBy>
  <dcterms:created xsi:type="dcterms:W3CDTF">2025-10-22T01:38:20Z</dcterms:created>
  <dcterms:modified xsi:type="dcterms:W3CDTF">2025-10-22T02:54:20Z</dcterms:modified>
</cp:coreProperties>
</file>