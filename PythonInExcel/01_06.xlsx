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k\Documents\DataAnalysis\PythonInExcel\"/>
    </mc:Choice>
  </mc:AlternateContent>
  <xr:revisionPtr revIDLastSave="0" documentId="13_ncr:1_{B459BD4E-C537-4D4F-A122-711BFB148E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-0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 a="1"/>
  <c r="I6" i="2" a="1"/>
  <c r="I7" i="2" a="1"/>
  <c r="I7" i="2" l="1"/>
  <c r="I6" i="2"/>
  <c r="I5" i="2"/>
  <c r="I9" i="2" a="1"/>
  <c r="I9" i="2" l="1"/>
  <c r="I10" i="2" a="1"/>
  <c r="I10" i="2" l="1"/>
  <c r="L13" i="2" a="1"/>
  <c r="L15" i="2" a="1"/>
  <c r="L17" i="2" a="1"/>
  <c r="L17" i="2" l="1"/>
  <c r="L15" i="2"/>
  <c r="L1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5">
    <bk>
      <extLst>
        <ext uri="{3e2802c4-a4d2-4d8b-9148-e3be6c30e623}">
          <xlrd:rvb i="2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4"/>
        </ext>
      </extLst>
    </bk>
  </futureMetadata>
  <cellMetadata count="1">
    <bk>
      <rc t="1" v="0"/>
    </bk>
  </cellMetadata>
  <valueMetadata count="5">
    <bk>
      <rc t="2" v="0"/>
    </bk>
    <bk>
      <rc t="2" v="1"/>
    </bk>
    <bk>
      <rc t="2" v="2"/>
    </bk>
    <bk>
      <rc t="2" v="3"/>
    </bk>
    <bk>
      <rc t="2" v="4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GP = xl(%P2%)
</code>
    </pythonScript>
    <pythonScript>
      <code>OP = xl(%P2%)</code>
    </pythonScript>
    <pythonScript>
      <code>Rev=xl(%P2%)</code>
    </pythonScript>
    <pythonScript>
      <code>TL =xl(%P2%)</code>
    </pythonScript>
    <pythonScript>
      <code>SE=xl(%P2%)</code>
    </pythonScript>
    <pythonScript>
      <code xml:space="preserve">GPM = GP / Rev
</code>
    </pythonScript>
    <pythonScript>
      <code>OPM = OP/ GP</code>
    </pythonScript>
    <pythonScript>
      <code>DER = TL / SE</code>
    </pythonScript>
  </pythonScripts>
</python>
</file>

<file path=xl/sharedStrings.xml><?xml version="1.0" encoding="utf-8"?>
<sst xmlns="http://schemas.openxmlformats.org/spreadsheetml/2006/main" count="174" uniqueCount="137">
  <si>
    <t>DATA</t>
  </si>
  <si>
    <t>PYTHON CODE</t>
  </si>
  <si>
    <t>Account</t>
  </si>
  <si>
    <t>2019</t>
  </si>
  <si>
    <t>2020</t>
  </si>
  <si>
    <t>2021</t>
  </si>
  <si>
    <t>2022</t>
  </si>
  <si>
    <t>Total Revenue</t>
  </si>
  <si>
    <t>Gross Profit</t>
  </si>
  <si>
    <t>Operating Revenue</t>
  </si>
  <si>
    <t>Operating Profit</t>
  </si>
  <si>
    <t>Cost of Revenue</t>
  </si>
  <si>
    <t>Revenue</t>
  </si>
  <si>
    <t>Operating Expense</t>
  </si>
  <si>
    <t>Total Liabilities</t>
  </si>
  <si>
    <t>Selling General and Administrative</t>
  </si>
  <si>
    <t>Stockholders Equity</t>
  </si>
  <si>
    <t>Research &amp; Development</t>
  </si>
  <si>
    <t>Operating Income</t>
  </si>
  <si>
    <t>Net Non Operating Interest Income Expense</t>
  </si>
  <si>
    <t>Gross Profit Margin</t>
  </si>
  <si>
    <t>Interest Income Non Operating</t>
  </si>
  <si>
    <t>Interest Expense Non Operating</t>
  </si>
  <si>
    <t>Operating Profit Margin</t>
  </si>
  <si>
    <t>Other Income Expense</t>
  </si>
  <si>
    <t>Special Income Charges</t>
  </si>
  <si>
    <t>Debt-to-Equity Ratio</t>
  </si>
  <si>
    <t>Restructuring &amp; Mergers Acquisition</t>
  </si>
  <si>
    <t>Other Non Operating Income Expenses</t>
  </si>
  <si>
    <t>Pretax Income</t>
  </si>
  <si>
    <t>Tax Provision</t>
  </si>
  <si>
    <t>Net Income Common Stockholders</t>
  </si>
  <si>
    <t>Net Income</t>
  </si>
  <si>
    <t>Net Income Including Non-Controlling Interests</t>
  </si>
  <si>
    <t>Net Income Continuous Operations</t>
  </si>
  <si>
    <t>Minority Interests</t>
  </si>
  <si>
    <t>Average Dilution Earnings</t>
  </si>
  <si>
    <t>-</t>
  </si>
  <si>
    <t>Diluted NI Available to Com Stockholders</t>
  </si>
  <si>
    <t>Basic EPS</t>
  </si>
  <si>
    <t>Diluted EPS</t>
  </si>
  <si>
    <t>Basic Average Shares</t>
  </si>
  <si>
    <t>Diluted Average Shares</t>
  </si>
  <si>
    <t>Total Operating Income as Reported</t>
  </si>
  <si>
    <t>Total Expenses</t>
  </si>
  <si>
    <t>Net Income from Continuing &amp; Discontinued Operation</t>
  </si>
  <si>
    <t>Normalized Income</t>
  </si>
  <si>
    <t>Interest Income</t>
  </si>
  <si>
    <t>Interest Expense</t>
  </si>
  <si>
    <t>Net Interest Income</t>
  </si>
  <si>
    <t>EBIT</t>
  </si>
  <si>
    <t>EBITDA</t>
  </si>
  <si>
    <t>Reconciled Cost of Revenue</t>
  </si>
  <si>
    <t>Reconciled Depreciation</t>
  </si>
  <si>
    <t>Net Income from Continuing Operation Net Minority Interest</t>
  </si>
  <si>
    <t>Total Unusual Items Excluding Goodwill</t>
  </si>
  <si>
    <t>Total Unusual Items</t>
  </si>
  <si>
    <t>Normalized EBITDA</t>
  </si>
  <si>
    <t>Tax Rate for Calcs</t>
  </si>
  <si>
    <t>Tax Effect of Unusual Items</t>
  </si>
  <si>
    <t>Total Assets</t>
  </si>
  <si>
    <t>Current Assets</t>
  </si>
  <si>
    <t>Cash, Cash Equivalents &amp; Short Term Investments</t>
  </si>
  <si>
    <t>Cash And Cash Equivalents</t>
  </si>
  <si>
    <t>Other Short Term Investments</t>
  </si>
  <si>
    <t>Receivables</t>
  </si>
  <si>
    <t>Accounts receivable</t>
  </si>
  <si>
    <t>Inventory</t>
  </si>
  <si>
    <t>Raw Materials</t>
  </si>
  <si>
    <t>Work in Process</t>
  </si>
  <si>
    <t>Finished Goods</t>
  </si>
  <si>
    <t>Other Inventories</t>
  </si>
  <si>
    <t>Prepaid Assets</t>
  </si>
  <si>
    <t>Restricted Cash</t>
  </si>
  <si>
    <t>Other Current Assets</t>
  </si>
  <si>
    <t>Total non-current assets</t>
  </si>
  <si>
    <t>Net PPE</t>
  </si>
  <si>
    <t>Gross PPE</t>
  </si>
  <si>
    <t>Properties</t>
  </si>
  <si>
    <t>Land And Improvements</t>
  </si>
  <si>
    <t>Machinery Furniture Equipment</t>
  </si>
  <si>
    <t>Other Properties</t>
  </si>
  <si>
    <t>Construction in Progress</t>
  </si>
  <si>
    <t>Leases</t>
  </si>
  <si>
    <t>Accumulated Depreciation</t>
  </si>
  <si>
    <t>Goodwill And Other Intangible Assets</t>
  </si>
  <si>
    <t>Goodwill</t>
  </si>
  <si>
    <t>Other Intangible Assets</t>
  </si>
  <si>
    <t>Non Current Note Receivables</t>
  </si>
  <si>
    <t>Other Non Current Assets</t>
  </si>
  <si>
    <t>Total Liabilities Net Minority Interest</t>
  </si>
  <si>
    <t>Current Liabilities</t>
  </si>
  <si>
    <t>Payables And Accrued Expenses</t>
  </si>
  <si>
    <t>Payables</t>
  </si>
  <si>
    <t>Accounts Payable</t>
  </si>
  <si>
    <t>Total Tax Payable</t>
  </si>
  <si>
    <t>Current Accrued Expenses</t>
  </si>
  <si>
    <t>Interest Payable</t>
  </si>
  <si>
    <t>Current Provisions</t>
  </si>
  <si>
    <t>Current Debt And Capital Lease Obligation</t>
  </si>
  <si>
    <t>Current Debt</t>
  </si>
  <si>
    <t>Other Current Borrowings</t>
  </si>
  <si>
    <t>Current Capital Lease Obligation</t>
  </si>
  <si>
    <t>Current Deferred Liabilities</t>
  </si>
  <si>
    <t>Current Deferred Revenue</t>
  </si>
  <si>
    <t>Other Current Liabilities</t>
  </si>
  <si>
    <t>Total Non Current Liabilities Net Minority Interest</t>
  </si>
  <si>
    <t>Long Term Provisions</t>
  </si>
  <si>
    <t>Long Term Debt And Capital Lease Obligation</t>
  </si>
  <si>
    <t>Long Term Debt</t>
  </si>
  <si>
    <t>Long Term Capital Lease Obligation</t>
  </si>
  <si>
    <t>Non Current Deferred Liabilities</t>
  </si>
  <si>
    <t>Non Current Deferred Taxes Liabilities</t>
  </si>
  <si>
    <t>Non Current Deferred Revenue</t>
  </si>
  <si>
    <t>Non Current Accrued Expenses</t>
  </si>
  <si>
    <t>Preferred Securities Outside Stock Equity</t>
  </si>
  <si>
    <t>Other Non Current Liabilities</t>
  </si>
  <si>
    <t>Total Equity Gross Minority Interest</t>
  </si>
  <si>
    <t>Capital Stock</t>
  </si>
  <si>
    <t>Preferred Stock</t>
  </si>
  <si>
    <t>Common Stock</t>
  </si>
  <si>
    <t>Additional Paid in Capital</t>
  </si>
  <si>
    <t>Retained Earnings</t>
  </si>
  <si>
    <t>Gains Losses Not Affecting Retained Earnings</t>
  </si>
  <si>
    <t>Other Equity Adjustments</t>
  </si>
  <si>
    <t>Minority Interest</t>
  </si>
  <si>
    <t>Total Capitalization</t>
  </si>
  <si>
    <t>Common Stock Equity</t>
  </si>
  <si>
    <t>Capital Lease Obligations</t>
  </si>
  <si>
    <t>Net Tangible Assets</t>
  </si>
  <si>
    <t>Working Capital</t>
  </si>
  <si>
    <t>Invested Capital</t>
  </si>
  <si>
    <t>Tangible Book Value</t>
  </si>
  <si>
    <t>Total Debt</t>
  </si>
  <si>
    <t>Net Debt</t>
  </si>
  <si>
    <t>Share Issued</t>
  </si>
  <si>
    <t>Ordinary Shares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</si>
</sst>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-0.499984740745262"/>
        <bgColor theme="6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Continuous" vertical="center"/>
    </xf>
    <xf numFmtId="0" fontId="2" fillId="3" borderId="0" xfId="0" applyFont="1" applyFill="1" applyAlignment="1">
      <alignment horizontal="centerContinuous" vertical="center"/>
    </xf>
    <xf numFmtId="0" fontId="2" fillId="0" borderId="1" xfId="2" applyFont="1" applyBorder="1" applyAlignment="1">
      <alignment horizontal="center" vertical="top"/>
    </xf>
    <xf numFmtId="0" fontId="3" fillId="0" borderId="0" xfId="2"/>
    <xf numFmtId="0" fontId="0" fillId="4" borderId="2" xfId="0" applyFill="1" applyBorder="1" applyAlignment="1">
      <alignment horizontal="center" vertical="center"/>
    </xf>
    <xf numFmtId="0" fontId="2" fillId="5" borderId="3" xfId="2" applyFont="1" applyFill="1" applyBorder="1" applyAlignment="1">
      <alignment horizontal="center" vertical="top"/>
    </xf>
    <xf numFmtId="0" fontId="0" fillId="6" borderId="2" xfId="0" applyFill="1" applyBorder="1" applyAlignment="1">
      <alignment horizontal="center" vertical="center"/>
    </xf>
    <xf numFmtId="9" fontId="0" fillId="6" borderId="2" xfId="1" applyFont="1" applyFill="1" applyBorder="1" applyAlignment="1">
      <alignment horizontal="center" vertical="center"/>
    </xf>
    <xf numFmtId="9" fontId="0" fillId="0" borderId="0" xfId="1" applyFont="1"/>
    <xf numFmtId="0" fontId="2" fillId="0" borderId="1" xfId="0" applyFont="1" applyBorder="1" applyAlignment="1">
      <alignment horizontal="center" vertical="top"/>
    </xf>
  </cellXfs>
  <cellStyles count="3">
    <cellStyle name="Normal" xfId="0" builtinId="0"/>
    <cellStyle name="Normal 2" xfId="2" xr:uid="{00000000-0005-0000-0000-000001000000}"/>
    <cellStyle name="Per cent" xfId="1" builtinId="5"/>
  </cellStyles>
  <dxfs count="6"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Array" Target="richData/rdarray.xml"/><Relationship Id="rId13" Type="http://schemas.microsoft.com/office/2023/09/relationships/Python" Target="python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5">
  <a r="1" c="4">
    <v>6630000</v>
    <v>13606000</v>
    <v>20853000</v>
    <v>20853000</v>
  </a>
  <a r="1" c="4">
    <v>1994000</v>
    <v>6496000</v>
    <v>13832000</v>
    <v>13832000</v>
  </a>
  <a r="1" c="4">
    <v>31536000</v>
    <v>53823000</v>
    <v>81462000</v>
    <v>81462000</v>
  </a>
  <a r="1" c="4">
    <v>26199000</v>
    <v>28469000</v>
    <v>30548000</v>
    <v>36440000</v>
  </a>
  <a r="1" c="4">
    <v>6618000</v>
    <v>22225000</v>
    <v>30189000</v>
    <v>44704000</v>
  </a>
</arrayData>
</file>

<file path=xl/richData/rdrichvalue.xml><?xml version="1.0" encoding="utf-8"?>
<rvData xmlns="http://schemas.microsoft.com/office/spreadsheetml/2017/richdata" count="15">
  <rv s="0">
    <v>0</v>
  </rv>
  <rv s="1">
    <v>DataFrame</v>
    <v>1</v>
    <v>0</v>
  </rv>
  <rv s="2">
    <v>&lt;class 'pandas.core.frame.DataFrame'&gt;</v>
    <v>DataFrame</v>
    <v xml:space="preserve">         0         1         2         3
0  6630000  13606000  20853000  20853000</v>
    <v>1</v>
  </rv>
  <rv s="0">
    <v>1</v>
  </rv>
  <rv s="1">
    <v>DataFrame</v>
    <v>1</v>
    <v>3</v>
  </rv>
  <rv s="2">
    <v>&lt;class 'pandas.core.frame.DataFrame'&gt;</v>
    <v>DataFrame</v>
    <v xml:space="preserve">         0        1         2         3
0  1994000  6496000  13832000  13832000</v>
    <v>4</v>
  </rv>
  <rv s="0">
    <v>2</v>
  </rv>
  <rv s="1">
    <v>DataFrame</v>
    <v>1</v>
    <v>6</v>
  </rv>
  <rv s="2">
    <v>&lt;class 'pandas.core.frame.DataFrame'&gt;</v>
    <v>DataFrame</v>
    <v xml:space="preserve">          0         1         2         3
0  31536000  53823000  81462000  81462000</v>
    <v>7</v>
  </rv>
  <rv s="0">
    <v>3</v>
  </rv>
  <rv s="1">
    <v>DataFrame</v>
    <v>1</v>
    <v>9</v>
  </rv>
  <rv s="2">
    <v>&lt;class 'pandas.core.frame.DataFrame'&gt;</v>
    <v>DataFrame</v>
    <v xml:space="preserve">          0         1         2         3
0  26199000  28469000  30548000  36440000</v>
    <v>10</v>
  </rv>
  <rv s="0">
    <v>4</v>
  </rv>
  <rv s="1">
    <v>DataFrame</v>
    <v>1</v>
    <v>12</v>
  </rv>
  <rv s="2">
    <v>&lt;class 'pandas.core.frame.DataFrame'&gt;</v>
    <v>DataFrame</v>
    <v xml:space="preserve">         0         1         2         3
0  6618000  22225000  30189000  44704000</v>
    <v>13</v>
  </rv>
</rvData>
</file>

<file path=xl/richData/rdrichvaluestructure.xml><?xml version="1.0" encoding="utf-8"?>
<rvStructures xmlns="http://schemas.microsoft.com/office/spreadsheetml/2017/richdata" count="3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  <v>4</v>
      <v>DataFrame</v>
      <v>arrayPreview</v>
    </spb>
    <spb s="1">
      <v>0</v>
    </spb>
  </spbData>
</supportingPropertyBags>
</file>

<file path=xl/richData/rdsupportingpropertybagstructure.xml><?xml version="1.0" encoding="utf-8"?>
<spbStructures xmlns="http://schemas.microsoft.com/office/spreadsheetml/2017/richdata2" count="2">
  <s>
    <k n="drw" t="i"/>
    <k n="dcol" t="i"/>
    <k n="name" t="s"/>
    <k n="array" t="s"/>
  </s>
  <s>
    <k n="ArrayCardInfo" t="spb"/>
  </s>
</spb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come_Statement" displayName="Income_Statement" ref="B4:F49" totalsRowShown="0" headerRowDxfId="5" headerRowBorderDxfId="4" tableBorderDxfId="3" headerRowCellStyle="Normal 2" dataCellStyle="Normal 2">
  <autoFilter ref="B4:F49" xr:uid="{00000000-0009-0000-0100-000001000000}"/>
  <tableColumns count="5">
    <tableColumn id="1" xr3:uid="{00000000-0010-0000-0000-000001000000}" name="Account" dataCellStyle="Normal 2"/>
    <tableColumn id="2" xr3:uid="{00000000-0010-0000-0000-000002000000}" name="2019" dataCellStyle="Normal 2"/>
    <tableColumn id="3" xr3:uid="{00000000-0010-0000-0000-000003000000}" name="2020" dataCellStyle="Normal 2"/>
    <tableColumn id="4" xr3:uid="{00000000-0010-0000-0000-000004000000}" name="2021" dataCellStyle="Normal 2"/>
    <tableColumn id="5" xr3:uid="{00000000-0010-0000-0000-000005000000}" name="2022" dataCellStyle="Normal 2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lance_Sheet" displayName="Balance_Sheet" ref="B51:F129" totalsRowShown="0" headerRowDxfId="2" headerRowBorderDxfId="1" tableBorderDxfId="0">
  <autoFilter ref="B51:F129" xr:uid="{00000000-0009-0000-0100-000002000000}"/>
  <tableColumns count="5">
    <tableColumn id="1" xr3:uid="{00000000-0010-0000-0100-000001000000}" name="Account"/>
    <tableColumn id="2" xr3:uid="{00000000-0010-0000-0100-000002000000}" name="2019"/>
    <tableColumn id="3" xr3:uid="{00000000-0010-0000-0100-000003000000}" name="2020"/>
    <tableColumn id="4" xr3:uid="{00000000-0010-0000-0100-000004000000}" name="2021"/>
    <tableColumn id="5" xr3:uid="{00000000-0010-0000-0100-000005000000}" name="202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29"/>
  <sheetViews>
    <sheetView showGridLines="0" tabSelected="1" topLeftCell="D1" zoomScaleNormal="100" workbookViewId="0">
      <selection activeCell="Q5" sqref="Q5"/>
    </sheetView>
  </sheetViews>
  <sheetFormatPr defaultRowHeight="14.4" x14ac:dyDescent="0.3"/>
  <cols>
    <col min="1" max="1" width="7.44140625" customWidth="1"/>
    <col min="2" max="2" width="23.6640625" customWidth="1"/>
    <col min="3" max="6" width="14.33203125" customWidth="1"/>
    <col min="7" max="7" width="7.44140625" customWidth="1"/>
    <col min="8" max="8" width="23.33203125" customWidth="1"/>
    <col min="9" max="9" width="13" customWidth="1"/>
    <col min="10" max="10" width="7.44140625" customWidth="1"/>
    <col min="11" max="11" width="23.33203125" customWidth="1"/>
    <col min="12" max="15" width="13" customWidth="1"/>
  </cols>
  <sheetData>
    <row r="2" spans="2:15" x14ac:dyDescent="0.3">
      <c r="B2" s="1" t="s">
        <v>0</v>
      </c>
      <c r="C2" s="1"/>
      <c r="D2" s="1"/>
      <c r="E2" s="1"/>
      <c r="F2" s="1"/>
      <c r="H2" s="2" t="s">
        <v>1</v>
      </c>
      <c r="I2" s="2"/>
      <c r="J2" s="2"/>
      <c r="K2" s="2"/>
      <c r="L2" s="2"/>
      <c r="M2" s="2"/>
      <c r="N2" s="2"/>
      <c r="O2" s="2"/>
    </row>
    <row r="4" spans="2:15" x14ac:dyDescent="0.3"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2:15" x14ac:dyDescent="0.3">
      <c r="B5" s="4" t="s">
        <v>7</v>
      </c>
      <c r="C5" s="4">
        <v>31536000</v>
      </c>
      <c r="D5" s="4">
        <v>53823000</v>
      </c>
      <c r="E5" s="4">
        <v>81462000</v>
      </c>
      <c r="F5" s="4">
        <v>81462000</v>
      </c>
      <c r="H5" s="5" t="s">
        <v>8</v>
      </c>
      <c r="I5" s="5" t="e" cm="1" vm="1">
        <f t="array" ref="I5">_xlfn._xlws.PY(0,1,C8:F8)</f>
        <v>#VALUE!</v>
      </c>
    </row>
    <row r="6" spans="2:15" x14ac:dyDescent="0.3">
      <c r="B6" s="4" t="s">
        <v>9</v>
      </c>
      <c r="C6" s="4">
        <v>31536000</v>
      </c>
      <c r="D6" s="4">
        <v>53823000</v>
      </c>
      <c r="E6" s="4">
        <v>81462000</v>
      </c>
      <c r="F6" s="4">
        <v>81462000</v>
      </c>
      <c r="H6" s="5" t="s">
        <v>10</v>
      </c>
      <c r="I6" s="5" t="e" cm="1" vm="2">
        <f t="array" ref="I6">_xlfn._xlws.PY(1,1,C12:F12)</f>
        <v>#VALUE!</v>
      </c>
    </row>
    <row r="7" spans="2:15" x14ac:dyDescent="0.3">
      <c r="B7" s="4" t="s">
        <v>11</v>
      </c>
      <c r="C7" s="4">
        <v>24906000</v>
      </c>
      <c r="D7" s="4">
        <v>40217000</v>
      </c>
      <c r="E7" s="4">
        <v>60609000</v>
      </c>
      <c r="F7" s="4">
        <v>60609000</v>
      </c>
      <c r="H7" s="5" t="s">
        <v>12</v>
      </c>
      <c r="I7" s="5" t="e" cm="1" vm="3">
        <f t="array" ref="I7">_xlfn._xlws.PY(2,1,C5:F5)</f>
        <v>#VALUE!</v>
      </c>
    </row>
    <row r="8" spans="2:15" x14ac:dyDescent="0.3">
      <c r="B8" s="4" t="s">
        <v>8</v>
      </c>
      <c r="C8" s="4">
        <v>6630000</v>
      </c>
      <c r="D8" s="4">
        <v>13606000</v>
      </c>
      <c r="E8" s="4">
        <v>20853000</v>
      </c>
      <c r="F8" s="4">
        <v>20853000</v>
      </c>
    </row>
    <row r="9" spans="2:15" x14ac:dyDescent="0.3">
      <c r="B9" s="4" t="s">
        <v>13</v>
      </c>
      <c r="C9" s="4">
        <v>4636000</v>
      </c>
      <c r="D9" s="4">
        <v>7110000</v>
      </c>
      <c r="E9" s="4">
        <v>7021000</v>
      </c>
      <c r="F9" s="4">
        <v>7021000</v>
      </c>
      <c r="H9" s="5" t="s">
        <v>14</v>
      </c>
      <c r="I9" s="5" t="e" cm="1" vm="4">
        <f t="array" ref="I9">_xlfn._xlws.PY(3,1,C82:F82)</f>
        <v>#VALUE!</v>
      </c>
    </row>
    <row r="10" spans="2:15" x14ac:dyDescent="0.3">
      <c r="B10" s="4" t="s">
        <v>15</v>
      </c>
      <c r="C10" s="4">
        <v>3145000</v>
      </c>
      <c r="D10" s="4">
        <v>4517000</v>
      </c>
      <c r="E10" s="4">
        <v>3946000</v>
      </c>
      <c r="F10" s="4">
        <v>3946000</v>
      </c>
      <c r="H10" s="5" t="s">
        <v>16</v>
      </c>
      <c r="I10" s="5" t="e" cm="1" vm="5">
        <f t="array" ref="I10">_xlfn._xlws.PY(4,1,C110:F110)</f>
        <v>#VALUE!</v>
      </c>
    </row>
    <row r="11" spans="2:15" x14ac:dyDescent="0.3">
      <c r="B11" s="4" t="s">
        <v>17</v>
      </c>
      <c r="C11" s="4">
        <v>1491000</v>
      </c>
      <c r="D11" s="4">
        <v>2593000</v>
      </c>
      <c r="E11" s="4">
        <v>3075000</v>
      </c>
      <c r="F11" s="4">
        <v>3075000</v>
      </c>
    </row>
    <row r="12" spans="2:15" x14ac:dyDescent="0.3">
      <c r="B12" s="4" t="s">
        <v>18</v>
      </c>
      <c r="C12" s="4">
        <v>1994000</v>
      </c>
      <c r="D12" s="4">
        <v>6496000</v>
      </c>
      <c r="E12" s="4">
        <v>13832000</v>
      </c>
      <c r="F12" s="4">
        <v>13832000</v>
      </c>
      <c r="L12" s="6" t="s">
        <v>3</v>
      </c>
      <c r="M12" s="6" t="s">
        <v>4</v>
      </c>
      <c r="N12" s="6" t="s">
        <v>5</v>
      </c>
      <c r="O12" s="6" t="s">
        <v>6</v>
      </c>
    </row>
    <row r="13" spans="2:15" x14ac:dyDescent="0.3">
      <c r="B13" s="4" t="s">
        <v>19</v>
      </c>
      <c r="C13" s="4">
        <v>-718000</v>
      </c>
      <c r="D13" s="4">
        <v>-315000</v>
      </c>
      <c r="E13" s="4">
        <v>106000</v>
      </c>
      <c r="F13" s="4">
        <v>106000</v>
      </c>
      <c r="K13" s="7" t="s">
        <v>20</v>
      </c>
      <c r="L13" s="8" cm="1">
        <f t="array" ref="L13:O13">_xlfn._xlws.PY(5,0)</f>
        <v>0.2102359208523592</v>
      </c>
      <c r="M13" s="8">
        <v>0.25279155751258753</v>
      </c>
      <c r="N13" s="8">
        <v>0.25598438535759005</v>
      </c>
      <c r="O13" s="8">
        <v>0.25598438535759005</v>
      </c>
    </row>
    <row r="14" spans="2:15" x14ac:dyDescent="0.3">
      <c r="B14" s="4" t="s">
        <v>21</v>
      </c>
      <c r="C14" s="4">
        <v>30000</v>
      </c>
      <c r="D14" s="4">
        <v>56000</v>
      </c>
      <c r="E14" s="4">
        <v>297000</v>
      </c>
      <c r="F14" s="4">
        <v>297000</v>
      </c>
      <c r="L14" s="9"/>
      <c r="M14" s="9"/>
      <c r="N14" s="9"/>
      <c r="O14" s="9"/>
    </row>
    <row r="15" spans="2:15" x14ac:dyDescent="0.3">
      <c r="B15" s="4" t="s">
        <v>22</v>
      </c>
      <c r="C15" s="4">
        <v>748000</v>
      </c>
      <c r="D15" s="4">
        <v>371000</v>
      </c>
      <c r="E15" s="4">
        <v>191000</v>
      </c>
      <c r="F15" s="4">
        <v>191000</v>
      </c>
      <c r="K15" s="7" t="s">
        <v>23</v>
      </c>
      <c r="L15" s="8" cm="1">
        <f t="array" ref="L15:O15">_xlfn._xlws.PY(6,0)</f>
        <v>0.30075414781297133</v>
      </c>
      <c r="M15" s="8">
        <v>0.47743642510657064</v>
      </c>
      <c r="N15" s="8">
        <v>0.66330983551527356</v>
      </c>
      <c r="O15" s="8">
        <v>0.66330983551527356</v>
      </c>
    </row>
    <row r="16" spans="2:15" x14ac:dyDescent="0.3">
      <c r="B16" s="4" t="s">
        <v>24</v>
      </c>
      <c r="C16" s="4">
        <v>-122000</v>
      </c>
      <c r="D16" s="4">
        <v>162000</v>
      </c>
      <c r="E16" s="4">
        <v>-219000</v>
      </c>
      <c r="F16" s="4">
        <v>-219000</v>
      </c>
      <c r="L16" s="9"/>
      <c r="M16" s="9"/>
      <c r="N16" s="9"/>
      <c r="O16" s="9"/>
    </row>
    <row r="17" spans="2:15" x14ac:dyDescent="0.3">
      <c r="B17" s="4" t="s">
        <v>25</v>
      </c>
      <c r="C17" s="4">
        <v>0</v>
      </c>
      <c r="D17" s="4">
        <v>27000</v>
      </c>
      <c r="E17" s="4">
        <v>-176000</v>
      </c>
      <c r="F17" s="4">
        <v>-176000</v>
      </c>
      <c r="K17" s="7" t="s">
        <v>26</v>
      </c>
      <c r="L17" s="8" cm="1">
        <f t="array" ref="L17:O17">_xlfn._xlws.PY(7,0)</f>
        <v>3.9587488667271078</v>
      </c>
      <c r="M17" s="8">
        <v>1.2809448818897637</v>
      </c>
      <c r="N17" s="8">
        <v>1.0118917486501706</v>
      </c>
      <c r="O17" s="8">
        <v>0.81513958482462423</v>
      </c>
    </row>
    <row r="18" spans="2:15" x14ac:dyDescent="0.3">
      <c r="B18" s="4" t="s">
        <v>27</v>
      </c>
      <c r="C18" s="4">
        <v>0</v>
      </c>
      <c r="D18" s="4">
        <v>-27000</v>
      </c>
      <c r="E18" s="4">
        <v>176000</v>
      </c>
      <c r="F18" s="4">
        <v>176000</v>
      </c>
    </row>
    <row r="19" spans="2:15" x14ac:dyDescent="0.3">
      <c r="B19" s="4" t="s">
        <v>28</v>
      </c>
      <c r="C19" s="4">
        <v>-122000</v>
      </c>
      <c r="D19" s="4">
        <v>135000</v>
      </c>
      <c r="E19" s="4">
        <v>-43000</v>
      </c>
      <c r="F19" s="4">
        <v>-43000</v>
      </c>
    </row>
    <row r="20" spans="2:15" x14ac:dyDescent="0.3">
      <c r="B20" s="4" t="s">
        <v>29</v>
      </c>
      <c r="C20" s="4">
        <v>1154000</v>
      </c>
      <c r="D20" s="4">
        <v>6343000</v>
      </c>
      <c r="E20" s="4">
        <v>13719000</v>
      </c>
      <c r="F20" s="4">
        <v>13719000</v>
      </c>
    </row>
    <row r="21" spans="2:15" x14ac:dyDescent="0.3">
      <c r="B21" s="4" t="s">
        <v>30</v>
      </c>
      <c r="C21" s="4">
        <v>292000</v>
      </c>
      <c r="D21" s="4">
        <v>699000</v>
      </c>
      <c r="E21" s="4">
        <v>1132000</v>
      </c>
      <c r="F21" s="4">
        <v>1132000</v>
      </c>
    </row>
    <row r="22" spans="2:15" x14ac:dyDescent="0.3">
      <c r="B22" s="4" t="s">
        <v>31</v>
      </c>
      <c r="C22" s="4">
        <v>690000</v>
      </c>
      <c r="D22" s="4">
        <v>5519000</v>
      </c>
      <c r="E22" s="4">
        <v>12583000</v>
      </c>
      <c r="F22" s="4">
        <v>12583000</v>
      </c>
    </row>
    <row r="23" spans="2:15" x14ac:dyDescent="0.3">
      <c r="B23" s="4" t="s">
        <v>32</v>
      </c>
      <c r="C23" s="4">
        <v>690000</v>
      </c>
      <c r="D23" s="4">
        <v>5519000</v>
      </c>
      <c r="E23" s="4">
        <v>12583000</v>
      </c>
      <c r="F23" s="4">
        <v>12583000</v>
      </c>
    </row>
    <row r="24" spans="2:15" x14ac:dyDescent="0.3">
      <c r="B24" s="4" t="s">
        <v>33</v>
      </c>
      <c r="C24" s="4">
        <v>862000</v>
      </c>
      <c r="D24" s="4">
        <v>5644000</v>
      </c>
      <c r="E24" s="4">
        <v>12587000</v>
      </c>
      <c r="F24" s="4">
        <v>12587000</v>
      </c>
    </row>
    <row r="25" spans="2:15" x14ac:dyDescent="0.3">
      <c r="B25" s="4" t="s">
        <v>34</v>
      </c>
      <c r="C25" s="4">
        <v>862000</v>
      </c>
      <c r="D25" s="4">
        <v>5644000</v>
      </c>
      <c r="E25" s="4">
        <v>12587000</v>
      </c>
      <c r="F25" s="4">
        <v>12587000</v>
      </c>
    </row>
    <row r="26" spans="2:15" x14ac:dyDescent="0.3">
      <c r="B26" s="4" t="s">
        <v>35</v>
      </c>
      <c r="C26" s="4">
        <v>-172000</v>
      </c>
      <c r="D26" s="4">
        <v>-125000</v>
      </c>
      <c r="E26" s="4">
        <v>-4000</v>
      </c>
      <c r="F26" s="4">
        <v>-4000</v>
      </c>
    </row>
    <row r="27" spans="2:15" x14ac:dyDescent="0.3">
      <c r="B27" s="4" t="s">
        <v>36</v>
      </c>
      <c r="C27" s="4" t="s">
        <v>37</v>
      </c>
      <c r="D27" s="4" t="s">
        <v>37</v>
      </c>
      <c r="E27" s="4">
        <v>1000</v>
      </c>
      <c r="F27" s="4">
        <v>1000</v>
      </c>
    </row>
    <row r="28" spans="2:15" x14ac:dyDescent="0.3">
      <c r="B28" s="4" t="s">
        <v>38</v>
      </c>
      <c r="C28" s="4">
        <v>690000</v>
      </c>
      <c r="D28" s="4">
        <v>5519000</v>
      </c>
      <c r="E28" s="4">
        <v>12584000</v>
      </c>
      <c r="F28" s="4">
        <v>12584000</v>
      </c>
    </row>
    <row r="29" spans="2:15" x14ac:dyDescent="0.3">
      <c r="B29" s="4" t="s">
        <v>39</v>
      </c>
      <c r="C29" s="4">
        <v>0.25</v>
      </c>
      <c r="D29" s="4">
        <v>1.87</v>
      </c>
      <c r="E29" s="4">
        <v>4.0199999999999996</v>
      </c>
      <c r="F29" s="4" t="s">
        <v>37</v>
      </c>
    </row>
    <row r="30" spans="2:15" x14ac:dyDescent="0.3">
      <c r="B30" s="4" t="s">
        <v>40</v>
      </c>
      <c r="C30" s="4">
        <v>0.21</v>
      </c>
      <c r="D30" s="4">
        <v>1.63</v>
      </c>
      <c r="E30" s="4">
        <v>3.62</v>
      </c>
      <c r="F30" s="4" t="s">
        <v>37</v>
      </c>
    </row>
    <row r="31" spans="2:15" x14ac:dyDescent="0.3">
      <c r="B31" s="4" t="s">
        <v>41</v>
      </c>
      <c r="C31" s="4">
        <v>2799000</v>
      </c>
      <c r="D31" s="4">
        <v>2958000</v>
      </c>
      <c r="E31" s="4">
        <v>3130000</v>
      </c>
      <c r="F31" s="4" t="s">
        <v>37</v>
      </c>
    </row>
    <row r="32" spans="2:15" x14ac:dyDescent="0.3">
      <c r="B32" s="4" t="s">
        <v>42</v>
      </c>
      <c r="C32" s="4">
        <v>3249000</v>
      </c>
      <c r="D32" s="4">
        <v>3387000</v>
      </c>
      <c r="E32" s="4">
        <v>3475000</v>
      </c>
      <c r="F32" s="4" t="s">
        <v>37</v>
      </c>
    </row>
    <row r="33" spans="2:6" x14ac:dyDescent="0.3">
      <c r="B33" s="4" t="s">
        <v>43</v>
      </c>
      <c r="C33" s="4">
        <v>1994000</v>
      </c>
      <c r="D33" s="4">
        <v>-6523000</v>
      </c>
      <c r="E33" s="4">
        <v>13656000</v>
      </c>
      <c r="F33" s="4">
        <v>13656000</v>
      </c>
    </row>
    <row r="34" spans="2:6" x14ac:dyDescent="0.3">
      <c r="B34" s="4" t="s">
        <v>44</v>
      </c>
      <c r="C34" s="4">
        <v>29542000</v>
      </c>
      <c r="D34" s="4">
        <v>47327000</v>
      </c>
      <c r="E34" s="4">
        <v>67630000</v>
      </c>
      <c r="F34" s="4">
        <v>67630000</v>
      </c>
    </row>
    <row r="35" spans="2:6" x14ac:dyDescent="0.3">
      <c r="B35" s="4" t="s">
        <v>45</v>
      </c>
      <c r="C35" s="4">
        <v>690000</v>
      </c>
      <c r="D35" s="4">
        <v>5519000</v>
      </c>
      <c r="E35" s="4">
        <v>12583000</v>
      </c>
      <c r="F35" s="4">
        <v>12583000</v>
      </c>
    </row>
    <row r="36" spans="2:6" x14ac:dyDescent="0.3">
      <c r="B36" s="4" t="s">
        <v>46</v>
      </c>
      <c r="C36" s="4">
        <v>690000</v>
      </c>
      <c r="D36" s="4">
        <v>5494970</v>
      </c>
      <c r="E36" s="4">
        <v>12744920</v>
      </c>
      <c r="F36" s="4">
        <v>12744920</v>
      </c>
    </row>
    <row r="37" spans="2:6" x14ac:dyDescent="0.3">
      <c r="B37" s="4" t="s">
        <v>47</v>
      </c>
      <c r="C37" s="4">
        <v>30000</v>
      </c>
      <c r="D37" s="4">
        <v>56000</v>
      </c>
      <c r="E37" s="4">
        <v>297000</v>
      </c>
      <c r="F37" s="4">
        <v>297000</v>
      </c>
    </row>
    <row r="38" spans="2:6" x14ac:dyDescent="0.3">
      <c r="B38" s="4" t="s">
        <v>48</v>
      </c>
      <c r="C38" s="4">
        <v>748000</v>
      </c>
      <c r="D38" s="4">
        <v>371000</v>
      </c>
      <c r="E38" s="4">
        <v>191000</v>
      </c>
      <c r="F38" s="4">
        <v>191000</v>
      </c>
    </row>
    <row r="39" spans="2:6" x14ac:dyDescent="0.3">
      <c r="B39" s="4" t="s">
        <v>49</v>
      </c>
      <c r="C39" s="4">
        <v>-718000</v>
      </c>
      <c r="D39" s="4">
        <v>-315000</v>
      </c>
      <c r="E39" s="4">
        <v>106000</v>
      </c>
      <c r="F39" s="4">
        <v>106000</v>
      </c>
    </row>
    <row r="40" spans="2:6" x14ac:dyDescent="0.3">
      <c r="B40" s="4" t="s">
        <v>50</v>
      </c>
      <c r="C40" s="4">
        <v>1902000</v>
      </c>
      <c r="D40" s="4">
        <v>6714000</v>
      </c>
      <c r="E40" s="4">
        <v>13910000</v>
      </c>
      <c r="F40" s="4">
        <v>13910000</v>
      </c>
    </row>
    <row r="41" spans="2:6" x14ac:dyDescent="0.3">
      <c r="B41" s="4" t="s">
        <v>51</v>
      </c>
      <c r="C41" s="4" t="s">
        <v>37</v>
      </c>
      <c r="D41" s="4" t="s">
        <v>37</v>
      </c>
      <c r="E41" s="4" t="s">
        <v>37</v>
      </c>
      <c r="F41" s="4">
        <v>17657000</v>
      </c>
    </row>
    <row r="42" spans="2:6" x14ac:dyDescent="0.3">
      <c r="B42" s="4" t="s">
        <v>52</v>
      </c>
      <c r="C42" s="4">
        <v>24906000</v>
      </c>
      <c r="D42" s="4">
        <v>40217000</v>
      </c>
      <c r="E42" s="4">
        <v>60609000</v>
      </c>
      <c r="F42" s="4">
        <v>60609000</v>
      </c>
    </row>
    <row r="43" spans="2:6" x14ac:dyDescent="0.3">
      <c r="B43" s="4" t="s">
        <v>53</v>
      </c>
      <c r="C43" s="4">
        <v>2322000</v>
      </c>
      <c r="D43" s="4">
        <v>2911000</v>
      </c>
      <c r="E43" s="4">
        <v>3747000</v>
      </c>
      <c r="F43" s="4">
        <v>3747000</v>
      </c>
    </row>
    <row r="44" spans="2:6" x14ac:dyDescent="0.3">
      <c r="B44" s="4" t="s">
        <v>54</v>
      </c>
      <c r="C44" s="4">
        <v>690000</v>
      </c>
      <c r="D44" s="4">
        <v>5519000</v>
      </c>
      <c r="E44" s="4">
        <v>12583000</v>
      </c>
      <c r="F44" s="4">
        <v>12583000</v>
      </c>
    </row>
    <row r="45" spans="2:6" x14ac:dyDescent="0.3">
      <c r="B45" s="4" t="s">
        <v>55</v>
      </c>
      <c r="C45" s="4">
        <v>0</v>
      </c>
      <c r="D45" s="4">
        <v>27000</v>
      </c>
      <c r="E45" s="4">
        <v>-176000</v>
      </c>
      <c r="F45" s="4">
        <v>-176000</v>
      </c>
    </row>
    <row r="46" spans="2:6" x14ac:dyDescent="0.3">
      <c r="B46" s="4" t="s">
        <v>56</v>
      </c>
      <c r="C46" s="4">
        <v>0</v>
      </c>
      <c r="D46" s="4">
        <v>27000</v>
      </c>
      <c r="E46" s="4">
        <v>-176000</v>
      </c>
      <c r="F46" s="4">
        <v>-176000</v>
      </c>
    </row>
    <row r="47" spans="2:6" x14ac:dyDescent="0.3">
      <c r="B47" s="4" t="s">
        <v>57</v>
      </c>
      <c r="C47" s="4">
        <v>4224000</v>
      </c>
      <c r="D47" s="4">
        <v>9598000</v>
      </c>
      <c r="E47" s="4">
        <v>17833000</v>
      </c>
      <c r="F47" s="4">
        <v>17833000</v>
      </c>
    </row>
    <row r="48" spans="2:6" x14ac:dyDescent="0.3">
      <c r="B48" s="4" t="s">
        <v>58</v>
      </c>
      <c r="C48" s="4">
        <v>0</v>
      </c>
      <c r="D48" s="4">
        <v>0</v>
      </c>
      <c r="E48" s="4">
        <v>0</v>
      </c>
      <c r="F48" s="4">
        <v>0</v>
      </c>
    </row>
    <row r="49" spans="2:6" x14ac:dyDescent="0.3">
      <c r="B49" s="4" t="s">
        <v>59</v>
      </c>
      <c r="C49" s="4">
        <v>0</v>
      </c>
      <c r="D49" s="4">
        <v>2970</v>
      </c>
      <c r="E49" s="4">
        <v>-14080</v>
      </c>
      <c r="F49" s="4">
        <v>-14080</v>
      </c>
    </row>
    <row r="51" spans="2:6" x14ac:dyDescent="0.3">
      <c r="B51" s="10" t="s">
        <v>2</v>
      </c>
      <c r="C51" s="10" t="s">
        <v>3</v>
      </c>
      <c r="D51" s="10" t="s">
        <v>4</v>
      </c>
      <c r="E51" s="10" t="s">
        <v>5</v>
      </c>
      <c r="F51" s="10" t="s">
        <v>6</v>
      </c>
    </row>
    <row r="52" spans="2:6" x14ac:dyDescent="0.3">
      <c r="B52" t="s">
        <v>60</v>
      </c>
      <c r="C52">
        <v>34309000</v>
      </c>
      <c r="D52">
        <v>52148000</v>
      </c>
      <c r="E52">
        <v>62131000</v>
      </c>
      <c r="F52">
        <v>82338000</v>
      </c>
    </row>
    <row r="53" spans="2:6" x14ac:dyDescent="0.3">
      <c r="B53" t="s">
        <v>61</v>
      </c>
      <c r="C53">
        <v>12103000</v>
      </c>
      <c r="D53">
        <v>26717000</v>
      </c>
      <c r="E53">
        <v>27100000</v>
      </c>
      <c r="F53">
        <v>40917000</v>
      </c>
    </row>
    <row r="54" spans="2:6" x14ac:dyDescent="0.3">
      <c r="B54" t="s">
        <v>62</v>
      </c>
      <c r="C54">
        <v>6268000</v>
      </c>
      <c r="D54">
        <v>19384000</v>
      </c>
      <c r="E54">
        <v>17707000</v>
      </c>
      <c r="F54">
        <v>22185000</v>
      </c>
    </row>
    <row r="55" spans="2:6" x14ac:dyDescent="0.3">
      <c r="B55" t="s">
        <v>63</v>
      </c>
      <c r="C55">
        <v>6268000</v>
      </c>
      <c r="D55">
        <v>19384000</v>
      </c>
      <c r="E55">
        <v>17576000</v>
      </c>
      <c r="F55">
        <v>22185000</v>
      </c>
    </row>
    <row r="56" spans="2:6" x14ac:dyDescent="0.3">
      <c r="B56" t="s">
        <v>64</v>
      </c>
      <c r="C56" t="s">
        <v>37</v>
      </c>
      <c r="D56" t="s">
        <v>37</v>
      </c>
      <c r="E56">
        <v>131000</v>
      </c>
      <c r="F56">
        <v>5932000</v>
      </c>
    </row>
    <row r="57" spans="2:6" x14ac:dyDescent="0.3">
      <c r="B57" t="s">
        <v>65</v>
      </c>
      <c r="C57">
        <v>1324000</v>
      </c>
      <c r="D57">
        <v>1886000</v>
      </c>
      <c r="E57">
        <v>1913000</v>
      </c>
      <c r="F57">
        <v>2952000</v>
      </c>
    </row>
    <row r="58" spans="2:6" x14ac:dyDescent="0.3">
      <c r="B58" t="s">
        <v>66</v>
      </c>
      <c r="C58">
        <v>1324000</v>
      </c>
      <c r="D58">
        <v>1886000</v>
      </c>
      <c r="E58">
        <v>1913000</v>
      </c>
      <c r="F58">
        <v>2952000</v>
      </c>
    </row>
    <row r="59" spans="2:6" x14ac:dyDescent="0.3">
      <c r="B59" t="s">
        <v>67</v>
      </c>
      <c r="C59">
        <v>3552000</v>
      </c>
      <c r="D59">
        <v>4101000</v>
      </c>
      <c r="E59">
        <v>5757000</v>
      </c>
      <c r="F59">
        <v>12839000</v>
      </c>
    </row>
    <row r="60" spans="2:6" x14ac:dyDescent="0.3">
      <c r="B60" t="s">
        <v>68</v>
      </c>
      <c r="C60">
        <v>1428000</v>
      </c>
      <c r="D60">
        <v>1508000</v>
      </c>
      <c r="E60">
        <v>2816000</v>
      </c>
      <c r="F60">
        <v>6137000</v>
      </c>
    </row>
    <row r="61" spans="2:6" x14ac:dyDescent="0.3">
      <c r="B61" t="s">
        <v>69</v>
      </c>
      <c r="C61">
        <v>362000</v>
      </c>
      <c r="D61">
        <v>493000</v>
      </c>
      <c r="E61">
        <v>1089000</v>
      </c>
      <c r="F61">
        <v>2385000</v>
      </c>
    </row>
    <row r="62" spans="2:6" x14ac:dyDescent="0.3">
      <c r="B62" t="s">
        <v>70</v>
      </c>
      <c r="C62">
        <v>1356000</v>
      </c>
      <c r="D62">
        <v>1666000</v>
      </c>
      <c r="E62">
        <v>1277000</v>
      </c>
      <c r="F62">
        <v>3475000</v>
      </c>
    </row>
    <row r="63" spans="2:6" x14ac:dyDescent="0.3">
      <c r="B63" t="s">
        <v>71</v>
      </c>
      <c r="C63">
        <v>406000</v>
      </c>
      <c r="D63">
        <v>434000</v>
      </c>
      <c r="E63">
        <v>575000</v>
      </c>
      <c r="F63">
        <v>842000</v>
      </c>
    </row>
    <row r="64" spans="2:6" x14ac:dyDescent="0.3">
      <c r="B64" t="s">
        <v>72</v>
      </c>
      <c r="C64">
        <v>713000</v>
      </c>
      <c r="D64">
        <v>1346000</v>
      </c>
      <c r="E64">
        <v>1723000</v>
      </c>
      <c r="F64" t="s">
        <v>37</v>
      </c>
    </row>
    <row r="65" spans="2:6" x14ac:dyDescent="0.3">
      <c r="B65" t="s">
        <v>73</v>
      </c>
      <c r="C65">
        <v>246000</v>
      </c>
      <c r="D65" t="s">
        <v>37</v>
      </c>
      <c r="E65" t="s">
        <v>37</v>
      </c>
      <c r="F65" t="s">
        <v>37</v>
      </c>
    </row>
    <row r="66" spans="2:6" x14ac:dyDescent="0.3">
      <c r="B66" t="s">
        <v>74</v>
      </c>
      <c r="C66" t="s">
        <v>37</v>
      </c>
      <c r="D66" t="s">
        <v>37</v>
      </c>
      <c r="E66" t="s">
        <v>37</v>
      </c>
      <c r="F66">
        <v>2941000</v>
      </c>
    </row>
    <row r="67" spans="2:6" x14ac:dyDescent="0.3">
      <c r="B67" t="s">
        <v>75</v>
      </c>
      <c r="C67">
        <v>22206000</v>
      </c>
      <c r="D67">
        <v>25431000</v>
      </c>
      <c r="E67">
        <v>35031000</v>
      </c>
      <c r="F67">
        <v>41421000</v>
      </c>
    </row>
    <row r="68" spans="2:6" x14ac:dyDescent="0.3">
      <c r="B68" t="s">
        <v>76</v>
      </c>
      <c r="C68">
        <v>20199000</v>
      </c>
      <c r="D68">
        <v>23375000</v>
      </c>
      <c r="E68">
        <v>31176000</v>
      </c>
      <c r="F68">
        <v>36635000</v>
      </c>
    </row>
    <row r="69" spans="2:6" x14ac:dyDescent="0.3">
      <c r="B69" t="s">
        <v>77</v>
      </c>
      <c r="C69">
        <v>20199000</v>
      </c>
      <c r="D69">
        <v>23375000</v>
      </c>
      <c r="E69">
        <v>31176000</v>
      </c>
      <c r="F69">
        <v>36635000</v>
      </c>
    </row>
    <row r="70" spans="2:6" x14ac:dyDescent="0.3">
      <c r="B70" t="s">
        <v>78</v>
      </c>
      <c r="C70">
        <v>14130000</v>
      </c>
      <c r="D70">
        <v>6861000</v>
      </c>
      <c r="E70">
        <v>6913000</v>
      </c>
      <c r="F70">
        <v>6889000</v>
      </c>
    </row>
    <row r="71" spans="2:6" x14ac:dyDescent="0.3">
      <c r="B71" t="s">
        <v>79</v>
      </c>
      <c r="C71">
        <v>3024000</v>
      </c>
      <c r="D71">
        <v>3662000</v>
      </c>
      <c r="E71">
        <v>4675000</v>
      </c>
      <c r="F71">
        <v>7751000</v>
      </c>
    </row>
    <row r="72" spans="2:6" x14ac:dyDescent="0.3">
      <c r="B72" t="s">
        <v>80</v>
      </c>
      <c r="C72">
        <v>2447000</v>
      </c>
      <c r="D72">
        <v>3091000</v>
      </c>
      <c r="E72">
        <v>4511000</v>
      </c>
      <c r="F72">
        <v>5035000</v>
      </c>
    </row>
    <row r="73" spans="2:6" x14ac:dyDescent="0.3">
      <c r="B73" t="s">
        <v>81</v>
      </c>
      <c r="C73">
        <v>17752000</v>
      </c>
      <c r="D73">
        <v>20284000</v>
      </c>
      <c r="E73">
        <v>26665000</v>
      </c>
      <c r="F73">
        <v>31600000</v>
      </c>
    </row>
    <row r="74" spans="2:6" x14ac:dyDescent="0.3">
      <c r="B74" t="s">
        <v>82</v>
      </c>
      <c r="C74">
        <v>764000</v>
      </c>
      <c r="D74">
        <v>1694000</v>
      </c>
      <c r="E74">
        <v>5598000</v>
      </c>
      <c r="F74">
        <v>4281000</v>
      </c>
    </row>
    <row r="75" spans="2:6" x14ac:dyDescent="0.3">
      <c r="B75" t="s">
        <v>83</v>
      </c>
      <c r="C75">
        <v>1087000</v>
      </c>
      <c r="D75">
        <v>1421000</v>
      </c>
      <c r="E75">
        <v>1826000</v>
      </c>
      <c r="F75">
        <v>2366000</v>
      </c>
    </row>
    <row r="76" spans="2:6" x14ac:dyDescent="0.3">
      <c r="B76" t="s">
        <v>84</v>
      </c>
      <c r="C76">
        <v>-11726000</v>
      </c>
      <c r="D76">
        <v>-6072000</v>
      </c>
      <c r="E76">
        <v>-7918000</v>
      </c>
      <c r="F76">
        <v>-10459000</v>
      </c>
    </row>
    <row r="77" spans="2:6" x14ac:dyDescent="0.3">
      <c r="B77" t="s">
        <v>85</v>
      </c>
      <c r="C77">
        <v>537000</v>
      </c>
      <c r="D77">
        <v>520000</v>
      </c>
      <c r="E77">
        <v>1717000</v>
      </c>
      <c r="F77">
        <v>593000</v>
      </c>
    </row>
    <row r="78" spans="2:6" x14ac:dyDescent="0.3">
      <c r="B78" t="s">
        <v>86</v>
      </c>
      <c r="C78">
        <v>198000</v>
      </c>
      <c r="D78">
        <v>207000</v>
      </c>
      <c r="E78">
        <v>200000</v>
      </c>
      <c r="F78">
        <v>194000</v>
      </c>
    </row>
    <row r="79" spans="2:6" x14ac:dyDescent="0.3">
      <c r="B79" t="s">
        <v>87</v>
      </c>
      <c r="C79">
        <v>339000</v>
      </c>
      <c r="D79">
        <v>313000</v>
      </c>
      <c r="E79">
        <v>1717000</v>
      </c>
      <c r="F79">
        <v>593000</v>
      </c>
    </row>
    <row r="80" spans="2:6" x14ac:dyDescent="0.3">
      <c r="B80" t="s">
        <v>88</v>
      </c>
      <c r="C80">
        <v>393000</v>
      </c>
      <c r="D80" t="s">
        <v>37</v>
      </c>
      <c r="E80" t="s">
        <v>37</v>
      </c>
      <c r="F80" t="s">
        <v>37</v>
      </c>
    </row>
    <row r="81" spans="2:6" x14ac:dyDescent="0.3">
      <c r="B81" t="s">
        <v>89</v>
      </c>
      <c r="C81">
        <v>1077000</v>
      </c>
      <c r="D81">
        <v>1536000</v>
      </c>
      <c r="E81">
        <v>2138000</v>
      </c>
      <c r="F81">
        <v>4193000</v>
      </c>
    </row>
    <row r="82" spans="2:6" x14ac:dyDescent="0.3">
      <c r="B82" t="s">
        <v>90</v>
      </c>
      <c r="C82">
        <v>26199000</v>
      </c>
      <c r="D82">
        <v>28469000</v>
      </c>
      <c r="E82">
        <v>30548000</v>
      </c>
      <c r="F82">
        <v>36440000</v>
      </c>
    </row>
    <row r="83" spans="2:6" x14ac:dyDescent="0.3">
      <c r="B83" t="s">
        <v>91</v>
      </c>
      <c r="C83">
        <v>10667000</v>
      </c>
      <c r="D83">
        <v>14248000</v>
      </c>
      <c r="E83">
        <v>19705000</v>
      </c>
      <c r="F83">
        <v>26709000</v>
      </c>
    </row>
    <row r="84" spans="2:6" x14ac:dyDescent="0.3">
      <c r="B84" t="s">
        <v>92</v>
      </c>
      <c r="C84">
        <v>6676000</v>
      </c>
      <c r="D84">
        <v>9906000</v>
      </c>
      <c r="E84">
        <v>15744000</v>
      </c>
      <c r="F84">
        <v>22397000</v>
      </c>
    </row>
    <row r="85" spans="2:6" x14ac:dyDescent="0.3">
      <c r="B85" t="s">
        <v>93</v>
      </c>
      <c r="C85">
        <v>3771000</v>
      </c>
      <c r="D85">
        <v>6051000</v>
      </c>
      <c r="E85">
        <v>10025000</v>
      </c>
      <c r="F85">
        <v>15255000</v>
      </c>
    </row>
    <row r="86" spans="2:6" x14ac:dyDescent="0.3">
      <c r="B86" t="s">
        <v>94</v>
      </c>
      <c r="C86">
        <v>3771000</v>
      </c>
      <c r="D86">
        <v>6051000</v>
      </c>
      <c r="E86">
        <v>10025000</v>
      </c>
      <c r="F86">
        <v>15255000</v>
      </c>
    </row>
    <row r="87" spans="2:6" x14ac:dyDescent="0.3">
      <c r="B87" t="s">
        <v>95</v>
      </c>
      <c r="C87">
        <v>611000</v>
      </c>
      <c r="D87">
        <v>777000</v>
      </c>
      <c r="E87">
        <v>1122000</v>
      </c>
      <c r="F87">
        <v>1235000</v>
      </c>
    </row>
    <row r="88" spans="2:6" x14ac:dyDescent="0.3">
      <c r="B88" t="s">
        <v>96</v>
      </c>
      <c r="C88">
        <v>2905000</v>
      </c>
      <c r="D88">
        <v>3855000</v>
      </c>
      <c r="E88">
        <v>5719000</v>
      </c>
      <c r="F88">
        <v>7142000</v>
      </c>
    </row>
    <row r="89" spans="2:6" x14ac:dyDescent="0.3">
      <c r="B89" t="s">
        <v>97</v>
      </c>
      <c r="C89">
        <v>86000</v>
      </c>
      <c r="D89">
        <v>77000</v>
      </c>
      <c r="E89">
        <v>16000</v>
      </c>
      <c r="F89" t="s">
        <v>37</v>
      </c>
    </row>
    <row r="90" spans="2:6" x14ac:dyDescent="0.3">
      <c r="B90" t="s">
        <v>98</v>
      </c>
      <c r="C90">
        <v>272000</v>
      </c>
      <c r="D90">
        <v>417000</v>
      </c>
      <c r="E90">
        <v>265000</v>
      </c>
      <c r="F90">
        <v>270000</v>
      </c>
    </row>
    <row r="91" spans="2:6" x14ac:dyDescent="0.3">
      <c r="B91" t="s">
        <v>99</v>
      </c>
      <c r="C91">
        <v>1785000</v>
      </c>
      <c r="D91">
        <v>2132000</v>
      </c>
      <c r="E91">
        <v>1589000</v>
      </c>
      <c r="F91">
        <v>1502000</v>
      </c>
    </row>
    <row r="92" spans="2:6" x14ac:dyDescent="0.3">
      <c r="B92" t="s">
        <v>100</v>
      </c>
      <c r="C92">
        <v>1785000</v>
      </c>
      <c r="D92">
        <v>2132000</v>
      </c>
      <c r="E92">
        <v>1589000</v>
      </c>
      <c r="F92">
        <v>1502000</v>
      </c>
    </row>
    <row r="93" spans="2:6" x14ac:dyDescent="0.3">
      <c r="B93" t="s">
        <v>101</v>
      </c>
      <c r="C93">
        <v>1399000</v>
      </c>
      <c r="D93">
        <v>1758000</v>
      </c>
      <c r="E93">
        <v>1088000</v>
      </c>
      <c r="F93">
        <v>1016000</v>
      </c>
    </row>
    <row r="94" spans="2:6" x14ac:dyDescent="0.3">
      <c r="B94" t="s">
        <v>102</v>
      </c>
      <c r="C94">
        <v>671000</v>
      </c>
      <c r="D94">
        <v>660000</v>
      </c>
      <c r="E94">
        <v>869000</v>
      </c>
      <c r="F94">
        <v>971000</v>
      </c>
    </row>
    <row r="95" spans="2:6" x14ac:dyDescent="0.3">
      <c r="B95" t="s">
        <v>103</v>
      </c>
      <c r="C95">
        <v>1889000</v>
      </c>
      <c r="D95">
        <v>2210000</v>
      </c>
      <c r="E95">
        <v>2372000</v>
      </c>
      <c r="F95">
        <v>2810000</v>
      </c>
    </row>
    <row r="96" spans="2:6" x14ac:dyDescent="0.3">
      <c r="B96" t="s">
        <v>104</v>
      </c>
      <c r="C96">
        <v>1889000</v>
      </c>
      <c r="D96">
        <v>2210000</v>
      </c>
      <c r="E96">
        <v>2372000</v>
      </c>
      <c r="F96">
        <v>2810000</v>
      </c>
    </row>
    <row r="97" spans="2:6" x14ac:dyDescent="0.3">
      <c r="B97" t="s">
        <v>105</v>
      </c>
      <c r="C97">
        <v>317000</v>
      </c>
      <c r="D97">
        <v>241000</v>
      </c>
      <c r="E97">
        <v>294000</v>
      </c>
      <c r="F97">
        <v>354000</v>
      </c>
    </row>
    <row r="98" spans="2:6" x14ac:dyDescent="0.3">
      <c r="B98" t="s">
        <v>106</v>
      </c>
      <c r="C98">
        <v>15532000</v>
      </c>
      <c r="D98">
        <v>14221000</v>
      </c>
      <c r="E98">
        <v>10843000</v>
      </c>
      <c r="F98">
        <v>9731000</v>
      </c>
    </row>
    <row r="99" spans="2:6" x14ac:dyDescent="0.3">
      <c r="B99" t="s">
        <v>107</v>
      </c>
      <c r="C99">
        <v>545000</v>
      </c>
      <c r="D99">
        <v>500000</v>
      </c>
      <c r="E99">
        <v>133000</v>
      </c>
      <c r="F99">
        <v>51000</v>
      </c>
    </row>
    <row r="100" spans="2:6" x14ac:dyDescent="0.3">
      <c r="B100" t="s">
        <v>108</v>
      </c>
      <c r="C100">
        <v>11634000</v>
      </c>
      <c r="D100">
        <v>9607000</v>
      </c>
      <c r="E100">
        <v>5245000</v>
      </c>
      <c r="F100">
        <v>1597000</v>
      </c>
    </row>
    <row r="101" spans="2:6" x14ac:dyDescent="0.3">
      <c r="B101" t="s">
        <v>109</v>
      </c>
      <c r="C101">
        <v>11634000</v>
      </c>
      <c r="D101">
        <v>9607000</v>
      </c>
      <c r="E101">
        <v>5245000</v>
      </c>
      <c r="F101">
        <v>1597000</v>
      </c>
    </row>
    <row r="102" spans="2:6" x14ac:dyDescent="0.3">
      <c r="B102" t="s">
        <v>110</v>
      </c>
      <c r="C102">
        <v>2225000</v>
      </c>
      <c r="D102">
        <v>2348000</v>
      </c>
      <c r="E102">
        <v>2662000</v>
      </c>
      <c r="F102">
        <v>2732000</v>
      </c>
    </row>
    <row r="103" spans="2:6" x14ac:dyDescent="0.3">
      <c r="B103" t="s">
        <v>111</v>
      </c>
      <c r="C103">
        <v>1207000</v>
      </c>
      <c r="D103">
        <v>1284000</v>
      </c>
      <c r="E103">
        <v>2052000</v>
      </c>
      <c r="F103">
        <v>2804000</v>
      </c>
    </row>
    <row r="104" spans="2:6" x14ac:dyDescent="0.3">
      <c r="B104" t="s">
        <v>112</v>
      </c>
      <c r="C104" t="s">
        <v>37</v>
      </c>
      <c r="D104">
        <v>151000</v>
      </c>
      <c r="E104">
        <v>24000</v>
      </c>
      <c r="F104">
        <v>82000</v>
      </c>
    </row>
    <row r="105" spans="2:6" x14ac:dyDescent="0.3">
      <c r="B105" t="s">
        <v>113</v>
      </c>
      <c r="C105">
        <v>1207000</v>
      </c>
      <c r="D105">
        <v>1284000</v>
      </c>
      <c r="E105">
        <v>2052000</v>
      </c>
      <c r="F105">
        <v>2804000</v>
      </c>
    </row>
    <row r="106" spans="2:6" x14ac:dyDescent="0.3">
      <c r="B106" t="s">
        <v>114</v>
      </c>
      <c r="C106">
        <v>745000</v>
      </c>
      <c r="D106">
        <v>989000</v>
      </c>
      <c r="E106">
        <v>1398000</v>
      </c>
      <c r="F106">
        <v>2480000</v>
      </c>
    </row>
    <row r="107" spans="2:6" x14ac:dyDescent="0.3">
      <c r="B107" t="s">
        <v>115</v>
      </c>
      <c r="C107">
        <v>643000</v>
      </c>
      <c r="D107">
        <v>604000</v>
      </c>
      <c r="E107">
        <v>568000</v>
      </c>
      <c r="F107" t="s">
        <v>37</v>
      </c>
    </row>
    <row r="108" spans="2:6" x14ac:dyDescent="0.3">
      <c r="B108" t="s">
        <v>116</v>
      </c>
      <c r="C108">
        <v>2691000</v>
      </c>
      <c r="D108">
        <v>3330000</v>
      </c>
      <c r="E108">
        <v>3546000</v>
      </c>
      <c r="F108">
        <v>5330000</v>
      </c>
    </row>
    <row r="109" spans="2:6" x14ac:dyDescent="0.3">
      <c r="B109" t="s">
        <v>117</v>
      </c>
      <c r="C109">
        <v>8110000</v>
      </c>
      <c r="D109">
        <v>23679000</v>
      </c>
      <c r="E109">
        <v>31583000</v>
      </c>
      <c r="F109">
        <v>45898000</v>
      </c>
    </row>
    <row r="110" spans="2:6" x14ac:dyDescent="0.3">
      <c r="B110" t="s">
        <v>16</v>
      </c>
      <c r="C110">
        <v>6618000</v>
      </c>
      <c r="D110">
        <v>22225000</v>
      </c>
      <c r="E110">
        <v>30189000</v>
      </c>
      <c r="F110">
        <v>44704000</v>
      </c>
    </row>
    <row r="111" spans="2:6" x14ac:dyDescent="0.3">
      <c r="B111" t="s">
        <v>118</v>
      </c>
      <c r="C111">
        <v>0</v>
      </c>
      <c r="D111">
        <v>1000</v>
      </c>
      <c r="E111">
        <v>1000</v>
      </c>
      <c r="F111">
        <v>3000</v>
      </c>
    </row>
    <row r="112" spans="2:6" x14ac:dyDescent="0.3">
      <c r="B112" t="s">
        <v>119</v>
      </c>
      <c r="C112">
        <v>0</v>
      </c>
      <c r="D112">
        <v>0</v>
      </c>
      <c r="E112">
        <v>0</v>
      </c>
      <c r="F112">
        <v>0</v>
      </c>
    </row>
    <row r="113" spans="2:6" x14ac:dyDescent="0.3">
      <c r="B113" t="s">
        <v>120</v>
      </c>
      <c r="C113">
        <v>0</v>
      </c>
      <c r="D113">
        <v>1000</v>
      </c>
      <c r="E113">
        <v>1000</v>
      </c>
      <c r="F113">
        <v>3000</v>
      </c>
    </row>
    <row r="114" spans="2:6" x14ac:dyDescent="0.3">
      <c r="B114" t="s">
        <v>121</v>
      </c>
      <c r="C114">
        <v>12737000</v>
      </c>
      <c r="D114">
        <v>27260000</v>
      </c>
      <c r="E114">
        <v>29803000</v>
      </c>
      <c r="F114">
        <v>32177000</v>
      </c>
    </row>
    <row r="115" spans="2:6" x14ac:dyDescent="0.3">
      <c r="B115" t="s">
        <v>122</v>
      </c>
      <c r="C115">
        <v>-6083000</v>
      </c>
      <c r="D115">
        <v>-5399000</v>
      </c>
      <c r="E115">
        <v>331000</v>
      </c>
      <c r="F115">
        <v>12885000</v>
      </c>
    </row>
    <row r="116" spans="2:6" x14ac:dyDescent="0.3">
      <c r="B116" t="s">
        <v>123</v>
      </c>
      <c r="C116">
        <v>-36000</v>
      </c>
      <c r="D116">
        <v>363000</v>
      </c>
      <c r="E116">
        <v>54000</v>
      </c>
      <c r="F116">
        <v>-361000</v>
      </c>
    </row>
    <row r="117" spans="2:6" x14ac:dyDescent="0.3">
      <c r="B117" t="s">
        <v>124</v>
      </c>
      <c r="C117">
        <v>-36000</v>
      </c>
      <c r="D117">
        <v>363000</v>
      </c>
      <c r="E117">
        <v>54000</v>
      </c>
      <c r="F117">
        <v>-361000</v>
      </c>
    </row>
    <row r="118" spans="2:6" x14ac:dyDescent="0.3">
      <c r="B118" t="s">
        <v>125</v>
      </c>
      <c r="C118">
        <v>1492000</v>
      </c>
      <c r="D118">
        <v>1454000</v>
      </c>
      <c r="E118">
        <v>1394000</v>
      </c>
      <c r="F118">
        <v>1194000</v>
      </c>
    </row>
    <row r="119" spans="2:6" x14ac:dyDescent="0.3">
      <c r="B119" t="s">
        <v>126</v>
      </c>
      <c r="C119">
        <v>18252000</v>
      </c>
      <c r="D119">
        <v>31832000</v>
      </c>
      <c r="E119">
        <v>35434000</v>
      </c>
      <c r="F119">
        <v>46301000</v>
      </c>
    </row>
    <row r="120" spans="2:6" x14ac:dyDescent="0.3">
      <c r="B120" t="s">
        <v>127</v>
      </c>
      <c r="C120">
        <v>6618000</v>
      </c>
      <c r="D120">
        <v>22225000</v>
      </c>
      <c r="E120">
        <v>30189000</v>
      </c>
      <c r="F120">
        <v>44704000</v>
      </c>
    </row>
    <row r="121" spans="2:6" x14ac:dyDescent="0.3">
      <c r="B121" t="s">
        <v>128</v>
      </c>
      <c r="C121">
        <v>2896000</v>
      </c>
      <c r="D121">
        <v>3008000</v>
      </c>
      <c r="E121">
        <v>3531000</v>
      </c>
      <c r="F121">
        <v>3703000</v>
      </c>
    </row>
    <row r="122" spans="2:6" x14ac:dyDescent="0.3">
      <c r="B122" t="s">
        <v>129</v>
      </c>
      <c r="C122">
        <v>6081000</v>
      </c>
      <c r="D122">
        <v>21705000</v>
      </c>
      <c r="E122">
        <v>28472000</v>
      </c>
      <c r="F122">
        <v>44111000</v>
      </c>
    </row>
    <row r="123" spans="2:6" x14ac:dyDescent="0.3">
      <c r="B123" t="s">
        <v>130</v>
      </c>
      <c r="C123">
        <v>1436000</v>
      </c>
      <c r="D123">
        <v>12469000</v>
      </c>
      <c r="E123">
        <v>7395000</v>
      </c>
      <c r="F123">
        <v>14208000</v>
      </c>
    </row>
    <row r="124" spans="2:6" x14ac:dyDescent="0.3">
      <c r="B124" t="s">
        <v>131</v>
      </c>
      <c r="C124">
        <v>20037000</v>
      </c>
      <c r="D124">
        <v>33964000</v>
      </c>
      <c r="E124">
        <v>37023000</v>
      </c>
      <c r="F124">
        <v>47803000</v>
      </c>
    </row>
    <row r="125" spans="2:6" x14ac:dyDescent="0.3">
      <c r="B125" t="s">
        <v>132</v>
      </c>
      <c r="C125">
        <v>6081000</v>
      </c>
      <c r="D125">
        <v>21705000</v>
      </c>
      <c r="E125">
        <v>28472000</v>
      </c>
      <c r="F125">
        <v>44111000</v>
      </c>
    </row>
    <row r="126" spans="2:6" x14ac:dyDescent="0.3">
      <c r="B126" t="s">
        <v>133</v>
      </c>
      <c r="C126">
        <v>13419000</v>
      </c>
      <c r="D126">
        <v>11739000</v>
      </c>
      <c r="E126">
        <v>6834000</v>
      </c>
      <c r="F126">
        <v>3099000</v>
      </c>
    </row>
    <row r="127" spans="2:6" x14ac:dyDescent="0.3">
      <c r="B127" t="s">
        <v>134</v>
      </c>
      <c r="C127">
        <v>7151000</v>
      </c>
      <c r="D127" t="s">
        <v>37</v>
      </c>
      <c r="E127" t="s">
        <v>37</v>
      </c>
      <c r="F127" t="s">
        <v>37</v>
      </c>
    </row>
    <row r="128" spans="2:6" x14ac:dyDescent="0.3">
      <c r="B128" t="s">
        <v>135</v>
      </c>
      <c r="C128">
        <v>2715931</v>
      </c>
      <c r="D128">
        <v>2880000</v>
      </c>
      <c r="E128">
        <v>3099000</v>
      </c>
      <c r="F128">
        <v>3164000</v>
      </c>
    </row>
    <row r="129" spans="2:6" x14ac:dyDescent="0.3">
      <c r="B129" t="s">
        <v>136</v>
      </c>
      <c r="C129">
        <v>2715931</v>
      </c>
      <c r="D129">
        <v>2880000</v>
      </c>
      <c r="E129">
        <v>3099000</v>
      </c>
      <c r="F129">
        <v>3164000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Aleem Shaikh</cp:lastModifiedBy>
  <dcterms:created xsi:type="dcterms:W3CDTF">2024-02-09T06:05:19Z</dcterms:created>
  <dcterms:modified xsi:type="dcterms:W3CDTF">2025-09-08T17:34:43Z</dcterms:modified>
</cp:coreProperties>
</file>