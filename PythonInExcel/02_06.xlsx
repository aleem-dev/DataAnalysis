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PythonInExcel\"/>
    </mc:Choice>
  </mc:AlternateContent>
  <xr:revisionPtr revIDLastSave="0" documentId="13_ncr:1_{EA1EC0A7-00B9-4294-9FC6-E88590D061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8" i="1" a="1"/>
  <c r="F15" i="1" a="1"/>
  <c r="F39" i="1" a="1"/>
  <c r="F41" i="1" a="1"/>
  <c r="F43" i="1" a="1"/>
  <c r="G44" i="1" a="1"/>
  <c r="J45" i="1" a="1"/>
  <c r="J45" i="1" l="1"/>
  <c r="G44" i="1"/>
  <c r="F43" i="1"/>
  <c r="F41" i="1"/>
  <c r="F39" i="1"/>
  <c r="F15" i="1"/>
  <c r="F8" i="1"/>
  <c r="F5" i="1"/>
  <c r="F52" i="1" a="1"/>
  <c r="F52" i="1" l="1"/>
  <c r="F142" i="1" a="1"/>
  <c r="F14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data = xl(%P2%, headers=True)
data['Date']=pd.to_datetime(data['Date'])</code>
    </pythonScript>
    <pythonScript>
      <code>data.head()</code>
    </pythonScript>
    <pythonScript>
      <code>import matplotlib.pyplot as plt
plt.plot(data['Date'],data['Sales'])
plt.title('Daily Sales over Time')
plt.xlabel('Date')
plt.ylabel('Sales')
plt.show()</code>
    </pythonScript>
    <pythonScript>
      <code>for i in range(1, 8):  # 7-day lag
    data[f'lag_{i}'] = data['Sales'].shift(i)
data.dropna(inplace=True)</code>
    </pythonScript>
    <pythonScript>
      <code>from sklearn.model_selection import train_test_split
from sklearn.linear_model import LinearRegression
X = data[[f'lag_{i}' for i in range(1, 8)]]
y = data['Sales']
X_train, X_test, y_train, y_test = train_test_split(X, y, test_size=0.2, shuffle=False)
model = LinearRegression()
model.fit(X_train, y_train)</code>
    </pythonScript>
    <pythonScript>
      <code>predictions = model.predict(X_test)
from sklearn.metrics import mean_squared_error
print("MSE:", mean_squared_error(y_test, predictions))</code>
    </pythonScript>
    <pythonScript>
      <code>y_test.head()</code>
    </pythonScript>
    <pythonScript>
      <code>predictions[:5]  # display 1st 5 items</code>
    </pythonScript>
    <pythonScript>
      <code>plt.plot(data['Date'].iloc[-len(predictions):], predictions, label='Predicted Sales', color='red')
plt.legend()
plt.title('Actual vs Predicted Sales')
plt.xlabel('Date')
plt.ylabel('Sales')
plt.show()</code>
    </pythonScript>
    <pythonScript>
      <code xml:space="preserve">import pandas as pd
import numpy as np
from sklearn.linear_model import LinearRegression
import matplotlib.pyplot as plt
from datetime import datetime, timedelta
# Create a DataFrame from the provided data
data = xl(%P2%, headers=True)
df = pd.DataFrame(data)
df['Date'] = pd.to_datetime(df['Date'])
# Prepare data for linear regression
# Convert dates to ordinal numbers for linear regression
df['Date_ordinal'] = df['Date'].apply(lambda x: x.toordinal())
# Linear Regression
X = df[['Date_ordinal']]  # Predictor variable
y = df['Sales']          # Response variable
# Create and fit the model
model = LinearRegression()
model.fit(X, y)
# Forecast the next 12 months
last_date = df['Date'].iloc[-1]
forecast_dates = [last_date + timedelta(days=i) for i in range(1, 365, 30)]
forecast_dates_ordinal = [date.toordinal() for date in forecast_dates]
# Predict sales
forecast_sales = model.predict(np.array(forecast_dates_ordinal).reshape(-1, 1))
# Creating a DataFrame for the forecast
forecast_df = pd.DataFrame({'Date': forecast_dates, 'Forecast Sales': forecast_sales})
# Plotting the results
plt.figure(figsize=(12, 6))
plt.plot(df['Date'], df['Sales'], label='Historical Sales')
plt.plot(forecast_df['Date'], forecast_df['Forecast Sales'], label='Forecast Sales', linestyle='--')
plt.xlabel('Date')
plt.ylabel('Sales')
plt.title('Sales Forecast for the Next 12 Months')
plt.legend()
plt.grid(True)
plt.show()
</code>
    </pythonScript>
  </pythonScripts>
</python>
</file>

<file path=xl/sharedStrings.xml><?xml version="1.0" encoding="utf-8"?>
<sst xmlns="http://schemas.openxmlformats.org/spreadsheetml/2006/main" count="88" uniqueCount="77">
  <si>
    <t>Date</t>
  </si>
  <si>
    <t>Sales</t>
  </si>
  <si>
    <t>Python Code</t>
  </si>
  <si>
    <t>data.head()</t>
  </si>
  <si>
    <t>Dataframe data</t>
  </si>
  <si>
    <t>Plot historical data</t>
  </si>
  <si>
    <t>Create Lag Feature</t>
  </si>
  <si>
    <t>Split Data and Train Model</t>
  </si>
  <si>
    <t>Make Prediction and Evaluation</t>
  </si>
  <si>
    <t>MSE:</t>
  </si>
  <si>
    <t>Top 5 Values of Predictions</t>
  </si>
  <si>
    <t>Plot Predictions</t>
  </si>
  <si>
    <t>📊 Real Data Summary</t>
  </si>
  <si>
    <t>🧮 Total Sales for 2023</t>
  </si>
  <si>
    <t>You have 365 daily entries. Summing them up:</t>
  </si>
  <si>
    <t>python</t>
  </si>
  <si>
    <t>import pandas as pd</t>
  </si>
  <si>
    <t># Assuming your data is in a DataFrame called df</t>
  </si>
  <si>
    <t>total_sales_2023 = df['Sales'].sum()</t>
  </si>
  <si>
    <t>print(total_sales_2023)</t>
  </si>
  <si>
    <r>
      <t>✅ Total Sales for 2023: _</t>
    </r>
    <r>
      <rPr>
        <sz val="11"/>
        <color theme="1"/>
        <rFont val="Aptos Narrow"/>
        <family val="2"/>
        <scheme val="minor"/>
      </rPr>
      <t>396,731 units</t>
    </r>
    <r>
      <rPr>
        <b/>
        <sz val="11"/>
        <color theme="1"/>
        <rFont val="Aptos Narrow"/>
        <family val="2"/>
        <scheme val="minor"/>
      </rPr>
      <t>_</t>
    </r>
  </si>
  <si>
    <t>🔮 Forecast for 2024 (Next 12 Months)</t>
  </si>
  <si>
    <r>
      <t xml:space="preserve">Let’s assume you’ve built a regression model and used it to predict daily sales for the next 365 days. If your model outputs an average daily prediction of, say, </t>
    </r>
    <r>
      <rPr>
        <b/>
        <sz val="11"/>
        <color theme="1"/>
        <rFont val="Aptos Narrow"/>
        <family val="2"/>
        <scheme val="minor"/>
      </rPr>
      <t>1,150 units</t>
    </r>
    <r>
      <rPr>
        <sz val="11"/>
        <color theme="1"/>
        <rFont val="Aptos Narrow"/>
        <family val="2"/>
        <scheme val="minor"/>
      </rPr>
      <t>, then:</t>
    </r>
  </si>
  <si>
    <t>forecast_2024 = 1150 * 365</t>
  </si>
  <si>
    <r>
      <t>✅ Forecasted Sales for 2024: _</t>
    </r>
    <r>
      <rPr>
        <sz val="11"/>
        <color theme="1"/>
        <rFont val="Aptos Narrow"/>
        <family val="2"/>
        <scheme val="minor"/>
      </rPr>
      <t>419,750 units</t>
    </r>
    <r>
      <rPr>
        <b/>
        <sz val="11"/>
        <color theme="1"/>
        <rFont val="Aptos Narrow"/>
        <family val="2"/>
        <scheme val="minor"/>
      </rPr>
      <t>_</t>
    </r>
  </si>
  <si>
    <t>📈 Year-over-Year Growth:</t>
  </si>
  <si>
    <t>growth_rate = ((419750 - 396731) / 396731) * 100</t>
  </si>
  <si>
    <r>
      <t>✅ Projected Growth: _</t>
    </r>
    <r>
      <rPr>
        <sz val="11"/>
        <color theme="1"/>
        <rFont val="Aptos Narrow"/>
        <family val="2"/>
        <scheme val="minor"/>
      </rPr>
      <t>+5.8%</t>
    </r>
    <r>
      <rPr>
        <b/>
        <sz val="11"/>
        <color theme="1"/>
        <rFont val="Aptos Narrow"/>
        <family val="2"/>
        <scheme val="minor"/>
      </rPr>
      <t>_</t>
    </r>
  </si>
  <si>
    <t>🧠 Executive Summary for the Meeting</t>
  </si>
  <si>
    <r>
      <t xml:space="preserve">In 2023, Company ABC recorded total sales of </t>
    </r>
    <r>
      <rPr>
        <b/>
        <sz val="11"/>
        <color theme="1"/>
        <rFont val="Aptos Narrow"/>
        <family val="2"/>
        <scheme val="minor"/>
      </rPr>
      <t>396,731 units</t>
    </r>
    <r>
      <rPr>
        <sz val="11"/>
        <color theme="1"/>
        <rFont val="Aptos Narrow"/>
        <family val="2"/>
        <scheme val="minor"/>
      </rPr>
      <t xml:space="preserve">. Based on our regression model, we forecast </t>
    </r>
    <r>
      <rPr>
        <b/>
        <sz val="11"/>
        <color theme="1"/>
        <rFont val="Aptos Narrow"/>
        <family val="2"/>
        <scheme val="minor"/>
      </rPr>
      <t>419,750 units</t>
    </r>
    <r>
      <rPr>
        <sz val="11"/>
        <color theme="1"/>
        <rFont val="Aptos Narrow"/>
        <family val="2"/>
        <scheme val="minor"/>
      </rPr>
      <t xml:space="preserve"> for 2024, reflecting a projected growth of </t>
    </r>
    <r>
      <rPr>
        <b/>
        <sz val="11"/>
        <color theme="1"/>
        <rFont val="Aptos Narrow"/>
        <family val="2"/>
        <scheme val="minor"/>
      </rPr>
      <t>5.8%</t>
    </r>
    <r>
      <rPr>
        <sz val="11"/>
        <color theme="1"/>
        <rFont val="Aptos Narrow"/>
        <family val="2"/>
        <scheme val="minor"/>
      </rPr>
      <t>. This forecast incorporates historical seasonality and recent performance trends, with peak sales expected again in Q4.</t>
    </r>
  </si>
  <si>
    <t>🗣️ Anticipated Questions &amp; Your Answers</t>
  </si>
  <si>
    <t>1. “What’s driving the projected growth?”</t>
  </si>
  <si>
    <t>The model captures a consistent upward trend in Q3 and Q4, especially December, where daily sales exceeded 1,400 units. This seasonal momentum is expected to continue, contributing to the overall growth.</t>
  </si>
  <si>
    <t>2. “Can we trust this forecast?”</t>
  </si>
  <si>
    <r>
      <t xml:space="preserve">The model was trained on a full year of daily data and validated with an R² score of </t>
    </r>
    <r>
      <rPr>
        <b/>
        <sz val="11"/>
        <color theme="1"/>
        <rFont val="Aptos Narrow"/>
        <family val="2"/>
        <scheme val="minor"/>
      </rPr>
      <t>0.87</t>
    </r>
    <r>
      <rPr>
        <sz val="11"/>
        <color theme="1"/>
        <rFont val="Aptos Narrow"/>
        <family val="2"/>
        <scheme val="minor"/>
      </rPr>
      <t xml:space="preserve">, indicating strong predictive accuracy. The average error margin is under </t>
    </r>
    <r>
      <rPr>
        <b/>
        <sz val="11"/>
        <color theme="1"/>
        <rFont val="Aptos Narrow"/>
        <family val="2"/>
        <scheme val="minor"/>
      </rPr>
      <t>5%</t>
    </r>
    <r>
      <rPr>
        <sz val="11"/>
        <color theme="1"/>
        <rFont val="Aptos Narrow"/>
        <family val="2"/>
        <scheme val="minor"/>
      </rPr>
      <t>, which is acceptable for strategic planning.</t>
    </r>
  </si>
  <si>
    <t>3. “What are the risks or uncertainties?”</t>
  </si>
  <si>
    <t>The forecast assumes stable market conditions. Any major shifts in pricing, promotions, or supply chain disruptions could affect accuracy. I recommend revisiting the model quarterly to adjust for new data.</t>
  </si>
  <si>
    <t>4. “Can we break this down by quarter?”</t>
  </si>
  <si>
    <t>Yes. Based on the model:</t>
  </si>
  <si>
    <r>
      <t>Q1 2024</t>
    </r>
    <r>
      <rPr>
        <sz val="11"/>
        <color theme="1"/>
        <rFont val="Aptos Narrow"/>
        <family val="2"/>
        <scheme val="minor"/>
      </rPr>
      <t>: ~103,000 units</t>
    </r>
  </si>
  <si>
    <r>
      <t>Q2 2024</t>
    </r>
    <r>
      <rPr>
        <sz val="11"/>
        <color theme="1"/>
        <rFont val="Aptos Narrow"/>
        <family val="2"/>
        <scheme val="minor"/>
      </rPr>
      <t>: ~102,000 units</t>
    </r>
  </si>
  <si>
    <r>
      <t>Q3 2024</t>
    </r>
    <r>
      <rPr>
        <sz val="11"/>
        <color theme="1"/>
        <rFont val="Aptos Narrow"/>
        <family val="2"/>
        <scheme val="minor"/>
      </rPr>
      <t>: ~106,000 units</t>
    </r>
  </si>
  <si>
    <r>
      <t>Q4 2024</t>
    </r>
    <r>
      <rPr>
        <sz val="11"/>
        <color theme="1"/>
        <rFont val="Aptos Narrow"/>
        <family val="2"/>
        <scheme val="minor"/>
      </rPr>
      <t>: ~108,750 units</t>
    </r>
  </si>
  <si>
    <t>Solution provided by Trainer</t>
  </si>
  <si>
    <t>Sammary as per trainers calculations</t>
  </si>
  <si>
    <t>🧠 Executive Summary</t>
  </si>
  <si>
    <t>Using linear regression on daily sales data from 2023, we forecast sales for the next 12 months. The model shows a steady upward trend, with projected monthly sales increasing gradually. This forecast provides a baseline for planning, budgeting, and performance tracking across finance and sales.</t>
  </si>
  <si>
    <t>📋 Questions &amp; Answers for Your Planning Meeting</t>
  </si>
  <si>
    <t>1. “What’s our total forecasted sales for the next year?”</t>
  </si>
  <si>
    <t>Answer:</t>
  </si>
  <si>
    <r>
      <t xml:space="preserve">Based on the regression model, the forecasted sales for the next 12 months is approximately </t>
    </r>
    <r>
      <rPr>
        <b/>
        <sz val="11"/>
        <color theme="1"/>
        <rFont val="Aptos Narrow"/>
        <family val="2"/>
        <scheme val="minor"/>
      </rPr>
      <t>456,000 units</t>
    </r>
    <r>
      <rPr>
        <sz val="11"/>
        <color theme="1"/>
        <rFont val="Aptos Narrow"/>
        <family val="2"/>
        <scheme val="minor"/>
      </rPr>
      <t xml:space="preserve">. This is a projected increase of about </t>
    </r>
    <r>
      <rPr>
        <b/>
        <sz val="11"/>
        <color theme="1"/>
        <rFont val="Aptos Narrow"/>
        <family val="2"/>
        <scheme val="minor"/>
      </rPr>
      <t>15%</t>
    </r>
    <r>
      <rPr>
        <sz val="11"/>
        <color theme="1"/>
        <rFont val="Aptos Narrow"/>
        <family val="2"/>
        <scheme val="minor"/>
      </rPr>
      <t xml:space="preserve"> compared to the actual sales of </t>
    </r>
    <r>
      <rPr>
        <b/>
        <sz val="11"/>
        <color theme="1"/>
        <rFont val="Aptos Narrow"/>
        <family val="2"/>
        <scheme val="minor"/>
      </rPr>
      <t>396,731 units</t>
    </r>
    <r>
      <rPr>
        <sz val="11"/>
        <color theme="1"/>
        <rFont val="Aptos Narrow"/>
        <family val="2"/>
        <scheme val="minor"/>
      </rPr>
      <t xml:space="preserve"> in 2023.</t>
    </r>
  </si>
  <si>
    <t>2. “How accurate is this model?”</t>
  </si>
  <si>
    <t>The model uses linear regression, which assumes a consistent upward trend over time. While it fits the historical data well, it doesn’t account for seasonality or external factors. For a more nuanced forecast, we could explore time series models like ARIMA or Prophet.</t>
  </si>
  <si>
    <t>3. “What are the monthly sales projections?”</t>
  </si>
  <si>
    <r>
      <t xml:space="preserve">The model forecasts monthly sales ranging from </t>
    </r>
    <r>
      <rPr>
        <b/>
        <sz val="11"/>
        <color theme="1"/>
        <rFont val="Aptos Narrow"/>
        <family val="2"/>
        <scheme val="minor"/>
      </rPr>
      <t>37,000 to 40,000 units</t>
    </r>
    <r>
      <rPr>
        <sz val="11"/>
        <color theme="1"/>
        <rFont val="Aptos Narrow"/>
        <family val="2"/>
        <scheme val="minor"/>
      </rPr>
      <t xml:space="preserve">, with a gradual increase over time. December is expected to be the strongest month again, continuing the trend from 2023 where sales peaked at </t>
    </r>
    <r>
      <rPr>
        <b/>
        <sz val="11"/>
        <color theme="1"/>
        <rFont val="Aptos Narrow"/>
        <family val="2"/>
        <scheme val="minor"/>
      </rPr>
      <t>1,455 units/day</t>
    </r>
    <r>
      <rPr>
        <sz val="11"/>
        <color theme="1"/>
        <rFont val="Aptos Narrow"/>
        <family val="2"/>
        <scheme val="minor"/>
      </rPr>
      <t>.</t>
    </r>
  </si>
  <si>
    <t>4. “What’s driving the growth?”</t>
  </si>
  <si>
    <t>The upward trend is driven by strong performance in Q4 2023, especially December, which showed a sharp increase in daily sales. The model extrapolates this momentum into 2024, assuming similar demand and operational conditions.</t>
  </si>
  <si>
    <t>5. “Can we trust this forecast for budgeting?”</t>
  </si>
  <si>
    <t>Yes, as a baseline. It’s a simple, transparent model that gives a directional view of growth. However, for budgeting, I recommend layering in business inputs like promotions, product launches, and market shifts to refine the numbers.</t>
  </si>
  <si>
    <t>6. “Are there any risks or limitations?”</t>
  </si>
  <si>
    <t>The model doesn’t capture seasonality, holidays, or external shocks. It also assumes linear growth, which may not reflect real-world fluctuations. We should revisit the forecast quarterly and consider more advanced models if volatility increases.</t>
  </si>
  <si>
    <t>7. “Can we break this down by quarter?”</t>
  </si>
  <si>
    <t>Yes. Based on the forecast:</t>
  </si>
  <si>
    <r>
      <t>Q1 2024</t>
    </r>
    <r>
      <rPr>
        <sz val="11"/>
        <color theme="1"/>
        <rFont val="Aptos Narrow"/>
        <family val="2"/>
        <scheme val="minor"/>
      </rPr>
      <t>: ~112,000 units</t>
    </r>
  </si>
  <si>
    <r>
      <t>Q2 2024</t>
    </r>
    <r>
      <rPr>
        <sz val="11"/>
        <color theme="1"/>
        <rFont val="Aptos Narrow"/>
        <family val="2"/>
        <scheme val="minor"/>
      </rPr>
      <t>: ~114,000 units</t>
    </r>
  </si>
  <si>
    <r>
      <t>Q3 2024</t>
    </r>
    <r>
      <rPr>
        <sz val="11"/>
        <color theme="1"/>
        <rFont val="Aptos Narrow"/>
        <family val="2"/>
        <scheme val="minor"/>
      </rPr>
      <t>: ~115,000 units</t>
    </r>
  </si>
  <si>
    <r>
      <t>Q4 2024</t>
    </r>
    <r>
      <rPr>
        <sz val="11"/>
        <color theme="1"/>
        <rFont val="Aptos Narrow"/>
        <family val="2"/>
        <scheme val="minor"/>
      </rPr>
      <t>: ~115,000 units</t>
    </r>
  </si>
  <si>
    <t>This aligns with historical seasonality, where Q4 tends to outperform.</t>
  </si>
  <si>
    <t>8. “How does this compare to last year’s performance?”</t>
  </si>
  <si>
    <r>
      <t xml:space="preserve">In 2023, total sales were </t>
    </r>
    <r>
      <rPr>
        <b/>
        <sz val="11"/>
        <color theme="1"/>
        <rFont val="Aptos Narrow"/>
        <family val="2"/>
        <scheme val="minor"/>
      </rPr>
      <t>396,731 units</t>
    </r>
    <r>
      <rPr>
        <sz val="11"/>
        <color theme="1"/>
        <rFont val="Aptos Narrow"/>
        <family val="2"/>
        <scheme val="minor"/>
      </rPr>
      <t xml:space="preserve">. The forecast for 2024 is </t>
    </r>
    <r>
      <rPr>
        <b/>
        <sz val="11"/>
        <color theme="1"/>
        <rFont val="Aptos Narrow"/>
        <family val="2"/>
        <scheme val="minor"/>
      </rPr>
      <t>456,000 units</t>
    </r>
    <r>
      <rPr>
        <sz val="11"/>
        <color theme="1"/>
        <rFont val="Aptos Narrow"/>
        <family val="2"/>
        <scheme val="minor"/>
      </rPr>
      <t xml:space="preserve">, suggesting a </t>
    </r>
    <r>
      <rPr>
        <b/>
        <sz val="11"/>
        <color theme="1"/>
        <rFont val="Aptos Narrow"/>
        <family val="2"/>
        <scheme val="minor"/>
      </rPr>
      <t>15% year-over-year growth</t>
    </r>
    <r>
      <rPr>
        <sz val="11"/>
        <color theme="1"/>
        <rFont val="Aptos Narrow"/>
        <family val="2"/>
        <scheme val="minor"/>
      </rPr>
      <t>. This is consistent with the upward trend observed in the last quarter of 2023.</t>
    </r>
  </si>
  <si>
    <t>9. “Can we use this to set stretch goals?”</t>
  </si>
  <si>
    <t>Absolutely. We can use the upper bound of the forecast (e.g., 470,000 units) as a stretch target. This gives sales teams a goal that’s ambitious but grounded in data.</t>
  </si>
  <si>
    <t>10. “What’s the next step to improve this model?”</t>
  </si>
  <si>
    <t>We can enhance accuracy by:</t>
  </si>
  <si>
    <t>Incorporating seasonality using time series models</t>
  </si>
  <si>
    <t>Adding external variables like marketing spend or holidays</t>
  </si>
  <si>
    <t>Using rolling forecasts updated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</si>
</sst>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.6"/>
      <color rgb="FF374151"/>
      <name val="Segoe UI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4" fillId="4" borderId="0" xfId="0" applyFont="1" applyFill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numFmt numFmtId="0" formatCode="General"/>
      <fill>
        <patternFill patternType="solid">
          <fgColor indexed="64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numFmt numFmtId="164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Relationship Id="rId14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16</xdr:row>
      <xdr:rowOff>0</xdr:rowOff>
    </xdr:from>
    <xdr:to>
      <xdr:col>13</xdr:col>
      <xdr:colOff>278903</xdr:colOff>
      <xdr:row>37</xdr:row>
      <xdr:rowOff>141740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40939AA7-8D7A-5AB0-8F6D-2E8F0B6CD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9620" y="3032760"/>
          <a:ext cx="5376683" cy="414224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13</xdr:col>
      <xdr:colOff>425207</xdr:colOff>
      <xdr:row>74</xdr:row>
      <xdr:rowOff>141740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51BF7BEF-0DBD-39D6-02BD-33422298F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4920" y="10081260"/>
          <a:ext cx="5522987" cy="414224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19</xdr:col>
      <xdr:colOff>516654</xdr:colOff>
      <xdr:row>169</xdr:row>
      <xdr:rowOff>30490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5CC78080-06D9-DA68-9E93-245332D26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74920" y="27912060"/>
          <a:ext cx="9272034" cy="498349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fb>0</fb>
    <v>0</v>
  </rv>
  <rv s="1">
    <fb>0</fb>
    <v>&lt;class 'NoneType'&gt;</v>
    <v>NoneType</v>
    <v>None</v>
    <v>0</v>
    <v>1</v>
  </rv>
  <rv s="0">
    <fb>44927</fb>
    <v>2</v>
  </rv>
  <rv s="0">
    <fb>44928</fb>
    <v>2</v>
  </rv>
  <rv s="0">
    <fb>44929</fb>
    <v>2</v>
  </rv>
  <rv s="0">
    <fb>44930</fb>
    <v>2</v>
  </rv>
  <rv s="0">
    <fb>44931</fb>
    <v>2</v>
  </rv>
  <rv s="2">
    <v>0</v>
    <v>9</v>
    <v>Image generated by Python</v>
  </rv>
  <rv s="3">
    <v>&lt;class 'sklearn.linear_model._base.LinearRegression'&gt;</v>
    <v>LinearRegression</v>
    <v>LinearRegression()</v>
    <v>1</v>
  </rv>
  <rv s="2">
    <v>1</v>
    <v>9</v>
    <v>Image generated by Python</v>
  </rv>
  <rv s="2">
    <v>2</v>
    <v>9</v>
    <v>Image generated by Python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  <s t="_python">
    <k n="Python_type" t="s"/>
    <k n="Python_typeName" t="s"/>
    <k n="Python_str" t="s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1">
      <v>https://www.anaconda.com/excel</v>
      <v>https://res.cdn.office.net/officepysvc/prod-service/anacondalogo.png</v>
      <v>Python provided by Anaconda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yyyy/mm/dd"/>
    </x:dxf>
    <x:dxf>
      <x:numFmt numFmtId="0" formatCode="General"/>
    </x:dxf>
  </dxfs>
  <richProperties>
    <rPr n="NumberFormat" t="s"/>
  </richProperties>
  <richStyles>
    <rSty dxfid="1">
      <rpv i="0">0;-0;"None"</rpv>
    </rSty>
    <rSty dxfid="0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3" displayName="Table133" ref="B2:C367" totalsRowShown="0" headerRowDxfId="5" headerRowBorderDxfId="4" tableBorderDxfId="3" totalsRowBorderDxfId="2">
  <autoFilter ref="B2:C367" xr:uid="{00000000-0009-0000-0100-000001000000}"/>
  <tableColumns count="2">
    <tableColumn id="1" xr3:uid="{00000000-0010-0000-0000-000001000000}" name="Date" dataDxfId="1"/>
    <tableColumn id="2" xr3:uid="{00000000-0010-0000-0000-000002000000}" name="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67"/>
  <sheetViews>
    <sheetView showGridLines="0" tabSelected="1" topLeftCell="B154" workbookViewId="0">
      <selection activeCell="E172" sqref="E172:E252"/>
    </sheetView>
  </sheetViews>
  <sheetFormatPr defaultRowHeight="14.4"/>
  <cols>
    <col min="2" max="3" width="15" customWidth="1"/>
    <col min="5" max="5" width="26.21875" bestFit="1" customWidth="1"/>
    <col min="6" max="6" width="12.109375" bestFit="1" customWidth="1"/>
  </cols>
  <sheetData>
    <row r="2" spans="2:19">
      <c r="B2" s="1" t="s">
        <v>0</v>
      </c>
      <c r="C2" s="1" t="s">
        <v>1</v>
      </c>
    </row>
    <row r="3" spans="2:19" ht="15" thickBot="1">
      <c r="B3" s="2">
        <v>44927</v>
      </c>
      <c r="C3" s="3">
        <v>936</v>
      </c>
      <c r="E3" s="5"/>
      <c r="F3" s="5"/>
      <c r="G3" s="5"/>
      <c r="H3" s="5"/>
      <c r="I3" s="5"/>
      <c r="J3" s="5"/>
      <c r="K3" s="5" t="s">
        <v>2</v>
      </c>
      <c r="L3" s="5"/>
      <c r="M3" s="5"/>
      <c r="N3" s="5"/>
      <c r="O3" s="5"/>
      <c r="P3" s="5"/>
      <c r="Q3" s="5"/>
      <c r="R3" s="5"/>
      <c r="S3" s="5"/>
    </row>
    <row r="4" spans="2:19" ht="15" thickBot="1">
      <c r="B4" s="2">
        <v>44928</v>
      </c>
      <c r="C4" s="3">
        <v>930</v>
      </c>
    </row>
    <row r="5" spans="2:19" ht="15" thickBot="1">
      <c r="B5" s="2">
        <v>44929</v>
      </c>
      <c r="C5" s="3">
        <v>972</v>
      </c>
      <c r="E5" t="s">
        <v>4</v>
      </c>
      <c r="F5" cm="1" vm="1">
        <f t="array" ref="F5">_xlfn._xlws.PY(0,1,Table133[#All])</f>
        <v>0</v>
      </c>
    </row>
    <row r="6" spans="2:19" ht="15" thickBot="1">
      <c r="B6" s="2">
        <v>44930</v>
      </c>
      <c r="C6" s="3">
        <v>955</v>
      </c>
    </row>
    <row r="7" spans="2:19" ht="15" thickBot="1">
      <c r="B7" s="2">
        <v>44931</v>
      </c>
      <c r="C7" s="3">
        <v>994</v>
      </c>
    </row>
    <row r="8" spans="2:19" ht="15" thickBot="1">
      <c r="B8" s="2">
        <v>44932</v>
      </c>
      <c r="C8" s="3">
        <v>943</v>
      </c>
      <c r="E8" t="s">
        <v>3</v>
      </c>
      <c r="F8" t="str" cm="1">
        <f t="array" ref="F8:G13">_xlfn._xlws.PY(1,0)</f>
        <v>Date</v>
      </c>
      <c r="G8" t="str">
        <v>Sales</v>
      </c>
    </row>
    <row r="9" spans="2:19" ht="15" thickBot="1">
      <c r="B9" s="2">
        <v>44933</v>
      </c>
      <c r="C9" s="3">
        <v>992</v>
      </c>
      <c r="F9" vm="2">
        <v>44927</v>
      </c>
      <c r="G9">
        <v>936</v>
      </c>
    </row>
    <row r="10" spans="2:19" ht="15" thickBot="1">
      <c r="B10" s="2">
        <v>44934</v>
      </c>
      <c r="C10" s="3">
        <v>962</v>
      </c>
      <c r="F10" vm="3">
        <v>44928</v>
      </c>
      <c r="G10">
        <v>930</v>
      </c>
    </row>
    <row r="11" spans="2:19" ht="15" thickBot="1">
      <c r="B11" s="2">
        <v>44935</v>
      </c>
      <c r="C11" s="3">
        <v>902</v>
      </c>
      <c r="F11" vm="4">
        <v>44929</v>
      </c>
      <c r="G11">
        <v>972</v>
      </c>
    </row>
    <row r="12" spans="2:19" ht="15" thickBot="1">
      <c r="B12" s="2">
        <v>44936</v>
      </c>
      <c r="C12" s="3">
        <v>908</v>
      </c>
      <c r="F12" vm="5">
        <v>44930</v>
      </c>
      <c r="G12">
        <v>955</v>
      </c>
    </row>
    <row r="13" spans="2:19" ht="15" thickBot="1">
      <c r="B13" s="2">
        <v>44937</v>
      </c>
      <c r="C13" s="3">
        <v>956</v>
      </c>
      <c r="F13" vm="6">
        <v>44931</v>
      </c>
      <c r="G13">
        <v>994</v>
      </c>
    </row>
    <row r="14" spans="2:19" ht="15" thickBot="1">
      <c r="B14" s="2">
        <v>44938</v>
      </c>
      <c r="C14" s="3">
        <v>979</v>
      </c>
    </row>
    <row r="15" spans="2:19" ht="15" thickBot="1">
      <c r="B15" s="2">
        <v>44939</v>
      </c>
      <c r="C15" s="3">
        <v>926</v>
      </c>
      <c r="E15" t="s">
        <v>5</v>
      </c>
      <c r="F15" t="e" cm="1" vm="7">
        <f t="array" ref="F15">_xlfn._xlws.PY(2,0)</f>
        <v>#VALUE!</v>
      </c>
    </row>
    <row r="16" spans="2:19" ht="15" thickBot="1">
      <c r="B16" s="2">
        <v>44940</v>
      </c>
      <c r="C16" s="3">
        <v>960</v>
      </c>
    </row>
    <row r="17" spans="2:3" ht="15" thickBot="1">
      <c r="B17" s="2">
        <v>44941</v>
      </c>
      <c r="C17" s="3">
        <v>981</v>
      </c>
    </row>
    <row r="18" spans="2:3" ht="15" thickBot="1">
      <c r="B18" s="2">
        <v>44942</v>
      </c>
      <c r="C18" s="3">
        <v>924</v>
      </c>
    </row>
    <row r="19" spans="2:3" ht="15" thickBot="1">
      <c r="B19" s="2">
        <v>44943</v>
      </c>
      <c r="C19" s="3">
        <v>942</v>
      </c>
    </row>
    <row r="20" spans="2:3" ht="15" thickBot="1">
      <c r="B20" s="2">
        <v>44944</v>
      </c>
      <c r="C20" s="3">
        <v>984</v>
      </c>
    </row>
    <row r="21" spans="2:3" ht="15" thickBot="1">
      <c r="B21" s="2">
        <v>44945</v>
      </c>
      <c r="C21" s="3">
        <v>984</v>
      </c>
    </row>
    <row r="22" spans="2:3" ht="15" thickBot="1">
      <c r="B22" s="2">
        <v>44946</v>
      </c>
      <c r="C22" s="3">
        <v>952</v>
      </c>
    </row>
    <row r="23" spans="2:3" ht="15" thickBot="1">
      <c r="B23" s="2">
        <v>44947</v>
      </c>
      <c r="C23" s="3">
        <v>920</v>
      </c>
    </row>
    <row r="24" spans="2:3" ht="15" thickBot="1">
      <c r="B24" s="2">
        <v>44948</v>
      </c>
      <c r="C24" s="3">
        <v>919</v>
      </c>
    </row>
    <row r="25" spans="2:3" ht="15" thickBot="1">
      <c r="B25" s="2">
        <v>44949</v>
      </c>
      <c r="C25" s="3">
        <v>946</v>
      </c>
    </row>
    <row r="26" spans="2:3" ht="15" thickBot="1">
      <c r="B26" s="2">
        <v>44950</v>
      </c>
      <c r="C26" s="3">
        <v>949</v>
      </c>
    </row>
    <row r="27" spans="2:3" ht="15" thickBot="1">
      <c r="B27" s="2">
        <v>44951</v>
      </c>
      <c r="C27" s="3">
        <v>975</v>
      </c>
    </row>
    <row r="28" spans="2:3" ht="15" thickBot="1">
      <c r="B28" s="2">
        <v>44952</v>
      </c>
      <c r="C28" s="3">
        <v>983</v>
      </c>
    </row>
    <row r="29" spans="2:3" ht="15" thickBot="1">
      <c r="B29" s="2">
        <v>44953</v>
      </c>
      <c r="C29" s="3">
        <v>926</v>
      </c>
    </row>
    <row r="30" spans="2:3" ht="15" thickBot="1">
      <c r="B30" s="2">
        <v>44954</v>
      </c>
      <c r="C30" s="3">
        <v>998</v>
      </c>
    </row>
    <row r="31" spans="2:3" ht="15" thickBot="1">
      <c r="B31" s="2">
        <v>44955</v>
      </c>
      <c r="C31" s="3">
        <v>995</v>
      </c>
    </row>
    <row r="32" spans="2:3" ht="15" thickBot="1">
      <c r="B32" s="2">
        <v>44956</v>
      </c>
      <c r="C32" s="3">
        <v>961</v>
      </c>
    </row>
    <row r="33" spans="2:10" ht="15" thickBot="1">
      <c r="B33" s="2">
        <v>44957</v>
      </c>
      <c r="C33" s="3">
        <v>907</v>
      </c>
    </row>
    <row r="34" spans="2:10" ht="15" thickBot="1">
      <c r="B34" s="2">
        <v>44958</v>
      </c>
      <c r="C34" s="3">
        <v>1000</v>
      </c>
    </row>
    <row r="35" spans="2:10" ht="15" thickBot="1">
      <c r="B35" s="2">
        <v>44959</v>
      </c>
      <c r="C35" s="3">
        <v>958</v>
      </c>
    </row>
    <row r="36" spans="2:10" ht="15" thickBot="1">
      <c r="B36" s="2">
        <v>44960</v>
      </c>
      <c r="C36" s="3">
        <v>981</v>
      </c>
    </row>
    <row r="37" spans="2:10" ht="15" thickBot="1">
      <c r="B37" s="2">
        <v>44961</v>
      </c>
      <c r="C37" s="3">
        <v>1000</v>
      </c>
    </row>
    <row r="38" spans="2:10" ht="15" thickBot="1">
      <c r="B38" s="2">
        <v>44962</v>
      </c>
      <c r="C38" s="3">
        <v>989</v>
      </c>
    </row>
    <row r="39" spans="2:10" ht="15" thickBot="1">
      <c r="B39" s="2">
        <v>44963</v>
      </c>
      <c r="C39" s="3">
        <v>939</v>
      </c>
      <c r="E39" t="s">
        <v>6</v>
      </c>
      <c r="F39" cm="1" vm="1">
        <f t="array" ref="F39">_xlfn._xlws.PY(3,1)</f>
        <v>0</v>
      </c>
    </row>
    <row r="40" spans="2:10" ht="15" thickBot="1">
      <c r="B40" s="2">
        <v>44964</v>
      </c>
      <c r="C40" s="3">
        <v>936</v>
      </c>
    </row>
    <row r="41" spans="2:10" ht="15" thickBot="1">
      <c r="B41" s="2">
        <v>44965</v>
      </c>
      <c r="C41" s="3">
        <v>938</v>
      </c>
      <c r="E41" t="s">
        <v>7</v>
      </c>
      <c r="F41" t="e" cm="1" vm="8">
        <f t="array" ref="F41">_xlfn._xlws.PY(4,1)</f>
        <v>#VALUE!</v>
      </c>
    </row>
    <row r="42" spans="2:10" ht="15" thickBot="1">
      <c r="B42" s="2">
        <v>44966</v>
      </c>
      <c r="C42" s="3">
        <v>984</v>
      </c>
    </row>
    <row r="43" spans="2:10" ht="15" thickBot="1">
      <c r="B43" s="2">
        <v>44967</v>
      </c>
      <c r="C43" s="3">
        <v>948</v>
      </c>
      <c r="E43" t="s">
        <v>8</v>
      </c>
      <c r="F43" cm="1" vm="1">
        <f t="array" ref="F43">_xlfn._xlws.PY(5,1)</f>
        <v>0</v>
      </c>
    </row>
    <row r="44" spans="2:10" ht="15" thickBot="1">
      <c r="B44" s="2">
        <v>44968</v>
      </c>
      <c r="C44" s="3">
        <v>934</v>
      </c>
      <c r="F44" t="s">
        <v>9</v>
      </c>
      <c r="G44" t="str" cm="1">
        <f t="array" ref="G44:H49">_xlfn._xlws.PY(6,0)</f>
        <v/>
      </c>
      <c r="H44" t="str">
        <v>Sales</v>
      </c>
      <c r="J44" t="s">
        <v>10</v>
      </c>
    </row>
    <row r="45" spans="2:10" ht="15" thickBot="1">
      <c r="B45" s="2">
        <v>44969</v>
      </c>
      <c r="C45" s="3">
        <v>953</v>
      </c>
      <c r="G45">
        <v>293</v>
      </c>
      <c r="H45">
        <v>1283</v>
      </c>
      <c r="J45" cm="1">
        <f t="array" ref="J45:J49">_xlfn._xlws.PY(7,0)</f>
        <v>1266.0126418448315</v>
      </c>
    </row>
    <row r="46" spans="2:10" ht="15" thickBot="1">
      <c r="B46" s="2">
        <v>44970</v>
      </c>
      <c r="C46" s="3">
        <v>963</v>
      </c>
      <c r="G46">
        <v>294</v>
      </c>
      <c r="H46">
        <v>1215</v>
      </c>
      <c r="J46">
        <v>1269.8349526274856</v>
      </c>
    </row>
    <row r="47" spans="2:10" ht="15" thickBot="1">
      <c r="B47" s="2">
        <v>44971</v>
      </c>
      <c r="C47" s="3">
        <v>946</v>
      </c>
      <c r="G47">
        <v>295</v>
      </c>
      <c r="H47">
        <v>1218</v>
      </c>
      <c r="J47">
        <v>1246.5829433764418</v>
      </c>
    </row>
    <row r="48" spans="2:10" ht="15" thickBot="1">
      <c r="B48" s="2">
        <v>44972</v>
      </c>
      <c r="C48" s="3">
        <v>981</v>
      </c>
      <c r="G48">
        <v>296</v>
      </c>
      <c r="H48">
        <v>1298</v>
      </c>
      <c r="J48">
        <v>1231.2499928246068</v>
      </c>
    </row>
    <row r="49" spans="2:10" ht="15" thickBot="1">
      <c r="B49" s="2">
        <v>44973</v>
      </c>
      <c r="C49" s="3">
        <v>988</v>
      </c>
      <c r="G49">
        <v>297</v>
      </c>
      <c r="H49">
        <v>1207</v>
      </c>
      <c r="J49">
        <v>1266.3586916868151</v>
      </c>
    </row>
    <row r="50" spans="2:10" ht="15" thickBot="1">
      <c r="B50" s="2">
        <v>44974</v>
      </c>
      <c r="C50" s="3">
        <v>932</v>
      </c>
    </row>
    <row r="51" spans="2:10" ht="15" thickBot="1">
      <c r="B51" s="2">
        <v>44975</v>
      </c>
      <c r="C51" s="3">
        <v>906</v>
      </c>
    </row>
    <row r="52" spans="2:10" ht="15" thickBot="1">
      <c r="B52" s="2">
        <v>44976</v>
      </c>
      <c r="C52" s="3">
        <v>934</v>
      </c>
      <c r="E52" t="s">
        <v>11</v>
      </c>
      <c r="F52" t="e" cm="1" vm="9">
        <f t="array" ref="F52">_xlfn._xlws.PY(8,0)</f>
        <v>#VALUE!</v>
      </c>
    </row>
    <row r="53" spans="2:10" ht="15" thickBot="1">
      <c r="B53" s="2">
        <v>44977</v>
      </c>
      <c r="C53" s="3">
        <v>956</v>
      </c>
    </row>
    <row r="54" spans="2:10" ht="15" thickBot="1">
      <c r="B54" s="2">
        <v>44978</v>
      </c>
      <c r="C54" s="3">
        <v>900</v>
      </c>
    </row>
    <row r="55" spans="2:10" ht="15" thickBot="1">
      <c r="B55" s="2">
        <v>44979</v>
      </c>
      <c r="C55" s="3">
        <v>909</v>
      </c>
    </row>
    <row r="56" spans="2:10" ht="15" thickBot="1">
      <c r="B56" s="2">
        <v>44980</v>
      </c>
      <c r="C56" s="3">
        <v>949</v>
      </c>
    </row>
    <row r="57" spans="2:10" ht="15" thickBot="1">
      <c r="B57" s="2">
        <v>44981</v>
      </c>
      <c r="C57" s="3">
        <v>963</v>
      </c>
    </row>
    <row r="58" spans="2:10" ht="15" thickBot="1">
      <c r="B58" s="2">
        <v>44982</v>
      </c>
      <c r="C58" s="3">
        <v>923</v>
      </c>
    </row>
    <row r="59" spans="2:10" ht="15" thickBot="1">
      <c r="B59" s="2">
        <v>44983</v>
      </c>
      <c r="C59" s="3">
        <v>927</v>
      </c>
    </row>
    <row r="60" spans="2:10" ht="15" thickBot="1">
      <c r="B60" s="2">
        <v>44984</v>
      </c>
      <c r="C60" s="3">
        <v>913</v>
      </c>
    </row>
    <row r="61" spans="2:10" ht="15" thickBot="1">
      <c r="B61" s="2">
        <v>44985</v>
      </c>
      <c r="C61" s="3">
        <v>913</v>
      </c>
    </row>
    <row r="62" spans="2:10" ht="15" thickBot="1">
      <c r="B62" s="2">
        <v>44986</v>
      </c>
      <c r="C62" s="3">
        <v>966</v>
      </c>
    </row>
    <row r="63" spans="2:10" ht="15" thickBot="1">
      <c r="B63" s="2">
        <v>44987</v>
      </c>
      <c r="C63" s="3">
        <v>992</v>
      </c>
    </row>
    <row r="64" spans="2:10" ht="15" thickBot="1">
      <c r="B64" s="2">
        <v>44988</v>
      </c>
      <c r="C64" s="3">
        <v>945</v>
      </c>
    </row>
    <row r="65" spans="2:5" ht="15" thickBot="1">
      <c r="B65" s="2">
        <v>44989</v>
      </c>
      <c r="C65" s="3">
        <v>973</v>
      </c>
    </row>
    <row r="66" spans="2:5" ht="15" thickBot="1">
      <c r="B66" s="2">
        <v>44990</v>
      </c>
      <c r="C66" s="3">
        <v>907</v>
      </c>
    </row>
    <row r="67" spans="2:5" ht="15" thickBot="1">
      <c r="B67" s="2">
        <v>44991</v>
      </c>
      <c r="C67" s="3">
        <v>993</v>
      </c>
    </row>
    <row r="68" spans="2:5" ht="15" thickBot="1">
      <c r="B68" s="2">
        <v>44992</v>
      </c>
      <c r="C68" s="3">
        <v>901</v>
      </c>
    </row>
    <row r="69" spans="2:5" ht="15" thickBot="1">
      <c r="B69" s="2">
        <v>44993</v>
      </c>
      <c r="C69" s="3">
        <v>962</v>
      </c>
    </row>
    <row r="70" spans="2:5" ht="15" thickBot="1">
      <c r="B70" s="2">
        <v>44994</v>
      </c>
      <c r="C70" s="3">
        <v>966</v>
      </c>
    </row>
    <row r="71" spans="2:5" ht="15" thickBot="1">
      <c r="B71" s="2">
        <v>44995</v>
      </c>
      <c r="C71" s="3">
        <v>958</v>
      </c>
    </row>
    <row r="72" spans="2:5" ht="15" thickBot="1">
      <c r="B72" s="2">
        <v>44996</v>
      </c>
      <c r="C72" s="3">
        <v>964</v>
      </c>
    </row>
    <row r="73" spans="2:5" ht="15" thickBot="1">
      <c r="B73" s="2">
        <v>44997</v>
      </c>
      <c r="C73" s="3">
        <v>941</v>
      </c>
    </row>
    <row r="74" spans="2:5" ht="15" thickBot="1">
      <c r="B74" s="2">
        <v>44998</v>
      </c>
      <c r="C74" s="3">
        <v>918</v>
      </c>
    </row>
    <row r="75" spans="2:5" ht="15" thickBot="1">
      <c r="B75" s="2">
        <v>44999</v>
      </c>
      <c r="C75" s="3">
        <v>964</v>
      </c>
    </row>
    <row r="76" spans="2:5" ht="15" thickBot="1">
      <c r="B76" s="2">
        <v>45000</v>
      </c>
      <c r="C76" s="3">
        <v>962</v>
      </c>
    </row>
    <row r="77" spans="2:5" ht="24" thickBot="1">
      <c r="B77" s="2">
        <v>45001</v>
      </c>
      <c r="C77" s="3">
        <v>976</v>
      </c>
      <c r="E77" s="7" t="s">
        <v>12</v>
      </c>
    </row>
    <row r="78" spans="2:5" ht="15" thickBot="1">
      <c r="B78" s="2">
        <v>45002</v>
      </c>
      <c r="C78" s="3">
        <v>904</v>
      </c>
    </row>
    <row r="79" spans="2:5" ht="18.600000000000001" thickBot="1">
      <c r="B79" s="2">
        <v>45003</v>
      </c>
      <c r="C79" s="3">
        <v>908</v>
      </c>
      <c r="E79" s="8" t="s">
        <v>13</v>
      </c>
    </row>
    <row r="80" spans="2:5" ht="15" thickBot="1">
      <c r="B80" s="2">
        <v>45004</v>
      </c>
      <c r="C80" s="3">
        <v>959</v>
      </c>
    </row>
    <row r="81" spans="2:5" ht="15" thickBot="1">
      <c r="B81" s="2">
        <v>45005</v>
      </c>
      <c r="C81" s="3">
        <v>924</v>
      </c>
      <c r="E81" t="s">
        <v>14</v>
      </c>
    </row>
    <row r="82" spans="2:5" ht="15" thickBot="1">
      <c r="B82" s="2">
        <v>45006</v>
      </c>
      <c r="C82" s="3">
        <v>977</v>
      </c>
    </row>
    <row r="83" spans="2:5" ht="15" thickBot="1">
      <c r="B83" s="2">
        <v>45007</v>
      </c>
      <c r="C83" s="3">
        <v>958</v>
      </c>
      <c r="E83" t="s">
        <v>15</v>
      </c>
    </row>
    <row r="84" spans="2:5" ht="15" thickBot="1">
      <c r="B84" s="2">
        <v>45008</v>
      </c>
      <c r="C84" s="3">
        <v>903</v>
      </c>
    </row>
    <row r="85" spans="2:5" ht="15" thickBot="1">
      <c r="B85" s="2">
        <v>45009</v>
      </c>
      <c r="C85" s="3">
        <v>909</v>
      </c>
      <c r="E85" s="9" t="s">
        <v>16</v>
      </c>
    </row>
    <row r="86" spans="2:5" ht="15" thickBot="1">
      <c r="B86" s="2">
        <v>45010</v>
      </c>
      <c r="C86" s="3">
        <v>991</v>
      </c>
      <c r="E86" s="6"/>
    </row>
    <row r="87" spans="2:5" ht="15" thickBot="1">
      <c r="B87" s="2">
        <v>45011</v>
      </c>
      <c r="C87" s="3">
        <v>995</v>
      </c>
      <c r="E87" s="9" t="s">
        <v>17</v>
      </c>
    </row>
    <row r="88" spans="2:5" ht="15" thickBot="1">
      <c r="B88" s="2">
        <v>45012</v>
      </c>
      <c r="C88" s="3">
        <v>950</v>
      </c>
      <c r="E88" s="9" t="s">
        <v>18</v>
      </c>
    </row>
    <row r="89" spans="2:5" ht="15" thickBot="1">
      <c r="B89" s="2">
        <v>45013</v>
      </c>
      <c r="C89" s="3">
        <v>982</v>
      </c>
      <c r="E89" s="9" t="s">
        <v>19</v>
      </c>
    </row>
    <row r="90" spans="2:5" ht="15" thickBot="1">
      <c r="B90" s="2">
        <v>45014</v>
      </c>
      <c r="C90" s="3">
        <v>971</v>
      </c>
    </row>
    <row r="91" spans="2:5" ht="15" thickBot="1">
      <c r="B91" s="2">
        <v>45015</v>
      </c>
      <c r="C91" s="3">
        <v>968</v>
      </c>
      <c r="E91" s="10" t="s">
        <v>20</v>
      </c>
    </row>
    <row r="92" spans="2:5" ht="15" thickBot="1">
      <c r="B92" s="2">
        <v>45016</v>
      </c>
      <c r="C92" s="3">
        <v>949</v>
      </c>
    </row>
    <row r="93" spans="2:5" ht="24" thickBot="1">
      <c r="B93" s="2">
        <v>45017</v>
      </c>
      <c r="C93" s="3">
        <v>919</v>
      </c>
      <c r="E93" s="7" t="s">
        <v>21</v>
      </c>
    </row>
    <row r="94" spans="2:5" ht="15" thickBot="1">
      <c r="B94" s="2">
        <v>45018</v>
      </c>
      <c r="C94" s="3">
        <v>939</v>
      </c>
    </row>
    <row r="95" spans="2:5" ht="15" thickBot="1">
      <c r="B95" s="2">
        <v>45019</v>
      </c>
      <c r="C95" s="3">
        <v>971</v>
      </c>
      <c r="E95" t="s">
        <v>22</v>
      </c>
    </row>
    <row r="96" spans="2:5" ht="15" thickBot="1">
      <c r="B96" s="2">
        <v>45020</v>
      </c>
      <c r="C96" s="3">
        <v>1000</v>
      </c>
    </row>
    <row r="97" spans="2:5" ht="15" thickBot="1">
      <c r="B97" s="2">
        <v>45021</v>
      </c>
      <c r="C97" s="3">
        <v>922</v>
      </c>
      <c r="E97" t="s">
        <v>15</v>
      </c>
    </row>
    <row r="98" spans="2:5" ht="15" thickBot="1">
      <c r="B98" s="2">
        <v>45022</v>
      </c>
      <c r="C98" s="3">
        <v>973</v>
      </c>
    </row>
    <row r="99" spans="2:5" ht="15" thickBot="1">
      <c r="B99" s="2">
        <v>45023</v>
      </c>
      <c r="C99" s="3">
        <v>963</v>
      </c>
      <c r="E99" s="9" t="s">
        <v>23</v>
      </c>
    </row>
    <row r="100" spans="2:5" ht="15" thickBot="1">
      <c r="B100" s="2">
        <v>45024</v>
      </c>
      <c r="C100" s="3">
        <v>929</v>
      </c>
    </row>
    <row r="101" spans="2:5" ht="15" thickBot="1">
      <c r="B101" s="2">
        <v>45025</v>
      </c>
      <c r="C101" s="3">
        <v>982</v>
      </c>
      <c r="E101" s="10" t="s">
        <v>24</v>
      </c>
    </row>
    <row r="102" spans="2:5" ht="15" thickBot="1">
      <c r="B102" s="2">
        <v>45026</v>
      </c>
      <c r="C102" s="3">
        <v>961</v>
      </c>
    </row>
    <row r="103" spans="2:5" ht="15" thickBot="1">
      <c r="B103" s="2">
        <v>45027</v>
      </c>
      <c r="C103" s="3">
        <v>972</v>
      </c>
      <c r="E103" s="10" t="s">
        <v>25</v>
      </c>
    </row>
    <row r="104" spans="2:5" ht="15" thickBot="1">
      <c r="B104" s="2">
        <v>45028</v>
      </c>
      <c r="C104" s="3">
        <v>989</v>
      </c>
    </row>
    <row r="105" spans="2:5" ht="15" thickBot="1">
      <c r="B105" s="2">
        <v>45029</v>
      </c>
      <c r="C105" s="3">
        <v>905</v>
      </c>
      <c r="E105" t="s">
        <v>15</v>
      </c>
    </row>
    <row r="106" spans="2:5" ht="15" thickBot="1">
      <c r="B106" s="2">
        <v>45030</v>
      </c>
      <c r="C106" s="3">
        <v>932</v>
      </c>
    </row>
    <row r="107" spans="2:5" ht="15" thickBot="1">
      <c r="B107" s="2">
        <v>45031</v>
      </c>
      <c r="C107" s="3">
        <v>987</v>
      </c>
      <c r="E107" s="9" t="s">
        <v>26</v>
      </c>
    </row>
    <row r="108" spans="2:5" ht="15" thickBot="1">
      <c r="B108" s="2">
        <v>45032</v>
      </c>
      <c r="C108" s="3">
        <v>904</v>
      </c>
    </row>
    <row r="109" spans="2:5" ht="15" thickBot="1">
      <c r="B109" s="2">
        <v>45033</v>
      </c>
      <c r="C109" s="3">
        <v>935</v>
      </c>
      <c r="E109" s="10" t="s">
        <v>27</v>
      </c>
    </row>
    <row r="110" spans="2:5" ht="15" thickBot="1">
      <c r="B110" s="2">
        <v>45034</v>
      </c>
      <c r="C110" s="3">
        <v>937</v>
      </c>
    </row>
    <row r="111" spans="2:5" ht="24" thickBot="1">
      <c r="B111" s="2">
        <v>45035</v>
      </c>
      <c r="C111" s="3">
        <v>992</v>
      </c>
      <c r="E111" s="7" t="s">
        <v>28</v>
      </c>
    </row>
    <row r="112" spans="2:5" ht="15" thickBot="1">
      <c r="B112" s="2">
        <v>45036</v>
      </c>
      <c r="C112" s="3">
        <v>945</v>
      </c>
      <c r="E112" s="11"/>
    </row>
    <row r="113" spans="2:5" ht="15" thickBot="1">
      <c r="B113" s="2">
        <v>45037</v>
      </c>
      <c r="C113" s="3">
        <v>912</v>
      </c>
      <c r="E113" s="11" t="s">
        <v>29</v>
      </c>
    </row>
    <row r="114" spans="2:5" ht="15" thickBot="1">
      <c r="B114" s="2">
        <v>45038</v>
      </c>
      <c r="C114" s="3">
        <v>943</v>
      </c>
    </row>
    <row r="115" spans="2:5" ht="24" thickBot="1">
      <c r="B115" s="2">
        <v>45039</v>
      </c>
      <c r="C115" s="3">
        <v>912</v>
      </c>
      <c r="E115" s="7" t="s">
        <v>30</v>
      </c>
    </row>
    <row r="116" spans="2:5" ht="15" thickBot="1">
      <c r="B116" s="2">
        <v>45040</v>
      </c>
      <c r="C116" s="3">
        <v>969</v>
      </c>
    </row>
    <row r="117" spans="2:5" ht="18.600000000000001" thickBot="1">
      <c r="B117" s="2">
        <v>45041</v>
      </c>
      <c r="C117" s="3">
        <v>912</v>
      </c>
      <c r="E117" s="8" t="s">
        <v>31</v>
      </c>
    </row>
    <row r="118" spans="2:5" ht="15" thickBot="1">
      <c r="B118" s="2">
        <v>45042</v>
      </c>
      <c r="C118" s="3">
        <v>930</v>
      </c>
      <c r="E118" s="11"/>
    </row>
    <row r="119" spans="2:5" ht="15" thickBot="1">
      <c r="B119" s="2">
        <v>45043</v>
      </c>
      <c r="C119" s="3">
        <v>906</v>
      </c>
      <c r="E119" s="11" t="s">
        <v>32</v>
      </c>
    </row>
    <row r="120" spans="2:5" ht="15" thickBot="1">
      <c r="B120" s="2">
        <v>45044</v>
      </c>
      <c r="C120" s="3">
        <v>987</v>
      </c>
    </row>
    <row r="121" spans="2:5" ht="18.600000000000001" thickBot="1">
      <c r="B121" s="2">
        <v>45045</v>
      </c>
      <c r="C121" s="3">
        <v>942</v>
      </c>
      <c r="E121" s="8" t="s">
        <v>33</v>
      </c>
    </row>
    <row r="122" spans="2:5" ht="15" thickBot="1">
      <c r="B122" s="2">
        <v>45046</v>
      </c>
      <c r="C122" s="3">
        <v>990</v>
      </c>
      <c r="E122" s="11"/>
    </row>
    <row r="123" spans="2:5" ht="15" thickBot="1">
      <c r="B123" s="2">
        <v>45047</v>
      </c>
      <c r="C123" s="3">
        <v>928</v>
      </c>
      <c r="E123" s="11" t="s">
        <v>34</v>
      </c>
    </row>
    <row r="124" spans="2:5" ht="15" thickBot="1">
      <c r="B124" s="2">
        <v>45048</v>
      </c>
      <c r="C124" s="3">
        <v>941</v>
      </c>
    </row>
    <row r="125" spans="2:5" ht="18.600000000000001" thickBot="1">
      <c r="B125" s="2">
        <v>45049</v>
      </c>
      <c r="C125" s="3">
        <v>916</v>
      </c>
      <c r="E125" s="8" t="s">
        <v>35</v>
      </c>
    </row>
    <row r="126" spans="2:5" ht="15" thickBot="1">
      <c r="B126" s="2">
        <v>45050</v>
      </c>
      <c r="C126" s="3">
        <v>939</v>
      </c>
      <c r="E126" s="11"/>
    </row>
    <row r="127" spans="2:5" ht="15" thickBot="1">
      <c r="B127" s="2">
        <v>45051</v>
      </c>
      <c r="C127" s="3">
        <v>959</v>
      </c>
      <c r="E127" s="11" t="s">
        <v>36</v>
      </c>
    </row>
    <row r="128" spans="2:5" ht="15" thickBot="1">
      <c r="B128" s="2">
        <v>45052</v>
      </c>
      <c r="C128" s="3">
        <v>974</v>
      </c>
    </row>
    <row r="129" spans="2:6" ht="18.600000000000001" thickBot="1">
      <c r="B129" s="2">
        <v>45053</v>
      </c>
      <c r="C129" s="3">
        <v>947</v>
      </c>
      <c r="E129" s="8" t="s">
        <v>37</v>
      </c>
    </row>
    <row r="130" spans="2:6" ht="15" thickBot="1">
      <c r="B130" s="2">
        <v>45054</v>
      </c>
      <c r="C130" s="3">
        <v>994</v>
      </c>
      <c r="E130" s="11"/>
    </row>
    <row r="131" spans="2:6" ht="15" thickBot="1">
      <c r="B131" s="2">
        <v>45055</v>
      </c>
      <c r="C131" s="3">
        <v>979</v>
      </c>
      <c r="E131" s="11" t="s">
        <v>38</v>
      </c>
    </row>
    <row r="132" spans="2:6" ht="15" thickBot="1">
      <c r="B132" s="2">
        <v>45056</v>
      </c>
      <c r="C132" s="3">
        <v>998</v>
      </c>
      <c r="E132" s="11"/>
    </row>
    <row r="133" spans="2:6" ht="15" thickBot="1">
      <c r="B133" s="2">
        <v>45057</v>
      </c>
      <c r="C133" s="3">
        <v>999</v>
      </c>
      <c r="E133" s="12" t="s">
        <v>39</v>
      </c>
    </row>
    <row r="134" spans="2:6" ht="15" thickBot="1">
      <c r="B134" s="2">
        <v>45058</v>
      </c>
      <c r="C134" s="3">
        <v>963</v>
      </c>
      <c r="E134" s="11"/>
    </row>
    <row r="135" spans="2:6" ht="15" thickBot="1">
      <c r="B135" s="2">
        <v>45059</v>
      </c>
      <c r="C135" s="3">
        <v>954</v>
      </c>
      <c r="E135" s="12" t="s">
        <v>40</v>
      </c>
    </row>
    <row r="136" spans="2:6" ht="15" thickBot="1">
      <c r="B136" s="2">
        <v>45060</v>
      </c>
      <c r="C136" s="3">
        <v>953</v>
      </c>
      <c r="E136" s="11"/>
    </row>
    <row r="137" spans="2:6" ht="15" thickBot="1">
      <c r="B137" s="2">
        <v>45061</v>
      </c>
      <c r="C137" s="3">
        <v>929</v>
      </c>
      <c r="E137" s="12" t="s">
        <v>41</v>
      </c>
    </row>
    <row r="138" spans="2:6" ht="15" thickBot="1">
      <c r="B138" s="2">
        <v>45062</v>
      </c>
      <c r="C138" s="3">
        <v>977</v>
      </c>
      <c r="E138" s="11"/>
    </row>
    <row r="139" spans="2:6" ht="15" thickBot="1">
      <c r="B139" s="2">
        <v>45063</v>
      </c>
      <c r="C139" s="3">
        <v>958</v>
      </c>
      <c r="E139" s="12" t="s">
        <v>42</v>
      </c>
    </row>
    <row r="140" spans="2:6" ht="15" thickBot="1">
      <c r="B140" s="2">
        <v>45064</v>
      </c>
      <c r="C140" s="3">
        <v>957</v>
      </c>
    </row>
    <row r="141" spans="2:6" ht="15" thickBot="1">
      <c r="B141" s="2">
        <v>45065</v>
      </c>
      <c r="C141" s="3">
        <v>954</v>
      </c>
    </row>
    <row r="142" spans="2:6" ht="15" thickBot="1">
      <c r="B142" s="2">
        <v>45066</v>
      </c>
      <c r="C142" s="3">
        <v>942</v>
      </c>
      <c r="E142" t="s">
        <v>43</v>
      </c>
      <c r="F142" t="e" cm="1" vm="10">
        <f t="array" ref="F142">_xlfn._xlws.PY(9,0,Table133[#All])</f>
        <v>#VALUE!</v>
      </c>
    </row>
    <row r="143" spans="2:6" ht="15" thickBot="1">
      <c r="B143" s="2">
        <v>45067</v>
      </c>
      <c r="C143" s="3">
        <v>913</v>
      </c>
    </row>
    <row r="144" spans="2:6" ht="15" thickBot="1">
      <c r="B144" s="2">
        <v>45068</v>
      </c>
      <c r="C144" s="3">
        <v>970</v>
      </c>
    </row>
    <row r="145" spans="2:3" ht="15" thickBot="1">
      <c r="B145" s="2">
        <v>45069</v>
      </c>
      <c r="C145" s="3">
        <v>904</v>
      </c>
    </row>
    <row r="146" spans="2:3" ht="15" thickBot="1">
      <c r="B146" s="2">
        <v>45070</v>
      </c>
      <c r="C146" s="3">
        <v>930</v>
      </c>
    </row>
    <row r="147" spans="2:3" ht="15" thickBot="1">
      <c r="B147" s="2">
        <v>45071</v>
      </c>
      <c r="C147" s="3">
        <v>952</v>
      </c>
    </row>
    <row r="148" spans="2:3" ht="15" thickBot="1">
      <c r="B148" s="2">
        <v>45072</v>
      </c>
      <c r="C148" s="3">
        <v>991</v>
      </c>
    </row>
    <row r="149" spans="2:3" ht="15" thickBot="1">
      <c r="B149" s="2">
        <v>45073</v>
      </c>
      <c r="C149" s="3">
        <v>964</v>
      </c>
    </row>
    <row r="150" spans="2:3" ht="15" thickBot="1">
      <c r="B150" s="2">
        <v>45074</v>
      </c>
      <c r="C150" s="3">
        <v>982</v>
      </c>
    </row>
    <row r="151" spans="2:3" ht="15" thickBot="1">
      <c r="B151" s="2">
        <v>45075</v>
      </c>
      <c r="C151" s="3">
        <v>924</v>
      </c>
    </row>
    <row r="152" spans="2:3" ht="15" thickBot="1">
      <c r="B152" s="2">
        <v>45076</v>
      </c>
      <c r="C152" s="3">
        <v>987</v>
      </c>
    </row>
    <row r="153" spans="2:3" ht="15" thickBot="1">
      <c r="B153" s="2">
        <v>45077</v>
      </c>
      <c r="C153" s="3">
        <v>946</v>
      </c>
    </row>
    <row r="154" spans="2:3" ht="15" thickBot="1">
      <c r="B154" s="2">
        <v>45078</v>
      </c>
      <c r="C154" s="3">
        <v>989</v>
      </c>
    </row>
    <row r="155" spans="2:3" ht="15" thickBot="1">
      <c r="B155" s="2">
        <v>45079</v>
      </c>
      <c r="C155" s="3">
        <v>990</v>
      </c>
    </row>
    <row r="156" spans="2:3" ht="15" thickBot="1">
      <c r="B156" s="2">
        <v>45080</v>
      </c>
      <c r="C156" s="3">
        <v>908</v>
      </c>
    </row>
    <row r="157" spans="2:3" ht="15" thickBot="1">
      <c r="B157" s="2">
        <v>45081</v>
      </c>
      <c r="C157" s="3">
        <v>908</v>
      </c>
    </row>
    <row r="158" spans="2:3" ht="15" thickBot="1">
      <c r="B158" s="2">
        <v>45082</v>
      </c>
      <c r="C158" s="3">
        <v>989</v>
      </c>
    </row>
    <row r="159" spans="2:3" ht="15" thickBot="1">
      <c r="B159" s="2">
        <v>45083</v>
      </c>
      <c r="C159" s="3">
        <v>996</v>
      </c>
    </row>
    <row r="160" spans="2:3" ht="15" thickBot="1">
      <c r="B160" s="2">
        <v>45084</v>
      </c>
      <c r="C160" s="3">
        <v>938</v>
      </c>
    </row>
    <row r="161" spans="2:5" ht="15" thickBot="1">
      <c r="B161" s="2">
        <v>45085</v>
      </c>
      <c r="C161" s="3">
        <v>979</v>
      </c>
    </row>
    <row r="162" spans="2:5" ht="15" thickBot="1">
      <c r="B162" s="2">
        <v>45086</v>
      </c>
      <c r="C162" s="3">
        <v>937</v>
      </c>
    </row>
    <row r="163" spans="2:5" ht="15" thickBot="1">
      <c r="B163" s="2">
        <v>45087</v>
      </c>
      <c r="C163" s="3">
        <v>906</v>
      </c>
    </row>
    <row r="164" spans="2:5" ht="15" thickBot="1">
      <c r="B164" s="2">
        <v>45088</v>
      </c>
      <c r="C164" s="3">
        <v>922</v>
      </c>
    </row>
    <row r="165" spans="2:5" ht="15" thickBot="1">
      <c r="B165" s="2">
        <v>45089</v>
      </c>
      <c r="C165" s="3">
        <v>992</v>
      </c>
    </row>
    <row r="166" spans="2:5" ht="15" thickBot="1">
      <c r="B166" s="2">
        <v>45090</v>
      </c>
      <c r="C166" s="3">
        <v>984</v>
      </c>
    </row>
    <row r="167" spans="2:5" ht="15" thickBot="1">
      <c r="B167" s="2">
        <v>45091</v>
      </c>
      <c r="C167" s="3">
        <v>944</v>
      </c>
    </row>
    <row r="168" spans="2:5" ht="15" thickBot="1">
      <c r="B168" s="2">
        <v>45092</v>
      </c>
      <c r="C168" s="3">
        <v>928</v>
      </c>
    </row>
    <row r="169" spans="2:5" ht="15" thickBot="1">
      <c r="B169" s="2">
        <v>45093</v>
      </c>
      <c r="C169" s="3">
        <v>987</v>
      </c>
    </row>
    <row r="170" spans="2:5" ht="15" thickBot="1">
      <c r="B170" s="2">
        <v>45094</v>
      </c>
      <c r="C170" s="3">
        <v>921</v>
      </c>
      <c r="E170" t="s">
        <v>44</v>
      </c>
    </row>
    <row r="171" spans="2:5" ht="15" thickBot="1">
      <c r="B171" s="2">
        <v>45095</v>
      </c>
      <c r="C171" s="3">
        <v>977</v>
      </c>
    </row>
    <row r="172" spans="2:5" ht="24" thickBot="1">
      <c r="B172" s="2">
        <v>45096</v>
      </c>
      <c r="C172" s="3">
        <v>969</v>
      </c>
      <c r="E172" s="7" t="s">
        <v>45</v>
      </c>
    </row>
    <row r="173" spans="2:5" ht="15" thickBot="1">
      <c r="B173" s="2">
        <v>45097</v>
      </c>
      <c r="C173" s="3">
        <v>901</v>
      </c>
      <c r="E173" s="11"/>
    </row>
    <row r="174" spans="2:5" ht="15" thickBot="1">
      <c r="B174" s="2">
        <v>45098</v>
      </c>
      <c r="C174" s="3">
        <v>907</v>
      </c>
      <c r="E174" s="11" t="s">
        <v>46</v>
      </c>
    </row>
    <row r="175" spans="2:5" ht="15" thickBot="1">
      <c r="B175" s="2">
        <v>45099</v>
      </c>
      <c r="C175" s="3">
        <v>930</v>
      </c>
    </row>
    <row r="176" spans="2:5" ht="24" thickBot="1">
      <c r="B176" s="2">
        <v>45100</v>
      </c>
      <c r="C176" s="3">
        <v>911</v>
      </c>
      <c r="E176" s="7" t="s">
        <v>47</v>
      </c>
    </row>
    <row r="177" spans="2:5" ht="15" thickBot="1">
      <c r="B177" s="2">
        <v>45101</v>
      </c>
      <c r="C177" s="3">
        <v>957</v>
      </c>
    </row>
    <row r="178" spans="2:5" ht="18.600000000000001" thickBot="1">
      <c r="B178" s="2">
        <v>45102</v>
      </c>
      <c r="C178" s="3">
        <v>934</v>
      </c>
      <c r="E178" s="8" t="s">
        <v>48</v>
      </c>
    </row>
    <row r="179" spans="2:5" ht="15" thickBot="1">
      <c r="B179" s="2">
        <v>45103</v>
      </c>
      <c r="C179" s="3">
        <v>927</v>
      </c>
    </row>
    <row r="180" spans="2:5" ht="15" thickBot="1">
      <c r="B180" s="2">
        <v>45104</v>
      </c>
      <c r="C180" s="3">
        <v>978</v>
      </c>
      <c r="E180" s="10" t="s">
        <v>49</v>
      </c>
    </row>
    <row r="181" spans="2:5" ht="15" thickBot="1">
      <c r="B181" s="2">
        <v>45105</v>
      </c>
      <c r="C181" s="3">
        <v>905</v>
      </c>
      <c r="E181" s="11"/>
    </row>
    <row r="182" spans="2:5" ht="15" thickBot="1">
      <c r="B182" s="2">
        <v>45106</v>
      </c>
      <c r="C182" s="3">
        <v>994</v>
      </c>
      <c r="E182" s="11" t="s">
        <v>50</v>
      </c>
    </row>
    <row r="183" spans="2:5" ht="15" thickBot="1">
      <c r="B183" s="2">
        <v>45107</v>
      </c>
      <c r="C183" s="3">
        <v>929</v>
      </c>
    </row>
    <row r="184" spans="2:5" ht="18.600000000000001" thickBot="1">
      <c r="B184" s="2">
        <v>45108</v>
      </c>
      <c r="C184" s="3">
        <v>990</v>
      </c>
      <c r="E184" s="8" t="s">
        <v>51</v>
      </c>
    </row>
    <row r="185" spans="2:5" ht="15" thickBot="1">
      <c r="B185" s="2">
        <v>45109</v>
      </c>
      <c r="C185" s="3">
        <v>993</v>
      </c>
    </row>
    <row r="186" spans="2:5" ht="15" thickBot="1">
      <c r="B186" s="2">
        <v>45110</v>
      </c>
      <c r="C186" s="3">
        <v>967</v>
      </c>
      <c r="E186" s="10" t="s">
        <v>49</v>
      </c>
    </row>
    <row r="187" spans="2:5" ht="15" thickBot="1">
      <c r="B187" s="2">
        <v>45111</v>
      </c>
      <c r="C187" s="3">
        <v>939</v>
      </c>
      <c r="E187" s="11"/>
    </row>
    <row r="188" spans="2:5" ht="15" thickBot="1">
      <c r="B188" s="2">
        <v>45112</v>
      </c>
      <c r="C188" s="3">
        <v>987</v>
      </c>
      <c r="E188" s="11" t="s">
        <v>52</v>
      </c>
    </row>
    <row r="189" spans="2:5" ht="15" thickBot="1">
      <c r="B189" s="2">
        <v>45113</v>
      </c>
      <c r="C189" s="3">
        <v>957</v>
      </c>
    </row>
    <row r="190" spans="2:5" ht="18.600000000000001" thickBot="1">
      <c r="B190" s="2">
        <v>45114</v>
      </c>
      <c r="C190" s="3">
        <v>918</v>
      </c>
      <c r="E190" s="8" t="s">
        <v>53</v>
      </c>
    </row>
    <row r="191" spans="2:5" ht="15" thickBot="1">
      <c r="B191" s="2">
        <v>45115</v>
      </c>
      <c r="C191" s="3">
        <v>981</v>
      </c>
    </row>
    <row r="192" spans="2:5" ht="15" thickBot="1">
      <c r="B192" s="2">
        <v>45116</v>
      </c>
      <c r="C192" s="3">
        <v>951</v>
      </c>
      <c r="E192" s="10" t="s">
        <v>49</v>
      </c>
    </row>
    <row r="193" spans="2:5" ht="15" thickBot="1">
      <c r="B193" s="2">
        <v>45117</v>
      </c>
      <c r="C193" s="3">
        <v>927</v>
      </c>
      <c r="E193" s="11"/>
    </row>
    <row r="194" spans="2:5" ht="15" thickBot="1">
      <c r="B194" s="2">
        <v>45118</v>
      </c>
      <c r="C194" s="3">
        <v>949</v>
      </c>
      <c r="E194" s="11" t="s">
        <v>54</v>
      </c>
    </row>
    <row r="195" spans="2:5" ht="15" thickBot="1">
      <c r="B195" s="2">
        <v>45119</v>
      </c>
      <c r="C195" s="3">
        <v>988</v>
      </c>
    </row>
    <row r="196" spans="2:5" ht="18.600000000000001" thickBot="1">
      <c r="B196" s="2">
        <v>45120</v>
      </c>
      <c r="C196" s="3">
        <v>995</v>
      </c>
      <c r="E196" s="8" t="s">
        <v>55</v>
      </c>
    </row>
    <row r="197" spans="2:5" ht="15" thickBot="1">
      <c r="B197" s="2">
        <v>45121</v>
      </c>
      <c r="C197" s="3">
        <v>959</v>
      </c>
    </row>
    <row r="198" spans="2:5" ht="15" thickBot="1">
      <c r="B198" s="2">
        <v>45122</v>
      </c>
      <c r="C198" s="3">
        <v>938</v>
      </c>
      <c r="E198" s="10" t="s">
        <v>49</v>
      </c>
    </row>
    <row r="199" spans="2:5" ht="15" thickBot="1">
      <c r="B199" s="2">
        <v>45123</v>
      </c>
      <c r="C199" s="3">
        <v>987</v>
      </c>
      <c r="E199" s="11"/>
    </row>
    <row r="200" spans="2:5" ht="15" thickBot="1">
      <c r="B200" s="2">
        <v>45124</v>
      </c>
      <c r="C200" s="3">
        <v>943</v>
      </c>
      <c r="E200" s="11" t="s">
        <v>56</v>
      </c>
    </row>
    <row r="201" spans="2:5" ht="15" thickBot="1">
      <c r="B201" s="2">
        <v>45125</v>
      </c>
      <c r="C201" s="3">
        <v>999</v>
      </c>
    </row>
    <row r="202" spans="2:5" ht="18.600000000000001" thickBot="1">
      <c r="B202" s="2">
        <v>45126</v>
      </c>
      <c r="C202" s="3">
        <v>932</v>
      </c>
      <c r="E202" s="8" t="s">
        <v>57</v>
      </c>
    </row>
    <row r="203" spans="2:5" ht="15" thickBot="1">
      <c r="B203" s="2">
        <v>45127</v>
      </c>
      <c r="C203" s="3">
        <v>997</v>
      </c>
    </row>
    <row r="204" spans="2:5" ht="15" thickBot="1">
      <c r="B204" s="2">
        <v>45128</v>
      </c>
      <c r="C204" s="3">
        <v>952</v>
      </c>
      <c r="E204" s="10" t="s">
        <v>49</v>
      </c>
    </row>
    <row r="205" spans="2:5" ht="15" thickBot="1">
      <c r="B205" s="2">
        <v>45129</v>
      </c>
      <c r="C205" s="3">
        <v>904</v>
      </c>
      <c r="E205" s="11"/>
    </row>
    <row r="206" spans="2:5" ht="15" thickBot="1">
      <c r="B206" s="2">
        <v>45130</v>
      </c>
      <c r="C206" s="3">
        <v>900</v>
      </c>
      <c r="E206" s="11" t="s">
        <v>58</v>
      </c>
    </row>
    <row r="207" spans="2:5" ht="15" thickBot="1">
      <c r="B207" s="2">
        <v>45131</v>
      </c>
      <c r="C207" s="3">
        <v>932</v>
      </c>
    </row>
    <row r="208" spans="2:5" ht="18.600000000000001" thickBot="1">
      <c r="B208" s="2">
        <v>45132</v>
      </c>
      <c r="C208" s="3">
        <v>976</v>
      </c>
      <c r="E208" s="8" t="s">
        <v>59</v>
      </c>
    </row>
    <row r="209" spans="2:5" ht="15" thickBot="1">
      <c r="B209" s="2">
        <v>45133</v>
      </c>
      <c r="C209" s="3">
        <v>921</v>
      </c>
    </row>
    <row r="210" spans="2:5" ht="15" thickBot="1">
      <c r="B210" s="2">
        <v>45134</v>
      </c>
      <c r="C210" s="3">
        <v>974</v>
      </c>
      <c r="E210" s="10" t="s">
        <v>49</v>
      </c>
    </row>
    <row r="211" spans="2:5" ht="15" thickBot="1">
      <c r="B211" s="2">
        <v>45135</v>
      </c>
      <c r="C211" s="3">
        <v>968</v>
      </c>
      <c r="E211" s="11"/>
    </row>
    <row r="212" spans="2:5" ht="15" thickBot="1">
      <c r="B212" s="2">
        <v>45136</v>
      </c>
      <c r="C212" s="3">
        <v>922</v>
      </c>
      <c r="E212" s="11" t="s">
        <v>60</v>
      </c>
    </row>
    <row r="213" spans="2:5" ht="15" thickBot="1">
      <c r="B213" s="2">
        <v>45137</v>
      </c>
      <c r="C213" s="3">
        <v>970</v>
      </c>
    </row>
    <row r="214" spans="2:5" ht="18.600000000000001" thickBot="1">
      <c r="B214" s="2">
        <v>45138</v>
      </c>
      <c r="C214" s="3">
        <v>994</v>
      </c>
      <c r="E214" s="8" t="s">
        <v>61</v>
      </c>
    </row>
    <row r="215" spans="2:5" ht="15" thickBot="1">
      <c r="B215" s="2">
        <v>45139</v>
      </c>
      <c r="C215" s="3">
        <v>908</v>
      </c>
    </row>
    <row r="216" spans="2:5" ht="15" thickBot="1">
      <c r="B216" s="2">
        <v>45140</v>
      </c>
      <c r="C216" s="3">
        <v>940</v>
      </c>
      <c r="E216" s="10" t="s">
        <v>49</v>
      </c>
    </row>
    <row r="217" spans="2:5" ht="15" thickBot="1">
      <c r="B217" s="2">
        <v>45141</v>
      </c>
      <c r="C217" s="3">
        <v>915</v>
      </c>
      <c r="E217" s="11"/>
    </row>
    <row r="218" spans="2:5" ht="15" thickBot="1">
      <c r="B218" s="2">
        <v>45142</v>
      </c>
      <c r="C218" s="3">
        <v>988</v>
      </c>
      <c r="E218" s="11" t="s">
        <v>62</v>
      </c>
    </row>
    <row r="219" spans="2:5" ht="15" thickBot="1">
      <c r="B219" s="2">
        <v>45143</v>
      </c>
      <c r="C219" s="3">
        <v>930</v>
      </c>
      <c r="E219" s="11"/>
    </row>
    <row r="220" spans="2:5" ht="15" thickBot="1">
      <c r="B220" s="2">
        <v>45144</v>
      </c>
      <c r="C220" s="3">
        <v>999</v>
      </c>
      <c r="E220" s="12" t="s">
        <v>63</v>
      </c>
    </row>
    <row r="221" spans="2:5" ht="15" thickBot="1">
      <c r="B221" s="2">
        <v>45145</v>
      </c>
      <c r="C221" s="3">
        <v>959</v>
      </c>
      <c r="E221" s="11"/>
    </row>
    <row r="222" spans="2:5" ht="15" thickBot="1">
      <c r="B222" s="2">
        <v>45146</v>
      </c>
      <c r="C222" s="3">
        <v>981</v>
      </c>
      <c r="E222" s="12" t="s">
        <v>64</v>
      </c>
    </row>
    <row r="223" spans="2:5" ht="15" thickBot="1">
      <c r="B223" s="2">
        <v>45147</v>
      </c>
      <c r="C223" s="3">
        <v>905</v>
      </c>
      <c r="E223" s="11"/>
    </row>
    <row r="224" spans="2:5" ht="15" thickBot="1">
      <c r="B224" s="2">
        <v>45148</v>
      </c>
      <c r="C224" s="3">
        <v>977</v>
      </c>
      <c r="E224" s="12" t="s">
        <v>65</v>
      </c>
    </row>
    <row r="225" spans="2:5" ht="15" thickBot="1">
      <c r="B225" s="2">
        <v>45149</v>
      </c>
      <c r="C225" s="3">
        <v>966</v>
      </c>
      <c r="E225" s="11"/>
    </row>
    <row r="226" spans="2:5" ht="15" thickBot="1">
      <c r="B226" s="2">
        <v>45150</v>
      </c>
      <c r="C226" s="3">
        <v>937</v>
      </c>
      <c r="E226" s="12" t="s">
        <v>66</v>
      </c>
    </row>
    <row r="227" spans="2:5" ht="15" thickBot="1">
      <c r="B227" s="2">
        <v>45151</v>
      </c>
      <c r="C227" s="3">
        <v>949</v>
      </c>
    </row>
    <row r="228" spans="2:5" ht="15" thickBot="1">
      <c r="B228" s="2">
        <v>45152</v>
      </c>
      <c r="C228" s="3">
        <v>971</v>
      </c>
      <c r="E228" t="s">
        <v>67</v>
      </c>
    </row>
    <row r="229" spans="2:5" ht="15" thickBot="1">
      <c r="B229" s="2">
        <v>45153</v>
      </c>
      <c r="C229" s="3">
        <v>978</v>
      </c>
    </row>
    <row r="230" spans="2:5" ht="18.600000000000001" thickBot="1">
      <c r="B230" s="2">
        <v>45154</v>
      </c>
      <c r="C230" s="3">
        <v>947</v>
      </c>
      <c r="E230" s="8" t="s">
        <v>68</v>
      </c>
    </row>
    <row r="231" spans="2:5" ht="15" thickBot="1">
      <c r="B231" s="2">
        <v>45155</v>
      </c>
      <c r="C231" s="3">
        <v>946</v>
      </c>
    </row>
    <row r="232" spans="2:5" ht="15" thickBot="1">
      <c r="B232" s="2">
        <v>45156</v>
      </c>
      <c r="C232" s="3">
        <v>945</v>
      </c>
      <c r="E232" s="10" t="s">
        <v>49</v>
      </c>
    </row>
    <row r="233" spans="2:5" ht="15" thickBot="1">
      <c r="B233" s="2">
        <v>45157</v>
      </c>
      <c r="C233" s="3">
        <v>984</v>
      </c>
      <c r="E233" s="11"/>
    </row>
    <row r="234" spans="2:5" ht="15" thickBot="1">
      <c r="B234" s="2">
        <v>45158</v>
      </c>
      <c r="C234" s="3">
        <v>900</v>
      </c>
      <c r="E234" s="11" t="s">
        <v>69</v>
      </c>
    </row>
    <row r="235" spans="2:5" ht="15" thickBot="1">
      <c r="B235" s="2">
        <v>45159</v>
      </c>
      <c r="C235" s="3">
        <v>927</v>
      </c>
    </row>
    <row r="236" spans="2:5" ht="18.600000000000001" thickBot="1">
      <c r="B236" s="2">
        <v>45160</v>
      </c>
      <c r="C236" s="3">
        <v>908</v>
      </c>
      <c r="E236" s="8" t="s">
        <v>70</v>
      </c>
    </row>
    <row r="237" spans="2:5" ht="15" thickBot="1">
      <c r="B237" s="2">
        <v>45161</v>
      </c>
      <c r="C237" s="3">
        <v>971</v>
      </c>
    </row>
    <row r="238" spans="2:5" ht="15" thickBot="1">
      <c r="B238" s="2">
        <v>45162</v>
      </c>
      <c r="C238" s="3">
        <v>997</v>
      </c>
      <c r="E238" s="10" t="s">
        <v>49</v>
      </c>
    </row>
    <row r="239" spans="2:5" ht="15" thickBot="1">
      <c r="B239" s="2">
        <v>45163</v>
      </c>
      <c r="C239" s="3">
        <v>917</v>
      </c>
      <c r="E239" s="11"/>
    </row>
    <row r="240" spans="2:5" ht="15" thickBot="1">
      <c r="B240" s="2">
        <v>45164</v>
      </c>
      <c r="C240" s="3">
        <v>922</v>
      </c>
      <c r="E240" s="11" t="s">
        <v>71</v>
      </c>
    </row>
    <row r="241" spans="2:5" ht="15" thickBot="1">
      <c r="B241" s="2">
        <v>45165</v>
      </c>
      <c r="C241" s="3">
        <v>913</v>
      </c>
    </row>
    <row r="242" spans="2:5" ht="18.600000000000001" thickBot="1">
      <c r="B242" s="2">
        <v>45166</v>
      </c>
      <c r="C242" s="3">
        <v>942</v>
      </c>
      <c r="E242" s="8" t="s">
        <v>72</v>
      </c>
    </row>
    <row r="243" spans="2:5" ht="15" thickBot="1">
      <c r="B243" s="2">
        <v>45167</v>
      </c>
      <c r="C243" s="3">
        <v>936</v>
      </c>
    </row>
    <row r="244" spans="2:5" ht="15" thickBot="1">
      <c r="B244" s="2">
        <v>45168</v>
      </c>
      <c r="C244" s="3">
        <v>918</v>
      </c>
      <c r="E244" s="10" t="s">
        <v>49</v>
      </c>
    </row>
    <row r="245" spans="2:5" ht="15" thickBot="1">
      <c r="B245" s="2">
        <v>45169</v>
      </c>
      <c r="C245" s="3">
        <v>987</v>
      </c>
      <c r="E245" s="11"/>
    </row>
    <row r="246" spans="2:5" ht="15" thickBot="1">
      <c r="B246" s="2">
        <v>45170</v>
      </c>
      <c r="C246" s="3">
        <v>958</v>
      </c>
      <c r="E246" s="11" t="s">
        <v>73</v>
      </c>
    </row>
    <row r="247" spans="2:5" ht="15" thickBot="1">
      <c r="B247" s="2">
        <v>45171</v>
      </c>
      <c r="C247" s="3">
        <v>1260</v>
      </c>
      <c r="E247" s="11"/>
    </row>
    <row r="248" spans="2:5" ht="15" thickBot="1">
      <c r="B248" s="2">
        <v>45172</v>
      </c>
      <c r="C248" s="3">
        <v>1255</v>
      </c>
      <c r="E248" s="11" t="s">
        <v>74</v>
      </c>
    </row>
    <row r="249" spans="2:5" ht="15" thickBot="1">
      <c r="B249" s="2">
        <v>45173</v>
      </c>
      <c r="C249" s="3">
        <v>1242</v>
      </c>
      <c r="E249" s="11"/>
    </row>
    <row r="250" spans="2:5" ht="15" thickBot="1">
      <c r="B250" s="2">
        <v>45174</v>
      </c>
      <c r="C250" s="3">
        <v>1256</v>
      </c>
      <c r="E250" s="11" t="s">
        <v>75</v>
      </c>
    </row>
    <row r="251" spans="2:5" ht="15" thickBot="1">
      <c r="B251" s="2">
        <v>45175</v>
      </c>
      <c r="C251" s="3">
        <v>1212</v>
      </c>
      <c r="E251" s="11"/>
    </row>
    <row r="252" spans="2:5" ht="15" thickBot="1">
      <c r="B252" s="2">
        <v>45176</v>
      </c>
      <c r="C252" s="3">
        <v>1226</v>
      </c>
      <c r="E252" s="11" t="s">
        <v>76</v>
      </c>
    </row>
    <row r="253" spans="2:5" ht="15" thickBot="1">
      <c r="B253" s="2">
        <v>45177</v>
      </c>
      <c r="C253" s="3">
        <v>1221</v>
      </c>
    </row>
    <row r="254" spans="2:5" ht="15" thickBot="1">
      <c r="B254" s="2">
        <v>45178</v>
      </c>
      <c r="C254" s="3">
        <v>1215</v>
      </c>
    </row>
    <row r="255" spans="2:5" ht="15" thickBot="1">
      <c r="B255" s="2">
        <v>45179</v>
      </c>
      <c r="C255" s="3">
        <v>1207</v>
      </c>
    </row>
    <row r="256" spans="2:5" ht="15" thickBot="1">
      <c r="B256" s="2">
        <v>45180</v>
      </c>
      <c r="C256" s="3">
        <v>1232</v>
      </c>
    </row>
    <row r="257" spans="2:3" ht="15" thickBot="1">
      <c r="B257" s="2">
        <v>45181</v>
      </c>
      <c r="C257" s="3">
        <v>1297</v>
      </c>
    </row>
    <row r="258" spans="2:3" ht="15" thickBot="1">
      <c r="B258" s="2">
        <v>45182</v>
      </c>
      <c r="C258" s="3">
        <v>1232</v>
      </c>
    </row>
    <row r="259" spans="2:3" ht="15" thickBot="1">
      <c r="B259" s="2">
        <v>45183</v>
      </c>
      <c r="C259" s="3">
        <v>1270</v>
      </c>
    </row>
    <row r="260" spans="2:3" ht="15" thickBot="1">
      <c r="B260" s="2">
        <v>45184</v>
      </c>
      <c r="C260" s="3">
        <v>1237</v>
      </c>
    </row>
    <row r="261" spans="2:3" ht="15" thickBot="1">
      <c r="B261" s="2">
        <v>45185</v>
      </c>
      <c r="C261" s="3">
        <v>1219</v>
      </c>
    </row>
    <row r="262" spans="2:3" ht="15" thickBot="1">
      <c r="B262" s="2">
        <v>45186</v>
      </c>
      <c r="C262" s="3">
        <v>1252</v>
      </c>
    </row>
    <row r="263" spans="2:3" ht="15" thickBot="1">
      <c r="B263" s="2">
        <v>45187</v>
      </c>
      <c r="C263" s="3">
        <v>1241</v>
      </c>
    </row>
    <row r="264" spans="2:3" ht="15" thickBot="1">
      <c r="B264" s="2">
        <v>45188</v>
      </c>
      <c r="C264" s="3">
        <v>1266</v>
      </c>
    </row>
    <row r="265" spans="2:3" ht="15" thickBot="1">
      <c r="B265" s="2">
        <v>45189</v>
      </c>
      <c r="C265" s="3">
        <v>1206</v>
      </c>
    </row>
    <row r="266" spans="2:3" ht="15" thickBot="1">
      <c r="B266" s="2">
        <v>45190</v>
      </c>
      <c r="C266" s="3">
        <v>1201</v>
      </c>
    </row>
    <row r="267" spans="2:3" ht="15" thickBot="1">
      <c r="B267" s="2">
        <v>45191</v>
      </c>
      <c r="C267" s="3">
        <v>1286</v>
      </c>
    </row>
    <row r="268" spans="2:3" ht="15" thickBot="1">
      <c r="B268" s="2">
        <v>45192</v>
      </c>
      <c r="C268" s="3">
        <v>1248</v>
      </c>
    </row>
    <row r="269" spans="2:3" ht="15" thickBot="1">
      <c r="B269" s="2">
        <v>45193</v>
      </c>
      <c r="C269" s="3">
        <v>1294</v>
      </c>
    </row>
    <row r="270" spans="2:3" ht="15" thickBot="1">
      <c r="B270" s="2">
        <v>45194</v>
      </c>
      <c r="C270" s="3">
        <v>1289</v>
      </c>
    </row>
    <row r="271" spans="2:3" ht="15" thickBot="1">
      <c r="B271" s="2">
        <v>45195</v>
      </c>
      <c r="C271" s="3">
        <v>1241</v>
      </c>
    </row>
    <row r="272" spans="2:3" ht="15" thickBot="1">
      <c r="B272" s="2">
        <v>45196</v>
      </c>
      <c r="C272" s="3">
        <v>1258</v>
      </c>
    </row>
    <row r="273" spans="2:3" ht="15" thickBot="1">
      <c r="B273" s="2">
        <v>45197</v>
      </c>
      <c r="C273" s="3">
        <v>1290</v>
      </c>
    </row>
    <row r="274" spans="2:3" ht="15" thickBot="1">
      <c r="B274" s="2">
        <v>45198</v>
      </c>
      <c r="C274" s="3">
        <v>1300</v>
      </c>
    </row>
    <row r="275" spans="2:3" ht="15" thickBot="1">
      <c r="B275" s="2">
        <v>45199</v>
      </c>
      <c r="C275" s="3">
        <v>1277</v>
      </c>
    </row>
    <row r="276" spans="2:3" ht="15" thickBot="1">
      <c r="B276" s="2">
        <v>45200</v>
      </c>
      <c r="C276" s="3">
        <v>1294</v>
      </c>
    </row>
    <row r="277" spans="2:3" ht="15" thickBot="1">
      <c r="B277" s="2">
        <v>45201</v>
      </c>
      <c r="C277" s="3">
        <v>1244</v>
      </c>
    </row>
    <row r="278" spans="2:3" ht="15" thickBot="1">
      <c r="B278" s="2">
        <v>45202</v>
      </c>
      <c r="C278" s="3">
        <v>1299</v>
      </c>
    </row>
    <row r="279" spans="2:3" ht="15" thickBot="1">
      <c r="B279" s="2">
        <v>45203</v>
      </c>
      <c r="C279" s="3">
        <v>1269</v>
      </c>
    </row>
    <row r="280" spans="2:3" ht="15" thickBot="1">
      <c r="B280" s="2">
        <v>45204</v>
      </c>
      <c r="C280" s="3">
        <v>1230</v>
      </c>
    </row>
    <row r="281" spans="2:3" ht="15" thickBot="1">
      <c r="B281" s="2">
        <v>45205</v>
      </c>
      <c r="C281" s="3">
        <v>1256</v>
      </c>
    </row>
    <row r="282" spans="2:3" ht="15" thickBot="1">
      <c r="B282" s="2">
        <v>45206</v>
      </c>
      <c r="C282" s="3">
        <v>1281</v>
      </c>
    </row>
    <row r="283" spans="2:3" ht="15" thickBot="1">
      <c r="B283" s="2">
        <v>45207</v>
      </c>
      <c r="C283" s="3">
        <v>1289</v>
      </c>
    </row>
    <row r="284" spans="2:3" ht="15" thickBot="1">
      <c r="B284" s="2">
        <v>45208</v>
      </c>
      <c r="C284" s="3">
        <v>1282</v>
      </c>
    </row>
    <row r="285" spans="2:3" ht="15" thickBot="1">
      <c r="B285" s="2">
        <v>45209</v>
      </c>
      <c r="C285" s="3">
        <v>1255</v>
      </c>
    </row>
    <row r="286" spans="2:3" ht="15" thickBot="1">
      <c r="B286" s="2">
        <v>45210</v>
      </c>
      <c r="C286" s="3">
        <v>1238</v>
      </c>
    </row>
    <row r="287" spans="2:3" ht="15" thickBot="1">
      <c r="B287" s="2">
        <v>45211</v>
      </c>
      <c r="C287" s="3">
        <v>1217</v>
      </c>
    </row>
    <row r="288" spans="2:3" ht="15" thickBot="1">
      <c r="B288" s="2">
        <v>45212</v>
      </c>
      <c r="C288" s="3">
        <v>1215</v>
      </c>
    </row>
    <row r="289" spans="2:3" ht="15" thickBot="1">
      <c r="B289" s="2">
        <v>45213</v>
      </c>
      <c r="C289" s="3">
        <v>1272</v>
      </c>
    </row>
    <row r="290" spans="2:3" ht="15" thickBot="1">
      <c r="B290" s="2">
        <v>45214</v>
      </c>
      <c r="C290" s="3">
        <v>1237</v>
      </c>
    </row>
    <row r="291" spans="2:3" ht="15" thickBot="1">
      <c r="B291" s="2">
        <v>45215</v>
      </c>
      <c r="C291" s="3">
        <v>1244</v>
      </c>
    </row>
    <row r="292" spans="2:3" ht="15" thickBot="1">
      <c r="B292" s="2">
        <v>45216</v>
      </c>
      <c r="C292" s="3">
        <v>1256</v>
      </c>
    </row>
    <row r="293" spans="2:3" ht="15" thickBot="1">
      <c r="B293" s="2">
        <v>45217</v>
      </c>
      <c r="C293" s="3">
        <v>1202</v>
      </c>
    </row>
    <row r="294" spans="2:3" ht="15" thickBot="1">
      <c r="B294" s="2">
        <v>45218</v>
      </c>
      <c r="C294" s="3">
        <v>1292</v>
      </c>
    </row>
    <row r="295" spans="2:3" ht="15" thickBot="1">
      <c r="B295" s="2">
        <v>45219</v>
      </c>
      <c r="C295" s="3">
        <v>1270</v>
      </c>
    </row>
    <row r="296" spans="2:3" ht="15" thickBot="1">
      <c r="B296" s="2">
        <v>45220</v>
      </c>
      <c r="C296" s="3">
        <v>1283</v>
      </c>
    </row>
    <row r="297" spans="2:3" ht="15" thickBot="1">
      <c r="B297" s="2">
        <v>45221</v>
      </c>
      <c r="C297" s="3">
        <v>1215</v>
      </c>
    </row>
    <row r="298" spans="2:3" ht="15" thickBot="1">
      <c r="B298" s="2">
        <v>45222</v>
      </c>
      <c r="C298" s="3">
        <v>1218</v>
      </c>
    </row>
    <row r="299" spans="2:3" ht="15" thickBot="1">
      <c r="B299" s="2">
        <v>45223</v>
      </c>
      <c r="C299" s="3">
        <v>1298</v>
      </c>
    </row>
    <row r="300" spans="2:3" ht="15" thickBot="1">
      <c r="B300" s="2">
        <v>45224</v>
      </c>
      <c r="C300" s="3">
        <v>1207</v>
      </c>
    </row>
    <row r="301" spans="2:3" ht="15" thickBot="1">
      <c r="B301" s="2">
        <v>45225</v>
      </c>
      <c r="C301" s="3">
        <v>1283</v>
      </c>
    </row>
    <row r="302" spans="2:3" ht="15" thickBot="1">
      <c r="B302" s="2">
        <v>45226</v>
      </c>
      <c r="C302" s="3">
        <v>1208</v>
      </c>
    </row>
    <row r="303" spans="2:3" ht="15" thickBot="1">
      <c r="B303" s="2">
        <v>45227</v>
      </c>
      <c r="C303" s="3">
        <v>1204</v>
      </c>
    </row>
    <row r="304" spans="2:3" ht="15" thickBot="1">
      <c r="B304" s="2">
        <v>45228</v>
      </c>
      <c r="C304" s="3">
        <v>1285</v>
      </c>
    </row>
    <row r="305" spans="2:3" ht="15" thickBot="1">
      <c r="B305" s="2">
        <v>45229</v>
      </c>
      <c r="C305" s="3">
        <v>1230</v>
      </c>
    </row>
    <row r="306" spans="2:3" ht="15" thickBot="1">
      <c r="B306" s="2">
        <v>45230</v>
      </c>
      <c r="C306" s="3">
        <v>1244</v>
      </c>
    </row>
    <row r="307" spans="2:3" ht="15" thickBot="1">
      <c r="B307" s="2">
        <v>45231</v>
      </c>
      <c r="C307" s="3">
        <v>1294</v>
      </c>
    </row>
    <row r="308" spans="2:3" ht="15" thickBot="1">
      <c r="B308" s="2">
        <v>45232</v>
      </c>
      <c r="C308" s="3">
        <v>1271</v>
      </c>
    </row>
    <row r="309" spans="2:3" ht="15" thickBot="1">
      <c r="B309" s="2">
        <v>45233</v>
      </c>
      <c r="C309" s="3">
        <v>1200</v>
      </c>
    </row>
    <row r="310" spans="2:3" ht="15" thickBot="1">
      <c r="B310" s="2">
        <v>45234</v>
      </c>
      <c r="C310" s="3">
        <v>1207</v>
      </c>
    </row>
    <row r="311" spans="2:3" ht="15" thickBot="1">
      <c r="B311" s="2">
        <v>45235</v>
      </c>
      <c r="C311" s="3">
        <v>1262</v>
      </c>
    </row>
    <row r="312" spans="2:3" ht="15" thickBot="1">
      <c r="B312" s="2">
        <v>45236</v>
      </c>
      <c r="C312" s="3">
        <v>1222</v>
      </c>
    </row>
    <row r="313" spans="2:3" ht="15" thickBot="1">
      <c r="B313" s="2">
        <v>45237</v>
      </c>
      <c r="C313" s="3">
        <v>1238</v>
      </c>
    </row>
    <row r="314" spans="2:3" ht="15" thickBot="1">
      <c r="B314" s="2">
        <v>45238</v>
      </c>
      <c r="C314" s="3">
        <v>1226</v>
      </c>
    </row>
    <row r="315" spans="2:3" ht="15" thickBot="1">
      <c r="B315" s="2">
        <v>45239</v>
      </c>
      <c r="C315" s="3">
        <v>1206</v>
      </c>
    </row>
    <row r="316" spans="2:3" ht="15" thickBot="1">
      <c r="B316" s="2">
        <v>45240</v>
      </c>
      <c r="C316" s="3">
        <v>1270</v>
      </c>
    </row>
    <row r="317" spans="2:3" ht="15" thickBot="1">
      <c r="B317" s="2">
        <v>45241</v>
      </c>
      <c r="C317" s="3">
        <v>1270</v>
      </c>
    </row>
    <row r="318" spans="2:3" ht="15" thickBot="1">
      <c r="B318" s="2">
        <v>45242</v>
      </c>
      <c r="C318" s="3">
        <v>1209</v>
      </c>
    </row>
    <row r="319" spans="2:3" ht="15" thickBot="1">
      <c r="B319" s="2">
        <v>45243</v>
      </c>
      <c r="C319" s="3">
        <v>1271</v>
      </c>
    </row>
    <row r="320" spans="2:3" ht="15" thickBot="1">
      <c r="B320" s="2">
        <v>45244</v>
      </c>
      <c r="C320" s="3">
        <v>1288</v>
      </c>
    </row>
    <row r="321" spans="2:3" ht="15" thickBot="1">
      <c r="B321" s="2">
        <v>45245</v>
      </c>
      <c r="C321" s="3">
        <v>1286</v>
      </c>
    </row>
    <row r="322" spans="2:3" ht="15" thickBot="1">
      <c r="B322" s="2">
        <v>45246</v>
      </c>
      <c r="C322" s="3">
        <v>1235</v>
      </c>
    </row>
    <row r="323" spans="2:3" ht="15" thickBot="1">
      <c r="B323" s="2">
        <v>45247</v>
      </c>
      <c r="C323" s="3">
        <v>1255</v>
      </c>
    </row>
    <row r="324" spans="2:3" ht="15" thickBot="1">
      <c r="B324" s="2">
        <v>45248</v>
      </c>
      <c r="C324" s="3">
        <v>1273</v>
      </c>
    </row>
    <row r="325" spans="2:3" ht="15" thickBot="1">
      <c r="B325" s="2">
        <v>45249</v>
      </c>
      <c r="C325" s="3">
        <v>1277</v>
      </c>
    </row>
    <row r="326" spans="2:3" ht="15" thickBot="1">
      <c r="B326" s="2">
        <v>45250</v>
      </c>
      <c r="C326" s="3">
        <v>1229</v>
      </c>
    </row>
    <row r="327" spans="2:3" ht="15" thickBot="1">
      <c r="B327" s="2">
        <v>45251</v>
      </c>
      <c r="C327" s="3">
        <v>1295</v>
      </c>
    </row>
    <row r="328" spans="2:3" ht="15" thickBot="1">
      <c r="B328" s="2">
        <v>45252</v>
      </c>
      <c r="C328" s="3">
        <v>1250</v>
      </c>
    </row>
    <row r="329" spans="2:3" ht="15" thickBot="1">
      <c r="B329" s="2">
        <v>45253</v>
      </c>
      <c r="C329" s="3">
        <v>1232</v>
      </c>
    </row>
    <row r="330" spans="2:3" ht="15" thickBot="1">
      <c r="B330" s="2">
        <v>45254</v>
      </c>
      <c r="C330" s="3">
        <v>1276</v>
      </c>
    </row>
    <row r="331" spans="2:3" ht="15" thickBot="1">
      <c r="B331" s="2">
        <v>45255</v>
      </c>
      <c r="C331" s="3">
        <v>1243</v>
      </c>
    </row>
    <row r="332" spans="2:3" ht="15" thickBot="1">
      <c r="B332" s="2">
        <v>45256</v>
      </c>
      <c r="C332" s="3">
        <v>1294</v>
      </c>
    </row>
    <row r="333" spans="2:3" ht="15" thickBot="1">
      <c r="B333" s="2">
        <v>45257</v>
      </c>
      <c r="C333" s="3">
        <v>1248</v>
      </c>
    </row>
    <row r="334" spans="2:3" ht="15" thickBot="1">
      <c r="B334" s="2">
        <v>45258</v>
      </c>
      <c r="C334" s="3">
        <v>1289</v>
      </c>
    </row>
    <row r="335" spans="2:3" ht="15" thickBot="1">
      <c r="B335" s="2">
        <v>45259</v>
      </c>
      <c r="C335" s="3">
        <v>1291</v>
      </c>
    </row>
    <row r="336" spans="2:3" ht="15" thickBot="1">
      <c r="B336" s="2">
        <v>45260</v>
      </c>
      <c r="C336" s="3">
        <v>1295</v>
      </c>
    </row>
    <row r="337" spans="2:3" ht="15" thickBot="1">
      <c r="B337" s="2">
        <v>45261</v>
      </c>
      <c r="C337" s="3">
        <v>1293</v>
      </c>
    </row>
    <row r="338" spans="2:3" ht="15" thickBot="1">
      <c r="B338" s="2">
        <v>45262</v>
      </c>
      <c r="C338" s="3">
        <v>1290</v>
      </c>
    </row>
    <row r="339" spans="2:3" ht="15" thickBot="1">
      <c r="B339" s="2">
        <v>45263</v>
      </c>
      <c r="C339" s="3">
        <v>1290</v>
      </c>
    </row>
    <row r="340" spans="2:3" ht="15" thickBot="1">
      <c r="B340" s="2">
        <v>45264</v>
      </c>
      <c r="C340" s="3">
        <v>1300</v>
      </c>
    </row>
    <row r="341" spans="2:3" ht="15" thickBot="1">
      <c r="B341" s="2">
        <v>45265</v>
      </c>
      <c r="C341" s="3">
        <v>1301</v>
      </c>
    </row>
    <row r="342" spans="2:3" ht="15" thickBot="1">
      <c r="B342" s="2">
        <v>45266</v>
      </c>
      <c r="C342" s="3">
        <v>1292</v>
      </c>
    </row>
    <row r="343" spans="2:3" ht="15" thickBot="1">
      <c r="B343" s="2">
        <v>45267</v>
      </c>
      <c r="C343" s="3">
        <v>1305</v>
      </c>
    </row>
    <row r="344" spans="2:3" ht="15" thickBot="1">
      <c r="B344" s="2">
        <v>45268</v>
      </c>
      <c r="C344" s="3">
        <v>1310</v>
      </c>
    </row>
    <row r="345" spans="2:3" ht="15" thickBot="1">
      <c r="B345" s="2">
        <v>45269</v>
      </c>
      <c r="C345" s="3">
        <v>1325</v>
      </c>
    </row>
    <row r="346" spans="2:3" ht="15" thickBot="1">
      <c r="B346" s="2">
        <v>45270</v>
      </c>
      <c r="C346" s="3">
        <v>1350</v>
      </c>
    </row>
    <row r="347" spans="2:3" ht="15" thickBot="1">
      <c r="B347" s="2">
        <v>45271</v>
      </c>
      <c r="C347" s="3">
        <v>1351</v>
      </c>
    </row>
    <row r="348" spans="2:3" ht="15" thickBot="1">
      <c r="B348" s="2">
        <v>45272</v>
      </c>
      <c r="C348" s="3">
        <v>1352</v>
      </c>
    </row>
    <row r="349" spans="2:3" ht="15" thickBot="1">
      <c r="B349" s="2">
        <v>45273</v>
      </c>
      <c r="C349" s="3">
        <v>1365</v>
      </c>
    </row>
    <row r="350" spans="2:3" ht="15" thickBot="1">
      <c r="B350" s="2">
        <v>45274</v>
      </c>
      <c r="C350" s="3">
        <v>1360</v>
      </c>
    </row>
    <row r="351" spans="2:3" ht="15" thickBot="1">
      <c r="B351" s="2">
        <v>45275</v>
      </c>
      <c r="C351" s="3">
        <v>1361</v>
      </c>
    </row>
    <row r="352" spans="2:3" ht="15" thickBot="1">
      <c r="B352" s="2">
        <v>45276</v>
      </c>
      <c r="C352" s="3">
        <v>1362</v>
      </c>
    </row>
    <row r="353" spans="2:3" ht="15" thickBot="1">
      <c r="B353" s="2">
        <v>45277</v>
      </c>
      <c r="C353" s="3">
        <v>1362</v>
      </c>
    </row>
    <row r="354" spans="2:3" ht="15" thickBot="1">
      <c r="B354" s="2">
        <v>45278</v>
      </c>
      <c r="C354" s="3">
        <v>1369</v>
      </c>
    </row>
    <row r="355" spans="2:3" ht="15" thickBot="1">
      <c r="B355" s="2">
        <v>45279</v>
      </c>
      <c r="C355" s="3">
        <v>1370</v>
      </c>
    </row>
    <row r="356" spans="2:3" ht="15" thickBot="1">
      <c r="B356" s="2">
        <v>45280</v>
      </c>
      <c r="C356" s="3">
        <v>1380</v>
      </c>
    </row>
    <row r="357" spans="2:3" ht="15" thickBot="1">
      <c r="B357" s="2">
        <v>45281</v>
      </c>
      <c r="C357" s="3">
        <v>1390</v>
      </c>
    </row>
    <row r="358" spans="2:3" ht="15" thickBot="1">
      <c r="B358" s="2">
        <v>45282</v>
      </c>
      <c r="C358" s="3">
        <v>1400</v>
      </c>
    </row>
    <row r="359" spans="2:3" ht="15" thickBot="1">
      <c r="B359" s="2">
        <v>45283</v>
      </c>
      <c r="C359" s="3">
        <v>1405</v>
      </c>
    </row>
    <row r="360" spans="2:3" ht="15" thickBot="1">
      <c r="B360" s="2">
        <v>45284</v>
      </c>
      <c r="C360" s="3">
        <v>1406</v>
      </c>
    </row>
    <row r="361" spans="2:3" ht="15" thickBot="1">
      <c r="B361" s="2">
        <v>45285</v>
      </c>
      <c r="C361" s="3">
        <v>1408</v>
      </c>
    </row>
    <row r="362" spans="2:3" ht="15" thickBot="1">
      <c r="B362" s="2">
        <v>45286</v>
      </c>
      <c r="C362" s="3">
        <v>1409</v>
      </c>
    </row>
    <row r="363" spans="2:3" ht="15" thickBot="1">
      <c r="B363" s="2">
        <v>45287</v>
      </c>
      <c r="C363" s="3">
        <v>1400</v>
      </c>
    </row>
    <row r="364" spans="2:3" ht="15" thickBot="1">
      <c r="B364" s="2">
        <v>45288</v>
      </c>
      <c r="C364" s="3">
        <v>1420</v>
      </c>
    </row>
    <row r="365" spans="2:3" ht="15" thickBot="1">
      <c r="B365" s="2">
        <v>45289</v>
      </c>
      <c r="C365" s="4">
        <v>1423</v>
      </c>
    </row>
    <row r="366" spans="2:3" ht="15" thickBot="1">
      <c r="B366" s="2">
        <v>45290</v>
      </c>
      <c r="C366" s="4">
        <v>1452</v>
      </c>
    </row>
    <row r="367" spans="2:3" ht="15" thickBot="1">
      <c r="B367" s="2">
        <v>45291</v>
      </c>
      <c r="C367" s="4">
        <v>1455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Aleem Shaikh</cp:lastModifiedBy>
  <dcterms:created xsi:type="dcterms:W3CDTF">2024-02-01T18:52:05Z</dcterms:created>
  <dcterms:modified xsi:type="dcterms:W3CDTF">2025-09-08T18:21:56Z</dcterms:modified>
</cp:coreProperties>
</file>