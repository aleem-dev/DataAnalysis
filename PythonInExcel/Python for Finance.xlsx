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ik\Documents\DataAnalysis\PythonInExcel\"/>
    </mc:Choice>
  </mc:AlternateContent>
  <xr:revisionPtr revIDLastSave="0" documentId="13_ncr:1_{14FA6A4F-25BE-42AD-95C0-558C3654C4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-03" sheetId="2" r:id="rId1"/>
    <sheet name="01-04" sheetId="3" r:id="rId2"/>
    <sheet name="02-02" sheetId="6" r:id="rId3"/>
    <sheet name="02-03" sheetId="8" r:id="rId4"/>
    <sheet name="02-04" sheetId="9" r:id="rId5"/>
    <sheet name="02-05" sheetId="10" r:id="rId6"/>
    <sheet name="03-01" sheetId="12" r:id="rId7"/>
    <sheet name="03-04" sheetId="17" r:id="rId8"/>
    <sheet name="04-01" sheetId="14" r:id="rId9"/>
    <sheet name="04-02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7" i="12" l="1"/>
  <c r="L36" i="12"/>
  <c r="L35" i="12"/>
  <c r="L34" i="12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L5" i="12"/>
  <c r="L4" i="12"/>
  <c r="E5" i="2" a="1"/>
  <c r="E5" i="2" l="1"/>
  <c r="E6" i="2" a="1"/>
  <c r="E6" i="2" l="1"/>
  <c r="E7" i="2" a="1"/>
  <c r="E12" i="2" a="1"/>
  <c r="E7" i="2" l="1"/>
  <c r="E12" i="2"/>
  <c r="G5" i="3" a="1"/>
  <c r="G7" i="3" a="1"/>
  <c r="F9" i="3" a="1"/>
  <c r="F9" i="3" l="1"/>
  <c r="G7" i="3"/>
  <c r="G5" i="3"/>
  <c r="E4" i="6" a="1"/>
  <c r="E11" i="6" a="1"/>
  <c r="E4" i="6" l="1"/>
  <c r="E11" i="6"/>
  <c r="E13" i="6" a="1"/>
  <c r="G15" i="6" a="1"/>
  <c r="G15" i="6" l="1"/>
  <c r="E13" i="6"/>
  <c r="E4" i="8" a="1"/>
  <c r="E4" i="8" l="1"/>
  <c r="B2" i="9" a="1"/>
  <c r="K2" i="9" a="1"/>
  <c r="B2" i="9" l="1"/>
  <c r="K2" i="9"/>
  <c r="T2" i="9" a="1"/>
  <c r="T2" i="9" l="1"/>
  <c r="P2" i="10" a="1"/>
  <c r="P2" i="10" l="1"/>
  <c r="C3" i="10" a="1"/>
  <c r="C3" i="10" l="1"/>
  <c r="N4" i="12" a="1"/>
  <c r="N6" i="12" a="1"/>
  <c r="N6" i="12" l="1"/>
  <c r="N4" i="12"/>
  <c r="N8" i="12" a="1"/>
  <c r="N8" i="12" l="1"/>
  <c r="F3" i="17" a="1"/>
  <c r="F3" i="17" l="1"/>
  <c r="B2" i="14" a="1"/>
  <c r="B2" i="14" l="1"/>
  <c r="B5" i="16" a="1"/>
  <c r="B5" i="16" l="1"/>
  <c r="B10" i="16" a="1"/>
  <c r="B10" i="16" l="1"/>
  <c r="B18" i="16" a="1"/>
  <c r="B25" i="16" a="1"/>
  <c r="B31" i="16" a="1"/>
  <c r="B18" i="16" l="1"/>
  <c r="B31" i="16"/>
  <c r="B25" i="1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0"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</futureMetadata>
  <cellMetadata count="1">
    <bk>
      <rc t="1" v="0"/>
    </bk>
  </cellMetadata>
  <valueMetadata count="30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cashflows =xl(%P2%, headers = True)</code>
    </pythonScript>
    <pythonScript>
      <code>wacc =xl(%P2%)</code>
    </pythonScript>
    <pythonScript>
      <code>growth_rate =xl(%P2%)</code>
    </pythonScript>
    <pythonScript>
      <code>def calculate_dcf(cash_flows, wacc, growth_rate):
    present_value = 0
    for i, cash_flow in enumerate(cash_flows, 1):
        present_value += cash_flow / ((1 + wacc) ** i)
    # Terminal value at the end of the forecast period
    terminal_value = cash_flows[-1] * (1 + growth_rate) / (wacc - growth_rate)
    present_value_terminal = terminal_value / ((1 + wacc) ** len(cash_flows))
    # Total DCF value
    total_dcf_value = present_value + present_value_terminal
    return total_dcf_value
# Example usage
cash_flows = [100, 150, 200, 250, 300]  # Forecasted cash flows
dcf_value = calculate_dcf(cash_flows, wacc, growth_rate)
dcf_value</code>
    </pythonScript>
    <pythonScript>
      <code xml:space="preserve">Chile_b3 = xl(%P2%)
</code>
    </pythonScript>
    <pythonScript>
      <code xml:space="preserve">Chile_b3*2
</code>
    </pythonScript>
    <pythonScript>
      <code xml:space="preserve">NSV = xl(%P2%, headers=True)
</code>
    </pythonScript>
    <pythonScript>
      <code>import pandas as pd
def calculate_dcf(df, wacc, growth_rate):
    present_value = 0
    for i, row in df.iterrows():
        cash_flow = row['CashFlows']  # Replace 'CashFlows' with the actual column name
        present_value += cash_flow / ((1 + wacc) ** (i + 1))
    # Terminal value at the end of the forecast period
    terminal_value = df['CashFlows'].iloc[-1] * (1 + growth_rate) / (wacc - growth_rate)
    present_value_terminal = terminal_value / ((1 + wacc) ** len(df))
    # Total DCF value
    total_dcf_value = present_value + present_value_terminal
    return total_dcf_value
# Calculate DCF value
dcf_value = calculate_dcf(cashflows, wacc, growth_rate)
dcf_value</code>
    </pythonScript>
    <pythonScript>
      <code>import pandas as pd
import numpy as np
from sklearn.linear_model import LinearRegression
import matplotlib.pyplot as plt
from datetime import datetime, timedelta
# Create a DataFrame (replace this with your actual data)
Sales = xl(%P2%, headers=True)
# Create a datetime range for the next 30 days
end_date = Sales['date'].max() + timedelta(days=30)
forecast_dates = pd.date_range(start=Sales['date'].max() + timedelta(days=1), end=end_date, freq='D')
# Extract the numerical day representation for regression
X = np.arange(len(Sales)).reshape(-1, 1)
y = Sales['sales_today']
# Create and fit the linear regression model
model = LinearRegression()
model.fit(X, y)
# Predict sales for the next 30 days
forecast_X = np.arange(len(Sales), len(Sales) + 30).reshape(-1, 1)
forecast_sales = model.predict(forecast_X)
# Add the forecast to the DataFrame
forecast_dates = pd.Series(forecast_dates)
forecast_sales = pd.Series(forecast_sales)
forecast_data = pd.DataFrame({'date': forecast_dates, 'sales_today': forecast_sales})
Sales = pd.concat([Sales, forecast_data], ignore_index=True)
# Plot the actual and forecasted sales data
plt.figure(figsize=(12, 6))
plt.plot(Sales['date'], Sales['sales_today'], label='Actual Sales', linestyle='-', marker='o')
plt.plot(forecast_dates, forecast_sales, label='Forecasted Sales', linestyle='--', marker='x')
plt.xlabel('Date')
plt.ylabel('Sales')
plt.title('Sales Forecast for the Next 30 Days')
plt.legend()
plt.grid(True)
plt.show()</code>
    </pythonScript>
    <pythonScript>
      <code>import matplotlib.pyplot as plt
import numpy as np
data = np.random.rand(5, 5)
plt.imshow(data, cmap='viridis', interpolation='nearest')
plt.colorbar()
plt.title('Heatmap')
plt.show()</code>
    </pythonScript>
    <pythonScript>
      <code>import matplotlib.pyplot as plt
import numpy as np
# Dummy data
departments = ['R&amp;D', 'Marketing', 'HR', 'IT', 'Operations']
budget = [25, 15, 10, 20, 30]
# Colors
colors = plt.get_cmap('tab20c')(np.linspace(0.15, 0.85, len(departments)))
# Explode the 1st slice (R&amp;D)
explode = (0.1, 0, 0, 0, 0)  
# Pie chart
plt.figure(figsize=(8, 8))
plt.pie(budget, explode=explode, labels=departments, colors=colors, autopct='%%1.1f%%%%', startangle=140, shadow=True)
plt.title('Budget Distribution among Departments')
# Show the plot
plt.show()</code>
    </pythonScript>
    <pythonScript>
      <code>import matplotlib.pyplot as plt
import numpy as np
# Dummy data
departments = ['R&amp;D', 'Marketing', 'HR', 'IT', 'Operations']
budget_current_year = [25, 20, 15, 30, 35]
budget_previous_year = [20, 18, 12, 28, 30]
# Positions of the bars on the x-axis
bar_width = 0.35
index = np.arange(len(departments))
# Creating the bar chart
plt.figure(figsize=(10, 6))
bar1 = plt.bar(index, budget_current_year, bar_width, label='Current Year', color='b')
bar2 = plt.bar(index + bar_width, budget_previous_year, bar_width, label='Previous Year', color='r')
# Adding titles and labels
plt.xlabel('Departments')
plt.ylabel('Budget (in millions)')
plt.title('Budget Comparison: Current Year vs. Previous Year')
plt.xticks(index + bar_width / 2, departments)
plt.legend()
# Show the plot
plt.show()</code>
    </pythonScript>
    <pythonScript>
      <code>import matplotlib.pyplot as plt
import numpy as np
# Parameters for the Monte Carlo simulation
num_simulations = 1000
# Assuming each business unit has 2 product categories with their own mean and std dev for expenses
# Business Unit 1
BU1_cat1_mean, BU1_cat1_std = 100, 10
BU1_cat2_mean, BU1_cat2_std = 120, 15
# Business Unit 2
BU2_cat1_mean, BU2_cat1_std = 80, 8
BU2_cat2_mean, BU2_cat2_std = 110, 20
# Business Unit 3
BU3_cat1_mean, BU3_cat1_std = 90, 12
BU3_cat2_mean, BU3_cat2_std = 95, 10
# Running the Monte Carlo simulations
np.random.seed(0)  # For reproducibility
BU1_cat1_expenses = np.random.normal(BU1_cat1_mean, BU1_cat1_std, num_simulations)
BU1_cat2_expenses = np.random.normal(BU1_cat2_mean, BU1_cat2_std, num_simulations)
BU2_cat1_expenses = np.random.normal(BU2_cat1_mean, BU2_cat1_std, num_simulations)
BU2_cat2_expenses = np.random.normal(BU2_cat2_mean, BU2_cat2_std, num_simulations)
BU3_cat1_expenses = np.random.normal(BU3_cat1_mean, BU3_cat1_std, num_simulations)
BU3_cat2_expenses = np.random.normal(BU3_cat2_mean, BU3_cat2_std, num_simulations)
# Creating the box and whisker plot
plt.figure(figsize=(12, 8))
data = [BU1_cat1_expenses, BU1_cat2_expenses, BU2_cat1_expenses, BU2_cat2_expenses, BU3_cat1_expenses, BU3_cat2_expenses]
plt.boxplot(data, patch_artist=True)
# Adding titles and labels
plt.title('Monte Carlo Simulation of Expenses per Product Category in Business Units')
plt.ylabel('Expenses')
plt.xticks([1, 2, 3, 4, 5, 6], ['BU1 Cat1', 'BU1 Cat2', 'BU2 Cat1', 'BU2 Cat2', 'BU3 Cat1', 'BU3 Cat2'])
# Show the plot
plt.show()</code>
    </pythonScript>
    <pythonScript>
      <code>import numpy as np
import matplotlib.pyplot as plt
from scipy.stats import norm
# Black-Scholes formula
def black_scholes_call(S, K, T, r, sigma):
    """
    Calculate the Black-Scholes price for a European Call Option.
    S: stock price
    K: strike price
    T: time to maturity in years
    r: risk-free rate
    sigma: volatility
    """
    d1 = (np.log(S / K) + (r + 0.5 * sigma ** 2) * T) / (sigma * np.sqrt(T))
    d2 = d1 - sigma * np.sqrt(T)
    call_price = S * norm.cdf(d1) - K * np.exp(-r * T) * norm.cdf(d2)
    return call_price
# Parameters
K = 100  # strike price
T = 1    # time to maturity (1 year)
r = 0.05 # risk-free interest rate (5%%)
sigma = 0.2 # volatility (20%%)
# Stock prices range
S = np.linspace(50, 150, 100)
# Calculate call prices
call_prices = [black_scholes_call(s, K, T, r, sigma) for s in S]
# Plotting
plt.figure(figsize=(10, 6))
plt.plot(S, call_prices, label='Call Option Price')
plt.title('Black-Scholes Model: European Call Option Price')
plt.xlabel('Stock Price')
plt.ylabel('Option Price')
plt.legend()
plt.grid(True)
plt.show()</code>
    </pythonScript>
    <pythonScript>
      <code>NSV = xl(%P2%, headers=True)</code>
    </pythonScript>
    <pythonScript>
      <code>BU = xl(%P2%, headers=True)</code>
    </pythonScript>
    <pythonScript>
      <code>NSV_Left_merge = NSV.merge(BU,
                           how = "left",
                           on = "Country")</code>
    </pythonScript>
    <pythonScript>
      <code>import pandas as pd
import numpy as np
# Load the data
df = xl(%P2%, headers=True)
# Standardize the date format
# Assuming the date column is named 'Date'
df['Date'] = pd.to_datetime(df['Date'], errors='coerce')
# Handle missing values
# Example: fill missing values with the mean (for numerical columns)
for col in df.select_dtypes(include=np.number).columns:
    df[col].fillna(df[col].mean(), inplace=True)
# Handle outliers
# Example: remove rows that have values beyond 3 standard deviations for a specific column
for col in df.select_dtypes(include=np.number).columns:
    df = df[np.abs(df[col] - df[col].mean()) &lt;= (3 * df[col].std())]
df</code>
    </pythonScript>
    <pythonScript>
      <code xml:space="preserve"># Sample data
assets = ['Asset A', 'Asset B', 'Asset D']
returns = [0.1, 0.05, 0.35]
# Create a bar plot
plt.figure(figsize=(10, 6))
plt.bar(assets, returns, color=['blue', 'green', 'purple'])
plt.title('Returns of Different Assets')
plt.xlabel('Assets')
plt.ylabel('Returns')
plt.show() </code>
    </pythonScript>
    <pythonScript>
      <code>import matplotlib.pyplot as plt
x = [1, 2, 3, 4, 5]
y = [10, 12, 5, 8, 15]
plt.plot(x, y)
plt.xlabel('X-axis')
plt.ylabel('Y-axis')
plt.title('Line Plot')
plt.show()</code>
    </pythonScript>
    <pythonScript>
      <code>import matplotlib.pyplot as plt
categories = ['Category A', 'Category B', 'Category C']
values = [10, 15, 7]
plt.bar(categories, values)
plt.xlabel('Categories')
plt.ylabel('Values')
plt.title('Bar Plot')
plt.show()</code>
    </pythonScript>
    <pythonScript>
      <code>import matplotlib.pyplot as plt
data = [5, 8, 2, 4, 7, 9, 6, 3, 8, 5]
plt.hist(data, bins=5)
plt.xlabel('Value')
plt.ylabel('Frequency')
plt.title('Histogram')
plt.show()</code>
    </pythonScript>
    <pythonScript>
      <code>import matplotlib.pyplot as plt
labels = ['Category A', 'Category B', 'Category C']
sizes = [30, 45, 25]
plt.pie(sizes, labels=labels, autopct='%%1.1f%%%%')
plt.title('Pie Chart')
plt.show()</code>
    </pythonScript>
  </pythonScripts>
</python>
</file>

<file path=xl/sharedStrings.xml><?xml version="1.0" encoding="utf-8"?>
<sst xmlns="http://schemas.openxmlformats.org/spreadsheetml/2006/main" count="279" uniqueCount="72">
  <si>
    <t>Year</t>
  </si>
  <si>
    <t>CashFlows</t>
  </si>
  <si>
    <t>WAAC</t>
  </si>
  <si>
    <t>Growth Rate</t>
  </si>
  <si>
    <t>DATA</t>
  </si>
  <si>
    <t>PYTHON CODE</t>
  </si>
  <si>
    <t>NSV</t>
  </si>
  <si>
    <t>Sales_Order</t>
  </si>
  <si>
    <t>Country</t>
  </si>
  <si>
    <t>B1</t>
  </si>
  <si>
    <t>Mexico</t>
  </si>
  <si>
    <t>B2</t>
  </si>
  <si>
    <t>US</t>
  </si>
  <si>
    <t>B3</t>
  </si>
  <si>
    <t>Chile</t>
  </si>
  <si>
    <t>B4</t>
  </si>
  <si>
    <t>Argentina</t>
  </si>
  <si>
    <t>B5</t>
  </si>
  <si>
    <t>Netherlands</t>
  </si>
  <si>
    <t>B6</t>
  </si>
  <si>
    <t>France</t>
  </si>
  <si>
    <t>B7</t>
  </si>
  <si>
    <t>Spain</t>
  </si>
  <si>
    <t>B8</t>
  </si>
  <si>
    <t>China</t>
  </si>
  <si>
    <t>B9</t>
  </si>
  <si>
    <t>Japan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</si>
  <si>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</si>
  <si>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</si>
  <si>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</si>
  <si>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</si>
  <si>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</si>
  <si>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</si>
  <si>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</si>
  <si>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</si>
  <si>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</si>
  <si>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</si>
  <si>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</si>
  <si>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</si>
  <si>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</si>
  <si>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</si>
  <si>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</si>
  <si>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</si>
  <si>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</si>
  <si>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</si>
  <si>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</si>
  <si>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</si>
  <si>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</si>
  <si>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</si>
  <si>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</si>
  <si>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</si>
  <si>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Egypt</t>
  </si>
  <si>
    <t>B34</t>
  </si>
  <si>
    <t>B35</t>
  </si>
  <si>
    <t>B36</t>
  </si>
  <si>
    <t>Double B3</t>
  </si>
  <si>
    <t>Result -&gt;</t>
  </si>
  <si>
    <t>date</t>
  </si>
  <si>
    <t>sales_today</t>
  </si>
  <si>
    <t>Sales</t>
  </si>
  <si>
    <t>Date</t>
  </si>
  <si>
    <t>BU</t>
  </si>
  <si>
    <t>Sales &amp; BU</t>
  </si>
  <si>
    <t>PYTHON</t>
  </si>
  <si>
    <t>Business_Unit</t>
  </si>
  <si>
    <t>Americas</t>
  </si>
  <si>
    <t>Europe</t>
  </si>
  <si>
    <t>Asia</t>
  </si>
  <si>
    <t>Africa</t>
  </si>
  <si>
    <t>Dirty Data</t>
  </si>
  <si>
    <t>Clean Data</t>
  </si>
  <si>
    <t>April 5,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</si>
</sst>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.6"/>
      <color rgb="FF374151"/>
      <name val="Segoe UI"/>
      <family val="2"/>
    </font>
    <font>
      <sz val="11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7F7F8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44B3E1"/>
      </top>
      <bottom style="thin">
        <color theme="4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/>
      <diagonal/>
    </border>
    <border>
      <left style="medium">
        <color rgb="FFD9D9E3"/>
      </left>
      <right style="medium">
        <color rgb="FFD9D9E3"/>
      </right>
      <top/>
      <bottom style="thin">
        <color rgb="FF44B3E1"/>
      </bottom>
      <diagonal/>
    </border>
    <border>
      <left style="thin">
        <color theme="4" tint="0.39997558519241921"/>
      </left>
      <right/>
      <top style="thin">
        <color rgb="FF44B3E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rgb="FF44B3E1"/>
      </top>
      <bottom style="thin">
        <color theme="4" tint="0.39997558519241921"/>
      </bottom>
      <diagonal/>
    </border>
    <border>
      <left style="medium">
        <color rgb="FFD9D9E3"/>
      </left>
      <right style="medium">
        <color rgb="FFD9D9E3"/>
      </right>
      <top style="thin">
        <color theme="4" tint="0.39997558519241921"/>
      </top>
      <bottom style="medium">
        <color rgb="FFD9D9E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D9D9E3"/>
      </left>
      <right/>
      <top/>
      <bottom style="medium">
        <color rgb="FFD9D9E3"/>
      </bottom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0" xfId="0" applyFont="1" applyFill="1" applyAlignment="1">
      <alignment horizontal="centerContinuous" vertical="center"/>
    </xf>
    <xf numFmtId="0" fontId="2" fillId="3" borderId="0" xfId="0" applyFont="1" applyFill="1" applyAlignment="1">
      <alignment horizontal="centerContinuous" vertical="center"/>
    </xf>
    <xf numFmtId="0" fontId="2" fillId="4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/>
    </xf>
    <xf numFmtId="0" fontId="2" fillId="6" borderId="0" xfId="0" applyFont="1" applyFill="1" applyAlignment="1">
      <alignment horizontal="centerContinuous" vertical="center"/>
    </xf>
    <xf numFmtId="0" fontId="0" fillId="7" borderId="0" xfId="0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4" fontId="4" fillId="5" borderId="12" xfId="0" applyNumberFormat="1" applyFont="1" applyFill="1" applyBorder="1" applyAlignment="1">
      <alignment vertical="center" wrapText="1"/>
    </xf>
    <xf numFmtId="0" fontId="4" fillId="5" borderId="5" xfId="0" applyFont="1" applyFill="1" applyBorder="1" applyAlignment="1">
      <alignment vertical="center" wrapText="1"/>
    </xf>
    <xf numFmtId="14" fontId="0" fillId="0" borderId="0" xfId="0" applyNumberFormat="1"/>
    <xf numFmtId="0" fontId="2" fillId="4" borderId="1" xfId="0" applyFont="1" applyFill="1" applyBorder="1" applyAlignment="1">
      <alignment horizontal="centerContinuous" vertical="center"/>
    </xf>
    <xf numFmtId="0" fontId="2" fillId="9" borderId="1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Continuous" vertical="center"/>
    </xf>
    <xf numFmtId="0" fontId="0" fillId="0" borderId="0" xfId="0" applyAlignment="1">
      <alignment horizontal="center"/>
    </xf>
    <xf numFmtId="0" fontId="2" fillId="9" borderId="1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 wrapText="1"/>
    </xf>
    <xf numFmtId="0" fontId="0" fillId="10" borderId="0" xfId="0" applyFill="1"/>
  </cellXfs>
  <cellStyles count="2">
    <cellStyle name="Normal" xfId="0" builtinId="0"/>
    <cellStyle name="Normal 2" xfId="1" xr:uid="{310B8E16-DC19-4640-ACDE-44991A4CB006}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374151"/>
        <name val="Segoe UI"/>
        <family val="2"/>
        <scheme val="none"/>
      </font>
      <fill>
        <patternFill patternType="solid">
          <fgColor indexed="64"/>
          <bgColor rgb="FFF7F7F8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9D9E3"/>
        </left>
        <right style="medium">
          <color rgb="FFD9D9E3"/>
        </right>
        <top/>
        <bottom style="medium">
          <color rgb="FFD9D9E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374151"/>
        <name val="Segoe UI"/>
        <family val="2"/>
        <scheme val="none"/>
      </font>
      <fill>
        <patternFill patternType="solid">
          <fgColor indexed="64"/>
          <bgColor rgb="FFF7F7F8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9D9E3"/>
        </left>
        <right style="medium">
          <color rgb="FFD9D9E3"/>
        </right>
        <top/>
        <bottom style="medium">
          <color rgb="FFD9D9E3"/>
        </bottom>
        <vertical/>
        <horizontal/>
      </border>
    </dxf>
    <dxf>
      <border outline="0">
        <top style="thin">
          <color rgb="FF44B3E1"/>
        </top>
        <bottom style="medium">
          <color rgb="FFD9D9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374151"/>
        <name val="Segoe UI"/>
        <family val="2"/>
        <scheme val="none"/>
      </font>
      <fill>
        <patternFill patternType="solid">
          <fgColor indexed="64"/>
          <bgColor rgb="FFF7F7F8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374151"/>
        <name val="Segoe UI"/>
        <family val="2"/>
        <scheme val="none"/>
      </font>
      <fill>
        <patternFill patternType="solid">
          <fgColor indexed="64"/>
          <bgColor rgb="FFF7F7F8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9D9E3"/>
        </left>
        <right style="medium">
          <color rgb="FFD9D9E3"/>
        </right>
        <top/>
        <bottom style="medium">
          <color rgb="FFD9D9E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374151"/>
        <name val="Segoe UI"/>
        <family val="2"/>
        <scheme val="none"/>
      </font>
      <fill>
        <patternFill patternType="solid">
          <fgColor indexed="64"/>
          <bgColor rgb="FFF7F7F8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9D9E3"/>
        </left>
        <right style="medium">
          <color rgb="FFD9D9E3"/>
        </right>
        <top/>
        <bottom style="medium">
          <color rgb="FFD9D9E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374151"/>
        <name val="Segoe UI"/>
        <family val="2"/>
        <scheme val="none"/>
      </font>
      <fill>
        <patternFill patternType="solid">
          <fgColor indexed="64"/>
          <bgColor rgb="FFF7F7F8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9D9E3"/>
        </left>
        <right style="medium">
          <color rgb="FFD9D9E3"/>
        </right>
        <top/>
        <bottom style="medium">
          <color rgb="FFD9D9E3"/>
        </bottom>
        <vertical/>
        <horizontal/>
      </border>
    </dxf>
    <dxf>
      <border outline="0">
        <top style="thin">
          <color rgb="FF44B3E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374151"/>
        <name val="Segoe UI"/>
        <family val="2"/>
        <scheme val="none"/>
      </font>
      <fill>
        <patternFill patternType="solid">
          <fgColor indexed="64"/>
          <bgColor rgb="FFF7F7F8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rgb="FF44B3E1"/>
        </top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374151"/>
        <name val="Segoe UI"/>
        <family val="2"/>
        <scheme val="none"/>
      </font>
      <fill>
        <patternFill patternType="solid">
          <fgColor indexed="64"/>
          <bgColor rgb="FFF7F7F8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9D9E3"/>
        </left>
        <right style="medium">
          <color rgb="FFD9D9E3"/>
        </right>
        <top/>
        <bottom style="medium">
          <color rgb="FFD9D9E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374151"/>
        <name val="Segoe UI"/>
        <family val="2"/>
        <scheme val="none"/>
      </font>
      <fill>
        <patternFill patternType="solid">
          <fgColor indexed="64"/>
          <bgColor rgb="FFF7F7F8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9D9E3"/>
        </left>
        <right style="medium">
          <color rgb="FFD9D9E3"/>
        </right>
        <top/>
        <bottom style="medium">
          <color rgb="FFD9D9E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374151"/>
        <name val="Segoe UI"/>
        <family val="2"/>
        <scheme val="none"/>
      </font>
      <fill>
        <patternFill patternType="solid">
          <fgColor indexed="64"/>
          <bgColor rgb="FFF7F7F8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9D9E3"/>
        </left>
        <right style="medium">
          <color rgb="FFD9D9E3"/>
        </right>
        <top/>
        <bottom style="medium">
          <color rgb="FFD9D9E3"/>
        </bottom>
        <vertical/>
        <horizontal/>
      </border>
    </dxf>
    <dxf>
      <border outline="0">
        <top style="thin">
          <color rgb="FF44B3E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374151"/>
        <name val="Segoe UI"/>
        <family val="2"/>
        <scheme val="none"/>
      </font>
      <fill>
        <patternFill patternType="solid">
          <fgColor indexed="64"/>
          <bgColor rgb="FFF7F7F8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Array" Target="richData/rdarray.xml"/><Relationship Id="rId3" Type="http://schemas.openxmlformats.org/officeDocument/2006/relationships/worksheet" Target="worksheets/sheet3.xml"/><Relationship Id="rId21" Type="http://schemas.microsoft.com/office/2017/06/relationships/rdSupportingPropertyBag" Target="richData/rdsupportingpropertybag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20" Type="http://schemas.microsoft.com/office/2017/06/relationships/rdSupportingPropertyBagStructure" Target="richData/rdsupportingpropertybag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microsoft.com/office/2023/09/relationships/Python" Target="python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microsoft.com/office/2017/06/relationships/richStyles" Target="richData/rich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Relationship Id="rId22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4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285750</xdr:colOff>
      <xdr:row>5</xdr:row>
      <xdr:rowOff>76200</xdr:rowOff>
    </xdr:from>
    <xdr:to>
      <xdr:col>12</xdr:col>
      <xdr:colOff>228600</xdr:colOff>
      <xdr:row>26</xdr:row>
      <xdr:rowOff>53594</xdr:rowOff>
    </xdr:to>
    <xdr:pic>
      <xdr:nvPicPr>
        <xdr:cNvPr id="3" name="Picture 2" descr="Image generated by Python">
          <a:extLst>
            <a:ext uri="{FF2B5EF4-FFF2-40B4-BE49-F238E27FC236}">
              <a16:creationId xmlns:a16="http://schemas.microsoft.com/office/drawing/2014/main" id="{B32EFB1F-DB0C-54CD-F260-92EBE764C259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02-03'!E4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0" y="1038225"/>
          <a:ext cx="7877175" cy="41842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5</xdr:row>
      <xdr:rowOff>114300</xdr:rowOff>
    </xdr:from>
    <xdr:to>
      <xdr:col>9</xdr:col>
      <xdr:colOff>196986</xdr:colOff>
      <xdr:row>26</xdr:row>
      <xdr:rowOff>73160</xdr:rowOff>
    </xdr:to>
    <xdr:pic>
      <xdr:nvPicPr>
        <xdr:cNvPr id="2" name="Picture 1" descr="Image generated by Python">
          <a:extLst>
            <a:ext uri="{FF2B5EF4-FFF2-40B4-BE49-F238E27FC236}">
              <a16:creationId xmlns:a16="http://schemas.microsoft.com/office/drawing/2014/main" id="{CEBEE86D-4F5B-0F39-DD1B-55475C4904A5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02-04'!B2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6825" y="1066800"/>
          <a:ext cx="4416561" cy="3959360"/>
        </a:xfrm>
        <a:prstGeom prst="rect">
          <a:avLst/>
        </a:prstGeom>
      </xdr:spPr>
    </xdr:pic>
    <xdr:clientData/>
  </xdr:twoCellAnchor>
  <xdr:twoCellAnchor editAs="oneCell">
    <xdr:from>
      <xdr:col>10</xdr:col>
      <xdr:colOff>561975</xdr:colOff>
      <xdr:row>3</xdr:row>
      <xdr:rowOff>81014</xdr:rowOff>
    </xdr:from>
    <xdr:to>
      <xdr:col>18</xdr:col>
      <xdr:colOff>361950</xdr:colOff>
      <xdr:row>28</xdr:row>
      <xdr:rowOff>16775</xdr:rowOff>
    </xdr:to>
    <xdr:pic>
      <xdr:nvPicPr>
        <xdr:cNvPr id="3" name="Picture 2" descr="Image generated by Python">
          <a:extLst>
            <a:ext uri="{FF2B5EF4-FFF2-40B4-BE49-F238E27FC236}">
              <a16:creationId xmlns:a16="http://schemas.microsoft.com/office/drawing/2014/main" id="{398ABF25-97F8-52BE-DEDF-A18A9EF5C452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02-04'!K2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57975" y="652514"/>
          <a:ext cx="4676775" cy="4698261"/>
        </a:xfrm>
        <a:prstGeom prst="rect">
          <a:avLst/>
        </a:prstGeom>
      </xdr:spPr>
    </xdr:pic>
    <xdr:clientData/>
  </xdr:twoCellAnchor>
  <xdr:twoCellAnchor editAs="oneCell">
    <xdr:from>
      <xdr:col>18</xdr:col>
      <xdr:colOff>581025</xdr:colOff>
      <xdr:row>3</xdr:row>
      <xdr:rowOff>47625</xdr:rowOff>
    </xdr:from>
    <xdr:to>
      <xdr:col>31</xdr:col>
      <xdr:colOff>355488</xdr:colOff>
      <xdr:row>29</xdr:row>
      <xdr:rowOff>78115</xdr:rowOff>
    </xdr:to>
    <xdr:pic>
      <xdr:nvPicPr>
        <xdr:cNvPr id="4" name="Picture 3" descr="Image generated by Python">
          <a:extLst>
            <a:ext uri="{FF2B5EF4-FFF2-40B4-BE49-F238E27FC236}">
              <a16:creationId xmlns:a16="http://schemas.microsoft.com/office/drawing/2014/main" id="{6A6378CF-AE04-F9D7-DA23-68F436B9D909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02-04'!T2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53825" y="619125"/>
          <a:ext cx="7699263" cy="49834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4</xdr:row>
      <xdr:rowOff>57150</xdr:rowOff>
    </xdr:from>
    <xdr:to>
      <xdr:col>13</xdr:col>
      <xdr:colOff>366249</xdr:colOff>
      <xdr:row>28</xdr:row>
      <xdr:rowOff>112059</xdr:rowOff>
    </xdr:to>
    <xdr:pic>
      <xdr:nvPicPr>
        <xdr:cNvPr id="3" name="Picture 2" descr="Image generated by Python">
          <a:extLst>
            <a:ext uri="{FF2B5EF4-FFF2-40B4-BE49-F238E27FC236}">
              <a16:creationId xmlns:a16="http://schemas.microsoft.com/office/drawing/2014/main" id="{2C485B98-6462-70FC-B5E8-B33782174BE9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02-05'!C3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518" y="819150"/>
          <a:ext cx="7094260" cy="4626909"/>
        </a:xfrm>
        <a:prstGeom prst="rect">
          <a:avLst/>
        </a:prstGeom>
      </xdr:spPr>
    </xdr:pic>
    <xdr:clientData/>
  </xdr:twoCellAnchor>
  <xdr:twoCellAnchor editAs="oneCell">
    <xdr:from>
      <xdr:col>14</xdr:col>
      <xdr:colOff>560294</xdr:colOff>
      <xdr:row>4</xdr:row>
      <xdr:rowOff>22411</xdr:rowOff>
    </xdr:from>
    <xdr:to>
      <xdr:col>27</xdr:col>
      <xdr:colOff>369794</xdr:colOff>
      <xdr:row>31</xdr:row>
      <xdr:rowOff>110921</xdr:rowOff>
    </xdr:to>
    <xdr:pic>
      <xdr:nvPicPr>
        <xdr:cNvPr id="4" name="Picture 3" descr="Image generated by Python">
          <a:extLst>
            <a:ext uri="{FF2B5EF4-FFF2-40B4-BE49-F238E27FC236}">
              <a16:creationId xmlns:a16="http://schemas.microsoft.com/office/drawing/2014/main" id="{7A9EDEA5-277F-B10B-A09A-E9E110B61A5E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02-05'!P2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31941" y="784411"/>
          <a:ext cx="7676029" cy="52320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182427</xdr:colOff>
      <xdr:row>0</xdr:row>
      <xdr:rowOff>75202</xdr:rowOff>
    </xdr:from>
    <xdr:to>
      <xdr:col>14</xdr:col>
      <xdr:colOff>74493</xdr:colOff>
      <xdr:row>26</xdr:row>
      <xdr:rowOff>106962</xdr:rowOff>
    </xdr:to>
    <xdr:pic>
      <xdr:nvPicPr>
        <xdr:cNvPr id="2" name="Picture 1" descr="Image generated by Python">
          <a:extLst>
            <a:ext uri="{FF2B5EF4-FFF2-40B4-BE49-F238E27FC236}">
              <a16:creationId xmlns:a16="http://schemas.microsoft.com/office/drawing/2014/main" id="{C6FF50AE-996B-AC1D-26D8-126B2A337D73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04-01'!B2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213" y="75202"/>
          <a:ext cx="7793280" cy="474890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335376</xdr:colOff>
      <xdr:row>1</xdr:row>
      <xdr:rowOff>0</xdr:rowOff>
    </xdr:from>
    <xdr:to>
      <xdr:col>13</xdr:col>
      <xdr:colOff>30195</xdr:colOff>
      <xdr:row>24</xdr:row>
      <xdr:rowOff>41607</xdr:rowOff>
    </xdr:to>
    <xdr:pic>
      <xdr:nvPicPr>
        <xdr:cNvPr id="3" name="Picture 2" descr="Image generated by Python">
          <a:extLst>
            <a:ext uri="{FF2B5EF4-FFF2-40B4-BE49-F238E27FC236}">
              <a16:creationId xmlns:a16="http://schemas.microsoft.com/office/drawing/2014/main" id="{7D5336FD-4A17-47D6-9A7C-2178F6A4F8FF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04-02'!B5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3776" y="6837878"/>
          <a:ext cx="5181219" cy="4423107"/>
        </a:xfrm>
        <a:prstGeom prst="rect">
          <a:avLst/>
        </a:prstGeom>
      </xdr:spPr>
    </xdr:pic>
    <xdr:clientData/>
  </xdr:twoCellAnchor>
  <xdr:twoCellAnchor editAs="oneCell">
    <xdr:from>
      <xdr:col>4</xdr:col>
      <xdr:colOff>278996</xdr:colOff>
      <xdr:row>26</xdr:row>
      <xdr:rowOff>3811</xdr:rowOff>
    </xdr:from>
    <xdr:to>
      <xdr:col>13</xdr:col>
      <xdr:colOff>16046</xdr:colOff>
      <xdr:row>49</xdr:row>
      <xdr:rowOff>168584</xdr:rowOff>
    </xdr:to>
    <xdr:pic>
      <xdr:nvPicPr>
        <xdr:cNvPr id="4" name="Picture 3" descr="Image generated by Python">
          <a:extLst>
            <a:ext uri="{FF2B5EF4-FFF2-40B4-BE49-F238E27FC236}">
              <a16:creationId xmlns:a16="http://schemas.microsoft.com/office/drawing/2014/main" id="{AFB04BC9-B962-41C6-AAC3-4184B5DA52E0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04-02'!B18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17396" y="11624311"/>
          <a:ext cx="5223450" cy="4546273"/>
        </a:xfrm>
        <a:prstGeom prst="rect">
          <a:avLst/>
        </a:prstGeom>
      </xdr:spPr>
    </xdr:pic>
    <xdr:clientData/>
  </xdr:twoCellAnchor>
  <xdr:twoCellAnchor editAs="oneCell">
    <xdr:from>
      <xdr:col>5</xdr:col>
      <xdr:colOff>34636</xdr:colOff>
      <xdr:row>51</xdr:row>
      <xdr:rowOff>138546</xdr:rowOff>
    </xdr:from>
    <xdr:to>
      <xdr:col>11</xdr:col>
      <xdr:colOff>512245</xdr:colOff>
      <xdr:row>73</xdr:row>
      <xdr:rowOff>60829</xdr:rowOff>
    </xdr:to>
    <xdr:pic>
      <xdr:nvPicPr>
        <xdr:cNvPr id="5" name="Picture 4" descr="Image generated by Python">
          <a:extLst>
            <a:ext uri="{FF2B5EF4-FFF2-40B4-BE49-F238E27FC236}">
              <a16:creationId xmlns:a16="http://schemas.microsoft.com/office/drawing/2014/main" id="{18E81CEA-5AD7-4290-9E98-F206278610C0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04-02'!B25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82636" y="16521546"/>
          <a:ext cx="4135209" cy="4113283"/>
        </a:xfrm>
        <a:prstGeom prst="rect">
          <a:avLst/>
        </a:prstGeom>
      </xdr:spPr>
    </xdr:pic>
    <xdr:clientData/>
  </xdr:twoCellAnchor>
  <xdr:twoCellAnchor editAs="oneCell">
    <xdr:from>
      <xdr:col>14</xdr:col>
      <xdr:colOff>34834</xdr:colOff>
      <xdr:row>24</xdr:row>
      <xdr:rowOff>64225</xdr:rowOff>
    </xdr:from>
    <xdr:to>
      <xdr:col>23</xdr:col>
      <xdr:colOff>460737</xdr:colOff>
      <xdr:row>54</xdr:row>
      <xdr:rowOff>85764</xdr:rowOff>
    </xdr:to>
    <xdr:pic>
      <xdr:nvPicPr>
        <xdr:cNvPr id="8" name="Picture 7" descr="Image generated by Python">
          <a:extLst>
            <a:ext uri="{FF2B5EF4-FFF2-40B4-BE49-F238E27FC236}">
              <a16:creationId xmlns:a16="http://schemas.microsoft.com/office/drawing/2014/main" id="{F6686699-ED4B-4AF1-BE1A-AE418602BA0E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04-02'!B31"/>
            </a:ext>
          </a:extLst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69234" y="11303725"/>
          <a:ext cx="5912303" cy="5736539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6" c="3">
    <v t="s"/>
    <v t="s">Year</v>
    <v t="s">CashFlows</v>
    <v>0</v>
    <v>1</v>
    <v>100</v>
    <v>1</v>
    <v>2</v>
    <v>150</v>
    <v>2</v>
    <v>3</v>
    <v>200</v>
    <v>3</v>
    <v>4</v>
    <v>250</v>
    <v>4</v>
    <v>5</v>
    <v>300</v>
  </a>
  <a r="12" c="4">
    <v t="s"/>
    <v t="s">Sales_Order</v>
    <v t="s">NSV</v>
    <v t="s">Country</v>
    <v>0</v>
    <v t="s">B1</v>
    <v>1500</v>
    <v t="s">Mexico</v>
    <v>1</v>
    <v t="s">B2</v>
    <v>1600</v>
    <v t="s">US</v>
    <v>2</v>
    <v t="s">B3</v>
    <v>1450</v>
    <v t="s">Chile</v>
    <v>3</v>
    <v t="s">B4</v>
    <v>1700</v>
    <v t="s">Argentina</v>
    <v>4</v>
    <v t="s">B5</v>
    <v>1800</v>
    <v t="s">Netherlands</v>
    <v t="s">...</v>
    <v t="s">...</v>
    <v t="s">...</v>
    <v t="s">...</v>
    <v>31</v>
    <v t="s">B32</v>
    <v>2600</v>
    <v t="s">Mexico</v>
    <v>32</v>
    <v t="s">B33</v>
    <v>1100</v>
    <v t="s">Egypt</v>
    <v>33</v>
    <v t="s">B34</v>
    <v>400</v>
    <v t="s">Mexico</v>
    <v>34</v>
    <v t="s">B35</v>
    <v>100</v>
    <v t="s">France</v>
    <v>35</v>
    <v t="s">B36</v>
    <v>20</v>
    <v t="s">Chile</v>
  </a>
  <a r="11" c="3">
    <v t="s"/>
    <v t="s">Country</v>
    <v t="s">Business_Unit</v>
    <v>0</v>
    <v t="s">Mexico</v>
    <v t="s">Americas</v>
    <v>1</v>
    <v t="s">US</v>
    <v t="s">Americas</v>
    <v>2</v>
    <v t="s">Chile</v>
    <v t="s">Americas</v>
    <v>3</v>
    <v t="s">Argentina</v>
    <v t="s">Americas</v>
    <v>4</v>
    <v t="s">Netherlands</v>
    <v t="s">Europe</v>
    <v>5</v>
    <v t="s">France</v>
    <v t="s">Europe</v>
    <v>6</v>
    <v t="s">Spain</v>
    <v t="s">Europe</v>
    <v>7</v>
    <v t="s">China</v>
    <v t="s">Asia</v>
    <v>8</v>
    <v t="s">Japan</v>
    <v t="s">Asia</v>
    <v>9</v>
    <v t="s">Egypt</v>
    <v t="s">Africa</v>
  </a>
</arrayData>
</file>

<file path=xl/richData/rdrichvalue.xml><?xml version="1.0" encoding="utf-8"?>
<rvData xmlns="http://schemas.microsoft.com/office/spreadsheetml/2017/richdata" count="36">
  <rv s="0">
    <v>0</v>
  </rv>
  <rv s="1">
    <v>DataFrame</v>
    <v>1</v>
    <v>0</v>
  </rv>
  <rv s="2">
    <v>&lt;class 'pandas.core.frame.DataFrame'&gt;</v>
    <v>DataFrame</v>
    <v xml:space="preserve">   Year  CashFlows
0     1        100
1     2        150
2     3        200
3     4        250
4     5        300</v>
    <v>1</v>
    <v>2</v>
  </rv>
  <rv s="3">
    <fb>0.15</fb>
    <v>&lt;class 'float'&gt;</v>
    <v>float</v>
    <v>0.15</v>
    <v>0.15</v>
    <v>2</v>
  </rv>
  <rv s="3">
    <fb>0.03</fb>
    <v>&lt;class 'float'&gt;</v>
    <v>float</v>
    <v>0.03</v>
    <v>0.03</v>
    <v>2</v>
  </rv>
  <rv s="3">
    <fb>1904.2027437008878</fb>
    <v>&lt;class 'float'&gt;</v>
    <v>float</v>
    <v>1904.2027437008878</v>
    <v>1904.2027437008878</v>
    <v>2</v>
  </rv>
  <rv s="4">
    <fb>300</fb>
    <v>&lt;class 'int'&gt;</v>
    <v>int</v>
    <v>300</v>
    <v>300</v>
    <v>2</v>
  </rv>
  <rv s="4">
    <fb>600</fb>
    <v>&lt;class 'int'&gt;</v>
    <v>int</v>
    <v>600</v>
    <v>600</v>
    <v>2</v>
  </rv>
  <rv s="0">
    <v>1</v>
  </rv>
  <rv s="1">
    <v>DataFrame</v>
    <v>4</v>
    <v>8</v>
  </rv>
  <rv s="2">
    <v>&lt;class 'pandas.core.frame.DataFrame'&gt;</v>
    <v>DataFrame</v>
    <v xml:space="preserve">   Sales_Order   NSV      Country
0           B1  1500       Mexico
1           B2  1600           US
2           B3  1450        Chile
3           B4  1700    Argentina
4           B5  1800  Netherlands
5           B6  2100       France
6           B7...</v>
    <v>9</v>
    <v>2</v>
  </rv>
  <rv s="5">
    <v>0</v>
    <v>9</v>
    <v>Image generated by Python</v>
  </rv>
  <rv s="5">
    <v>1</v>
    <v>9</v>
    <v>Image generated by Python</v>
  </rv>
  <rv s="5">
    <v>2</v>
    <v>9</v>
    <v>Image generated by Python</v>
  </rv>
  <rv s="5">
    <v>3</v>
    <v>9</v>
    <v>Image generated by Python</v>
  </rv>
  <rv s="5">
    <v>4</v>
    <v>9</v>
    <v>Image generated by Python</v>
  </rv>
  <rv s="5">
    <v>5</v>
    <v>9</v>
    <v>Image generated by Python</v>
  </rv>
  <rv s="0">
    <v>2</v>
  </rv>
  <rv s="1">
    <v>DataFrame</v>
    <v>6</v>
    <v>17</v>
  </rv>
  <rv s="2">
    <v>&lt;class 'pandas.core.frame.DataFrame'&gt;</v>
    <v>DataFrame</v>
    <v xml:space="preserve">       Country Business_Unit
0       Mexico      Americas
1           US      Americas
2        Chile      Americas
3    Argentina      Americas
4  Netherlands        Europe
5       France        Europe
6        Spain        Europe
7        China      ...</v>
    <v>18</v>
    <v>2</v>
  </rv>
  <rv s="6">
    <fb>45292</fb>
    <v>7</v>
  </rv>
  <rv s="6">
    <fb>45352</fb>
    <v>7</v>
  </rv>
  <rv s="6">
    <fb>45444</fb>
    <v>7</v>
  </rv>
  <rv s="6">
    <fb>44929</fb>
    <v>7</v>
  </rv>
  <rv s="6">
    <fb>45387</fb>
    <v>7</v>
  </rv>
  <rv s="6">
    <fb>44937</fb>
    <v>7</v>
  </rv>
  <rv s="6">
    <fb>44938</fb>
    <v>7</v>
  </rv>
  <rv s="6">
    <fb>44939</fb>
    <v>7</v>
  </rv>
  <rv s="6">
    <fb>44940</fb>
    <v>7</v>
  </rv>
  <rv s="6">
    <fb>44941</fb>
    <v>7</v>
  </rv>
  <rv s="5">
    <v>6</v>
    <v>9</v>
    <v>Image generated by Python</v>
  </rv>
  <rv s="5">
    <v>7</v>
    <v>9</v>
    <v>Image generated by Python</v>
  </rv>
  <rv s="5">
    <v>8</v>
    <v>9</v>
    <v>Image generated by Python</v>
  </rv>
  <rv s="5">
    <v>9</v>
    <v>9</v>
    <v>Image generated by Python</v>
  </rv>
  <rv s="5">
    <v>10</v>
    <v>9</v>
    <v>Image generated by Python</v>
  </rv>
  <rv s="5">
    <v>11</v>
    <v>9</v>
    <v>Image generated by Python</v>
  </rv>
</rvData>
</file>

<file path=xl/richData/rdrichvaluestructure.xml><?xml version="1.0" encoding="utf-8"?>
<rvStructures xmlns="http://schemas.microsoft.com/office/spreadsheetml/2017/richdata" count="7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python">
    <k n="Python_type" t="s"/>
    <k n="Python_typeName" t="s"/>
    <k n="Python_str" t="s"/>
    <k n="basicValue"/>
    <k n="_Provider" t="spb"/>
  </s>
  <s t="_python">
    <k n="Python_type" t="s"/>
    <k n="Python_typeName" t="s"/>
    <k n="Python_str" t="s"/>
    <k n="basicValue" t="i"/>
    <k n="_Provider" t="spb"/>
  </s>
  <s t="_localImage">
    <k n="_rvRel:LocalImageIdentifier" t="i"/>
    <k n="CalcOrigin" t="i"/>
    <k n="Text" t="s"/>
  </s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8">
    <spb s="0">
      <v>5</v>
      <v>2</v>
      <v>DataFrame</v>
      <v>arrayPreview</v>
      <v>1</v>
    </spb>
    <spb s="1">
      <v>0</v>
    </spb>
    <spb s="2">
      <v>https://www.anaconda.com/excel</v>
      <v>https://res.cdn.office.net/officepysvc/prod-service/anacondalogo.png</v>
      <v>Python provided by Anaconda</v>
    </spb>
    <spb s="0">
      <v>36</v>
      <v>3</v>
      <v>DataFrame</v>
      <v>arrayPreview</v>
      <v>1</v>
    </spb>
    <spb s="1">
      <v>3</v>
    </spb>
    <spb s="0">
      <v>10</v>
      <v>2</v>
      <v>DataFrame</v>
      <v>arrayPreview</v>
      <v>1</v>
    </spb>
    <spb s="1">
      <v>5</v>
    </spb>
    <spb s="3">
      <v>1</v>
    </spb>
  </spbData>
</supportingPropertyBags>
</file>

<file path=xl/richData/rdsupportingpropertybagstructure.xml><?xml version="1.0" encoding="utf-8"?>
<spbStructures xmlns="http://schemas.microsoft.com/office/spreadsheetml/2017/richdata2" count="4">
  <s>
    <k n="drw" t="i"/>
    <k n="dcol" t="i"/>
    <k n="name" t="s"/>
    <k n="array" t="s"/>
    <k n="headers" t="b"/>
  </s>
  <s>
    <k n="ArrayCardInfo" t="spb"/>
  </s>
  <s>
    <k n="link" t="s"/>
    <k n="logo" t="s"/>
    <k n="name" t="s"/>
  </s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19" formatCode="yyyy/mm/dd"/>
    </x:dxf>
  </dxfs>
  <richStyles>
    <rSty dxfid="0"/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2B9B58-0DF4-4480-A1EC-C1F9B3F0B15F}" name="Table1" displayName="Table1" ref="B4:C9" totalsRowShown="0" headerRowDxfId="29" dataDxfId="28">
  <autoFilter ref="B4:C9" xr:uid="{A12B9B58-0DF4-4480-A1EC-C1F9B3F0B15F}"/>
  <tableColumns count="2">
    <tableColumn id="1" xr3:uid="{AF8C1E16-6140-40B8-B734-F3F42CEC27B6}" name="Year" dataDxfId="27"/>
    <tableColumn id="2" xr3:uid="{7C9B4218-33BB-44A8-98B4-F5DFFD273551}" name="CashFlows" dataDxfId="26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781E08-C355-4754-8142-E06F42D00C43}" name="NSV" displayName="NSV" ref="B9:D45" totalsRowShown="0" headerRowDxfId="25" dataDxfId="23" headerRowBorderDxfId="24" tableBorderDxfId="22">
  <autoFilter ref="B9:D45" xr:uid="{46781E08-C355-4754-8142-E06F42D00C43}"/>
  <tableColumns count="3">
    <tableColumn id="1" xr3:uid="{632604EC-9BA4-456B-A40A-4FC2AD2667B0}" name="Sales_Order" dataDxfId="21"/>
    <tableColumn id="2" xr3:uid="{AADF3167-51DA-4C35-9A63-11026873E933}" name="NSV" dataDxfId="20"/>
    <tableColumn id="3" xr3:uid="{5EDD347D-57BB-4F10-9DEA-2AD60AB943B0}" name="Country" dataDxfId="1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C488EB5-CD1F-400F-BFE6-7760128DB4D7}" name="Table13" displayName="Table13" ref="B4:C35" totalsRowShown="0" headerRowDxfId="18" headerRowBorderDxfId="17" tableBorderDxfId="16" totalsRowBorderDxfId="15">
  <autoFilter ref="B4:C35" xr:uid="{0C488EB5-CD1F-400F-BFE6-7760128DB4D7}"/>
  <tableColumns count="2">
    <tableColumn id="1" xr3:uid="{70C9AE8D-7CC3-458A-90C0-0A952BCCAA29}" name="date" dataDxfId="14"/>
    <tableColumn id="2" xr3:uid="{983B8756-9229-41E1-81BE-4752FF404412}" name="sales_today" dataDxfId="1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BD1BC2-00F0-4B74-BFF8-114BF14514FC}" name="NSV_5" displayName="NSV_5" ref="B3:D39" totalsRowShown="0" headerRowDxfId="12" dataDxfId="10" headerRowBorderDxfId="11" tableBorderDxfId="9">
  <autoFilter ref="B3:D39" xr:uid="{65465223-1A78-4E52-8A02-40D03D990A35}"/>
  <tableColumns count="3">
    <tableColumn id="1" xr3:uid="{3725C340-627D-4330-B6B0-72C1E12A5A1C}" name="Sales_Order" dataDxfId="8"/>
    <tableColumn id="2" xr3:uid="{1828CD74-1BE5-4901-98F8-05375DE12C0F}" name="NSV" dataDxfId="7"/>
    <tableColumn id="3" xr3:uid="{28298212-DDB7-4A2F-98EB-A4F10AB987C2}" name="Country" dataDxfId="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590AD7-433C-412D-A535-78AB32C2C444}" name="BU" displayName="BU" ref="F3:G13" totalsRowShown="0" headerRowDxfId="5" dataDxfId="3" headerRowBorderDxfId="4" tableBorderDxfId="2">
  <autoFilter ref="F3:G13" xr:uid="{1A65903C-24B2-4067-BD22-F7EC4EF0EC22}"/>
  <tableColumns count="2">
    <tableColumn id="1" xr3:uid="{54A71339-44E2-4DAF-AD06-D4A7D2EDE614}" name="Country" dataDxfId="1"/>
    <tableColumn id="2" xr3:uid="{3A714C1B-884E-4A24-AEDC-75F88A1B39FD}" name="Business_Un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404AF-ADEB-48BD-B3E3-D05C8AE434BC}">
  <dimension ref="B2:F12"/>
  <sheetViews>
    <sheetView showGridLines="0" tabSelected="1" zoomScale="130" zoomScaleNormal="130" workbookViewId="0">
      <selection activeCell="E5" sqref="E5"/>
    </sheetView>
  </sheetViews>
  <sheetFormatPr defaultRowHeight="14.4" x14ac:dyDescent="0.3"/>
  <cols>
    <col min="1" max="1" width="7.44140625" customWidth="1"/>
    <col min="2" max="3" width="14.33203125" customWidth="1"/>
    <col min="4" max="4" width="7.44140625" customWidth="1"/>
    <col min="5" max="6" width="14.33203125" customWidth="1"/>
  </cols>
  <sheetData>
    <row r="2" spans="2:6" x14ac:dyDescent="0.3">
      <c r="B2" s="4" t="s">
        <v>4</v>
      </c>
      <c r="C2" s="4"/>
      <c r="E2" s="5" t="s">
        <v>5</v>
      </c>
      <c r="F2" s="5"/>
    </row>
    <row r="4" spans="2:6" x14ac:dyDescent="0.3">
      <c r="B4" s="1" t="s">
        <v>0</v>
      </c>
      <c r="C4" s="1" t="s">
        <v>1</v>
      </c>
    </row>
    <row r="5" spans="2:6" x14ac:dyDescent="0.3">
      <c r="B5" s="1">
        <v>1</v>
      </c>
      <c r="C5" s="1">
        <v>100</v>
      </c>
      <c r="E5" t="e" cm="1" vm="1">
        <f t="array" ref="E5">_xlfn._xlws.PY(0,1,B4:C9)</f>
        <v>#VALUE!</v>
      </c>
    </row>
    <row r="6" spans="2:6" x14ac:dyDescent="0.3">
      <c r="B6" s="1">
        <v>2</v>
      </c>
      <c r="C6" s="1">
        <v>150</v>
      </c>
      <c r="E6" cm="1" vm="2">
        <f t="array" ref="E6">_xlfn._xlws.PY(1,1,C11)</f>
        <v>0.15</v>
      </c>
    </row>
    <row r="7" spans="2:6" x14ac:dyDescent="0.3">
      <c r="B7" s="1">
        <v>3</v>
      </c>
      <c r="C7" s="1">
        <v>200</v>
      </c>
      <c r="E7" cm="1" vm="3">
        <f t="array" ref="E7">_xlfn._xlws.PY(2,1,C12)</f>
        <v>0.03</v>
      </c>
    </row>
    <row r="8" spans="2:6" x14ac:dyDescent="0.3">
      <c r="B8" s="1">
        <v>4</v>
      </c>
      <c r="C8" s="1">
        <v>250</v>
      </c>
    </row>
    <row r="9" spans="2:6" x14ac:dyDescent="0.3">
      <c r="B9" s="1">
        <v>5</v>
      </c>
      <c r="C9" s="1">
        <v>300</v>
      </c>
    </row>
    <row r="11" spans="2:6" x14ac:dyDescent="0.3">
      <c r="B11" s="2" t="s">
        <v>2</v>
      </c>
      <c r="C11" s="3">
        <v>0.15</v>
      </c>
    </row>
    <row r="12" spans="2:6" x14ac:dyDescent="0.3">
      <c r="B12" s="2" t="s">
        <v>3</v>
      </c>
      <c r="C12" s="3">
        <v>0.03</v>
      </c>
      <c r="E12" cm="1" vm="4">
        <f t="array" ref="E12">_xlfn._xlws.PY(3,1)</f>
        <v>1904.2027437008878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6D4F8-B423-43C8-85CC-D9AA3787F655}">
  <dimension ref="B2:G45"/>
  <sheetViews>
    <sheetView showGridLines="0" zoomScale="130" zoomScaleNormal="130" workbookViewId="0">
      <selection activeCell="F9" sqref="F9"/>
    </sheetView>
  </sheetViews>
  <sheetFormatPr defaultRowHeight="14.4" x14ac:dyDescent="0.3"/>
  <cols>
    <col min="1" max="1" width="7.44140625" customWidth="1"/>
    <col min="2" max="4" width="14.33203125" customWidth="1"/>
    <col min="5" max="5" width="7.44140625" customWidth="1"/>
    <col min="6" max="7" width="14.33203125" customWidth="1"/>
  </cols>
  <sheetData>
    <row r="2" spans="2:7" x14ac:dyDescent="0.3">
      <c r="B2" s="4" t="s">
        <v>4</v>
      </c>
      <c r="C2" s="4"/>
      <c r="D2" s="4"/>
      <c r="F2" s="5" t="s">
        <v>5</v>
      </c>
      <c r="G2" s="5"/>
    </row>
    <row r="4" spans="2:7" x14ac:dyDescent="0.3">
      <c r="B4" s="11" t="s">
        <v>7</v>
      </c>
      <c r="C4" s="12" t="s">
        <v>6</v>
      </c>
      <c r="D4" s="13" t="s">
        <v>8</v>
      </c>
    </row>
    <row r="5" spans="2:7" ht="15" thickBot="1" x14ac:dyDescent="0.35">
      <c r="B5" s="14" t="s">
        <v>13</v>
      </c>
      <c r="C5" s="14">
        <v>300</v>
      </c>
      <c r="D5" s="14" t="s">
        <v>14</v>
      </c>
      <c r="F5" t="s">
        <v>13</v>
      </c>
      <c r="G5" cm="1" vm="5">
        <f t="array" ref="G5">_xlfn._xlws.PY(4,1,C5)</f>
        <v>300</v>
      </c>
    </row>
    <row r="7" spans="2:7" x14ac:dyDescent="0.3">
      <c r="F7" t="s">
        <v>55</v>
      </c>
      <c r="G7" cm="1" vm="6">
        <f t="array" ref="G7">_xlfn._xlws.PY(5,1)</f>
        <v>600</v>
      </c>
    </row>
    <row r="9" spans="2:7" x14ac:dyDescent="0.3">
      <c r="B9" s="10" t="s">
        <v>7</v>
      </c>
      <c r="C9" s="10" t="s">
        <v>6</v>
      </c>
      <c r="D9" s="10" t="s">
        <v>8</v>
      </c>
      <c r="F9" t="e" cm="1" vm="7">
        <f t="array" ref="F9">_xlfn._xlws.PY(6,1,NSV[#All])</f>
        <v>#VALUE!</v>
      </c>
    </row>
    <row r="10" spans="2:7" ht="15" thickBot="1" x14ac:dyDescent="0.35">
      <c r="B10" s="7" t="s">
        <v>9</v>
      </c>
      <c r="C10" s="7">
        <v>1500</v>
      </c>
      <c r="D10" s="7" t="s">
        <v>10</v>
      </c>
    </row>
    <row r="11" spans="2:7" ht="15" thickBot="1" x14ac:dyDescent="0.35">
      <c r="B11" s="7" t="s">
        <v>11</v>
      </c>
      <c r="C11" s="7">
        <v>1600</v>
      </c>
      <c r="D11" s="7" t="s">
        <v>12</v>
      </c>
    </row>
    <row r="12" spans="2:7" ht="15" thickBot="1" x14ac:dyDescent="0.35">
      <c r="B12" s="7" t="s">
        <v>13</v>
      </c>
      <c r="C12" s="7">
        <v>1450</v>
      </c>
      <c r="D12" s="7" t="s">
        <v>14</v>
      </c>
    </row>
    <row r="13" spans="2:7" ht="15" thickBot="1" x14ac:dyDescent="0.35">
      <c r="B13" s="7" t="s">
        <v>15</v>
      </c>
      <c r="C13" s="7">
        <v>1700</v>
      </c>
      <c r="D13" s="7" t="s">
        <v>16</v>
      </c>
    </row>
    <row r="14" spans="2:7" ht="15" thickBot="1" x14ac:dyDescent="0.35">
      <c r="B14" s="7" t="s">
        <v>17</v>
      </c>
      <c r="C14" s="7">
        <v>1800</v>
      </c>
      <c r="D14" s="7" t="s">
        <v>18</v>
      </c>
    </row>
    <row r="15" spans="2:7" ht="15" thickBot="1" x14ac:dyDescent="0.35">
      <c r="B15" s="7" t="s">
        <v>19</v>
      </c>
      <c r="C15" s="7">
        <v>2100</v>
      </c>
      <c r="D15" s="7" t="s">
        <v>20</v>
      </c>
    </row>
    <row r="16" spans="2:7" ht="15" thickBot="1" x14ac:dyDescent="0.35">
      <c r="B16" s="7" t="s">
        <v>21</v>
      </c>
      <c r="C16" s="7">
        <v>2300</v>
      </c>
      <c r="D16" s="7" t="s">
        <v>22</v>
      </c>
    </row>
    <row r="17" spans="2:4" ht="15" thickBot="1" x14ac:dyDescent="0.35">
      <c r="B17" s="7" t="s">
        <v>23</v>
      </c>
      <c r="C17" s="7">
        <v>2500</v>
      </c>
      <c r="D17" s="7" t="s">
        <v>24</v>
      </c>
    </row>
    <row r="18" spans="2:4" ht="15" thickBot="1" x14ac:dyDescent="0.35">
      <c r="B18" s="7" t="s">
        <v>25</v>
      </c>
      <c r="C18" s="7">
        <v>2200</v>
      </c>
      <c r="D18" s="7" t="s">
        <v>26</v>
      </c>
    </row>
    <row r="19" spans="2:4" ht="15" thickBot="1" x14ac:dyDescent="0.35">
      <c r="B19" s="7" t="s">
        <v>27</v>
      </c>
      <c r="C19" s="7">
        <v>1900</v>
      </c>
      <c r="D19" s="7" t="s">
        <v>10</v>
      </c>
    </row>
    <row r="20" spans="2:4" ht="15" thickBot="1" x14ac:dyDescent="0.35">
      <c r="B20" s="7" t="s">
        <v>28</v>
      </c>
      <c r="C20" s="7">
        <v>1750</v>
      </c>
      <c r="D20" s="7" t="s">
        <v>12</v>
      </c>
    </row>
    <row r="21" spans="2:4" ht="15" thickBot="1" x14ac:dyDescent="0.35">
      <c r="B21" s="7" t="s">
        <v>29</v>
      </c>
      <c r="C21" s="7">
        <v>1600</v>
      </c>
      <c r="D21" s="7" t="s">
        <v>14</v>
      </c>
    </row>
    <row r="22" spans="2:4" ht="15" thickBot="1" x14ac:dyDescent="0.35">
      <c r="B22" s="7" t="s">
        <v>30</v>
      </c>
      <c r="C22" s="7">
        <v>1800</v>
      </c>
      <c r="D22" s="7" t="s">
        <v>16</v>
      </c>
    </row>
    <row r="23" spans="2:4" ht="15" thickBot="1" x14ac:dyDescent="0.35">
      <c r="B23" s="7" t="s">
        <v>31</v>
      </c>
      <c r="C23" s="7">
        <v>2100</v>
      </c>
      <c r="D23" s="7" t="s">
        <v>18</v>
      </c>
    </row>
    <row r="24" spans="2:4" ht="15" thickBot="1" x14ac:dyDescent="0.35">
      <c r="B24" s="7" t="s">
        <v>32</v>
      </c>
      <c r="C24" s="7">
        <v>2400</v>
      </c>
      <c r="D24" s="7" t="s">
        <v>20</v>
      </c>
    </row>
    <row r="25" spans="2:4" ht="15" thickBot="1" x14ac:dyDescent="0.35">
      <c r="B25" s="7" t="s">
        <v>33</v>
      </c>
      <c r="C25" s="7">
        <v>2600</v>
      </c>
      <c r="D25" s="7" t="s">
        <v>22</v>
      </c>
    </row>
    <row r="26" spans="2:4" ht="15" thickBot="1" x14ac:dyDescent="0.35">
      <c r="B26" s="7" t="s">
        <v>34</v>
      </c>
      <c r="C26" s="7">
        <v>2300</v>
      </c>
      <c r="D26" s="7" t="s">
        <v>24</v>
      </c>
    </row>
    <row r="27" spans="2:4" ht="15" thickBot="1" x14ac:dyDescent="0.35">
      <c r="B27" s="7" t="s">
        <v>35</v>
      </c>
      <c r="C27" s="7">
        <v>2000</v>
      </c>
      <c r="D27" s="7" t="s">
        <v>26</v>
      </c>
    </row>
    <row r="28" spans="2:4" ht="15" thickBot="1" x14ac:dyDescent="0.35">
      <c r="B28" s="7" t="s">
        <v>36</v>
      </c>
      <c r="C28" s="7">
        <v>1850</v>
      </c>
      <c r="D28" s="7" t="s">
        <v>10</v>
      </c>
    </row>
    <row r="29" spans="2:4" ht="15" thickBot="1" x14ac:dyDescent="0.35">
      <c r="B29" s="7" t="s">
        <v>37</v>
      </c>
      <c r="C29" s="7">
        <v>1700</v>
      </c>
      <c r="D29" s="7" t="s">
        <v>12</v>
      </c>
    </row>
    <row r="30" spans="2:4" ht="15" thickBot="1" x14ac:dyDescent="0.35">
      <c r="B30" s="7" t="s">
        <v>38</v>
      </c>
      <c r="C30" s="7">
        <v>1900</v>
      </c>
      <c r="D30" s="7" t="s">
        <v>14</v>
      </c>
    </row>
    <row r="31" spans="2:4" ht="15" thickBot="1" x14ac:dyDescent="0.35">
      <c r="B31" s="7" t="s">
        <v>39</v>
      </c>
      <c r="C31" s="7">
        <v>2200</v>
      </c>
      <c r="D31" s="7" t="s">
        <v>16</v>
      </c>
    </row>
    <row r="32" spans="2:4" ht="15" thickBot="1" x14ac:dyDescent="0.35">
      <c r="B32" s="7" t="s">
        <v>40</v>
      </c>
      <c r="C32" s="7">
        <v>2400</v>
      </c>
      <c r="D32" s="7" t="s">
        <v>18</v>
      </c>
    </row>
    <row r="33" spans="2:4" ht="15" thickBot="1" x14ac:dyDescent="0.35">
      <c r="B33" s="7" t="s">
        <v>41</v>
      </c>
      <c r="C33" s="7">
        <v>2600</v>
      </c>
      <c r="D33" s="7" t="s">
        <v>20</v>
      </c>
    </row>
    <row r="34" spans="2:4" ht="15" thickBot="1" x14ac:dyDescent="0.35">
      <c r="B34" s="7" t="s">
        <v>42</v>
      </c>
      <c r="C34" s="7">
        <v>2400</v>
      </c>
      <c r="D34" s="7" t="s">
        <v>22</v>
      </c>
    </row>
    <row r="35" spans="2:4" ht="15" thickBot="1" x14ac:dyDescent="0.35">
      <c r="B35" s="7" t="s">
        <v>43</v>
      </c>
      <c r="C35" s="7">
        <v>2100</v>
      </c>
      <c r="D35" s="7" t="s">
        <v>24</v>
      </c>
    </row>
    <row r="36" spans="2:4" ht="15" thickBot="1" x14ac:dyDescent="0.35">
      <c r="B36" s="7" t="s">
        <v>44</v>
      </c>
      <c r="C36" s="7">
        <v>1900</v>
      </c>
      <c r="D36" s="7" t="s">
        <v>20</v>
      </c>
    </row>
    <row r="37" spans="2:4" ht="15" thickBot="1" x14ac:dyDescent="0.35">
      <c r="B37" s="7" t="s">
        <v>45</v>
      </c>
      <c r="C37" s="7">
        <v>1800</v>
      </c>
      <c r="D37" s="7" t="s">
        <v>22</v>
      </c>
    </row>
    <row r="38" spans="2:4" ht="15" thickBot="1" x14ac:dyDescent="0.35">
      <c r="B38" s="7" t="s">
        <v>46</v>
      </c>
      <c r="C38" s="7">
        <v>2100</v>
      </c>
      <c r="D38" s="7" t="s">
        <v>20</v>
      </c>
    </row>
    <row r="39" spans="2:4" ht="15" thickBot="1" x14ac:dyDescent="0.35">
      <c r="B39" s="7" t="s">
        <v>47</v>
      </c>
      <c r="C39" s="7">
        <v>2300</v>
      </c>
      <c r="D39" s="7" t="s">
        <v>22</v>
      </c>
    </row>
    <row r="40" spans="2:4" ht="15" thickBot="1" x14ac:dyDescent="0.35">
      <c r="B40" s="8" t="s">
        <v>48</v>
      </c>
      <c r="C40" s="9">
        <v>2500</v>
      </c>
      <c r="D40" s="7" t="s">
        <v>24</v>
      </c>
    </row>
    <row r="41" spans="2:4" x14ac:dyDescent="0.3">
      <c r="B41" s="8" t="s">
        <v>49</v>
      </c>
      <c r="C41" s="8">
        <v>2600</v>
      </c>
      <c r="D41" s="8" t="s">
        <v>10</v>
      </c>
    </row>
    <row r="42" spans="2:4" x14ac:dyDescent="0.3">
      <c r="B42" s="8" t="s">
        <v>50</v>
      </c>
      <c r="C42" s="8">
        <v>1100</v>
      </c>
      <c r="D42" s="8" t="s">
        <v>51</v>
      </c>
    </row>
    <row r="43" spans="2:4" x14ac:dyDescent="0.3">
      <c r="B43" s="8" t="s">
        <v>52</v>
      </c>
      <c r="C43" s="8">
        <v>400</v>
      </c>
      <c r="D43" s="8" t="s">
        <v>10</v>
      </c>
    </row>
    <row r="44" spans="2:4" x14ac:dyDescent="0.3">
      <c r="B44" s="8" t="s">
        <v>53</v>
      </c>
      <c r="C44" s="8">
        <v>100</v>
      </c>
      <c r="D44" s="8" t="s">
        <v>20</v>
      </c>
    </row>
    <row r="45" spans="2:4" ht="15" thickBot="1" x14ac:dyDescent="0.35">
      <c r="B45" s="8" t="s">
        <v>54</v>
      </c>
      <c r="C45" s="8">
        <v>20</v>
      </c>
      <c r="D45" s="7" t="s">
        <v>14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7F1C2-1E71-4A79-A3C7-4F056184F43F}">
  <dimension ref="B2:L144"/>
  <sheetViews>
    <sheetView showGridLines="0" zoomScaleNormal="100" workbookViewId="0"/>
  </sheetViews>
  <sheetFormatPr defaultRowHeight="14.4" x14ac:dyDescent="0.3"/>
  <cols>
    <col min="1" max="1" width="7.44140625" customWidth="1"/>
    <col min="2" max="2" width="23.6640625" customWidth="1"/>
    <col min="3" max="3" width="14.33203125" customWidth="1"/>
    <col min="4" max="4" width="7.44140625" customWidth="1"/>
    <col min="5" max="5" width="23.33203125" customWidth="1"/>
    <col min="6" max="6" width="13" customWidth="1"/>
    <col min="7" max="7" width="7.44140625" customWidth="1"/>
    <col min="8" max="8" width="23.33203125" customWidth="1"/>
    <col min="9" max="12" width="13" customWidth="1"/>
  </cols>
  <sheetData>
    <row r="2" spans="2:12" x14ac:dyDescent="0.3">
      <c r="B2" s="4" t="s">
        <v>4</v>
      </c>
      <c r="C2" s="4"/>
      <c r="E2" s="5" t="s">
        <v>5</v>
      </c>
      <c r="F2" s="5"/>
      <c r="G2" s="5"/>
      <c r="H2" s="5"/>
      <c r="I2" s="5"/>
      <c r="J2" s="5"/>
      <c r="K2" s="5"/>
      <c r="L2" s="5"/>
    </row>
    <row r="4" spans="2:12" x14ac:dyDescent="0.3">
      <c r="B4" s="16" t="s">
        <v>0</v>
      </c>
      <c r="C4" s="16" t="s">
        <v>1</v>
      </c>
      <c r="E4" s="1" t="e" cm="1" vm="1">
        <f t="array" ref="E4">_xlfn._xlws.PY(0,1,B4:C9)</f>
        <v>#VALUE!</v>
      </c>
      <c r="G4" s="1"/>
    </row>
    <row r="5" spans="2:12" x14ac:dyDescent="0.3">
      <c r="B5" s="17">
        <v>1</v>
      </c>
      <c r="C5" s="17">
        <v>100</v>
      </c>
      <c r="E5" s="1"/>
      <c r="G5" s="1"/>
    </row>
    <row r="6" spans="2:12" x14ac:dyDescent="0.3">
      <c r="B6" s="1">
        <v>2</v>
      </c>
      <c r="C6" s="1">
        <v>150</v>
      </c>
      <c r="E6" s="1"/>
      <c r="G6" s="1"/>
    </row>
    <row r="7" spans="2:12" x14ac:dyDescent="0.3">
      <c r="B7" s="17">
        <v>3</v>
      </c>
      <c r="C7" s="17">
        <v>200</v>
      </c>
      <c r="E7" s="1"/>
      <c r="G7" s="1"/>
    </row>
    <row r="8" spans="2:12" x14ac:dyDescent="0.3">
      <c r="B8" s="1">
        <v>4</v>
      </c>
      <c r="C8" s="1">
        <v>250</v>
      </c>
      <c r="E8" s="1"/>
      <c r="G8" s="1"/>
    </row>
    <row r="9" spans="2:12" x14ac:dyDescent="0.3">
      <c r="B9" s="17">
        <v>5</v>
      </c>
      <c r="C9" s="17">
        <v>300</v>
      </c>
      <c r="E9" s="1"/>
      <c r="G9" s="1"/>
    </row>
    <row r="10" spans="2:12" x14ac:dyDescent="0.3">
      <c r="B10" s="1"/>
      <c r="C10" s="1"/>
      <c r="E10" s="1"/>
      <c r="G10" s="1"/>
    </row>
    <row r="11" spans="2:12" x14ac:dyDescent="0.3">
      <c r="B11" s="17" t="s">
        <v>2</v>
      </c>
      <c r="C11" s="17">
        <v>0.15</v>
      </c>
      <c r="E11" s="1" cm="1" vm="2">
        <f t="array" ref="E11">_xlfn._xlws.PY(1,1,C11)</f>
        <v>0.15</v>
      </c>
      <c r="G11" s="1"/>
    </row>
    <row r="13" spans="2:12" x14ac:dyDescent="0.3">
      <c r="B13" s="17" t="s">
        <v>3</v>
      </c>
      <c r="C13" s="17">
        <v>0.03</v>
      </c>
      <c r="E13" s="1" cm="1" vm="3">
        <f t="array" ref="E13">_xlfn._xlws.PY(2,1,C13)</f>
        <v>0.03</v>
      </c>
      <c r="G13" s="1"/>
    </row>
    <row r="14" spans="2:12" x14ac:dyDescent="0.3">
      <c r="E14" s="1"/>
      <c r="G14" s="1"/>
    </row>
    <row r="15" spans="2:12" x14ac:dyDescent="0.3">
      <c r="E15" s="18" t="s">
        <v>56</v>
      </c>
      <c r="F15" s="18"/>
      <c r="G15" s="18" cm="1">
        <f t="array" ref="G15">_xlfn._xlws.PY(7,0)</f>
        <v>1904.2027437008878</v>
      </c>
    </row>
    <row r="144" spans="2:3" x14ac:dyDescent="0.3">
      <c r="B144" s="15"/>
      <c r="C144" s="15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3A97-9859-4027-B1DD-6E0A4BC6C535}">
  <dimension ref="B2:L144"/>
  <sheetViews>
    <sheetView showGridLines="0" zoomScaleNormal="100" workbookViewId="0"/>
  </sheetViews>
  <sheetFormatPr defaultRowHeight="14.4" x14ac:dyDescent="0.3"/>
  <cols>
    <col min="1" max="1" width="7.44140625" customWidth="1"/>
    <col min="2" max="2" width="23.6640625" customWidth="1"/>
    <col min="3" max="3" width="14.33203125" customWidth="1"/>
    <col min="4" max="4" width="7.44140625" customWidth="1"/>
    <col min="5" max="5" width="23.33203125" customWidth="1"/>
    <col min="6" max="6" width="13" customWidth="1"/>
    <col min="7" max="7" width="7.44140625" customWidth="1"/>
    <col min="8" max="8" width="23.33203125" customWidth="1"/>
    <col min="9" max="12" width="13" customWidth="1"/>
  </cols>
  <sheetData>
    <row r="2" spans="2:12" x14ac:dyDescent="0.3">
      <c r="B2" s="4" t="s">
        <v>4</v>
      </c>
      <c r="C2" s="4"/>
      <c r="E2" s="5" t="s">
        <v>5</v>
      </c>
      <c r="F2" s="5"/>
      <c r="G2" s="5"/>
      <c r="H2" s="5"/>
      <c r="I2" s="5"/>
      <c r="J2" s="5"/>
      <c r="K2" s="5"/>
      <c r="L2" s="5"/>
    </row>
    <row r="4" spans="2:12" x14ac:dyDescent="0.3">
      <c r="B4" s="6" t="s">
        <v>57</v>
      </c>
      <c r="C4" s="6" t="s">
        <v>58</v>
      </c>
      <c r="E4" t="e" cm="1" vm="8">
        <f t="array" ref="E4">_xlfn._xlws.PY(8,0,Table13[#All])</f>
        <v>#VALUE!</v>
      </c>
    </row>
    <row r="5" spans="2:12" ht="15" thickBot="1" x14ac:dyDescent="0.35">
      <c r="B5" s="19">
        <v>45200</v>
      </c>
      <c r="C5" s="20">
        <v>1500</v>
      </c>
    </row>
    <row r="6" spans="2:12" ht="15" thickBot="1" x14ac:dyDescent="0.35">
      <c r="B6" s="19">
        <v>45201</v>
      </c>
      <c r="C6" s="20">
        <v>1600</v>
      </c>
    </row>
    <row r="7" spans="2:12" ht="15" thickBot="1" x14ac:dyDescent="0.35">
      <c r="B7" s="19">
        <v>45202</v>
      </c>
      <c r="C7" s="20">
        <v>1450</v>
      </c>
    </row>
    <row r="8" spans="2:12" ht="15" thickBot="1" x14ac:dyDescent="0.35">
      <c r="B8" s="19">
        <v>45203</v>
      </c>
      <c r="C8" s="20">
        <v>1700</v>
      </c>
    </row>
    <row r="9" spans="2:12" ht="15" thickBot="1" x14ac:dyDescent="0.35">
      <c r="B9" s="19">
        <v>45204</v>
      </c>
      <c r="C9" s="20">
        <v>1800</v>
      </c>
    </row>
    <row r="10" spans="2:12" ht="15" thickBot="1" x14ac:dyDescent="0.35">
      <c r="B10" s="19">
        <v>45205</v>
      </c>
      <c r="C10" s="20">
        <v>2100</v>
      </c>
    </row>
    <row r="11" spans="2:12" ht="15" thickBot="1" x14ac:dyDescent="0.35">
      <c r="B11" s="19">
        <v>45206</v>
      </c>
      <c r="C11" s="20">
        <v>2300</v>
      </c>
    </row>
    <row r="12" spans="2:12" ht="15" thickBot="1" x14ac:dyDescent="0.35">
      <c r="B12" s="19">
        <v>45207</v>
      </c>
      <c r="C12" s="20">
        <v>2500</v>
      </c>
    </row>
    <row r="13" spans="2:12" ht="15" thickBot="1" x14ac:dyDescent="0.35">
      <c r="B13" s="19">
        <v>45208</v>
      </c>
      <c r="C13" s="20">
        <v>2200</v>
      </c>
    </row>
    <row r="14" spans="2:12" ht="15" thickBot="1" x14ac:dyDescent="0.35">
      <c r="B14" s="19">
        <v>45209</v>
      </c>
      <c r="C14" s="20">
        <v>1900</v>
      </c>
    </row>
    <row r="15" spans="2:12" ht="15" thickBot="1" x14ac:dyDescent="0.35">
      <c r="B15" s="19">
        <v>45210</v>
      </c>
      <c r="C15" s="20">
        <v>1750</v>
      </c>
    </row>
    <row r="16" spans="2:12" ht="15" thickBot="1" x14ac:dyDescent="0.35">
      <c r="B16" s="19">
        <v>45211</v>
      </c>
      <c r="C16" s="20">
        <v>1600</v>
      </c>
    </row>
    <row r="17" spans="2:3" ht="15" thickBot="1" x14ac:dyDescent="0.35">
      <c r="B17" s="19">
        <v>45212</v>
      </c>
      <c r="C17" s="20">
        <v>1800</v>
      </c>
    </row>
    <row r="18" spans="2:3" ht="15" thickBot="1" x14ac:dyDescent="0.35">
      <c r="B18" s="19">
        <v>45213</v>
      </c>
      <c r="C18" s="20">
        <v>2100</v>
      </c>
    </row>
    <row r="19" spans="2:3" ht="15" thickBot="1" x14ac:dyDescent="0.35">
      <c r="B19" s="19">
        <v>45214</v>
      </c>
      <c r="C19" s="20">
        <v>2400</v>
      </c>
    </row>
    <row r="20" spans="2:3" ht="15" thickBot="1" x14ac:dyDescent="0.35">
      <c r="B20" s="19">
        <v>45215</v>
      </c>
      <c r="C20" s="20">
        <v>2600</v>
      </c>
    </row>
    <row r="21" spans="2:3" ht="15" thickBot="1" x14ac:dyDescent="0.35">
      <c r="B21" s="19">
        <v>45216</v>
      </c>
      <c r="C21" s="20">
        <v>2300</v>
      </c>
    </row>
    <row r="22" spans="2:3" ht="15" thickBot="1" x14ac:dyDescent="0.35">
      <c r="B22" s="19">
        <v>45217</v>
      </c>
      <c r="C22" s="20">
        <v>2000</v>
      </c>
    </row>
    <row r="23" spans="2:3" ht="15" thickBot="1" x14ac:dyDescent="0.35">
      <c r="B23" s="19">
        <v>45218</v>
      </c>
      <c r="C23" s="20">
        <v>1850</v>
      </c>
    </row>
    <row r="24" spans="2:3" ht="15" thickBot="1" x14ac:dyDescent="0.35">
      <c r="B24" s="19">
        <v>45219</v>
      </c>
      <c r="C24" s="20">
        <v>1700</v>
      </c>
    </row>
    <row r="25" spans="2:3" ht="15" thickBot="1" x14ac:dyDescent="0.35">
      <c r="B25" s="19">
        <v>45220</v>
      </c>
      <c r="C25" s="20">
        <v>1900</v>
      </c>
    </row>
    <row r="26" spans="2:3" ht="15" thickBot="1" x14ac:dyDescent="0.35">
      <c r="B26" s="19">
        <v>45221</v>
      </c>
      <c r="C26" s="20">
        <v>2200</v>
      </c>
    </row>
    <row r="27" spans="2:3" ht="15" thickBot="1" x14ac:dyDescent="0.35">
      <c r="B27" s="19">
        <v>45222</v>
      </c>
      <c r="C27" s="20">
        <v>2400</v>
      </c>
    </row>
    <row r="28" spans="2:3" ht="15" thickBot="1" x14ac:dyDescent="0.35">
      <c r="B28" s="19">
        <v>45223</v>
      </c>
      <c r="C28" s="20">
        <v>2600</v>
      </c>
    </row>
    <row r="29" spans="2:3" ht="15" thickBot="1" x14ac:dyDescent="0.35">
      <c r="B29" s="19">
        <v>45224</v>
      </c>
      <c r="C29" s="20">
        <v>2400</v>
      </c>
    </row>
    <row r="30" spans="2:3" ht="15" thickBot="1" x14ac:dyDescent="0.35">
      <c r="B30" s="19">
        <v>45225</v>
      </c>
      <c r="C30" s="20">
        <v>2100</v>
      </c>
    </row>
    <row r="31" spans="2:3" ht="15" thickBot="1" x14ac:dyDescent="0.35">
      <c r="B31" s="19">
        <v>45226</v>
      </c>
      <c r="C31" s="20">
        <v>1900</v>
      </c>
    </row>
    <row r="32" spans="2:3" ht="15" thickBot="1" x14ac:dyDescent="0.35">
      <c r="B32" s="19">
        <v>45227</v>
      </c>
      <c r="C32" s="20">
        <v>1800</v>
      </c>
    </row>
    <row r="33" spans="2:3" ht="15" thickBot="1" x14ac:dyDescent="0.35">
      <c r="B33" s="19">
        <v>45228</v>
      </c>
      <c r="C33" s="20">
        <v>2100</v>
      </c>
    </row>
    <row r="34" spans="2:3" ht="15" thickBot="1" x14ac:dyDescent="0.35">
      <c r="B34" s="19">
        <v>45229</v>
      </c>
      <c r="C34" s="20">
        <v>2300</v>
      </c>
    </row>
    <row r="35" spans="2:3" ht="15" thickBot="1" x14ac:dyDescent="0.35">
      <c r="B35" s="19">
        <v>45230</v>
      </c>
      <c r="C35" s="20">
        <v>2500</v>
      </c>
    </row>
    <row r="144" spans="2:3" x14ac:dyDescent="0.3">
      <c r="B144" s="15"/>
      <c r="C144" s="15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0C5ED-8B6A-4284-BCD7-9939456FB606}">
  <dimension ref="B2:T2"/>
  <sheetViews>
    <sheetView showGridLines="0" zoomScale="55" zoomScaleNormal="55" workbookViewId="0">
      <selection activeCell="T2" sqref="T2"/>
    </sheetView>
  </sheetViews>
  <sheetFormatPr defaultRowHeight="14.4" x14ac:dyDescent="0.3"/>
  <sheetData>
    <row r="2" spans="2:20" x14ac:dyDescent="0.3">
      <c r="B2" t="e" cm="1" vm="9">
        <f t="array" ref="B2">_xlfn._xlws.PY(9,0)</f>
        <v>#VALUE!</v>
      </c>
      <c r="K2" t="e" cm="1" vm="10">
        <f t="array" ref="K2">_xlfn._xlws.PY(10,0)</f>
        <v>#VALUE!</v>
      </c>
      <c r="T2" t="e" cm="1" vm="11">
        <f t="array" ref="T2">_xlfn._xlws.PY(11,0)</f>
        <v>#VALUE!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7E977-3108-42C3-B77D-038F4ABBCA7B}">
  <dimension ref="C2:P3"/>
  <sheetViews>
    <sheetView showGridLines="0" zoomScale="85" zoomScaleNormal="85" workbookViewId="0">
      <selection activeCell="C3" sqref="C3"/>
    </sheetView>
  </sheetViews>
  <sheetFormatPr defaultRowHeight="14.4" x14ac:dyDescent="0.3"/>
  <sheetData>
    <row r="2" spans="3:16" x14ac:dyDescent="0.3">
      <c r="P2" t="e" cm="1" vm="12">
        <f t="array" ref="P2">_xlfn._xlws.PY(12,0)</f>
        <v>#VALUE!</v>
      </c>
    </row>
    <row r="3" spans="3:16" x14ac:dyDescent="0.3">
      <c r="C3" t="e" cm="1" vm="13">
        <f t="array" ref="C3">_xlfn._xlws.PY(13,0)</f>
        <v>#VALUE!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51341-3A01-470C-9F7B-A4FB9812F2A2}">
  <dimension ref="B2:R44"/>
  <sheetViews>
    <sheetView showGridLines="0" topLeftCell="E1" zoomScaleNormal="100" workbookViewId="0">
      <selection activeCell="N8" sqref="N8"/>
    </sheetView>
  </sheetViews>
  <sheetFormatPr defaultRowHeight="14.4" x14ac:dyDescent="0.3"/>
  <cols>
    <col min="2" max="2" width="13.44140625" customWidth="1"/>
    <col min="3" max="4" width="12.88671875" customWidth="1"/>
    <col min="6" max="6" width="12.88671875" customWidth="1"/>
    <col min="7" max="7" width="15.33203125" customWidth="1"/>
    <col min="9" max="12" width="12.88671875" customWidth="1"/>
    <col min="14" max="14" width="33.109375" customWidth="1"/>
    <col min="15" max="18" width="14.6640625" customWidth="1"/>
  </cols>
  <sheetData>
    <row r="2" spans="2:18" x14ac:dyDescent="0.3">
      <c r="B2" s="22" t="s">
        <v>6</v>
      </c>
      <c r="C2" s="22"/>
      <c r="D2" s="22"/>
      <c r="F2" s="22" t="s">
        <v>61</v>
      </c>
      <c r="G2" s="22"/>
      <c r="I2" s="23" t="s">
        <v>62</v>
      </c>
      <c r="J2" s="23"/>
      <c r="K2" s="23"/>
      <c r="L2" s="23"/>
      <c r="N2" s="24" t="s">
        <v>63</v>
      </c>
      <c r="O2" s="24"/>
      <c r="P2" s="24"/>
      <c r="Q2" s="24"/>
      <c r="R2" s="24"/>
    </row>
    <row r="3" spans="2:18" x14ac:dyDescent="0.3">
      <c r="B3" s="6" t="s">
        <v>7</v>
      </c>
      <c r="C3" s="6" t="s">
        <v>6</v>
      </c>
      <c r="D3" s="6" t="s">
        <v>8</v>
      </c>
      <c r="E3" s="25"/>
      <c r="F3" s="6" t="s">
        <v>8</v>
      </c>
      <c r="G3" s="6" t="s">
        <v>64</v>
      </c>
      <c r="H3" s="25"/>
      <c r="I3" s="26" t="s">
        <v>7</v>
      </c>
      <c r="J3" s="26" t="s">
        <v>6</v>
      </c>
      <c r="K3" s="26" t="s">
        <v>8</v>
      </c>
      <c r="L3" s="26" t="s">
        <v>64</v>
      </c>
    </row>
    <row r="4" spans="2:18" ht="15" thickBot="1" x14ac:dyDescent="0.35">
      <c r="B4" s="7" t="s">
        <v>9</v>
      </c>
      <c r="C4" s="7">
        <v>1500</v>
      </c>
      <c r="D4" s="7" t="s">
        <v>10</v>
      </c>
      <c r="E4" s="25"/>
      <c r="F4" s="7" t="s">
        <v>10</v>
      </c>
      <c r="G4" s="7" t="s">
        <v>65</v>
      </c>
      <c r="H4" s="25"/>
      <c r="I4" s="7" t="s">
        <v>9</v>
      </c>
      <c r="J4" s="7">
        <v>1500</v>
      </c>
      <c r="K4" s="7" t="s">
        <v>10</v>
      </c>
      <c r="L4" s="27" t="str">
        <f t="shared" ref="L4:L37" si="0">_xlfn.XLOOKUP(K4,$F$3:$F$13,$G$3:$G$13)</f>
        <v>Americas</v>
      </c>
      <c r="N4" t="e" cm="1" vm="7">
        <f t="array" ref="N4">_xlfn._xlws.PY(14,1,NSV_5[#All])</f>
        <v>#VALUE!</v>
      </c>
    </row>
    <row r="5" spans="2:18" ht="15" thickBot="1" x14ac:dyDescent="0.35">
      <c r="B5" s="7" t="s">
        <v>11</v>
      </c>
      <c r="C5" s="7">
        <v>1600</v>
      </c>
      <c r="D5" s="7" t="s">
        <v>12</v>
      </c>
      <c r="E5" s="25"/>
      <c r="F5" s="7" t="s">
        <v>12</v>
      </c>
      <c r="G5" s="7" t="s">
        <v>65</v>
      </c>
      <c r="H5" s="25"/>
      <c r="I5" s="7" t="s">
        <v>11</v>
      </c>
      <c r="J5" s="7">
        <v>1600</v>
      </c>
      <c r="K5" s="7" t="s">
        <v>12</v>
      </c>
      <c r="L5" s="27" t="str">
        <f t="shared" si="0"/>
        <v>Americas</v>
      </c>
    </row>
    <row r="6" spans="2:18" ht="15" thickBot="1" x14ac:dyDescent="0.35">
      <c r="B6" s="7" t="s">
        <v>13</v>
      </c>
      <c r="C6" s="7">
        <v>1450</v>
      </c>
      <c r="D6" s="7" t="s">
        <v>14</v>
      </c>
      <c r="E6" s="25"/>
      <c r="F6" s="7" t="s">
        <v>14</v>
      </c>
      <c r="G6" s="7" t="s">
        <v>65</v>
      </c>
      <c r="H6" s="25"/>
      <c r="I6" s="7" t="s">
        <v>13</v>
      </c>
      <c r="J6" s="7">
        <v>1450</v>
      </c>
      <c r="K6" s="7" t="s">
        <v>14</v>
      </c>
      <c r="L6" s="27" t="str">
        <f t="shared" si="0"/>
        <v>Americas</v>
      </c>
      <c r="N6" t="e" cm="1" vm="14">
        <f t="array" ref="N6">_xlfn._xlws.PY(15,1,BU[#All])</f>
        <v>#VALUE!</v>
      </c>
    </row>
    <row r="7" spans="2:18" ht="15" thickBot="1" x14ac:dyDescent="0.35">
      <c r="B7" s="7" t="s">
        <v>15</v>
      </c>
      <c r="C7" s="7">
        <v>1700</v>
      </c>
      <c r="D7" s="7" t="s">
        <v>16</v>
      </c>
      <c r="E7" s="25"/>
      <c r="F7" s="7" t="s">
        <v>16</v>
      </c>
      <c r="G7" s="7" t="s">
        <v>65</v>
      </c>
      <c r="H7" s="25"/>
      <c r="I7" s="7" t="s">
        <v>15</v>
      </c>
      <c r="J7" s="7">
        <v>1700</v>
      </c>
      <c r="K7" s="7" t="s">
        <v>16</v>
      </c>
      <c r="L7" s="27" t="str">
        <f t="shared" si="0"/>
        <v>Americas</v>
      </c>
    </row>
    <row r="8" spans="2:18" ht="15" thickBot="1" x14ac:dyDescent="0.35">
      <c r="B8" s="7" t="s">
        <v>17</v>
      </c>
      <c r="C8" s="7">
        <v>1800</v>
      </c>
      <c r="D8" s="7" t="s">
        <v>18</v>
      </c>
      <c r="E8" s="25"/>
      <c r="F8" s="7" t="s">
        <v>18</v>
      </c>
      <c r="G8" s="7" t="s">
        <v>66</v>
      </c>
      <c r="H8" s="25"/>
      <c r="I8" s="7" t="s">
        <v>17</v>
      </c>
      <c r="J8" s="7">
        <v>1800</v>
      </c>
      <c r="K8" s="7" t="s">
        <v>18</v>
      </c>
      <c r="L8" s="27" t="str">
        <f t="shared" si="0"/>
        <v>Europe</v>
      </c>
      <c r="N8" t="str" cm="1">
        <f t="array" ref="N8:Q44">_xlfn._xlws.PY(16,0)</f>
        <v>Sales_Order</v>
      </c>
      <c r="O8" s="24" t="str">
        <v>NSV</v>
      </c>
      <c r="P8" s="24" t="str">
        <v>Country</v>
      </c>
      <c r="Q8" s="24" t="str">
        <v>Business_Unit</v>
      </c>
      <c r="R8" s="24"/>
    </row>
    <row r="9" spans="2:18" ht="15" thickBot="1" x14ac:dyDescent="0.35">
      <c r="B9" s="7" t="s">
        <v>19</v>
      </c>
      <c r="C9" s="7">
        <v>2100</v>
      </c>
      <c r="D9" s="7" t="s">
        <v>20</v>
      </c>
      <c r="E9" s="25"/>
      <c r="F9" s="7" t="s">
        <v>20</v>
      </c>
      <c r="G9" s="7" t="s">
        <v>66</v>
      </c>
      <c r="H9" s="25"/>
      <c r="I9" s="7" t="s">
        <v>19</v>
      </c>
      <c r="J9" s="7">
        <v>2100</v>
      </c>
      <c r="K9" s="7" t="s">
        <v>20</v>
      </c>
      <c r="L9" s="27" t="str">
        <f t="shared" si="0"/>
        <v>Europe</v>
      </c>
      <c r="N9" t="str">
        <v>B1</v>
      </c>
      <c r="O9" s="25">
        <v>1500</v>
      </c>
      <c r="P9" s="25" t="str">
        <v>Mexico</v>
      </c>
      <c r="Q9" s="25" t="str">
        <v>Americas</v>
      </c>
      <c r="R9" s="25"/>
    </row>
    <row r="10" spans="2:18" ht="15" thickBot="1" x14ac:dyDescent="0.35">
      <c r="B10" s="7" t="s">
        <v>21</v>
      </c>
      <c r="C10" s="7">
        <v>2300</v>
      </c>
      <c r="D10" s="7" t="s">
        <v>22</v>
      </c>
      <c r="E10" s="25"/>
      <c r="F10" s="7" t="s">
        <v>22</v>
      </c>
      <c r="G10" s="7" t="s">
        <v>66</v>
      </c>
      <c r="H10" s="25"/>
      <c r="I10" s="7" t="s">
        <v>21</v>
      </c>
      <c r="J10" s="7">
        <v>2300</v>
      </c>
      <c r="K10" s="7" t="s">
        <v>22</v>
      </c>
      <c r="L10" s="27" t="str">
        <f t="shared" si="0"/>
        <v>Europe</v>
      </c>
      <c r="N10" t="str">
        <v>B2</v>
      </c>
      <c r="O10" s="25">
        <v>1600</v>
      </c>
      <c r="P10" s="25" t="str">
        <v>US</v>
      </c>
      <c r="Q10" s="25" t="str">
        <v>Americas</v>
      </c>
      <c r="R10" s="25"/>
    </row>
    <row r="11" spans="2:18" ht="15" thickBot="1" x14ac:dyDescent="0.35">
      <c r="B11" s="7" t="s">
        <v>23</v>
      </c>
      <c r="C11" s="7">
        <v>2500</v>
      </c>
      <c r="D11" s="7" t="s">
        <v>24</v>
      </c>
      <c r="E11" s="25"/>
      <c r="F11" s="7" t="s">
        <v>24</v>
      </c>
      <c r="G11" s="7" t="s">
        <v>67</v>
      </c>
      <c r="H11" s="25"/>
      <c r="I11" s="7" t="s">
        <v>23</v>
      </c>
      <c r="J11" s="7">
        <v>2500</v>
      </c>
      <c r="K11" s="7" t="s">
        <v>24</v>
      </c>
      <c r="L11" s="27" t="str">
        <f t="shared" si="0"/>
        <v>Asia</v>
      </c>
      <c r="N11" t="str">
        <v>B3</v>
      </c>
      <c r="O11" s="25">
        <v>1450</v>
      </c>
      <c r="P11" s="25" t="str">
        <v>Chile</v>
      </c>
      <c r="Q11" s="25" t="str">
        <v>Americas</v>
      </c>
      <c r="R11" s="25"/>
    </row>
    <row r="12" spans="2:18" ht="15" thickBot="1" x14ac:dyDescent="0.35">
      <c r="B12" s="7" t="s">
        <v>25</v>
      </c>
      <c r="C12" s="7">
        <v>2200</v>
      </c>
      <c r="D12" s="7" t="s">
        <v>26</v>
      </c>
      <c r="E12" s="25"/>
      <c r="F12" s="8" t="s">
        <v>26</v>
      </c>
      <c r="G12" s="8" t="s">
        <v>67</v>
      </c>
      <c r="H12" s="25"/>
      <c r="I12" s="7" t="s">
        <v>25</v>
      </c>
      <c r="J12" s="7">
        <v>2200</v>
      </c>
      <c r="K12" s="7" t="s">
        <v>26</v>
      </c>
      <c r="L12" s="27" t="str">
        <f t="shared" si="0"/>
        <v>Asia</v>
      </c>
      <c r="N12" t="str">
        <v>B4</v>
      </c>
      <c r="O12" s="25">
        <v>1700</v>
      </c>
      <c r="P12" s="25" t="str">
        <v>Argentina</v>
      </c>
      <c r="Q12" s="25" t="str">
        <v>Americas</v>
      </c>
      <c r="R12" s="25"/>
    </row>
    <row r="13" spans="2:18" ht="15" thickBot="1" x14ac:dyDescent="0.35">
      <c r="B13" s="7" t="s">
        <v>27</v>
      </c>
      <c r="C13" s="7">
        <v>1900</v>
      </c>
      <c r="D13" s="7" t="s">
        <v>10</v>
      </c>
      <c r="E13" s="25"/>
      <c r="F13" s="8" t="s">
        <v>51</v>
      </c>
      <c r="G13" s="8" t="s">
        <v>68</v>
      </c>
      <c r="H13" s="25"/>
      <c r="I13" s="7" t="s">
        <v>27</v>
      </c>
      <c r="J13" s="7">
        <v>1900</v>
      </c>
      <c r="K13" s="7" t="s">
        <v>10</v>
      </c>
      <c r="L13" s="27" t="str">
        <f t="shared" si="0"/>
        <v>Americas</v>
      </c>
      <c r="N13" t="str">
        <v>B5</v>
      </c>
      <c r="O13" s="25">
        <v>1800</v>
      </c>
      <c r="P13" s="25" t="str">
        <v>Netherlands</v>
      </c>
      <c r="Q13" s="25" t="str">
        <v>Europe</v>
      </c>
      <c r="R13" s="25"/>
    </row>
    <row r="14" spans="2:18" ht="15" thickBot="1" x14ac:dyDescent="0.35">
      <c r="B14" s="7" t="s">
        <v>28</v>
      </c>
      <c r="C14" s="7">
        <v>1750</v>
      </c>
      <c r="D14" s="7" t="s">
        <v>12</v>
      </c>
      <c r="E14" s="25"/>
      <c r="F14" s="25"/>
      <c r="G14" s="25"/>
      <c r="H14" s="25"/>
      <c r="I14" s="7" t="s">
        <v>28</v>
      </c>
      <c r="J14" s="7">
        <v>1750</v>
      </c>
      <c r="K14" s="7" t="s">
        <v>12</v>
      </c>
      <c r="L14" s="27" t="str">
        <f t="shared" si="0"/>
        <v>Americas</v>
      </c>
      <c r="N14" t="str">
        <v>B6</v>
      </c>
      <c r="O14" s="25">
        <v>2100</v>
      </c>
      <c r="P14" s="25" t="str">
        <v>France</v>
      </c>
      <c r="Q14" s="25" t="str">
        <v>Europe</v>
      </c>
      <c r="R14" s="25"/>
    </row>
    <row r="15" spans="2:18" ht="15" thickBot="1" x14ac:dyDescent="0.35">
      <c r="B15" s="7" t="s">
        <v>29</v>
      </c>
      <c r="C15" s="7">
        <v>1600</v>
      </c>
      <c r="D15" s="7" t="s">
        <v>14</v>
      </c>
      <c r="E15" s="25"/>
      <c r="F15" s="25"/>
      <c r="G15" s="25"/>
      <c r="H15" s="25"/>
      <c r="I15" s="7" t="s">
        <v>29</v>
      </c>
      <c r="J15" s="7">
        <v>1600</v>
      </c>
      <c r="K15" s="7" t="s">
        <v>14</v>
      </c>
      <c r="L15" s="27" t="str">
        <f t="shared" si="0"/>
        <v>Americas</v>
      </c>
      <c r="N15" t="str">
        <v>B7</v>
      </c>
      <c r="O15" s="25">
        <v>2300</v>
      </c>
      <c r="P15" s="25" t="str">
        <v>Spain</v>
      </c>
      <c r="Q15" s="25" t="str">
        <v>Europe</v>
      </c>
      <c r="R15" s="25"/>
    </row>
    <row r="16" spans="2:18" ht="15" thickBot="1" x14ac:dyDescent="0.35">
      <c r="B16" s="7" t="s">
        <v>30</v>
      </c>
      <c r="C16" s="7">
        <v>1800</v>
      </c>
      <c r="D16" s="7" t="s">
        <v>16</v>
      </c>
      <c r="E16" s="25"/>
      <c r="F16" s="25"/>
      <c r="G16" s="25"/>
      <c r="H16" s="25"/>
      <c r="I16" s="7" t="s">
        <v>30</v>
      </c>
      <c r="J16" s="7">
        <v>1800</v>
      </c>
      <c r="K16" s="7" t="s">
        <v>16</v>
      </c>
      <c r="L16" s="27" t="str">
        <f t="shared" si="0"/>
        <v>Americas</v>
      </c>
      <c r="N16" t="str">
        <v>B8</v>
      </c>
      <c r="O16" s="25">
        <v>2500</v>
      </c>
      <c r="P16" s="25" t="str">
        <v>China</v>
      </c>
      <c r="Q16" s="25" t="str">
        <v>Asia</v>
      </c>
      <c r="R16" s="25"/>
    </row>
    <row r="17" spans="2:18" ht="15" thickBot="1" x14ac:dyDescent="0.35">
      <c r="B17" s="7" t="s">
        <v>31</v>
      </c>
      <c r="C17" s="7">
        <v>2100</v>
      </c>
      <c r="D17" s="7" t="s">
        <v>18</v>
      </c>
      <c r="E17" s="25"/>
      <c r="F17" s="25"/>
      <c r="G17" s="25"/>
      <c r="H17" s="25"/>
      <c r="I17" s="7" t="s">
        <v>31</v>
      </c>
      <c r="J17" s="7">
        <v>2100</v>
      </c>
      <c r="K17" s="7" t="s">
        <v>18</v>
      </c>
      <c r="L17" s="27" t="str">
        <f t="shared" si="0"/>
        <v>Europe</v>
      </c>
      <c r="N17" t="str">
        <v>B9</v>
      </c>
      <c r="O17" s="25">
        <v>2200</v>
      </c>
      <c r="P17" s="25" t="str">
        <v>Japan</v>
      </c>
      <c r="Q17" s="25" t="str">
        <v>Asia</v>
      </c>
      <c r="R17" s="25"/>
    </row>
    <row r="18" spans="2:18" ht="15" thickBot="1" x14ac:dyDescent="0.35">
      <c r="B18" s="7" t="s">
        <v>32</v>
      </c>
      <c r="C18" s="7">
        <v>2400</v>
      </c>
      <c r="D18" s="7" t="s">
        <v>20</v>
      </c>
      <c r="E18" s="25"/>
      <c r="F18" s="25"/>
      <c r="G18" s="25"/>
      <c r="H18" s="25"/>
      <c r="I18" s="7" t="s">
        <v>32</v>
      </c>
      <c r="J18" s="7">
        <v>2400</v>
      </c>
      <c r="K18" s="7" t="s">
        <v>20</v>
      </c>
      <c r="L18" s="27" t="str">
        <f t="shared" si="0"/>
        <v>Europe</v>
      </c>
      <c r="N18" t="str">
        <v>B10</v>
      </c>
      <c r="O18" s="25">
        <v>1900</v>
      </c>
      <c r="P18" s="25" t="str">
        <v>Mexico</v>
      </c>
      <c r="Q18" s="25" t="str">
        <v>Americas</v>
      </c>
      <c r="R18" s="25"/>
    </row>
    <row r="19" spans="2:18" ht="15" thickBot="1" x14ac:dyDescent="0.35">
      <c r="B19" s="7" t="s">
        <v>33</v>
      </c>
      <c r="C19" s="7">
        <v>2600</v>
      </c>
      <c r="D19" s="7" t="s">
        <v>22</v>
      </c>
      <c r="E19" s="25"/>
      <c r="F19" s="25"/>
      <c r="G19" s="25"/>
      <c r="H19" s="25"/>
      <c r="I19" s="7" t="s">
        <v>33</v>
      </c>
      <c r="J19" s="7">
        <v>2600</v>
      </c>
      <c r="K19" s="7" t="s">
        <v>22</v>
      </c>
      <c r="L19" s="27" t="str">
        <f t="shared" si="0"/>
        <v>Europe</v>
      </c>
      <c r="N19" t="str">
        <v>B11</v>
      </c>
      <c r="O19" s="25">
        <v>1750</v>
      </c>
      <c r="P19" s="25" t="str">
        <v>US</v>
      </c>
      <c r="Q19" s="25" t="str">
        <v>Americas</v>
      </c>
      <c r="R19" s="25"/>
    </row>
    <row r="20" spans="2:18" ht="15" thickBot="1" x14ac:dyDescent="0.35">
      <c r="B20" s="7" t="s">
        <v>34</v>
      </c>
      <c r="C20" s="7">
        <v>2300</v>
      </c>
      <c r="D20" s="7" t="s">
        <v>24</v>
      </c>
      <c r="E20" s="25"/>
      <c r="F20" s="25"/>
      <c r="G20" s="25"/>
      <c r="H20" s="25"/>
      <c r="I20" s="7" t="s">
        <v>34</v>
      </c>
      <c r="J20" s="7">
        <v>2300</v>
      </c>
      <c r="K20" s="7" t="s">
        <v>24</v>
      </c>
      <c r="L20" s="27" t="str">
        <f t="shared" si="0"/>
        <v>Asia</v>
      </c>
      <c r="N20" t="str">
        <v>B12</v>
      </c>
      <c r="O20" s="25">
        <v>1600</v>
      </c>
      <c r="P20" s="25" t="str">
        <v>Chile</v>
      </c>
      <c r="Q20" s="25" t="str">
        <v>Americas</v>
      </c>
      <c r="R20" s="25"/>
    </row>
    <row r="21" spans="2:18" ht="15" thickBot="1" x14ac:dyDescent="0.35">
      <c r="B21" s="7" t="s">
        <v>35</v>
      </c>
      <c r="C21" s="7">
        <v>2000</v>
      </c>
      <c r="D21" s="7" t="s">
        <v>26</v>
      </c>
      <c r="E21" s="25"/>
      <c r="F21" s="25"/>
      <c r="G21" s="25"/>
      <c r="H21" s="25"/>
      <c r="I21" s="7" t="s">
        <v>35</v>
      </c>
      <c r="J21" s="7">
        <v>2000</v>
      </c>
      <c r="K21" s="7" t="s">
        <v>26</v>
      </c>
      <c r="L21" s="27" t="str">
        <f t="shared" si="0"/>
        <v>Asia</v>
      </c>
      <c r="N21" t="str">
        <v>B13</v>
      </c>
      <c r="O21" s="25">
        <v>1800</v>
      </c>
      <c r="P21" s="25" t="str">
        <v>Argentina</v>
      </c>
      <c r="Q21" s="25" t="str">
        <v>Americas</v>
      </c>
      <c r="R21" s="25"/>
    </row>
    <row r="22" spans="2:18" ht="15" thickBot="1" x14ac:dyDescent="0.35">
      <c r="B22" s="7" t="s">
        <v>36</v>
      </c>
      <c r="C22" s="7">
        <v>1850</v>
      </c>
      <c r="D22" s="7" t="s">
        <v>10</v>
      </c>
      <c r="E22" s="25"/>
      <c r="F22" s="25"/>
      <c r="G22" s="25"/>
      <c r="H22" s="25"/>
      <c r="I22" s="7" t="s">
        <v>36</v>
      </c>
      <c r="J22" s="7">
        <v>1850</v>
      </c>
      <c r="K22" s="7" t="s">
        <v>10</v>
      </c>
      <c r="L22" s="27" t="str">
        <f t="shared" si="0"/>
        <v>Americas</v>
      </c>
      <c r="N22" t="str">
        <v>B14</v>
      </c>
      <c r="O22" s="25">
        <v>2100</v>
      </c>
      <c r="P22" s="25" t="str">
        <v>Netherlands</v>
      </c>
      <c r="Q22" s="25" t="str">
        <v>Europe</v>
      </c>
      <c r="R22" s="25"/>
    </row>
    <row r="23" spans="2:18" ht="15" thickBot="1" x14ac:dyDescent="0.35">
      <c r="B23" s="7" t="s">
        <v>37</v>
      </c>
      <c r="C23" s="7">
        <v>1700</v>
      </c>
      <c r="D23" s="7" t="s">
        <v>12</v>
      </c>
      <c r="E23" s="25"/>
      <c r="F23" s="25"/>
      <c r="G23" s="25"/>
      <c r="H23" s="25"/>
      <c r="I23" s="7" t="s">
        <v>37</v>
      </c>
      <c r="J23" s="7">
        <v>1700</v>
      </c>
      <c r="K23" s="7" t="s">
        <v>12</v>
      </c>
      <c r="L23" s="27" t="str">
        <f t="shared" si="0"/>
        <v>Americas</v>
      </c>
      <c r="N23" t="str">
        <v>B15</v>
      </c>
      <c r="O23" s="25">
        <v>2400</v>
      </c>
      <c r="P23" s="25" t="str">
        <v>France</v>
      </c>
      <c r="Q23" s="25" t="str">
        <v>Europe</v>
      </c>
      <c r="R23" s="25"/>
    </row>
    <row r="24" spans="2:18" ht="15" thickBot="1" x14ac:dyDescent="0.35">
      <c r="B24" s="7" t="s">
        <v>38</v>
      </c>
      <c r="C24" s="7">
        <v>1900</v>
      </c>
      <c r="D24" s="7" t="s">
        <v>14</v>
      </c>
      <c r="E24" s="25"/>
      <c r="F24" s="25"/>
      <c r="G24" s="25"/>
      <c r="H24" s="25"/>
      <c r="I24" s="7" t="s">
        <v>38</v>
      </c>
      <c r="J24" s="7">
        <v>1900</v>
      </c>
      <c r="K24" s="7" t="s">
        <v>14</v>
      </c>
      <c r="L24" s="27" t="str">
        <f t="shared" si="0"/>
        <v>Americas</v>
      </c>
      <c r="N24" t="str">
        <v>B16</v>
      </c>
      <c r="O24" s="25">
        <v>2600</v>
      </c>
      <c r="P24" s="25" t="str">
        <v>Spain</v>
      </c>
      <c r="Q24" s="25" t="str">
        <v>Europe</v>
      </c>
      <c r="R24" s="25"/>
    </row>
    <row r="25" spans="2:18" ht="15" thickBot="1" x14ac:dyDescent="0.35">
      <c r="B25" s="7" t="s">
        <v>39</v>
      </c>
      <c r="C25" s="7">
        <v>2200</v>
      </c>
      <c r="D25" s="7" t="s">
        <v>16</v>
      </c>
      <c r="E25" s="25"/>
      <c r="F25" s="25"/>
      <c r="G25" s="25"/>
      <c r="H25" s="25"/>
      <c r="I25" s="7" t="s">
        <v>39</v>
      </c>
      <c r="J25" s="7">
        <v>2200</v>
      </c>
      <c r="K25" s="7" t="s">
        <v>16</v>
      </c>
      <c r="L25" s="27" t="str">
        <f t="shared" si="0"/>
        <v>Americas</v>
      </c>
      <c r="N25" t="str">
        <v>B17</v>
      </c>
      <c r="O25" s="25">
        <v>2300</v>
      </c>
      <c r="P25" s="25" t="str">
        <v>China</v>
      </c>
      <c r="Q25" s="25" t="str">
        <v>Asia</v>
      </c>
      <c r="R25" s="25"/>
    </row>
    <row r="26" spans="2:18" ht="15" thickBot="1" x14ac:dyDescent="0.35">
      <c r="B26" s="7" t="s">
        <v>40</v>
      </c>
      <c r="C26" s="7">
        <v>2400</v>
      </c>
      <c r="D26" s="7" t="s">
        <v>18</v>
      </c>
      <c r="E26" s="25"/>
      <c r="F26" s="25"/>
      <c r="G26" s="25"/>
      <c r="H26" s="25"/>
      <c r="I26" s="7" t="s">
        <v>40</v>
      </c>
      <c r="J26" s="7">
        <v>2400</v>
      </c>
      <c r="K26" s="7" t="s">
        <v>18</v>
      </c>
      <c r="L26" s="27" t="str">
        <f t="shared" si="0"/>
        <v>Europe</v>
      </c>
      <c r="N26" t="str">
        <v>B18</v>
      </c>
      <c r="O26" s="25">
        <v>2000</v>
      </c>
      <c r="P26" s="25" t="str">
        <v>Japan</v>
      </c>
      <c r="Q26" s="25" t="str">
        <v>Asia</v>
      </c>
      <c r="R26" s="25"/>
    </row>
    <row r="27" spans="2:18" ht="15" thickBot="1" x14ac:dyDescent="0.35">
      <c r="B27" s="7" t="s">
        <v>41</v>
      </c>
      <c r="C27" s="7">
        <v>2600</v>
      </c>
      <c r="D27" s="7" t="s">
        <v>20</v>
      </c>
      <c r="E27" s="25"/>
      <c r="F27" s="25"/>
      <c r="G27" s="25"/>
      <c r="H27" s="25"/>
      <c r="I27" s="7" t="s">
        <v>41</v>
      </c>
      <c r="J27" s="7">
        <v>2600</v>
      </c>
      <c r="K27" s="7" t="s">
        <v>20</v>
      </c>
      <c r="L27" s="27" t="str">
        <f t="shared" si="0"/>
        <v>Europe</v>
      </c>
      <c r="N27" t="str">
        <v>B19</v>
      </c>
      <c r="O27" s="25">
        <v>1850</v>
      </c>
      <c r="P27" s="25" t="str">
        <v>Mexico</v>
      </c>
      <c r="Q27" s="25" t="str">
        <v>Americas</v>
      </c>
      <c r="R27" s="25"/>
    </row>
    <row r="28" spans="2:18" ht="15" thickBot="1" x14ac:dyDescent="0.35">
      <c r="B28" s="7" t="s">
        <v>42</v>
      </c>
      <c r="C28" s="7">
        <v>2400</v>
      </c>
      <c r="D28" s="7" t="s">
        <v>22</v>
      </c>
      <c r="E28" s="25"/>
      <c r="F28" s="25"/>
      <c r="G28" s="25"/>
      <c r="H28" s="25"/>
      <c r="I28" s="7" t="s">
        <v>42</v>
      </c>
      <c r="J28" s="7">
        <v>2400</v>
      </c>
      <c r="K28" s="7" t="s">
        <v>22</v>
      </c>
      <c r="L28" s="27" t="str">
        <f t="shared" si="0"/>
        <v>Europe</v>
      </c>
      <c r="N28" t="str">
        <v>B20</v>
      </c>
      <c r="O28" s="25">
        <v>1700</v>
      </c>
      <c r="P28" s="25" t="str">
        <v>US</v>
      </c>
      <c r="Q28" s="25" t="str">
        <v>Americas</v>
      </c>
      <c r="R28" s="25"/>
    </row>
    <row r="29" spans="2:18" ht="15" thickBot="1" x14ac:dyDescent="0.35">
      <c r="B29" s="7" t="s">
        <v>43</v>
      </c>
      <c r="C29" s="7">
        <v>2100</v>
      </c>
      <c r="D29" s="7" t="s">
        <v>24</v>
      </c>
      <c r="E29" s="25"/>
      <c r="F29" s="25"/>
      <c r="G29" s="25"/>
      <c r="H29" s="25"/>
      <c r="I29" s="7" t="s">
        <v>43</v>
      </c>
      <c r="J29" s="7">
        <v>2100</v>
      </c>
      <c r="K29" s="7" t="s">
        <v>24</v>
      </c>
      <c r="L29" s="27" t="str">
        <f t="shared" si="0"/>
        <v>Asia</v>
      </c>
      <c r="N29" t="str">
        <v>B21</v>
      </c>
      <c r="O29" s="25">
        <v>1900</v>
      </c>
      <c r="P29" s="25" t="str">
        <v>Chile</v>
      </c>
      <c r="Q29" s="25" t="str">
        <v>Americas</v>
      </c>
      <c r="R29" s="25"/>
    </row>
    <row r="30" spans="2:18" ht="15" thickBot="1" x14ac:dyDescent="0.35">
      <c r="B30" s="7" t="s">
        <v>44</v>
      </c>
      <c r="C30" s="7">
        <v>1900</v>
      </c>
      <c r="D30" s="7" t="s">
        <v>20</v>
      </c>
      <c r="E30" s="25"/>
      <c r="F30" s="25"/>
      <c r="G30" s="25"/>
      <c r="H30" s="25"/>
      <c r="I30" s="7" t="s">
        <v>44</v>
      </c>
      <c r="J30" s="7">
        <v>1900</v>
      </c>
      <c r="K30" s="7" t="s">
        <v>20</v>
      </c>
      <c r="L30" s="27" t="str">
        <f t="shared" si="0"/>
        <v>Europe</v>
      </c>
      <c r="N30" t="str">
        <v>B22</v>
      </c>
      <c r="O30" s="25">
        <v>2200</v>
      </c>
      <c r="P30" s="25" t="str">
        <v>Argentina</v>
      </c>
      <c r="Q30" s="25" t="str">
        <v>Americas</v>
      </c>
      <c r="R30" s="25"/>
    </row>
    <row r="31" spans="2:18" ht="15" thickBot="1" x14ac:dyDescent="0.35">
      <c r="B31" s="7" t="s">
        <v>45</v>
      </c>
      <c r="C31" s="7">
        <v>1800</v>
      </c>
      <c r="D31" s="7" t="s">
        <v>22</v>
      </c>
      <c r="E31" s="25"/>
      <c r="F31" s="25"/>
      <c r="G31" s="25"/>
      <c r="H31" s="25"/>
      <c r="I31" s="7" t="s">
        <v>45</v>
      </c>
      <c r="J31" s="7">
        <v>1800</v>
      </c>
      <c r="K31" s="7" t="s">
        <v>22</v>
      </c>
      <c r="L31" s="27" t="str">
        <f t="shared" si="0"/>
        <v>Europe</v>
      </c>
      <c r="N31" t="str">
        <v>B23</v>
      </c>
      <c r="O31" s="25">
        <v>2400</v>
      </c>
      <c r="P31" s="25" t="str">
        <v>Netherlands</v>
      </c>
      <c r="Q31" s="25" t="str">
        <v>Europe</v>
      </c>
      <c r="R31" s="25"/>
    </row>
    <row r="32" spans="2:18" ht="15" thickBot="1" x14ac:dyDescent="0.35">
      <c r="B32" s="7" t="s">
        <v>46</v>
      </c>
      <c r="C32" s="7">
        <v>2100</v>
      </c>
      <c r="D32" s="7" t="s">
        <v>20</v>
      </c>
      <c r="E32" s="25"/>
      <c r="F32" s="25"/>
      <c r="G32" s="25"/>
      <c r="H32" s="25"/>
      <c r="I32" s="7" t="s">
        <v>46</v>
      </c>
      <c r="J32" s="7">
        <v>2100</v>
      </c>
      <c r="K32" s="7" t="s">
        <v>20</v>
      </c>
      <c r="L32" s="27" t="str">
        <f t="shared" si="0"/>
        <v>Europe</v>
      </c>
      <c r="N32" t="str">
        <v>B24</v>
      </c>
      <c r="O32" s="25">
        <v>2600</v>
      </c>
      <c r="P32" s="25" t="str">
        <v>France</v>
      </c>
      <c r="Q32" s="25" t="str">
        <v>Europe</v>
      </c>
      <c r="R32" s="25"/>
    </row>
    <row r="33" spans="2:18" ht="15" thickBot="1" x14ac:dyDescent="0.35">
      <c r="B33" s="7" t="s">
        <v>47</v>
      </c>
      <c r="C33" s="7">
        <v>2300</v>
      </c>
      <c r="D33" s="7" t="s">
        <v>22</v>
      </c>
      <c r="E33" s="25"/>
      <c r="F33" s="25"/>
      <c r="G33" s="25"/>
      <c r="H33" s="25"/>
      <c r="I33" s="7" t="s">
        <v>47</v>
      </c>
      <c r="J33" s="7">
        <v>2300</v>
      </c>
      <c r="K33" s="7" t="s">
        <v>22</v>
      </c>
      <c r="L33" s="27" t="str">
        <f t="shared" si="0"/>
        <v>Europe</v>
      </c>
      <c r="N33" t="str">
        <v>B25</v>
      </c>
      <c r="O33" s="25">
        <v>2400</v>
      </c>
      <c r="P33" s="25" t="str">
        <v>Spain</v>
      </c>
      <c r="Q33" s="25" t="str">
        <v>Europe</v>
      </c>
      <c r="R33" s="25"/>
    </row>
    <row r="34" spans="2:18" ht="15" thickBot="1" x14ac:dyDescent="0.35">
      <c r="B34" s="8" t="s">
        <v>48</v>
      </c>
      <c r="C34" s="9">
        <v>2500</v>
      </c>
      <c r="D34" s="7" t="s">
        <v>24</v>
      </c>
      <c r="E34" s="25"/>
      <c r="F34" s="25"/>
      <c r="G34" s="25"/>
      <c r="H34" s="25"/>
      <c r="I34" s="7" t="s">
        <v>48</v>
      </c>
      <c r="J34" s="9">
        <v>2500</v>
      </c>
      <c r="K34" s="7" t="s">
        <v>24</v>
      </c>
      <c r="L34" s="27" t="str">
        <f t="shared" si="0"/>
        <v>Asia</v>
      </c>
      <c r="N34" t="str">
        <v>B26</v>
      </c>
      <c r="O34" s="25">
        <v>2100</v>
      </c>
      <c r="P34" s="25" t="str">
        <v>China</v>
      </c>
      <c r="Q34" s="25" t="str">
        <v>Asia</v>
      </c>
      <c r="R34" s="25"/>
    </row>
    <row r="35" spans="2:18" ht="15" thickBot="1" x14ac:dyDescent="0.35">
      <c r="B35" s="8" t="s">
        <v>49</v>
      </c>
      <c r="C35" s="8">
        <v>2600</v>
      </c>
      <c r="D35" s="8" t="s">
        <v>10</v>
      </c>
      <c r="I35" s="7" t="s">
        <v>49</v>
      </c>
      <c r="J35" s="9">
        <v>2600</v>
      </c>
      <c r="K35" s="7" t="s">
        <v>10</v>
      </c>
      <c r="L35" s="27" t="str">
        <f t="shared" si="0"/>
        <v>Americas</v>
      </c>
      <c r="N35" t="str">
        <v>B27</v>
      </c>
      <c r="O35" s="25">
        <v>1900</v>
      </c>
      <c r="P35" s="25" t="str">
        <v>France</v>
      </c>
      <c r="Q35" s="25" t="str">
        <v>Europe</v>
      </c>
      <c r="R35" s="25"/>
    </row>
    <row r="36" spans="2:18" ht="15" thickBot="1" x14ac:dyDescent="0.35">
      <c r="B36" s="8" t="s">
        <v>50</v>
      </c>
      <c r="C36" s="8">
        <v>1100</v>
      </c>
      <c r="D36" s="8" t="s">
        <v>51</v>
      </c>
      <c r="I36" s="7" t="s">
        <v>50</v>
      </c>
      <c r="J36" s="9">
        <v>1100</v>
      </c>
      <c r="K36" s="7" t="s">
        <v>51</v>
      </c>
      <c r="L36" s="27" t="str">
        <f t="shared" si="0"/>
        <v>Africa</v>
      </c>
      <c r="N36" t="str">
        <v>B28</v>
      </c>
      <c r="O36" s="25">
        <v>1800</v>
      </c>
      <c r="P36" s="25" t="str">
        <v>Spain</v>
      </c>
      <c r="Q36" s="25" t="str">
        <v>Europe</v>
      </c>
      <c r="R36" s="25"/>
    </row>
    <row r="37" spans="2:18" ht="15" thickBot="1" x14ac:dyDescent="0.35">
      <c r="B37" s="8" t="s">
        <v>52</v>
      </c>
      <c r="C37" s="8">
        <v>400</v>
      </c>
      <c r="D37" s="8" t="s">
        <v>10</v>
      </c>
      <c r="I37" s="7" t="s">
        <v>52</v>
      </c>
      <c r="J37" s="9">
        <v>400</v>
      </c>
      <c r="K37" s="7" t="s">
        <v>10</v>
      </c>
      <c r="L37" s="27" t="str">
        <f t="shared" si="0"/>
        <v>Americas</v>
      </c>
      <c r="N37" t="str">
        <v>B29</v>
      </c>
      <c r="O37" s="25">
        <v>2100</v>
      </c>
      <c r="P37" s="25" t="str">
        <v>France</v>
      </c>
      <c r="Q37" s="25" t="str">
        <v>Europe</v>
      </c>
      <c r="R37" s="25"/>
    </row>
    <row r="38" spans="2:18" x14ac:dyDescent="0.3">
      <c r="B38" s="8" t="s">
        <v>53</v>
      </c>
      <c r="C38" s="8">
        <v>100</v>
      </c>
      <c r="D38" s="8" t="s">
        <v>20</v>
      </c>
      <c r="N38" t="str">
        <v>B30</v>
      </c>
      <c r="O38" s="25">
        <v>2300</v>
      </c>
      <c r="P38" s="25" t="str">
        <v>Spain</v>
      </c>
      <c r="Q38" s="25" t="str">
        <v>Europe</v>
      </c>
      <c r="R38" s="25"/>
    </row>
    <row r="39" spans="2:18" ht="15" thickBot="1" x14ac:dyDescent="0.35">
      <c r="B39" s="8" t="s">
        <v>54</v>
      </c>
      <c r="C39" s="8">
        <v>20</v>
      </c>
      <c r="D39" s="7" t="s">
        <v>14</v>
      </c>
      <c r="N39" t="str">
        <v>B31</v>
      </c>
      <c r="O39" s="25">
        <v>2500</v>
      </c>
      <c r="P39" s="25" t="str">
        <v>China</v>
      </c>
      <c r="Q39" s="25" t="str">
        <v>Asia</v>
      </c>
      <c r="R39" s="25"/>
    </row>
    <row r="40" spans="2:18" x14ac:dyDescent="0.3">
      <c r="N40" t="str">
        <v>B32</v>
      </c>
      <c r="O40" s="25">
        <v>2600</v>
      </c>
      <c r="P40" s="25" t="str">
        <v>Mexico</v>
      </c>
      <c r="Q40" s="25" t="str">
        <v>Americas</v>
      </c>
      <c r="R40" s="25"/>
    </row>
    <row r="41" spans="2:18" x14ac:dyDescent="0.3">
      <c r="N41" t="str">
        <v>B33</v>
      </c>
      <c r="O41" s="25">
        <v>1100</v>
      </c>
      <c r="P41" s="25" t="str">
        <v>Egypt</v>
      </c>
      <c r="Q41" s="25" t="str">
        <v>Africa</v>
      </c>
      <c r="R41" s="25"/>
    </row>
    <row r="42" spans="2:18" x14ac:dyDescent="0.3">
      <c r="N42" t="str">
        <v>B34</v>
      </c>
      <c r="O42">
        <v>400</v>
      </c>
      <c r="P42" t="str">
        <v>Mexico</v>
      </c>
      <c r="Q42" t="str">
        <v>Americas</v>
      </c>
    </row>
    <row r="43" spans="2:18" x14ac:dyDescent="0.3">
      <c r="N43" t="str">
        <v>B35</v>
      </c>
      <c r="O43">
        <v>100</v>
      </c>
      <c r="P43" t="str">
        <v>France</v>
      </c>
      <c r="Q43" t="str">
        <v>Europe</v>
      </c>
    </row>
    <row r="44" spans="2:18" x14ac:dyDescent="0.3">
      <c r="N44" t="str">
        <v>B36</v>
      </c>
      <c r="O44">
        <v>20</v>
      </c>
      <c r="P44" t="str">
        <v>Chile</v>
      </c>
      <c r="Q44" t="str">
        <v>Americas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7873E-35D5-41E2-874C-75177009AA12}">
  <dimension ref="B2:H18"/>
  <sheetViews>
    <sheetView zoomScale="115" zoomScaleNormal="115" workbookViewId="0"/>
  </sheetViews>
  <sheetFormatPr defaultRowHeight="14.4" x14ac:dyDescent="0.3"/>
  <cols>
    <col min="2" max="3" width="12.6640625" customWidth="1"/>
    <col min="6" max="7" width="13.5546875" customWidth="1"/>
  </cols>
  <sheetData>
    <row r="2" spans="2:8" x14ac:dyDescent="0.3">
      <c r="B2" s="4" t="s">
        <v>69</v>
      </c>
      <c r="C2" s="4"/>
      <c r="F2" s="4" t="s">
        <v>70</v>
      </c>
      <c r="G2" s="4"/>
    </row>
    <row r="3" spans="2:8" x14ac:dyDescent="0.3">
      <c r="B3" t="s">
        <v>60</v>
      </c>
      <c r="C3" t="s">
        <v>59</v>
      </c>
      <c r="F3" t="str" cm="1">
        <f t="array" ref="F3:H17">_xlfn._xlws.PY(17,0,B3:C18)</f>
        <v/>
      </c>
      <c r="G3" t="str">
        <v>Date</v>
      </c>
      <c r="H3" t="str">
        <v>Sales</v>
      </c>
    </row>
    <row r="4" spans="2:8" x14ac:dyDescent="0.3">
      <c r="B4" s="21">
        <v>45292</v>
      </c>
      <c r="C4">
        <v>5000</v>
      </c>
      <c r="F4">
        <v>0</v>
      </c>
      <c r="G4" vm="15">
        <v>45292</v>
      </c>
      <c r="H4">
        <v>5000</v>
      </c>
    </row>
    <row r="5" spans="2:8" x14ac:dyDescent="0.3">
      <c r="B5" s="21">
        <v>45352</v>
      </c>
      <c r="C5">
        <v>5000</v>
      </c>
      <c r="F5">
        <v>1</v>
      </c>
      <c r="G5" vm="16">
        <v>45352</v>
      </c>
      <c r="H5">
        <v>5000</v>
      </c>
    </row>
    <row r="6" spans="2:8" x14ac:dyDescent="0.3">
      <c r="B6" s="21">
        <v>45444</v>
      </c>
      <c r="C6">
        <v>5500</v>
      </c>
      <c r="F6">
        <v>2</v>
      </c>
      <c r="G6" vm="17">
        <v>45444</v>
      </c>
      <c r="H6">
        <v>5500</v>
      </c>
    </row>
    <row r="7" spans="2:8" x14ac:dyDescent="0.3">
      <c r="B7" s="21">
        <v>45292</v>
      </c>
      <c r="C7">
        <v>5600</v>
      </c>
      <c r="F7">
        <v>3</v>
      </c>
      <c r="G7" vm="15">
        <v>45292</v>
      </c>
      <c r="H7">
        <v>5600</v>
      </c>
    </row>
    <row r="8" spans="2:8" x14ac:dyDescent="0.3">
      <c r="B8" s="21">
        <v>45292</v>
      </c>
      <c r="C8">
        <v>5700</v>
      </c>
      <c r="F8">
        <v>4</v>
      </c>
      <c r="G8" vm="15">
        <v>45292</v>
      </c>
      <c r="H8">
        <v>5700</v>
      </c>
    </row>
    <row r="9" spans="2:8" x14ac:dyDescent="0.3">
      <c r="B9" s="21">
        <v>45444</v>
      </c>
      <c r="C9">
        <v>5700</v>
      </c>
      <c r="F9">
        <v>5</v>
      </c>
      <c r="G9" vm="17">
        <v>45444</v>
      </c>
      <c r="H9">
        <v>5700</v>
      </c>
    </row>
    <row r="10" spans="2:8" x14ac:dyDescent="0.3">
      <c r="B10" s="21">
        <v>44929</v>
      </c>
      <c r="C10">
        <v>85000</v>
      </c>
      <c r="F10">
        <v>7</v>
      </c>
      <c r="G10" vm="18">
        <v>44929</v>
      </c>
      <c r="H10">
        <v>11282.142857142857</v>
      </c>
    </row>
    <row r="11" spans="2:8" x14ac:dyDescent="0.3">
      <c r="B11" s="21">
        <v>44929</v>
      </c>
      <c r="F11">
        <v>8</v>
      </c>
      <c r="G11" vm="18">
        <v>44929</v>
      </c>
      <c r="H11">
        <v>5800</v>
      </c>
    </row>
    <row r="12" spans="2:8" x14ac:dyDescent="0.3">
      <c r="B12" s="21">
        <v>44929</v>
      </c>
      <c r="C12">
        <v>5800</v>
      </c>
      <c r="F12">
        <v>9</v>
      </c>
      <c r="G12" vm="19">
        <v>45387</v>
      </c>
      <c r="H12">
        <v>5900</v>
      </c>
    </row>
    <row r="13" spans="2:8" x14ac:dyDescent="0.3">
      <c r="B13" s="28" t="s">
        <v>71</v>
      </c>
      <c r="C13">
        <v>5900</v>
      </c>
      <c r="F13">
        <v>10</v>
      </c>
      <c r="G13" vm="20">
        <v>44937</v>
      </c>
      <c r="H13">
        <v>5950</v>
      </c>
    </row>
    <row r="14" spans="2:8" x14ac:dyDescent="0.3">
      <c r="B14" s="21">
        <v>44937</v>
      </c>
      <c r="C14">
        <v>5950</v>
      </c>
      <c r="F14">
        <v>11</v>
      </c>
      <c r="G14" vm="21">
        <v>44938</v>
      </c>
      <c r="H14">
        <v>5800</v>
      </c>
    </row>
    <row r="15" spans="2:8" x14ac:dyDescent="0.3">
      <c r="B15" s="21">
        <v>44938</v>
      </c>
      <c r="C15">
        <v>5800</v>
      </c>
      <c r="F15">
        <v>12</v>
      </c>
      <c r="G15" vm="22">
        <v>44939</v>
      </c>
      <c r="H15">
        <v>5700</v>
      </c>
    </row>
    <row r="16" spans="2:8" x14ac:dyDescent="0.3">
      <c r="B16" s="21">
        <v>44939</v>
      </c>
      <c r="C16">
        <v>5700</v>
      </c>
      <c r="F16">
        <v>13</v>
      </c>
      <c r="G16" vm="23">
        <v>44940</v>
      </c>
      <c r="H16">
        <v>5700</v>
      </c>
    </row>
    <row r="17" spans="2:8" x14ac:dyDescent="0.3">
      <c r="B17" s="21">
        <v>44940</v>
      </c>
      <c r="C17">
        <v>5700</v>
      </c>
      <c r="F17">
        <v>14</v>
      </c>
      <c r="G17" vm="24">
        <v>44941</v>
      </c>
      <c r="H17">
        <v>5600</v>
      </c>
    </row>
    <row r="18" spans="2:8" x14ac:dyDescent="0.3">
      <c r="B18" s="21">
        <v>44941</v>
      </c>
      <c r="C18">
        <v>5600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1FDF5-48ED-4643-B71B-35463101031D}">
  <dimension ref="B2"/>
  <sheetViews>
    <sheetView zoomScale="70" zoomScaleNormal="70" workbookViewId="0"/>
  </sheetViews>
  <sheetFormatPr defaultRowHeight="14.4" x14ac:dyDescent="0.3"/>
  <sheetData>
    <row r="2" spans="2:2" x14ac:dyDescent="0.3">
      <c r="B2" t="e" cm="1" vm="25">
        <f t="array" ref="B2">_xlfn._xlws.PY(18,0)</f>
        <v>#VALUE!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B2FEF-EF13-458B-A7AF-27791EB0F754}">
  <dimension ref="B5:B31"/>
  <sheetViews>
    <sheetView showGridLines="0" zoomScale="70" zoomScaleNormal="70" workbookViewId="0"/>
  </sheetViews>
  <sheetFormatPr defaultRowHeight="14.4" x14ac:dyDescent="0.3"/>
  <sheetData>
    <row r="5" spans="2:2" x14ac:dyDescent="0.3">
      <c r="B5" t="e" cm="1" vm="26">
        <f t="array" ref="B5">_xlfn._xlws.PY(19,0)</f>
        <v>#VALUE!</v>
      </c>
    </row>
    <row r="10" spans="2:2" x14ac:dyDescent="0.3">
      <c r="B10" t="e" cm="1" vm="27">
        <f t="array" ref="B10">_xlfn._xlws.PY(20,0)</f>
        <v>#VALUE!</v>
      </c>
    </row>
    <row r="18" spans="2:2" x14ac:dyDescent="0.3">
      <c r="B18" t="e" cm="1" vm="28">
        <f t="array" ref="B18">_xlfn._xlws.PY(21,0)</f>
        <v>#VALUE!</v>
      </c>
    </row>
    <row r="25" spans="2:2" x14ac:dyDescent="0.3">
      <c r="B25" t="e" cm="1" vm="29">
        <f t="array" ref="B25">_xlfn._xlws.PY(22,0)</f>
        <v>#VALUE!</v>
      </c>
    </row>
    <row r="31" spans="2:2" x14ac:dyDescent="0.3">
      <c r="B31" t="e" cm="1" vm="30">
        <f t="array" ref="B31">_xlfn._xlws.PY(9,0)</f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01-03</vt:lpstr>
      <vt:lpstr>01-04</vt:lpstr>
      <vt:lpstr>02-02</vt:lpstr>
      <vt:lpstr>02-03</vt:lpstr>
      <vt:lpstr>02-04</vt:lpstr>
      <vt:lpstr>02-05</vt:lpstr>
      <vt:lpstr>03-01</vt:lpstr>
      <vt:lpstr>03-04</vt:lpstr>
      <vt:lpstr>04-01</vt:lpstr>
      <vt:lpstr>04-02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</dc:creator>
  <cp:lastModifiedBy>Aleem Shaikh</cp:lastModifiedBy>
  <dcterms:created xsi:type="dcterms:W3CDTF">2024-01-31T11:48:46Z</dcterms:created>
  <dcterms:modified xsi:type="dcterms:W3CDTF">2025-09-08T17:34:45Z</dcterms:modified>
</cp:coreProperties>
</file>